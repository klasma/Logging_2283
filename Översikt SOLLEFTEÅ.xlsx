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45576</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45576</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45576</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45576</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45576</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45576</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45576</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45576</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45576</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45576</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45576</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45576</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45576</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45576</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45576</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45576</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45576</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45576</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45576</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45576</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45576</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45576</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45576</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40262-2024</t>
        </is>
      </c>
      <c r="B36" s="1" t="n">
        <v>45554</v>
      </c>
      <c r="C36" s="1" t="n">
        <v>45576</v>
      </c>
      <c r="D36" t="inlineStr">
        <is>
          <t>VÄSTERNORRLANDS LÄN</t>
        </is>
      </c>
      <c r="E36" t="inlineStr">
        <is>
          <t>SOLLEFTEÅ</t>
        </is>
      </c>
      <c r="F36" t="inlineStr">
        <is>
          <t>SCA</t>
        </is>
      </c>
      <c r="G36" t="n">
        <v>17.9</v>
      </c>
      <c r="H36" t="n">
        <v>4</v>
      </c>
      <c r="I36" t="n">
        <v>2</v>
      </c>
      <c r="J36" t="n">
        <v>11</v>
      </c>
      <c r="K36" t="n">
        <v>1</v>
      </c>
      <c r="L36" t="n">
        <v>0</v>
      </c>
      <c r="M36" t="n">
        <v>0</v>
      </c>
      <c r="N36" t="n">
        <v>0</v>
      </c>
      <c r="O36" t="n">
        <v>12</v>
      </c>
      <c r="P36" t="n">
        <v>1</v>
      </c>
      <c r="Q36" t="n">
        <v>14</v>
      </c>
      <c r="R36" s="2" t="inlineStr">
        <is>
          <t>Knärot
Garnlav
Järpe
Kolflarnlav
Leptoporus mollis
Motaggsvamp
Rosenticka
Spillkråka
Stjärntagging
Tallticka
Tretåig hackspett
Ullticka
Bollvitmossa
Vedticka</t>
        </is>
      </c>
      <c r="S36">
        <f>HYPERLINK("https://klasma.github.io/Logging_2283/artfynd/A 40262-2024 artfynd.xlsx", "A 40262-2024")</f>
        <v/>
      </c>
      <c r="T36">
        <f>HYPERLINK("https://klasma.github.io/Logging_2283/kartor/A 40262-2024 karta.png", "A 40262-2024")</f>
        <v/>
      </c>
      <c r="U36">
        <f>HYPERLINK("https://klasma.github.io/Logging_2283/knärot/A 40262-2024 karta knärot.png", "A 40262-2024")</f>
        <v/>
      </c>
      <c r="V36">
        <f>HYPERLINK("https://klasma.github.io/Logging_2283/klagomål/A 40262-2024 FSC-klagomål.docx", "A 40262-2024")</f>
        <v/>
      </c>
      <c r="W36">
        <f>HYPERLINK("https://klasma.github.io/Logging_2283/klagomålsmail/A 40262-2024 FSC-klagomål mail.docx", "A 40262-2024")</f>
        <v/>
      </c>
      <c r="X36">
        <f>HYPERLINK("https://klasma.github.io/Logging_2283/tillsyn/A 40262-2024 tillsynsbegäran.docx", "A 40262-2024")</f>
        <v/>
      </c>
      <c r="Y36">
        <f>HYPERLINK("https://klasma.github.io/Logging_2283/tillsynsmail/A 40262-2024 tillsynsbegäran mail.docx", "A 40262-2024")</f>
        <v/>
      </c>
      <c r="Z36">
        <f>HYPERLINK("https://klasma.github.io/Logging_2283/fåglar/A 40262-2024 prioriterade fågelarter.docx", "A 40262-2024")</f>
        <v/>
      </c>
    </row>
    <row r="37" ht="15" customHeight="1">
      <c r="A37" t="inlineStr">
        <is>
          <t>A 17415-2022</t>
        </is>
      </c>
      <c r="B37" s="1" t="n">
        <v>44678</v>
      </c>
      <c r="C37" s="1" t="n">
        <v>45576</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45576</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45576</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45576</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45576</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45576</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45576</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45576</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45576</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45576</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45576</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45576</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45576</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45576</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45576</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45576</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45576</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45576</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45576</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45576</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66171-2021</t>
        </is>
      </c>
      <c r="B58" s="1" t="n">
        <v>44517</v>
      </c>
      <c r="C58" s="1" t="n">
        <v>45576</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45576</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45576</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19825-2023</t>
        </is>
      </c>
      <c r="B61" s="1" t="n">
        <v>45051</v>
      </c>
      <c r="C61" s="1" t="n">
        <v>45576</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37488-2023</t>
        </is>
      </c>
      <c r="B62" s="1" t="n">
        <v>45156</v>
      </c>
      <c r="C62" s="1" t="n">
        <v>45576</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53768-2023</t>
        </is>
      </c>
      <c r="B63" s="1" t="n">
        <v>45230</v>
      </c>
      <c r="C63" s="1" t="n">
        <v>45576</v>
      </c>
      <c r="D63" t="inlineStr">
        <is>
          <t>VÄSTERNORRLANDS LÄN</t>
        </is>
      </c>
      <c r="E63" t="inlineStr">
        <is>
          <t>SOLLEFTEÅ</t>
        </is>
      </c>
      <c r="F63" t="inlineStr">
        <is>
          <t>SCA</t>
        </is>
      </c>
      <c r="G63" t="n">
        <v>7.6</v>
      </c>
      <c r="H63" t="n">
        <v>1</v>
      </c>
      <c r="I63" t="n">
        <v>1</v>
      </c>
      <c r="J63" t="n">
        <v>8</v>
      </c>
      <c r="K63" t="n">
        <v>1</v>
      </c>
      <c r="L63" t="n">
        <v>0</v>
      </c>
      <c r="M63" t="n">
        <v>0</v>
      </c>
      <c r="N63" t="n">
        <v>0</v>
      </c>
      <c r="O63" t="n">
        <v>9</v>
      </c>
      <c r="P63" t="n">
        <v>1</v>
      </c>
      <c r="Q63" t="n">
        <v>10</v>
      </c>
      <c r="R63" s="2" t="inlineStr">
        <is>
          <t>Blackticka
Gammelgransskål
Garnlav
Granticka
Gränsticka
Lunglav
Stjärntagging
Talltita
Ullticka
Vedticka</t>
        </is>
      </c>
      <c r="S63">
        <f>HYPERLINK("https://klasma.github.io/Logging_2283/artfynd/A 53768-2023 artfynd.xlsx", "A 53768-2023")</f>
        <v/>
      </c>
      <c r="T63">
        <f>HYPERLINK("https://klasma.github.io/Logging_2283/kartor/A 53768-2023 karta.png", "A 53768-2023")</f>
        <v/>
      </c>
      <c r="V63">
        <f>HYPERLINK("https://klasma.github.io/Logging_2283/klagomål/A 53768-2023 FSC-klagomål.docx", "A 53768-2023")</f>
        <v/>
      </c>
      <c r="W63">
        <f>HYPERLINK("https://klasma.github.io/Logging_2283/klagomålsmail/A 53768-2023 FSC-klagomål mail.docx", "A 53768-2023")</f>
        <v/>
      </c>
      <c r="X63">
        <f>HYPERLINK("https://klasma.github.io/Logging_2283/tillsyn/A 53768-2023 tillsynsbegäran.docx", "A 53768-2023")</f>
        <v/>
      </c>
      <c r="Y63">
        <f>HYPERLINK("https://klasma.github.io/Logging_2283/tillsynsmail/A 53768-2023 tillsynsbegäran mail.docx", "A 53768-2023")</f>
        <v/>
      </c>
      <c r="Z63">
        <f>HYPERLINK("https://klasma.github.io/Logging_2283/fåglar/A 53768-2023 prioriterade fågelarter.docx", "A 53768-2023")</f>
        <v/>
      </c>
    </row>
    <row r="64" ht="15" customHeight="1">
      <c r="A64" t="inlineStr">
        <is>
          <t>A 29247-2024</t>
        </is>
      </c>
      <c r="B64" s="1" t="n">
        <v>45482</v>
      </c>
      <c r="C64" s="1" t="n">
        <v>45576</v>
      </c>
      <c r="D64" t="inlineStr">
        <is>
          <t>VÄSTERNORRLANDS LÄN</t>
        </is>
      </c>
      <c r="E64" t="inlineStr">
        <is>
          <t>SOLLEFTEÅ</t>
        </is>
      </c>
      <c r="F64" t="inlineStr">
        <is>
          <t>SCA</t>
        </is>
      </c>
      <c r="G64" t="n">
        <v>6</v>
      </c>
      <c r="H64" t="n">
        <v>2</v>
      </c>
      <c r="I64" t="n">
        <v>1</v>
      </c>
      <c r="J64" t="n">
        <v>6</v>
      </c>
      <c r="K64" t="n">
        <v>3</v>
      </c>
      <c r="L64" t="n">
        <v>0</v>
      </c>
      <c r="M64" t="n">
        <v>0</v>
      </c>
      <c r="N64" t="n">
        <v>0</v>
      </c>
      <c r="O64" t="n">
        <v>9</v>
      </c>
      <c r="P64" t="n">
        <v>3</v>
      </c>
      <c r="Q64" t="n">
        <v>10</v>
      </c>
      <c r="R64" s="2" t="inlineStr">
        <is>
          <t>Gräddporing
Knärot
Smalfotad taggsvamp
Dvärgbägarlav
Kolflarnlav
Lunglav
Mörk kolflarnlav
Talltita
Vedflamlav
Norrlandslav</t>
        </is>
      </c>
      <c r="S64">
        <f>HYPERLINK("https://klasma.github.io/Logging_2283/artfynd/A 29247-2024 artfynd.xlsx", "A 29247-2024")</f>
        <v/>
      </c>
      <c r="T64">
        <f>HYPERLINK("https://klasma.github.io/Logging_2283/kartor/A 29247-2024 karta.png", "A 29247-2024")</f>
        <v/>
      </c>
      <c r="U64">
        <f>HYPERLINK("https://klasma.github.io/Logging_2283/knärot/A 29247-2024 karta knärot.png", "A 29247-2024")</f>
        <v/>
      </c>
      <c r="V64">
        <f>HYPERLINK("https://klasma.github.io/Logging_2283/klagomål/A 29247-2024 FSC-klagomål.docx", "A 29247-2024")</f>
        <v/>
      </c>
      <c r="W64">
        <f>HYPERLINK("https://klasma.github.io/Logging_2283/klagomålsmail/A 29247-2024 FSC-klagomål mail.docx", "A 29247-2024")</f>
        <v/>
      </c>
      <c r="X64">
        <f>HYPERLINK("https://klasma.github.io/Logging_2283/tillsyn/A 29247-2024 tillsynsbegäran.docx", "A 29247-2024")</f>
        <v/>
      </c>
      <c r="Y64">
        <f>HYPERLINK("https://klasma.github.io/Logging_2283/tillsynsmail/A 29247-2024 tillsynsbegäran mail.docx", "A 29247-2024")</f>
        <v/>
      </c>
      <c r="Z64">
        <f>HYPERLINK("https://klasma.github.io/Logging_2283/fåglar/A 29247-2024 prioriterade fågelarter.docx", "A 29247-2024")</f>
        <v/>
      </c>
    </row>
    <row r="65" ht="15" customHeight="1">
      <c r="A65" t="inlineStr">
        <is>
          <t>A 40464-2024</t>
        </is>
      </c>
      <c r="B65" s="1" t="n">
        <v>45555</v>
      </c>
      <c r="C65" s="1" t="n">
        <v>45576</v>
      </c>
      <c r="D65" t="inlineStr">
        <is>
          <t>VÄSTERNORRLANDS LÄN</t>
        </is>
      </c>
      <c r="E65" t="inlineStr">
        <is>
          <t>SOLLEFTEÅ</t>
        </is>
      </c>
      <c r="F65" t="inlineStr">
        <is>
          <t>SCA</t>
        </is>
      </c>
      <c r="G65" t="n">
        <v>7.7</v>
      </c>
      <c r="H65" t="n">
        <v>4</v>
      </c>
      <c r="I65" t="n">
        <v>1</v>
      </c>
      <c r="J65" t="n">
        <v>7</v>
      </c>
      <c r="K65" t="n">
        <v>2</v>
      </c>
      <c r="L65" t="n">
        <v>0</v>
      </c>
      <c r="M65" t="n">
        <v>0</v>
      </c>
      <c r="N65" t="n">
        <v>0</v>
      </c>
      <c r="O65" t="n">
        <v>9</v>
      </c>
      <c r="P65" t="n">
        <v>2</v>
      </c>
      <c r="Q65" t="n">
        <v>10</v>
      </c>
      <c r="R65" s="2" t="inlineStr">
        <is>
          <t>Knärot
Rynkskinn
Gammelgransskål
Garnlav
Granticka
Järpe
Spillkråka
Tretåig hackspett
Ullticka
Vedticka</t>
        </is>
      </c>
      <c r="S65">
        <f>HYPERLINK("https://klasma.github.io/Logging_2283/artfynd/A 40464-2024 artfynd.xlsx", "A 40464-2024")</f>
        <v/>
      </c>
      <c r="T65">
        <f>HYPERLINK("https://klasma.github.io/Logging_2283/kartor/A 40464-2024 karta.png", "A 40464-2024")</f>
        <v/>
      </c>
      <c r="U65">
        <f>HYPERLINK("https://klasma.github.io/Logging_2283/knärot/A 40464-2024 karta knärot.png", "A 40464-2024")</f>
        <v/>
      </c>
      <c r="V65">
        <f>HYPERLINK("https://klasma.github.io/Logging_2283/klagomål/A 40464-2024 FSC-klagomål.docx", "A 40464-2024")</f>
        <v/>
      </c>
      <c r="W65">
        <f>HYPERLINK("https://klasma.github.io/Logging_2283/klagomålsmail/A 40464-2024 FSC-klagomål mail.docx", "A 40464-2024")</f>
        <v/>
      </c>
      <c r="X65">
        <f>HYPERLINK("https://klasma.github.io/Logging_2283/tillsyn/A 40464-2024 tillsynsbegäran.docx", "A 40464-2024")</f>
        <v/>
      </c>
      <c r="Y65">
        <f>HYPERLINK("https://klasma.github.io/Logging_2283/tillsynsmail/A 40464-2024 tillsynsbegäran mail.docx", "A 40464-2024")</f>
        <v/>
      </c>
      <c r="Z65">
        <f>HYPERLINK("https://klasma.github.io/Logging_2283/fåglar/A 40464-2024 prioriterade fågelarter.docx", "A 40464-2024")</f>
        <v/>
      </c>
    </row>
    <row r="66" ht="15" customHeight="1">
      <c r="A66" t="inlineStr">
        <is>
          <t>A 41963-2024</t>
        </is>
      </c>
      <c r="B66" s="1" t="n">
        <v>45561</v>
      </c>
      <c r="C66" s="1" t="n">
        <v>45576</v>
      </c>
      <c r="D66" t="inlineStr">
        <is>
          <t>VÄSTERNORRLANDS LÄN</t>
        </is>
      </c>
      <c r="E66" t="inlineStr">
        <is>
          <t>SOLLEFTEÅ</t>
        </is>
      </c>
      <c r="F66" t="inlineStr">
        <is>
          <t>SCA</t>
        </is>
      </c>
      <c r="G66" t="n">
        <v>3.8</v>
      </c>
      <c r="H66" t="n">
        <v>5</v>
      </c>
      <c r="I66" t="n">
        <v>3</v>
      </c>
      <c r="J66" t="n">
        <v>5</v>
      </c>
      <c r="K66" t="n">
        <v>2</v>
      </c>
      <c r="L66" t="n">
        <v>0</v>
      </c>
      <c r="M66" t="n">
        <v>0</v>
      </c>
      <c r="N66" t="n">
        <v>0</v>
      </c>
      <c r="O66" t="n">
        <v>7</v>
      </c>
      <c r="P66" t="n">
        <v>2</v>
      </c>
      <c r="Q66" t="n">
        <v>10</v>
      </c>
      <c r="R66" s="2" t="inlineStr">
        <is>
          <t>Knärot
Rynkskinn
Garnlav
Spillkråka
Talltita
Tretåig hackspett
Ullticka
Bronshjon
Lappranunkel
Vedticka</t>
        </is>
      </c>
      <c r="S66">
        <f>HYPERLINK("https://klasma.github.io/Logging_2283/artfynd/A 41963-2024 artfynd.xlsx", "A 41963-2024")</f>
        <v/>
      </c>
      <c r="T66">
        <f>HYPERLINK("https://klasma.github.io/Logging_2283/kartor/A 41963-2024 karta.png", "A 41963-2024")</f>
        <v/>
      </c>
      <c r="U66">
        <f>HYPERLINK("https://klasma.github.io/Logging_2283/knärot/A 41963-2024 karta knärot.png", "A 41963-2024")</f>
        <v/>
      </c>
      <c r="V66">
        <f>HYPERLINK("https://klasma.github.io/Logging_2283/klagomål/A 41963-2024 FSC-klagomål.docx", "A 41963-2024")</f>
        <v/>
      </c>
      <c r="W66">
        <f>HYPERLINK("https://klasma.github.io/Logging_2283/klagomålsmail/A 41963-2024 FSC-klagomål mail.docx", "A 41963-2024")</f>
        <v/>
      </c>
      <c r="X66">
        <f>HYPERLINK("https://klasma.github.io/Logging_2283/tillsyn/A 41963-2024 tillsynsbegäran.docx", "A 41963-2024")</f>
        <v/>
      </c>
      <c r="Y66">
        <f>HYPERLINK("https://klasma.github.io/Logging_2283/tillsynsmail/A 41963-2024 tillsynsbegäran mail.docx", "A 41963-2024")</f>
        <v/>
      </c>
      <c r="Z66">
        <f>HYPERLINK("https://klasma.github.io/Logging_2283/fåglar/A 41963-2024 prioriterade fågelarter.docx", "A 41963-2024")</f>
        <v/>
      </c>
    </row>
    <row r="67" ht="15" customHeight="1">
      <c r="A67" t="inlineStr">
        <is>
          <t>A 73845-2021</t>
        </is>
      </c>
      <c r="B67" s="1" t="n">
        <v>44553</v>
      </c>
      <c r="C67" s="1" t="n">
        <v>45576</v>
      </c>
      <c r="D67" t="inlineStr">
        <is>
          <t>VÄSTERNORRLANDS LÄN</t>
        </is>
      </c>
      <c r="E67" t="inlineStr">
        <is>
          <t>SOLLEFTEÅ</t>
        </is>
      </c>
      <c r="F67" t="inlineStr">
        <is>
          <t>Övriga Aktiebolag</t>
        </is>
      </c>
      <c r="G67" t="n">
        <v>25.2</v>
      </c>
      <c r="H67" t="n">
        <v>2</v>
      </c>
      <c r="I67" t="n">
        <v>2</v>
      </c>
      <c r="J67" t="n">
        <v>7</v>
      </c>
      <c r="K67" t="n">
        <v>0</v>
      </c>
      <c r="L67" t="n">
        <v>0</v>
      </c>
      <c r="M67" t="n">
        <v>0</v>
      </c>
      <c r="N67" t="n">
        <v>0</v>
      </c>
      <c r="O67" t="n">
        <v>7</v>
      </c>
      <c r="P67" t="n">
        <v>0</v>
      </c>
      <c r="Q67" t="n">
        <v>9</v>
      </c>
      <c r="R67" s="2" t="inlineStr">
        <is>
          <t>Garnlav
Granticka
Lunglav
Rosenticka
Talltita
Tretåig hackspett
Ullticka
Skinnlav
Vedticka</t>
        </is>
      </c>
      <c r="S67">
        <f>HYPERLINK("https://klasma.github.io/Logging_2283/artfynd/A 73845-2021 artfynd.xlsx", "A 73845-2021")</f>
        <v/>
      </c>
      <c r="T67">
        <f>HYPERLINK("https://klasma.github.io/Logging_2283/kartor/A 73845-2021 karta.png", "A 73845-2021")</f>
        <v/>
      </c>
      <c r="V67">
        <f>HYPERLINK("https://klasma.github.io/Logging_2283/klagomål/A 73845-2021 FSC-klagomål.docx", "A 73845-2021")</f>
        <v/>
      </c>
      <c r="W67">
        <f>HYPERLINK("https://klasma.github.io/Logging_2283/klagomålsmail/A 73845-2021 FSC-klagomål mail.docx", "A 73845-2021")</f>
        <v/>
      </c>
      <c r="X67">
        <f>HYPERLINK("https://klasma.github.io/Logging_2283/tillsyn/A 73845-2021 tillsynsbegäran.docx", "A 73845-2021")</f>
        <v/>
      </c>
      <c r="Y67">
        <f>HYPERLINK("https://klasma.github.io/Logging_2283/tillsynsmail/A 73845-2021 tillsynsbegäran mail.docx", "A 73845-2021")</f>
        <v/>
      </c>
      <c r="Z67">
        <f>HYPERLINK("https://klasma.github.io/Logging_2283/fåglar/A 73845-2021 prioriterade fågelarter.docx", "A 73845-2021")</f>
        <v/>
      </c>
    </row>
    <row r="68" ht="15" customHeight="1">
      <c r="A68" t="inlineStr">
        <is>
          <t>A 29309-2022</t>
        </is>
      </c>
      <c r="B68" s="1" t="n">
        <v>44750</v>
      </c>
      <c r="C68" s="1" t="n">
        <v>45576</v>
      </c>
      <c r="D68" t="inlineStr">
        <is>
          <t>VÄSTERNORRLANDS LÄN</t>
        </is>
      </c>
      <c r="E68" t="inlineStr">
        <is>
          <t>SOLLEFTEÅ</t>
        </is>
      </c>
      <c r="F68" t="inlineStr">
        <is>
          <t>SCA</t>
        </is>
      </c>
      <c r="G68" t="n">
        <v>7.3</v>
      </c>
      <c r="H68" t="n">
        <v>1</v>
      </c>
      <c r="I68" t="n">
        <v>0</v>
      </c>
      <c r="J68" t="n">
        <v>9</v>
      </c>
      <c r="K68" t="n">
        <v>0</v>
      </c>
      <c r="L68" t="n">
        <v>0</v>
      </c>
      <c r="M68" t="n">
        <v>0</v>
      </c>
      <c r="N68" t="n">
        <v>0</v>
      </c>
      <c r="O68" t="n">
        <v>9</v>
      </c>
      <c r="P68" t="n">
        <v>0</v>
      </c>
      <c r="Q68" t="n">
        <v>9</v>
      </c>
      <c r="R68" s="2" t="inlineStr">
        <is>
          <t>Blå taggsvamp
Dvärgbägarlav
Garnlav
Lunglav
Mörk kolflarnlav
Nordtagging
Tretåig hackspett
Vedskivlav
Vitplätt</t>
        </is>
      </c>
      <c r="S68">
        <f>HYPERLINK("https://klasma.github.io/Logging_2283/artfynd/A 29309-2022 artfynd.xlsx", "A 29309-2022")</f>
        <v/>
      </c>
      <c r="T68">
        <f>HYPERLINK("https://klasma.github.io/Logging_2283/kartor/A 29309-2022 karta.png", "A 29309-2022")</f>
        <v/>
      </c>
      <c r="U68">
        <f>HYPERLINK("https://klasma.github.io/Logging_2283/knärot/A 29309-2022 karta knärot.png", "A 29309-2022")</f>
        <v/>
      </c>
      <c r="V68">
        <f>HYPERLINK("https://klasma.github.io/Logging_2283/klagomål/A 29309-2022 FSC-klagomål.docx", "A 29309-2022")</f>
        <v/>
      </c>
      <c r="W68">
        <f>HYPERLINK("https://klasma.github.io/Logging_2283/klagomålsmail/A 29309-2022 FSC-klagomål mail.docx", "A 29309-2022")</f>
        <v/>
      </c>
      <c r="X68">
        <f>HYPERLINK("https://klasma.github.io/Logging_2283/tillsyn/A 29309-2022 tillsynsbegäran.docx", "A 29309-2022")</f>
        <v/>
      </c>
      <c r="Y68">
        <f>HYPERLINK("https://klasma.github.io/Logging_2283/tillsynsmail/A 29309-2022 tillsynsbegäran mail.docx", "A 29309-2022")</f>
        <v/>
      </c>
      <c r="Z68">
        <f>HYPERLINK("https://klasma.github.io/Logging_2283/fåglar/A 29309-2022 prioriterade fågelarter.docx", "A 29309-2022")</f>
        <v/>
      </c>
    </row>
    <row r="69" ht="15" customHeight="1">
      <c r="A69" t="inlineStr">
        <is>
          <t>A 40274-2022</t>
        </is>
      </c>
      <c r="B69" s="1" t="n">
        <v>44820</v>
      </c>
      <c r="C69" s="1" t="n">
        <v>45576</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15983-2023</t>
        </is>
      </c>
      <c r="B70" s="1" t="n">
        <v>45022</v>
      </c>
      <c r="C70" s="1" t="n">
        <v>45576</v>
      </c>
      <c r="D70" t="inlineStr">
        <is>
          <t>VÄSTERNORRLANDS LÄN</t>
        </is>
      </c>
      <c r="E70" t="inlineStr">
        <is>
          <t>SOLLEFTEÅ</t>
        </is>
      </c>
      <c r="F70" t="inlineStr">
        <is>
          <t>SCA</t>
        </is>
      </c>
      <c r="G70" t="n">
        <v>4.7</v>
      </c>
      <c r="H70" t="n">
        <v>1</v>
      </c>
      <c r="I70" t="n">
        <v>0</v>
      </c>
      <c r="J70" t="n">
        <v>9</v>
      </c>
      <c r="K70" t="n">
        <v>0</v>
      </c>
      <c r="L70" t="n">
        <v>0</v>
      </c>
      <c r="M70" t="n">
        <v>0</v>
      </c>
      <c r="N70" t="n">
        <v>0</v>
      </c>
      <c r="O70" t="n">
        <v>9</v>
      </c>
      <c r="P70" t="n">
        <v>0</v>
      </c>
      <c r="Q70" t="n">
        <v>9</v>
      </c>
      <c r="R70" s="2" t="inlineStr">
        <is>
          <t>Dvärgbägarlav
Lunglav
Rosenticka
Skrovlig taggsvamp
Tretåig hackspett
Vedskivlav
Violmussling
Vitgrynig nållav
Vitplätt</t>
        </is>
      </c>
      <c r="S70">
        <f>HYPERLINK("https://klasma.github.io/Logging_2283/artfynd/A 15983-2023 artfynd.xlsx", "A 15983-2023")</f>
        <v/>
      </c>
      <c r="T70">
        <f>HYPERLINK("https://klasma.github.io/Logging_2283/kartor/A 15983-2023 karta.png", "A 15983-2023")</f>
        <v/>
      </c>
      <c r="V70">
        <f>HYPERLINK("https://klasma.github.io/Logging_2283/klagomål/A 15983-2023 FSC-klagomål.docx", "A 15983-2023")</f>
        <v/>
      </c>
      <c r="W70">
        <f>HYPERLINK("https://klasma.github.io/Logging_2283/klagomålsmail/A 15983-2023 FSC-klagomål mail.docx", "A 15983-2023")</f>
        <v/>
      </c>
      <c r="X70">
        <f>HYPERLINK("https://klasma.github.io/Logging_2283/tillsyn/A 15983-2023 tillsynsbegäran.docx", "A 15983-2023")</f>
        <v/>
      </c>
      <c r="Y70">
        <f>HYPERLINK("https://klasma.github.io/Logging_2283/tillsynsmail/A 15983-2023 tillsynsbegäran mail.docx", "A 15983-2023")</f>
        <v/>
      </c>
      <c r="Z70">
        <f>HYPERLINK("https://klasma.github.io/Logging_2283/fåglar/A 15983-2023 prioriterade fågelarter.docx", "A 15983-2023")</f>
        <v/>
      </c>
    </row>
    <row r="71" ht="15" customHeight="1">
      <c r="A71" t="inlineStr">
        <is>
          <t>A 38687-2023</t>
        </is>
      </c>
      <c r="B71" s="1" t="n">
        <v>45162</v>
      </c>
      <c r="C71" s="1" t="n">
        <v>45576</v>
      </c>
      <c r="D71" t="inlineStr">
        <is>
          <t>VÄSTERNORRLANDS LÄN</t>
        </is>
      </c>
      <c r="E71" t="inlineStr">
        <is>
          <t>SOLLEFTEÅ</t>
        </is>
      </c>
      <c r="F71" t="inlineStr">
        <is>
          <t>SCA</t>
        </is>
      </c>
      <c r="G71" t="n">
        <v>9.4</v>
      </c>
      <c r="H71" t="n">
        <v>0</v>
      </c>
      <c r="I71" t="n">
        <v>5</v>
      </c>
      <c r="J71" t="n">
        <v>4</v>
      </c>
      <c r="K71" t="n">
        <v>0</v>
      </c>
      <c r="L71" t="n">
        <v>0</v>
      </c>
      <c r="M71" t="n">
        <v>0</v>
      </c>
      <c r="N71" t="n">
        <v>0</v>
      </c>
      <c r="O71" t="n">
        <v>4</v>
      </c>
      <c r="P71" t="n">
        <v>0</v>
      </c>
      <c r="Q71" t="n">
        <v>9</v>
      </c>
      <c r="R71" s="2" t="inlineStr">
        <is>
          <t>Garnlav
Granticka
Lunglav
Stiftgelélav
Bårdlav
Norrlandslav
Skinnlav
Stuplav
Vedticka</t>
        </is>
      </c>
      <c r="S71">
        <f>HYPERLINK("https://klasma.github.io/Logging_2283/artfynd/A 38687-2023 artfynd.xlsx", "A 38687-2023")</f>
        <v/>
      </c>
      <c r="T71">
        <f>HYPERLINK("https://klasma.github.io/Logging_2283/kartor/A 38687-2023 karta.png", "A 38687-2023")</f>
        <v/>
      </c>
      <c r="V71">
        <f>HYPERLINK("https://klasma.github.io/Logging_2283/klagomål/A 38687-2023 FSC-klagomål.docx", "A 38687-2023")</f>
        <v/>
      </c>
      <c r="W71">
        <f>HYPERLINK("https://klasma.github.io/Logging_2283/klagomålsmail/A 38687-2023 FSC-klagomål mail.docx", "A 38687-2023")</f>
        <v/>
      </c>
      <c r="X71">
        <f>HYPERLINK("https://klasma.github.io/Logging_2283/tillsyn/A 38687-2023 tillsynsbegäran.docx", "A 38687-2023")</f>
        <v/>
      </c>
      <c r="Y71">
        <f>HYPERLINK("https://klasma.github.io/Logging_2283/tillsynsmail/A 38687-2023 tillsynsbegäran mail.docx", "A 38687-2023")</f>
        <v/>
      </c>
    </row>
    <row r="72" ht="15" customHeight="1">
      <c r="A72" t="inlineStr">
        <is>
          <t>A 40418-2023</t>
        </is>
      </c>
      <c r="B72" s="1" t="n">
        <v>45169</v>
      </c>
      <c r="C72" s="1" t="n">
        <v>45576</v>
      </c>
      <c r="D72" t="inlineStr">
        <is>
          <t>VÄSTERNORRLANDS LÄN</t>
        </is>
      </c>
      <c r="E72" t="inlineStr">
        <is>
          <t>SOLLEFTEÅ</t>
        </is>
      </c>
      <c r="F72" t="inlineStr">
        <is>
          <t>SCA</t>
        </is>
      </c>
      <c r="G72" t="n">
        <v>10.9</v>
      </c>
      <c r="H72" t="n">
        <v>5</v>
      </c>
      <c r="I72" t="n">
        <v>0</v>
      </c>
      <c r="J72" t="n">
        <v>7</v>
      </c>
      <c r="K72" t="n">
        <v>2</v>
      </c>
      <c r="L72" t="n">
        <v>0</v>
      </c>
      <c r="M72" t="n">
        <v>0</v>
      </c>
      <c r="N72" t="n">
        <v>0</v>
      </c>
      <c r="O72" t="n">
        <v>9</v>
      </c>
      <c r="P72" t="n">
        <v>2</v>
      </c>
      <c r="Q72" t="n">
        <v>9</v>
      </c>
      <c r="R72" s="2" t="inlineStr">
        <is>
          <t>Doftticka
Knärot
Harticka
Kolflarnlav
Lunglav
Spillkråka
Talltita
Tretåig hackspett
Ullticka</t>
        </is>
      </c>
      <c r="S72">
        <f>HYPERLINK("https://klasma.github.io/Logging_2283/artfynd/A 40418-2023 artfynd.xlsx", "A 40418-2023")</f>
        <v/>
      </c>
      <c r="T72">
        <f>HYPERLINK("https://klasma.github.io/Logging_2283/kartor/A 40418-2023 karta.png", "A 40418-2023")</f>
        <v/>
      </c>
      <c r="U72">
        <f>HYPERLINK("https://klasma.github.io/Logging_2283/knärot/A 40418-2023 karta knärot.png", "A 40418-2023")</f>
        <v/>
      </c>
      <c r="V72">
        <f>HYPERLINK("https://klasma.github.io/Logging_2283/klagomål/A 40418-2023 FSC-klagomål.docx", "A 40418-2023")</f>
        <v/>
      </c>
      <c r="W72">
        <f>HYPERLINK("https://klasma.github.io/Logging_2283/klagomålsmail/A 40418-2023 FSC-klagomål mail.docx", "A 40418-2023")</f>
        <v/>
      </c>
      <c r="X72">
        <f>HYPERLINK("https://klasma.github.io/Logging_2283/tillsyn/A 40418-2023 tillsynsbegäran.docx", "A 40418-2023")</f>
        <v/>
      </c>
      <c r="Y72">
        <f>HYPERLINK("https://klasma.github.io/Logging_2283/tillsynsmail/A 40418-2023 tillsynsbegäran mail.docx", "A 40418-2023")</f>
        <v/>
      </c>
      <c r="Z72">
        <f>HYPERLINK("https://klasma.github.io/Logging_2283/fåglar/A 40418-2023 prioriterade fågelarter.docx", "A 40418-2023")</f>
        <v/>
      </c>
    </row>
    <row r="73" ht="15" customHeight="1">
      <c r="A73" t="inlineStr">
        <is>
          <t>A 56697-2023</t>
        </is>
      </c>
      <c r="B73" s="1" t="n">
        <v>45243</v>
      </c>
      <c r="C73" s="1" t="n">
        <v>45576</v>
      </c>
      <c r="D73" t="inlineStr">
        <is>
          <t>VÄSTERNORRLANDS LÄN</t>
        </is>
      </c>
      <c r="E73" t="inlineStr">
        <is>
          <t>SOLLEFTEÅ</t>
        </is>
      </c>
      <c r="F73" t="inlineStr">
        <is>
          <t>SCA</t>
        </is>
      </c>
      <c r="G73" t="n">
        <v>8.1</v>
      </c>
      <c r="H73" t="n">
        <v>2</v>
      </c>
      <c r="I73" t="n">
        <v>3</v>
      </c>
      <c r="J73" t="n">
        <v>5</v>
      </c>
      <c r="K73" t="n">
        <v>1</v>
      </c>
      <c r="L73" t="n">
        <v>0</v>
      </c>
      <c r="M73" t="n">
        <v>0</v>
      </c>
      <c r="N73" t="n">
        <v>0</v>
      </c>
      <c r="O73" t="n">
        <v>6</v>
      </c>
      <c r="P73" t="n">
        <v>1</v>
      </c>
      <c r="Q73" t="n">
        <v>9</v>
      </c>
      <c r="R73" s="2" t="inlineStr">
        <is>
          <t>Knärot
Lunglav
Rosenticka
Tretåig hackspett
Ullticka
Veckticka
Bollvitmossa
Skinnlav
Stor aspticka</t>
        </is>
      </c>
      <c r="S73">
        <f>HYPERLINK("https://klasma.github.io/Logging_2283/artfynd/A 56697-2023 artfynd.xlsx", "A 56697-2023")</f>
        <v/>
      </c>
      <c r="T73">
        <f>HYPERLINK("https://klasma.github.io/Logging_2283/kartor/A 56697-2023 karta.png", "A 56697-2023")</f>
        <v/>
      </c>
      <c r="U73">
        <f>HYPERLINK("https://klasma.github.io/Logging_2283/knärot/A 56697-2023 karta knärot.png", "A 56697-2023")</f>
        <v/>
      </c>
      <c r="V73">
        <f>HYPERLINK("https://klasma.github.io/Logging_2283/klagomål/A 56697-2023 FSC-klagomål.docx", "A 56697-2023")</f>
        <v/>
      </c>
      <c r="W73">
        <f>HYPERLINK("https://klasma.github.io/Logging_2283/klagomålsmail/A 56697-2023 FSC-klagomål mail.docx", "A 56697-2023")</f>
        <v/>
      </c>
      <c r="X73">
        <f>HYPERLINK("https://klasma.github.io/Logging_2283/tillsyn/A 56697-2023 tillsynsbegäran.docx", "A 56697-2023")</f>
        <v/>
      </c>
      <c r="Y73">
        <f>HYPERLINK("https://klasma.github.io/Logging_2283/tillsynsmail/A 56697-2023 tillsynsbegäran mail.docx", "A 56697-2023")</f>
        <v/>
      </c>
      <c r="Z73">
        <f>HYPERLINK("https://klasma.github.io/Logging_2283/fåglar/A 56697-2023 prioriterade fågelarter.docx", "A 56697-2023")</f>
        <v/>
      </c>
    </row>
    <row r="74" ht="15" customHeight="1">
      <c r="A74" t="inlineStr">
        <is>
          <t>A 10626-2024</t>
        </is>
      </c>
      <c r="B74" s="1" t="n">
        <v>45367</v>
      </c>
      <c r="C74" s="1" t="n">
        <v>45576</v>
      </c>
      <c r="D74" t="inlineStr">
        <is>
          <t>VÄSTERNORRLANDS LÄN</t>
        </is>
      </c>
      <c r="E74" t="inlineStr">
        <is>
          <t>SOLLEFTEÅ</t>
        </is>
      </c>
      <c r="G74" t="n">
        <v>7.4</v>
      </c>
      <c r="H74" t="n">
        <v>5</v>
      </c>
      <c r="I74" t="n">
        <v>2</v>
      </c>
      <c r="J74" t="n">
        <v>2</v>
      </c>
      <c r="K74" t="n">
        <v>3</v>
      </c>
      <c r="L74" t="n">
        <v>0</v>
      </c>
      <c r="M74" t="n">
        <v>0</v>
      </c>
      <c r="N74" t="n">
        <v>0</v>
      </c>
      <c r="O74" t="n">
        <v>5</v>
      </c>
      <c r="P74" t="n">
        <v>3</v>
      </c>
      <c r="Q74" t="n">
        <v>9</v>
      </c>
      <c r="R74" s="2" t="inlineStr">
        <is>
          <t>Blackticka
Knärot
Rynkskinn
Tretåig hackspett
Ullticka
Plattlummer
Vedticka
Tjäder
Revlummer</t>
        </is>
      </c>
      <c r="S74">
        <f>HYPERLINK("https://klasma.github.io/Logging_2283/artfynd/A 10626-2024 artfynd.xlsx", "A 10626-2024")</f>
        <v/>
      </c>
      <c r="T74">
        <f>HYPERLINK("https://klasma.github.io/Logging_2283/kartor/A 10626-2024 karta.png", "A 10626-2024")</f>
        <v/>
      </c>
      <c r="U74">
        <f>HYPERLINK("https://klasma.github.io/Logging_2283/knärot/A 10626-2024 karta knärot.png", "A 10626-2024")</f>
        <v/>
      </c>
      <c r="V74">
        <f>HYPERLINK("https://klasma.github.io/Logging_2283/klagomål/A 10626-2024 FSC-klagomål.docx", "A 10626-2024")</f>
        <v/>
      </c>
      <c r="W74">
        <f>HYPERLINK("https://klasma.github.io/Logging_2283/klagomålsmail/A 10626-2024 FSC-klagomål mail.docx", "A 10626-2024")</f>
        <v/>
      </c>
      <c r="X74">
        <f>HYPERLINK("https://klasma.github.io/Logging_2283/tillsyn/A 10626-2024 tillsynsbegäran.docx", "A 10626-2024")</f>
        <v/>
      </c>
      <c r="Y74">
        <f>HYPERLINK("https://klasma.github.io/Logging_2283/tillsynsmail/A 10626-2024 tillsynsbegäran mail.docx", "A 10626-2024")</f>
        <v/>
      </c>
      <c r="Z74">
        <f>HYPERLINK("https://klasma.github.io/Logging_2283/fåglar/A 10626-2024 prioriterade fågelarter.docx", "A 10626-2024")</f>
        <v/>
      </c>
    </row>
    <row r="75" ht="15" customHeight="1">
      <c r="A75" t="inlineStr">
        <is>
          <t>A 24755-2024</t>
        </is>
      </c>
      <c r="B75" s="1" t="n">
        <v>45460</v>
      </c>
      <c r="C75" s="1" t="n">
        <v>45576</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28161-2024</t>
        </is>
      </c>
      <c r="B76" s="1" t="n">
        <v>45476</v>
      </c>
      <c r="C76" s="1" t="n">
        <v>45576</v>
      </c>
      <c r="D76" t="inlineStr">
        <is>
          <t>VÄSTERNORRLANDS LÄN</t>
        </is>
      </c>
      <c r="E76" t="inlineStr">
        <is>
          <t>SOLLEFTEÅ</t>
        </is>
      </c>
      <c r="F76" t="inlineStr">
        <is>
          <t>SCA</t>
        </is>
      </c>
      <c r="G76" t="n">
        <v>1.5</v>
      </c>
      <c r="H76" t="n">
        <v>2</v>
      </c>
      <c r="I76" t="n">
        <v>3</v>
      </c>
      <c r="J76" t="n">
        <v>4</v>
      </c>
      <c r="K76" t="n">
        <v>2</v>
      </c>
      <c r="L76" t="n">
        <v>0</v>
      </c>
      <c r="M76" t="n">
        <v>0</v>
      </c>
      <c r="N76" t="n">
        <v>0</v>
      </c>
      <c r="O76" t="n">
        <v>6</v>
      </c>
      <c r="P76" t="n">
        <v>2</v>
      </c>
      <c r="Q76" t="n">
        <v>9</v>
      </c>
      <c r="R76" s="2" t="inlineStr">
        <is>
          <t>Doftticka
Rynkskinn
Lunglav
Rosenticka
Spillkråka
Ullticka
Bårdlav
Luddlav
Stuplav</t>
        </is>
      </c>
      <c r="S76">
        <f>HYPERLINK("https://klasma.github.io/Logging_2283/artfynd/A 28161-2024 artfynd.xlsx", "A 28161-2024")</f>
        <v/>
      </c>
      <c r="T76">
        <f>HYPERLINK("https://klasma.github.io/Logging_2283/kartor/A 28161-2024 karta.png", "A 28161-2024")</f>
        <v/>
      </c>
      <c r="V76">
        <f>HYPERLINK("https://klasma.github.io/Logging_2283/klagomål/A 28161-2024 FSC-klagomål.docx", "A 28161-2024")</f>
        <v/>
      </c>
      <c r="W76">
        <f>HYPERLINK("https://klasma.github.io/Logging_2283/klagomålsmail/A 28161-2024 FSC-klagomål mail.docx", "A 28161-2024")</f>
        <v/>
      </c>
      <c r="X76">
        <f>HYPERLINK("https://klasma.github.io/Logging_2283/tillsyn/A 28161-2024 tillsynsbegäran.docx", "A 28161-2024")</f>
        <v/>
      </c>
      <c r="Y76">
        <f>HYPERLINK("https://klasma.github.io/Logging_2283/tillsynsmail/A 28161-2024 tillsynsbegäran mail.docx", "A 28161-2024")</f>
        <v/>
      </c>
      <c r="Z76">
        <f>HYPERLINK("https://klasma.github.io/Logging_2283/fåglar/A 28161-2024 prioriterade fågelarter.docx", "A 28161-2024")</f>
        <v/>
      </c>
    </row>
    <row r="77" ht="15" customHeight="1">
      <c r="A77" t="inlineStr">
        <is>
          <t>A 40216-2024</t>
        </is>
      </c>
      <c r="B77" s="1" t="n">
        <v>45554</v>
      </c>
      <c r="C77" s="1" t="n">
        <v>45576</v>
      </c>
      <c r="D77" t="inlineStr">
        <is>
          <t>VÄSTERNORRLANDS LÄN</t>
        </is>
      </c>
      <c r="E77" t="inlineStr">
        <is>
          <t>SOLLEFTEÅ</t>
        </is>
      </c>
      <c r="F77" t="inlineStr">
        <is>
          <t>SCA</t>
        </is>
      </c>
      <c r="G77" t="n">
        <v>11.2</v>
      </c>
      <c r="H77" t="n">
        <v>1</v>
      </c>
      <c r="I77" t="n">
        <v>3</v>
      </c>
      <c r="J77" t="n">
        <v>5</v>
      </c>
      <c r="K77" t="n">
        <v>1</v>
      </c>
      <c r="L77" t="n">
        <v>0</v>
      </c>
      <c r="M77" t="n">
        <v>0</v>
      </c>
      <c r="N77" t="n">
        <v>0</v>
      </c>
      <c r="O77" t="n">
        <v>6</v>
      </c>
      <c r="P77" t="n">
        <v>1</v>
      </c>
      <c r="Q77" t="n">
        <v>9</v>
      </c>
      <c r="R77" s="2" t="inlineStr">
        <is>
          <t>Knärot
Garnlav
Kolflarnlav
Lunglav
Skrovlig taggsvamp
Vaddporing
Dropptaggsvamp
Norrlandslav
Skarp dropptaggsvamp</t>
        </is>
      </c>
      <c r="S77">
        <f>HYPERLINK("https://klasma.github.io/Logging_2283/artfynd/A 40216-2024 artfynd.xlsx", "A 40216-2024")</f>
        <v/>
      </c>
      <c r="T77">
        <f>HYPERLINK("https://klasma.github.io/Logging_2283/kartor/A 40216-2024 karta.png", "A 40216-2024")</f>
        <v/>
      </c>
      <c r="U77">
        <f>HYPERLINK("https://klasma.github.io/Logging_2283/knärot/A 40216-2024 karta knärot.png", "A 40216-2024")</f>
        <v/>
      </c>
      <c r="V77">
        <f>HYPERLINK("https://klasma.github.io/Logging_2283/klagomål/A 40216-2024 FSC-klagomål.docx", "A 40216-2024")</f>
        <v/>
      </c>
      <c r="W77">
        <f>HYPERLINK("https://klasma.github.io/Logging_2283/klagomålsmail/A 40216-2024 FSC-klagomål mail.docx", "A 40216-2024")</f>
        <v/>
      </c>
      <c r="X77">
        <f>HYPERLINK("https://klasma.github.io/Logging_2283/tillsyn/A 40216-2024 tillsynsbegäran.docx", "A 40216-2024")</f>
        <v/>
      </c>
      <c r="Y77">
        <f>HYPERLINK("https://klasma.github.io/Logging_2283/tillsynsmail/A 40216-2024 tillsynsbegäran mail.docx", "A 40216-2024")</f>
        <v/>
      </c>
    </row>
    <row r="78" ht="15" customHeight="1">
      <c r="A78" t="inlineStr">
        <is>
          <t>A 52945-2019</t>
        </is>
      </c>
      <c r="B78" s="1" t="n">
        <v>43739</v>
      </c>
      <c r="C78" s="1" t="n">
        <v>45576</v>
      </c>
      <c r="D78" t="inlineStr">
        <is>
          <t>VÄSTERNORRLANDS LÄN</t>
        </is>
      </c>
      <c r="E78" t="inlineStr">
        <is>
          <t>SOLLEFTEÅ</t>
        </is>
      </c>
      <c r="G78" t="n">
        <v>5</v>
      </c>
      <c r="H78" t="n">
        <v>4</v>
      </c>
      <c r="I78" t="n">
        <v>2</v>
      </c>
      <c r="J78" t="n">
        <v>4</v>
      </c>
      <c r="K78" t="n">
        <v>1</v>
      </c>
      <c r="L78" t="n">
        <v>0</v>
      </c>
      <c r="M78" t="n">
        <v>0</v>
      </c>
      <c r="N78" t="n">
        <v>0</v>
      </c>
      <c r="O78" t="n">
        <v>5</v>
      </c>
      <c r="P78" t="n">
        <v>1</v>
      </c>
      <c r="Q78" t="n">
        <v>8</v>
      </c>
      <c r="R78" s="2" t="inlineStr">
        <is>
          <t>Rynkskinn
Granticka
Kråka
Rödvingetrast
Tretåig hackspett
Skogshakmossa
Trådticka
Revlummer</t>
        </is>
      </c>
      <c r="S78">
        <f>HYPERLINK("https://klasma.github.io/Logging_2283/artfynd/A 52945-2019 artfynd.xlsx", "A 52945-2019")</f>
        <v/>
      </c>
      <c r="T78">
        <f>HYPERLINK("https://klasma.github.io/Logging_2283/kartor/A 52945-2019 karta.png", "A 52945-2019")</f>
        <v/>
      </c>
      <c r="V78">
        <f>HYPERLINK("https://klasma.github.io/Logging_2283/klagomål/A 52945-2019 FSC-klagomål.docx", "A 52945-2019")</f>
        <v/>
      </c>
      <c r="W78">
        <f>HYPERLINK("https://klasma.github.io/Logging_2283/klagomålsmail/A 52945-2019 FSC-klagomål mail.docx", "A 52945-2019")</f>
        <v/>
      </c>
      <c r="X78">
        <f>HYPERLINK("https://klasma.github.io/Logging_2283/tillsyn/A 52945-2019 tillsynsbegäran.docx", "A 52945-2019")</f>
        <v/>
      </c>
      <c r="Y78">
        <f>HYPERLINK("https://klasma.github.io/Logging_2283/tillsynsmail/A 52945-2019 tillsynsbegäran mail.docx", "A 52945-2019")</f>
        <v/>
      </c>
      <c r="Z78">
        <f>HYPERLINK("https://klasma.github.io/Logging_2283/fåglar/A 52945-2019 prioriterade fågelarter.docx", "A 52945-2019")</f>
        <v/>
      </c>
    </row>
    <row r="79" ht="15" customHeight="1">
      <c r="A79" t="inlineStr">
        <is>
          <t>A 26655-2022</t>
        </is>
      </c>
      <c r="B79" s="1" t="n">
        <v>44739</v>
      </c>
      <c r="C79" s="1" t="n">
        <v>45576</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21345-2023</t>
        </is>
      </c>
      <c r="B80" s="1" t="n">
        <v>45062</v>
      </c>
      <c r="C80" s="1" t="n">
        <v>45576</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29620-2023</t>
        </is>
      </c>
      <c r="B81" s="1" t="n">
        <v>45106</v>
      </c>
      <c r="C81" s="1" t="n">
        <v>45576</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32200-2023</t>
        </is>
      </c>
      <c r="B82" s="1" t="n">
        <v>45119</v>
      </c>
      <c r="C82" s="1" t="n">
        <v>45576</v>
      </c>
      <c r="D82" t="inlineStr">
        <is>
          <t>VÄSTERNORRLANDS LÄN</t>
        </is>
      </c>
      <c r="E82" t="inlineStr">
        <is>
          <t>SOLLEFTEÅ</t>
        </is>
      </c>
      <c r="G82" t="n">
        <v>1.5</v>
      </c>
      <c r="H82" t="n">
        <v>3</v>
      </c>
      <c r="I82" t="n">
        <v>2</v>
      </c>
      <c r="J82" t="n">
        <v>5</v>
      </c>
      <c r="K82" t="n">
        <v>1</v>
      </c>
      <c r="L82" t="n">
        <v>0</v>
      </c>
      <c r="M82" t="n">
        <v>0</v>
      </c>
      <c r="N82" t="n">
        <v>0</v>
      </c>
      <c r="O82" t="n">
        <v>6</v>
      </c>
      <c r="P82" t="n">
        <v>1</v>
      </c>
      <c r="Q82" t="n">
        <v>8</v>
      </c>
      <c r="R82" s="2" t="inlineStr">
        <is>
          <t>Knärot
Garnlav
Rosenticka
Spillkråka
Tretåig hackspett
Ullticka
Grönpyrola
Vedticka</t>
        </is>
      </c>
      <c r="S82">
        <f>HYPERLINK("https://klasma.github.io/Logging_2283/artfynd/A 32200-2023 artfynd.xlsx", "A 32200-2023")</f>
        <v/>
      </c>
      <c r="T82">
        <f>HYPERLINK("https://klasma.github.io/Logging_2283/kartor/A 32200-2023 karta.png", "A 32200-2023")</f>
        <v/>
      </c>
      <c r="U82">
        <f>HYPERLINK("https://klasma.github.io/Logging_2283/knärot/A 32200-2023 karta knärot.png", "A 32200-2023")</f>
        <v/>
      </c>
      <c r="V82">
        <f>HYPERLINK("https://klasma.github.io/Logging_2283/klagomål/A 32200-2023 FSC-klagomål.docx", "A 32200-2023")</f>
        <v/>
      </c>
      <c r="W82">
        <f>HYPERLINK("https://klasma.github.io/Logging_2283/klagomålsmail/A 32200-2023 FSC-klagomål mail.docx", "A 32200-2023")</f>
        <v/>
      </c>
      <c r="X82">
        <f>HYPERLINK("https://klasma.github.io/Logging_2283/tillsyn/A 32200-2023 tillsynsbegäran.docx", "A 32200-2023")</f>
        <v/>
      </c>
      <c r="Y82">
        <f>HYPERLINK("https://klasma.github.io/Logging_2283/tillsynsmail/A 32200-2023 tillsynsbegäran mail.docx", "A 32200-2023")</f>
        <v/>
      </c>
      <c r="Z82">
        <f>HYPERLINK("https://klasma.github.io/Logging_2283/fåglar/A 32200-2023 prioriterade fågelarter.docx", "A 32200-2023")</f>
        <v/>
      </c>
    </row>
    <row r="83" ht="15" customHeight="1">
      <c r="A83" t="inlineStr">
        <is>
          <t>A 39071-2023</t>
        </is>
      </c>
      <c r="B83" s="1" t="n">
        <v>45163</v>
      </c>
      <c r="C83" s="1" t="n">
        <v>45576</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5310-2024</t>
        </is>
      </c>
      <c r="B84" s="1" t="n">
        <v>45331</v>
      </c>
      <c r="C84" s="1" t="n">
        <v>45576</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24459-2024</t>
        </is>
      </c>
      <c r="B85" s="1" t="n">
        <v>45458</v>
      </c>
      <c r="C85" s="1" t="n">
        <v>45576</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26946-2024</t>
        </is>
      </c>
      <c r="B86" s="1" t="n">
        <v>45471</v>
      </c>
      <c r="C86" s="1" t="n">
        <v>45576</v>
      </c>
      <c r="D86" t="inlineStr">
        <is>
          <t>VÄSTERNORRLANDS LÄN</t>
        </is>
      </c>
      <c r="E86" t="inlineStr">
        <is>
          <t>SOLLEFTEÅ</t>
        </is>
      </c>
      <c r="F86" t="inlineStr">
        <is>
          <t>SCA</t>
        </is>
      </c>
      <c r="G86" t="n">
        <v>11</v>
      </c>
      <c r="H86" t="n">
        <v>5</v>
      </c>
      <c r="I86" t="n">
        <v>0</v>
      </c>
      <c r="J86" t="n">
        <v>6</v>
      </c>
      <c r="K86" t="n">
        <v>1</v>
      </c>
      <c r="L86" t="n">
        <v>0</v>
      </c>
      <c r="M86" t="n">
        <v>0</v>
      </c>
      <c r="N86" t="n">
        <v>0</v>
      </c>
      <c r="O86" t="n">
        <v>7</v>
      </c>
      <c r="P86" t="n">
        <v>1</v>
      </c>
      <c r="Q86" t="n">
        <v>8</v>
      </c>
      <c r="R86" s="2" t="inlineStr">
        <is>
          <t>Knärot
Järpe
Kolflarnlav
Lunglav
Skrovellav
Talltita
Tretåig hackspett
Orre</t>
        </is>
      </c>
      <c r="S86">
        <f>HYPERLINK("https://klasma.github.io/Logging_2283/artfynd/A 26946-2024 artfynd.xlsx", "A 26946-2024")</f>
        <v/>
      </c>
      <c r="T86">
        <f>HYPERLINK("https://klasma.github.io/Logging_2283/kartor/A 26946-2024 karta.png", "A 26946-2024")</f>
        <v/>
      </c>
      <c r="U86">
        <f>HYPERLINK("https://klasma.github.io/Logging_2283/knärot/A 26946-2024 karta knärot.png", "A 26946-2024")</f>
        <v/>
      </c>
      <c r="V86">
        <f>HYPERLINK("https://klasma.github.io/Logging_2283/klagomål/A 26946-2024 FSC-klagomål.docx", "A 26946-2024")</f>
        <v/>
      </c>
      <c r="W86">
        <f>HYPERLINK("https://klasma.github.io/Logging_2283/klagomålsmail/A 26946-2024 FSC-klagomål mail.docx", "A 26946-2024")</f>
        <v/>
      </c>
      <c r="X86">
        <f>HYPERLINK("https://klasma.github.io/Logging_2283/tillsyn/A 26946-2024 tillsynsbegäran.docx", "A 26946-2024")</f>
        <v/>
      </c>
      <c r="Y86">
        <f>HYPERLINK("https://klasma.github.io/Logging_2283/tillsynsmail/A 26946-2024 tillsynsbegäran mail.docx", "A 26946-2024")</f>
        <v/>
      </c>
      <c r="Z86">
        <f>HYPERLINK("https://klasma.github.io/Logging_2283/fåglar/A 26946-2024 prioriterade fågelarter.docx", "A 26946-2024")</f>
        <v/>
      </c>
    </row>
    <row r="87" ht="15" customHeight="1">
      <c r="A87" t="inlineStr">
        <is>
          <t>A 40075-2024</t>
        </is>
      </c>
      <c r="B87" s="1" t="n">
        <v>45554</v>
      </c>
      <c r="C87" s="1" t="n">
        <v>45576</v>
      </c>
      <c r="D87" t="inlineStr">
        <is>
          <t>VÄSTERNORRLANDS LÄN</t>
        </is>
      </c>
      <c r="E87" t="inlineStr">
        <is>
          <t>SOLLEFTEÅ</t>
        </is>
      </c>
      <c r="F87" t="inlineStr">
        <is>
          <t>SCA</t>
        </is>
      </c>
      <c r="G87" t="n">
        <v>12.1</v>
      </c>
      <c r="H87" t="n">
        <v>3</v>
      </c>
      <c r="I87" t="n">
        <v>0</v>
      </c>
      <c r="J87" t="n">
        <v>7</v>
      </c>
      <c r="K87" t="n">
        <v>1</v>
      </c>
      <c r="L87" t="n">
        <v>0</v>
      </c>
      <c r="M87" t="n">
        <v>0</v>
      </c>
      <c r="N87" t="n">
        <v>0</v>
      </c>
      <c r="O87" t="n">
        <v>8</v>
      </c>
      <c r="P87" t="n">
        <v>1</v>
      </c>
      <c r="Q87" t="n">
        <v>8</v>
      </c>
      <c r="R87" s="2" t="inlineStr">
        <is>
          <t>Knärot
Gammelgransskål
Granticka
Järpe
Koralltaggsvamp
Lunglav
Tretåig hackspett
Ullticka</t>
        </is>
      </c>
      <c r="S87">
        <f>HYPERLINK("https://klasma.github.io/Logging_2283/artfynd/A 40075-2024 artfynd.xlsx", "A 40075-2024")</f>
        <v/>
      </c>
      <c r="T87">
        <f>HYPERLINK("https://klasma.github.io/Logging_2283/kartor/A 40075-2024 karta.png", "A 40075-2024")</f>
        <v/>
      </c>
      <c r="U87">
        <f>HYPERLINK("https://klasma.github.io/Logging_2283/knärot/A 40075-2024 karta knärot.png", "A 40075-2024")</f>
        <v/>
      </c>
      <c r="V87">
        <f>HYPERLINK("https://klasma.github.io/Logging_2283/klagomål/A 40075-2024 FSC-klagomål.docx", "A 40075-2024")</f>
        <v/>
      </c>
      <c r="W87">
        <f>HYPERLINK("https://klasma.github.io/Logging_2283/klagomålsmail/A 40075-2024 FSC-klagomål mail.docx", "A 40075-2024")</f>
        <v/>
      </c>
      <c r="X87">
        <f>HYPERLINK("https://klasma.github.io/Logging_2283/tillsyn/A 40075-2024 tillsynsbegäran.docx", "A 40075-2024")</f>
        <v/>
      </c>
      <c r="Y87">
        <f>HYPERLINK("https://klasma.github.io/Logging_2283/tillsynsmail/A 40075-2024 tillsynsbegäran mail.docx", "A 40075-2024")</f>
        <v/>
      </c>
      <c r="Z87">
        <f>HYPERLINK("https://klasma.github.io/Logging_2283/fåglar/A 40075-2024 prioriterade fågelarter.docx", "A 40075-2024")</f>
        <v/>
      </c>
    </row>
    <row r="88" ht="15" customHeight="1">
      <c r="A88" t="inlineStr">
        <is>
          <t>A 11392-2020</t>
        </is>
      </c>
      <c r="B88" s="1" t="n">
        <v>43892</v>
      </c>
      <c r="C88" s="1" t="n">
        <v>45576</v>
      </c>
      <c r="D88" t="inlineStr">
        <is>
          <t>VÄSTERNORRLANDS LÄN</t>
        </is>
      </c>
      <c r="E88" t="inlineStr">
        <is>
          <t>SOLLEFTEÅ</t>
        </is>
      </c>
      <c r="G88" t="n">
        <v>3.5</v>
      </c>
      <c r="H88" t="n">
        <v>3</v>
      </c>
      <c r="I88" t="n">
        <v>1</v>
      </c>
      <c r="J88" t="n">
        <v>4</v>
      </c>
      <c r="K88" t="n">
        <v>1</v>
      </c>
      <c r="L88" t="n">
        <v>0</v>
      </c>
      <c r="M88" t="n">
        <v>0</v>
      </c>
      <c r="N88" t="n">
        <v>0</v>
      </c>
      <c r="O88" t="n">
        <v>5</v>
      </c>
      <c r="P88" t="n">
        <v>1</v>
      </c>
      <c r="Q88" t="n">
        <v>7</v>
      </c>
      <c r="R88" s="2" t="inlineStr">
        <is>
          <t>Rynkskinn
Rosenticka
Spillkråka
Tretåig hackspett
Ullticka
Mörk husmossa
Revlummer</t>
        </is>
      </c>
      <c r="S88">
        <f>HYPERLINK("https://klasma.github.io/Logging_2283/artfynd/A 11392-2020 artfynd.xlsx", "A 11392-2020")</f>
        <v/>
      </c>
      <c r="T88">
        <f>HYPERLINK("https://klasma.github.io/Logging_2283/kartor/A 11392-2020 karta.png", "A 11392-2020")</f>
        <v/>
      </c>
      <c r="V88">
        <f>HYPERLINK("https://klasma.github.io/Logging_2283/klagomål/A 11392-2020 FSC-klagomål.docx", "A 11392-2020")</f>
        <v/>
      </c>
      <c r="W88">
        <f>HYPERLINK("https://klasma.github.io/Logging_2283/klagomålsmail/A 11392-2020 FSC-klagomål mail.docx", "A 11392-2020")</f>
        <v/>
      </c>
      <c r="X88">
        <f>HYPERLINK("https://klasma.github.io/Logging_2283/tillsyn/A 11392-2020 tillsynsbegäran.docx", "A 11392-2020")</f>
        <v/>
      </c>
      <c r="Y88">
        <f>HYPERLINK("https://klasma.github.io/Logging_2283/tillsynsmail/A 11392-2020 tillsynsbegäran mail.docx", "A 11392-2020")</f>
        <v/>
      </c>
      <c r="Z88">
        <f>HYPERLINK("https://klasma.github.io/Logging_2283/fåglar/A 11392-2020 prioriterade fågelarter.docx", "A 11392-2020")</f>
        <v/>
      </c>
    </row>
    <row r="89" ht="15" customHeight="1">
      <c r="A89" t="inlineStr">
        <is>
          <t>A 33208-2020</t>
        </is>
      </c>
      <c r="B89" s="1" t="n">
        <v>44021</v>
      </c>
      <c r="C89" s="1" t="n">
        <v>45576</v>
      </c>
      <c r="D89" t="inlineStr">
        <is>
          <t>VÄSTERNORRLANDS LÄN</t>
        </is>
      </c>
      <c r="E89" t="inlineStr">
        <is>
          <t>SOLLEFTEÅ</t>
        </is>
      </c>
      <c r="F89" t="inlineStr">
        <is>
          <t>SCA</t>
        </is>
      </c>
      <c r="G89" t="n">
        <v>3.7</v>
      </c>
      <c r="H89" t="n">
        <v>4</v>
      </c>
      <c r="I89" t="n">
        <v>1</v>
      </c>
      <c r="J89" t="n">
        <v>4</v>
      </c>
      <c r="K89" t="n">
        <v>0</v>
      </c>
      <c r="L89" t="n">
        <v>0</v>
      </c>
      <c r="M89" t="n">
        <v>0</v>
      </c>
      <c r="N89" t="n">
        <v>0</v>
      </c>
      <c r="O89" t="n">
        <v>4</v>
      </c>
      <c r="P89" t="n">
        <v>0</v>
      </c>
      <c r="Q89" t="n">
        <v>7</v>
      </c>
      <c r="R89" s="2" t="inlineStr">
        <is>
          <t>Gammelgransskål
Granticka
Tretåig hackspett
Ullticka
Korallrot
Vanlig padda
Fläcknycklar</t>
        </is>
      </c>
      <c r="S89">
        <f>HYPERLINK("https://klasma.github.io/Logging_2283/artfynd/A 33208-2020 artfynd.xlsx", "A 33208-2020")</f>
        <v/>
      </c>
      <c r="T89">
        <f>HYPERLINK("https://klasma.github.io/Logging_2283/kartor/A 33208-2020 karta.png", "A 33208-2020")</f>
        <v/>
      </c>
      <c r="V89">
        <f>HYPERLINK("https://klasma.github.io/Logging_2283/klagomål/A 33208-2020 FSC-klagomål.docx", "A 33208-2020")</f>
        <v/>
      </c>
      <c r="W89">
        <f>HYPERLINK("https://klasma.github.io/Logging_2283/klagomålsmail/A 33208-2020 FSC-klagomål mail.docx", "A 33208-2020")</f>
        <v/>
      </c>
      <c r="X89">
        <f>HYPERLINK("https://klasma.github.io/Logging_2283/tillsyn/A 33208-2020 tillsynsbegäran.docx", "A 33208-2020")</f>
        <v/>
      </c>
      <c r="Y89">
        <f>HYPERLINK("https://klasma.github.io/Logging_2283/tillsynsmail/A 33208-2020 tillsynsbegäran mail.docx", "A 33208-2020")</f>
        <v/>
      </c>
      <c r="Z89">
        <f>HYPERLINK("https://klasma.github.io/Logging_2283/fåglar/A 33208-2020 prioriterade fågelarter.docx", "A 33208-2020")</f>
        <v/>
      </c>
    </row>
    <row r="90" ht="15" customHeight="1">
      <c r="A90" t="inlineStr">
        <is>
          <t>A 66843-2020</t>
        </is>
      </c>
      <c r="B90" s="1" t="n">
        <v>44179</v>
      </c>
      <c r="C90" s="1" t="n">
        <v>45576</v>
      </c>
      <c r="D90" t="inlineStr">
        <is>
          <t>VÄSTERNORRLANDS LÄN</t>
        </is>
      </c>
      <c r="E90" t="inlineStr">
        <is>
          <t>SOLLEFTEÅ</t>
        </is>
      </c>
      <c r="F90" t="inlineStr">
        <is>
          <t>SCA</t>
        </is>
      </c>
      <c r="G90" t="n">
        <v>5</v>
      </c>
      <c r="H90" t="n">
        <v>0</v>
      </c>
      <c r="I90" t="n">
        <v>0</v>
      </c>
      <c r="J90" t="n">
        <v>4</v>
      </c>
      <c r="K90" t="n">
        <v>3</v>
      </c>
      <c r="L90" t="n">
        <v>0</v>
      </c>
      <c r="M90" t="n">
        <v>0</v>
      </c>
      <c r="N90" t="n">
        <v>0</v>
      </c>
      <c r="O90" t="n">
        <v>7</v>
      </c>
      <c r="P90" t="n">
        <v>3</v>
      </c>
      <c r="Q90" t="n">
        <v>7</v>
      </c>
      <c r="R90" s="2" t="inlineStr">
        <is>
          <t>Blackticka
Liten hornflikmossa
Rynkskinn
Granticka
Gränsticka
Rosenticka
Ullticka</t>
        </is>
      </c>
      <c r="S90">
        <f>HYPERLINK("https://klasma.github.io/Logging_2283/artfynd/A 66843-2020 artfynd.xlsx", "A 66843-2020")</f>
        <v/>
      </c>
      <c r="T90">
        <f>HYPERLINK("https://klasma.github.io/Logging_2283/kartor/A 66843-2020 karta.png", "A 66843-2020")</f>
        <v/>
      </c>
      <c r="V90">
        <f>HYPERLINK("https://klasma.github.io/Logging_2283/klagomål/A 66843-2020 FSC-klagomål.docx", "A 66843-2020")</f>
        <v/>
      </c>
      <c r="W90">
        <f>HYPERLINK("https://klasma.github.io/Logging_2283/klagomålsmail/A 66843-2020 FSC-klagomål mail.docx", "A 66843-2020")</f>
        <v/>
      </c>
      <c r="X90">
        <f>HYPERLINK("https://klasma.github.io/Logging_2283/tillsyn/A 66843-2020 tillsynsbegäran.docx", "A 66843-2020")</f>
        <v/>
      </c>
      <c r="Y90">
        <f>HYPERLINK("https://klasma.github.io/Logging_2283/tillsynsmail/A 66843-2020 tillsynsbegäran mail.docx", "A 66843-2020")</f>
        <v/>
      </c>
    </row>
    <row r="91" ht="15" customHeight="1">
      <c r="A91" t="inlineStr">
        <is>
          <t>A 14301-2022</t>
        </is>
      </c>
      <c r="B91" s="1" t="n">
        <v>44652</v>
      </c>
      <c r="C91" s="1" t="n">
        <v>45576</v>
      </c>
      <c r="D91" t="inlineStr">
        <is>
          <t>VÄSTERNORRLANDS LÄN</t>
        </is>
      </c>
      <c r="E91" t="inlineStr">
        <is>
          <t>SOLLEFTEÅ</t>
        </is>
      </c>
      <c r="F91" t="inlineStr">
        <is>
          <t>SCA</t>
        </is>
      </c>
      <c r="G91" t="n">
        <v>2.4</v>
      </c>
      <c r="H91" t="n">
        <v>1</v>
      </c>
      <c r="I91" t="n">
        <v>2</v>
      </c>
      <c r="J91" t="n">
        <v>5</v>
      </c>
      <c r="K91" t="n">
        <v>0</v>
      </c>
      <c r="L91" t="n">
        <v>0</v>
      </c>
      <c r="M91" t="n">
        <v>0</v>
      </c>
      <c r="N91" t="n">
        <v>0</v>
      </c>
      <c r="O91" t="n">
        <v>5</v>
      </c>
      <c r="P91" t="n">
        <v>0</v>
      </c>
      <c r="Q91" t="n">
        <v>7</v>
      </c>
      <c r="R91" s="2" t="inlineStr">
        <is>
          <t>Dvärgbägarlav
Lunglav
Tretåig hackspett
Vedskivlav
Vedtrappmossa
Luddlav
Stuplav</t>
        </is>
      </c>
      <c r="S91">
        <f>HYPERLINK("https://klasma.github.io/Logging_2283/artfynd/A 14301-2022 artfynd.xlsx", "A 14301-2022")</f>
        <v/>
      </c>
      <c r="T91">
        <f>HYPERLINK("https://klasma.github.io/Logging_2283/kartor/A 14301-2022 karta.png",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18014-2022</t>
        </is>
      </c>
      <c r="B92" s="1" t="n">
        <v>44684</v>
      </c>
      <c r="C92" s="1" t="n">
        <v>45576</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43131-2022</t>
        </is>
      </c>
      <c r="B93" s="1" t="n">
        <v>44833</v>
      </c>
      <c r="C93" s="1" t="n">
        <v>45576</v>
      </c>
      <c r="D93" t="inlineStr">
        <is>
          <t>VÄSTERNORRLANDS LÄN</t>
        </is>
      </c>
      <c r="E93" t="inlineStr">
        <is>
          <t>SOLLEFTEÅ</t>
        </is>
      </c>
      <c r="F93" t="inlineStr">
        <is>
          <t>SCA</t>
        </is>
      </c>
      <c r="G93" t="n">
        <v>2.6</v>
      </c>
      <c r="H93" t="n">
        <v>3</v>
      </c>
      <c r="I93" t="n">
        <v>1</v>
      </c>
      <c r="J93" t="n">
        <v>4</v>
      </c>
      <c r="K93" t="n">
        <v>1</v>
      </c>
      <c r="L93" t="n">
        <v>0</v>
      </c>
      <c r="M93" t="n">
        <v>0</v>
      </c>
      <c r="N93" t="n">
        <v>0</v>
      </c>
      <c r="O93" t="n">
        <v>5</v>
      </c>
      <c r="P93" t="n">
        <v>1</v>
      </c>
      <c r="Q93" t="n">
        <v>7</v>
      </c>
      <c r="R93" s="2" t="inlineStr">
        <is>
          <t>Knärot
Gammelgransskål
Garnlav
Lunglav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43779-2022</t>
        </is>
      </c>
      <c r="B94" s="1" t="n">
        <v>44837</v>
      </c>
      <c r="C94" s="1" t="n">
        <v>45576</v>
      </c>
      <c r="D94" t="inlineStr">
        <is>
          <t>VÄSTERNORRLANDS LÄN</t>
        </is>
      </c>
      <c r="E94" t="inlineStr">
        <is>
          <t>SOLLEFTEÅ</t>
        </is>
      </c>
      <c r="F94" t="inlineStr">
        <is>
          <t>SCA</t>
        </is>
      </c>
      <c r="G94" t="n">
        <v>10.8</v>
      </c>
      <c r="H94" t="n">
        <v>2</v>
      </c>
      <c r="I94" t="n">
        <v>1</v>
      </c>
      <c r="J94" t="n">
        <v>4</v>
      </c>
      <c r="K94" t="n">
        <v>2</v>
      </c>
      <c r="L94" t="n">
        <v>0</v>
      </c>
      <c r="M94" t="n">
        <v>0</v>
      </c>
      <c r="N94" t="n">
        <v>0</v>
      </c>
      <c r="O94" t="n">
        <v>6</v>
      </c>
      <c r="P94" t="n">
        <v>2</v>
      </c>
      <c r="Q94" t="n">
        <v>7</v>
      </c>
      <c r="R94" s="2" t="inlineStr">
        <is>
          <t>Knärot
Rynkskinn
Garnlav
Lunglav
Talltita
Ullticka
Vedticka</t>
        </is>
      </c>
      <c r="S94">
        <f>HYPERLINK("https://klasma.github.io/Logging_2283/artfynd/A 43779-2022 artfynd.xlsx", "A 43779-2022")</f>
        <v/>
      </c>
      <c r="T94">
        <f>HYPERLINK("https://klasma.github.io/Logging_2283/kartor/A 43779-2022 karta.png", "A 43779-2022")</f>
        <v/>
      </c>
      <c r="U94">
        <f>HYPERLINK("https://klasma.github.io/Logging_2283/knärot/A 43779-2022 karta knärot.png", "A 43779-2022")</f>
        <v/>
      </c>
      <c r="V94">
        <f>HYPERLINK("https://klasma.github.io/Logging_2283/klagomål/A 43779-2022 FSC-klagomål.docx", "A 43779-2022")</f>
        <v/>
      </c>
      <c r="W94">
        <f>HYPERLINK("https://klasma.github.io/Logging_2283/klagomålsmail/A 43779-2022 FSC-klagomål mail.docx", "A 43779-2022")</f>
        <v/>
      </c>
      <c r="X94">
        <f>HYPERLINK("https://klasma.github.io/Logging_2283/tillsyn/A 43779-2022 tillsynsbegäran.docx", "A 43779-2022")</f>
        <v/>
      </c>
      <c r="Y94">
        <f>HYPERLINK("https://klasma.github.io/Logging_2283/tillsynsmail/A 43779-2022 tillsynsbegäran mail.docx", "A 43779-2022")</f>
        <v/>
      </c>
      <c r="Z94">
        <f>HYPERLINK("https://klasma.github.io/Logging_2283/fåglar/A 43779-2022 prioriterade fågelarter.docx", "A 43779-2022")</f>
        <v/>
      </c>
    </row>
    <row r="95" ht="15" customHeight="1">
      <c r="A95" t="inlineStr">
        <is>
          <t>A 47647-2022</t>
        </is>
      </c>
      <c r="B95" s="1" t="n">
        <v>44852</v>
      </c>
      <c r="C95" s="1" t="n">
        <v>45576</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53121-2022</t>
        </is>
      </c>
      <c r="B96" s="1" t="n">
        <v>44873</v>
      </c>
      <c r="C96" s="1" t="n">
        <v>45576</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59045-2022</t>
        </is>
      </c>
      <c r="B97" s="1" t="n">
        <v>44903</v>
      </c>
      <c r="C97" s="1" t="n">
        <v>45576</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715-2023</t>
        </is>
      </c>
      <c r="B98" s="1" t="n">
        <v>44930</v>
      </c>
      <c r="C98" s="1" t="n">
        <v>45576</v>
      </c>
      <c r="D98" t="inlineStr">
        <is>
          <t>VÄSTERNORRLANDS LÄN</t>
        </is>
      </c>
      <c r="E98" t="inlineStr">
        <is>
          <t>SOLLEFTEÅ</t>
        </is>
      </c>
      <c r="G98" t="n">
        <v>7.7</v>
      </c>
      <c r="H98" t="n">
        <v>0</v>
      </c>
      <c r="I98" t="n">
        <v>1</v>
      </c>
      <c r="J98" t="n">
        <v>3</v>
      </c>
      <c r="K98" t="n">
        <v>3</v>
      </c>
      <c r="L98" t="n">
        <v>0</v>
      </c>
      <c r="M98" t="n">
        <v>0</v>
      </c>
      <c r="N98" t="n">
        <v>0</v>
      </c>
      <c r="O98" t="n">
        <v>6</v>
      </c>
      <c r="P98" t="n">
        <v>3</v>
      </c>
      <c r="Q98" t="n">
        <v>7</v>
      </c>
      <c r="R98" s="2" t="inlineStr">
        <is>
          <t>Gräddporing
Gräddticka
Rynkskinn
Granticka
Rosenticka
Ullticka
Skinnlav</t>
        </is>
      </c>
      <c r="S98">
        <f>HYPERLINK("https://klasma.github.io/Logging_2283/artfynd/A 715-2023 artfynd.xlsx", "A 715-2023")</f>
        <v/>
      </c>
      <c r="T98">
        <f>HYPERLINK("https://klasma.github.io/Logging_2283/kartor/A 715-2023 karta.png", "A 715-2023")</f>
        <v/>
      </c>
      <c r="V98">
        <f>HYPERLINK("https://klasma.github.io/Logging_2283/klagomål/A 715-2023 FSC-klagomål.docx", "A 715-2023")</f>
        <v/>
      </c>
      <c r="W98">
        <f>HYPERLINK("https://klasma.github.io/Logging_2283/klagomålsmail/A 715-2023 FSC-klagomål mail.docx", "A 715-2023")</f>
        <v/>
      </c>
      <c r="X98">
        <f>HYPERLINK("https://klasma.github.io/Logging_2283/tillsyn/A 715-2023 tillsynsbegäran.docx", "A 715-2023")</f>
        <v/>
      </c>
      <c r="Y98">
        <f>HYPERLINK("https://klasma.github.io/Logging_2283/tillsynsmail/A 715-2023 tillsynsbegäran mail.docx", "A 715-2023")</f>
        <v/>
      </c>
    </row>
    <row r="99" ht="15" customHeight="1">
      <c r="A99" t="inlineStr">
        <is>
          <t>A 36116-2023</t>
        </is>
      </c>
      <c r="B99" s="1" t="n">
        <v>45148</v>
      </c>
      <c r="C99" s="1" t="n">
        <v>45576</v>
      </c>
      <c r="D99" t="inlineStr">
        <is>
          <t>VÄSTERNORRLANDS LÄN</t>
        </is>
      </c>
      <c r="E99" t="inlineStr">
        <is>
          <t>SOLLEFTEÅ</t>
        </is>
      </c>
      <c r="G99" t="n">
        <v>8.4</v>
      </c>
      <c r="H99" t="n">
        <v>2</v>
      </c>
      <c r="I99" t="n">
        <v>1</v>
      </c>
      <c r="J99" t="n">
        <v>3</v>
      </c>
      <c r="K99" t="n">
        <v>2</v>
      </c>
      <c r="L99" t="n">
        <v>0</v>
      </c>
      <c r="M99" t="n">
        <v>0</v>
      </c>
      <c r="N99" t="n">
        <v>0</v>
      </c>
      <c r="O99" t="n">
        <v>5</v>
      </c>
      <c r="P99" t="n">
        <v>2</v>
      </c>
      <c r="Q99" t="n">
        <v>7</v>
      </c>
      <c r="R99" s="2" t="inlineStr">
        <is>
          <t>Knärot
Rynkskinn
Garnlav
Lunglav
Ullticka
Skinnlav
Revlummer</t>
        </is>
      </c>
      <c r="S99">
        <f>HYPERLINK("https://klasma.github.io/Logging_2283/artfynd/A 36116-2023 artfynd.xlsx", "A 36116-2023")</f>
        <v/>
      </c>
      <c r="T99">
        <f>HYPERLINK("https://klasma.github.io/Logging_2283/kartor/A 36116-2023 karta.png", "A 36116-2023")</f>
        <v/>
      </c>
      <c r="U99">
        <f>HYPERLINK("https://klasma.github.io/Logging_2283/knärot/A 36116-2023 karta knärot.png", "A 36116-2023")</f>
        <v/>
      </c>
      <c r="V99">
        <f>HYPERLINK("https://klasma.github.io/Logging_2283/klagomål/A 36116-2023 FSC-klagomål.docx", "A 36116-2023")</f>
        <v/>
      </c>
      <c r="W99">
        <f>HYPERLINK("https://klasma.github.io/Logging_2283/klagomålsmail/A 36116-2023 FSC-klagomål mail.docx", "A 36116-2023")</f>
        <v/>
      </c>
      <c r="X99">
        <f>HYPERLINK("https://klasma.github.io/Logging_2283/tillsyn/A 36116-2023 tillsynsbegäran.docx", "A 36116-2023")</f>
        <v/>
      </c>
      <c r="Y99">
        <f>HYPERLINK("https://klasma.github.io/Logging_2283/tillsynsmail/A 36116-2023 tillsynsbegäran mail.docx", "A 36116-2023")</f>
        <v/>
      </c>
    </row>
    <row r="100" ht="15" customHeight="1">
      <c r="A100" t="inlineStr">
        <is>
          <t>A 38376-2023</t>
        </is>
      </c>
      <c r="B100" s="1" t="n">
        <v>45161</v>
      </c>
      <c r="C100" s="1" t="n">
        <v>45576</v>
      </c>
      <c r="D100" t="inlineStr">
        <is>
          <t>VÄSTERNORRLANDS LÄN</t>
        </is>
      </c>
      <c r="E100" t="inlineStr">
        <is>
          <t>SOLLEFTEÅ</t>
        </is>
      </c>
      <c r="F100" t="inlineStr">
        <is>
          <t>SCA</t>
        </is>
      </c>
      <c r="G100" t="n">
        <v>7.3</v>
      </c>
      <c r="H100" t="n">
        <v>2</v>
      </c>
      <c r="I100" t="n">
        <v>3</v>
      </c>
      <c r="J100" t="n">
        <v>2</v>
      </c>
      <c r="K100" t="n">
        <v>1</v>
      </c>
      <c r="L100" t="n">
        <v>0</v>
      </c>
      <c r="M100" t="n">
        <v>0</v>
      </c>
      <c r="N100" t="n">
        <v>0</v>
      </c>
      <c r="O100" t="n">
        <v>3</v>
      </c>
      <c r="P100" t="n">
        <v>1</v>
      </c>
      <c r="Q100" t="n">
        <v>7</v>
      </c>
      <c r="R100" s="2" t="inlineStr">
        <is>
          <t>Doftticka
Garnlav
Lunglav
Barkkornlav
Bårdlav
Stuplav
Revlummer</t>
        </is>
      </c>
      <c r="S100">
        <f>HYPERLINK("https://klasma.github.io/Logging_2283/artfynd/A 38376-2023 artfynd.xlsx", "A 38376-2023")</f>
        <v/>
      </c>
      <c r="T100">
        <f>HYPERLINK("https://klasma.github.io/Logging_2283/kartor/A 38376-2023 karta.png", "A 38376-2023")</f>
        <v/>
      </c>
      <c r="V100">
        <f>HYPERLINK("https://klasma.github.io/Logging_2283/klagomål/A 38376-2023 FSC-klagomål.docx", "A 38376-2023")</f>
        <v/>
      </c>
      <c r="W100">
        <f>HYPERLINK("https://klasma.github.io/Logging_2283/klagomålsmail/A 38376-2023 FSC-klagomål mail.docx", "A 38376-2023")</f>
        <v/>
      </c>
      <c r="X100">
        <f>HYPERLINK("https://klasma.github.io/Logging_2283/tillsyn/A 38376-2023 tillsynsbegäran.docx", "A 38376-2023")</f>
        <v/>
      </c>
      <c r="Y100">
        <f>HYPERLINK("https://klasma.github.io/Logging_2283/tillsynsmail/A 38376-2023 tillsynsbegäran mail.docx", "A 38376-2023")</f>
        <v/>
      </c>
    </row>
    <row r="101" ht="15" customHeight="1">
      <c r="A101" t="inlineStr">
        <is>
          <t>A 54049-2023</t>
        </is>
      </c>
      <c r="B101" s="1" t="n">
        <v>45231</v>
      </c>
      <c r="C101" s="1" t="n">
        <v>45576</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62992-2023</t>
        </is>
      </c>
      <c r="B102" s="1" t="n">
        <v>45272</v>
      </c>
      <c r="C102" s="1" t="n">
        <v>45576</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14580-2024</t>
        </is>
      </c>
      <c r="B103" s="1" t="n">
        <v>45394</v>
      </c>
      <c r="C103" s="1" t="n">
        <v>45576</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26654-2024</t>
        </is>
      </c>
      <c r="B104" s="1" t="n">
        <v>45469</v>
      </c>
      <c r="C104" s="1" t="n">
        <v>45576</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36499-2024</t>
        </is>
      </c>
      <c r="B105" s="1" t="n">
        <v>45537</v>
      </c>
      <c r="C105" s="1" t="n">
        <v>45576</v>
      </c>
      <c r="D105" t="inlineStr">
        <is>
          <t>VÄSTERNORRLANDS LÄN</t>
        </is>
      </c>
      <c r="E105" t="inlineStr">
        <is>
          <t>SOLLEFTEÅ</t>
        </is>
      </c>
      <c r="F105" t="inlineStr">
        <is>
          <t>SCA</t>
        </is>
      </c>
      <c r="G105" t="n">
        <v>18.2</v>
      </c>
      <c r="H105" t="n">
        <v>5</v>
      </c>
      <c r="I105" t="n">
        <v>0</v>
      </c>
      <c r="J105" t="n">
        <v>4</v>
      </c>
      <c r="K105" t="n">
        <v>2</v>
      </c>
      <c r="L105" t="n">
        <v>0</v>
      </c>
      <c r="M105" t="n">
        <v>0</v>
      </c>
      <c r="N105" t="n">
        <v>0</v>
      </c>
      <c r="O105" t="n">
        <v>6</v>
      </c>
      <c r="P105" t="n">
        <v>2</v>
      </c>
      <c r="Q105" t="n">
        <v>7</v>
      </c>
      <c r="R105" s="2" t="inlineStr">
        <is>
          <t>Doftticka
Knärot
Garnlav
Lunglav
Talltita
Tretåig hackspett
Tjäder</t>
        </is>
      </c>
      <c r="S105">
        <f>HYPERLINK("https://klasma.github.io/Logging_2283/artfynd/A 36499-2024 artfynd.xlsx", "A 36499-2024")</f>
        <v/>
      </c>
      <c r="T105">
        <f>HYPERLINK("https://klasma.github.io/Logging_2283/kartor/A 36499-2024 karta.png", "A 36499-2024")</f>
        <v/>
      </c>
      <c r="U105">
        <f>HYPERLINK("https://klasma.github.io/Logging_2283/knärot/A 36499-2024 karta knärot.png", "A 36499-2024")</f>
        <v/>
      </c>
      <c r="V105">
        <f>HYPERLINK("https://klasma.github.io/Logging_2283/klagomål/A 36499-2024 FSC-klagomål.docx", "A 36499-2024")</f>
        <v/>
      </c>
      <c r="W105">
        <f>HYPERLINK("https://klasma.github.io/Logging_2283/klagomålsmail/A 36499-2024 FSC-klagomål mail.docx", "A 36499-2024")</f>
        <v/>
      </c>
      <c r="X105">
        <f>HYPERLINK("https://klasma.github.io/Logging_2283/tillsyn/A 36499-2024 tillsynsbegäran.docx", "A 36499-2024")</f>
        <v/>
      </c>
      <c r="Y105">
        <f>HYPERLINK("https://klasma.github.io/Logging_2283/tillsynsmail/A 36499-2024 tillsynsbegäran mail.docx", "A 36499-2024")</f>
        <v/>
      </c>
      <c r="Z105">
        <f>HYPERLINK("https://klasma.github.io/Logging_2283/fåglar/A 36499-2024 prioriterade fågelarter.docx", "A 36499-2024")</f>
        <v/>
      </c>
    </row>
    <row r="106" ht="15" customHeight="1">
      <c r="A106" t="inlineStr">
        <is>
          <t>A 44297-2024</t>
        </is>
      </c>
      <c r="B106" s="1" t="n">
        <v>45573</v>
      </c>
      <c r="C106" s="1" t="n">
        <v>45576</v>
      </c>
      <c r="D106" t="inlineStr">
        <is>
          <t>VÄSTERNORRLANDS LÄN</t>
        </is>
      </c>
      <c r="E106" t="inlineStr">
        <is>
          <t>SOLLEFTEÅ</t>
        </is>
      </c>
      <c r="G106" t="n">
        <v>11.9</v>
      </c>
      <c r="H106" t="n">
        <v>0</v>
      </c>
      <c r="I106" t="n">
        <v>0</v>
      </c>
      <c r="J106" t="n">
        <v>6</v>
      </c>
      <c r="K106" t="n">
        <v>1</v>
      </c>
      <c r="L106" t="n">
        <v>0</v>
      </c>
      <c r="M106" t="n">
        <v>0</v>
      </c>
      <c r="N106" t="n">
        <v>0</v>
      </c>
      <c r="O106" t="n">
        <v>7</v>
      </c>
      <c r="P106" t="n">
        <v>1</v>
      </c>
      <c r="Q106" t="n">
        <v>7</v>
      </c>
      <c r="R106" s="2" t="inlineStr">
        <is>
          <t>Rynkskinn
Garnlav
Lunglav
Rosenticka
Stjärntagging
Ullticka
Violettgrå tagellav</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row>
    <row r="107" ht="15" customHeight="1">
      <c r="A107" t="inlineStr">
        <is>
          <t>A 26633-2019</t>
        </is>
      </c>
      <c r="B107" s="1" t="n">
        <v>43612</v>
      </c>
      <c r="C107" s="1" t="n">
        <v>45576</v>
      </c>
      <c r="D107" t="inlineStr">
        <is>
          <t>VÄSTERNORRLANDS LÄN</t>
        </is>
      </c>
      <c r="E107" t="inlineStr">
        <is>
          <t>SOLLEFTEÅ</t>
        </is>
      </c>
      <c r="F107" t="inlineStr">
        <is>
          <t>SCA</t>
        </is>
      </c>
      <c r="G107" t="n">
        <v>20.5</v>
      </c>
      <c r="H107" t="n">
        <v>1</v>
      </c>
      <c r="I107" t="n">
        <v>1</v>
      </c>
      <c r="J107" t="n">
        <v>5</v>
      </c>
      <c r="K107" t="n">
        <v>0</v>
      </c>
      <c r="L107" t="n">
        <v>0</v>
      </c>
      <c r="M107" t="n">
        <v>0</v>
      </c>
      <c r="N107" t="n">
        <v>0</v>
      </c>
      <c r="O107" t="n">
        <v>5</v>
      </c>
      <c r="P107" t="n">
        <v>0</v>
      </c>
      <c r="Q107" t="n">
        <v>6</v>
      </c>
      <c r="R107" s="2" t="inlineStr">
        <is>
          <t>Grantaggsvamp
Knölgrynna
Slät tallkapuschongbagge
Tallriska
Tretåig hackspett
Dropptaggsvamp</t>
        </is>
      </c>
      <c r="S107">
        <f>HYPERLINK("https://klasma.github.io/Logging_2283/artfynd/A 26633-2019 artfynd.xlsx", "A 26633-2019")</f>
        <v/>
      </c>
      <c r="T107">
        <f>HYPERLINK("https://klasma.github.io/Logging_2283/kartor/A 26633-2019 karta.png", "A 26633-2019")</f>
        <v/>
      </c>
      <c r="V107">
        <f>HYPERLINK("https://klasma.github.io/Logging_2283/klagomål/A 26633-2019 FSC-klagomål.docx", "A 26633-2019")</f>
        <v/>
      </c>
      <c r="W107">
        <f>HYPERLINK("https://klasma.github.io/Logging_2283/klagomålsmail/A 26633-2019 FSC-klagomål mail.docx", "A 26633-2019")</f>
        <v/>
      </c>
      <c r="X107">
        <f>HYPERLINK("https://klasma.github.io/Logging_2283/tillsyn/A 26633-2019 tillsynsbegäran.docx", "A 26633-2019")</f>
        <v/>
      </c>
      <c r="Y107">
        <f>HYPERLINK("https://klasma.github.io/Logging_2283/tillsynsmail/A 26633-2019 tillsynsbegäran mail.docx", "A 26633-2019")</f>
        <v/>
      </c>
      <c r="Z107">
        <f>HYPERLINK("https://klasma.github.io/Logging_2283/fåglar/A 26633-2019 prioriterade fågelarter.docx", "A 26633-2019")</f>
        <v/>
      </c>
    </row>
    <row r="108" ht="15" customHeight="1">
      <c r="A108" t="inlineStr">
        <is>
          <t>A 59075-2019</t>
        </is>
      </c>
      <c r="B108" s="1" t="n">
        <v>43774</v>
      </c>
      <c r="C108" s="1" t="n">
        <v>45576</v>
      </c>
      <c r="D108" t="inlineStr">
        <is>
          <t>VÄSTERNORRLANDS LÄN</t>
        </is>
      </c>
      <c r="E108" t="inlineStr">
        <is>
          <t>SOLLEFTEÅ</t>
        </is>
      </c>
      <c r="G108" t="n">
        <v>1.6</v>
      </c>
      <c r="H108" t="n">
        <v>2</v>
      </c>
      <c r="I108" t="n">
        <v>2</v>
      </c>
      <c r="J108" t="n">
        <v>3</v>
      </c>
      <c r="K108" t="n">
        <v>0</v>
      </c>
      <c r="L108" t="n">
        <v>0</v>
      </c>
      <c r="M108" t="n">
        <v>0</v>
      </c>
      <c r="N108" t="n">
        <v>0</v>
      </c>
      <c r="O108" t="n">
        <v>3</v>
      </c>
      <c r="P108" t="n">
        <v>0</v>
      </c>
      <c r="Q108" t="n">
        <v>6</v>
      </c>
      <c r="R108" s="2" t="inlineStr">
        <is>
          <t>Lunglav
Mindre hackspett
Rosenticka
Skinnlav
Svart trolldruva
Revlummer</t>
        </is>
      </c>
      <c r="S108">
        <f>HYPERLINK("https://klasma.github.io/Logging_2283/artfynd/A 59075-2019 artfynd.xlsx", "A 59075-2019")</f>
        <v/>
      </c>
      <c r="T108">
        <f>HYPERLINK("https://klasma.github.io/Logging_2283/kartor/A 59075-2019 karta.png", "A 59075-2019")</f>
        <v/>
      </c>
      <c r="V108">
        <f>HYPERLINK("https://klasma.github.io/Logging_2283/klagomål/A 59075-2019 FSC-klagomål.docx", "A 59075-2019")</f>
        <v/>
      </c>
      <c r="W108">
        <f>HYPERLINK("https://klasma.github.io/Logging_2283/klagomålsmail/A 59075-2019 FSC-klagomål mail.docx", "A 59075-2019")</f>
        <v/>
      </c>
      <c r="X108">
        <f>HYPERLINK("https://klasma.github.io/Logging_2283/tillsyn/A 59075-2019 tillsynsbegäran.docx", "A 59075-2019")</f>
        <v/>
      </c>
      <c r="Y108">
        <f>HYPERLINK("https://klasma.github.io/Logging_2283/tillsynsmail/A 59075-2019 tillsynsbegäran mail.docx", "A 59075-2019")</f>
        <v/>
      </c>
      <c r="Z108">
        <f>HYPERLINK("https://klasma.github.io/Logging_2283/fåglar/A 59075-2019 prioriterade fågelarter.docx", "A 59075-2019")</f>
        <v/>
      </c>
    </row>
    <row r="109" ht="15" customHeight="1">
      <c r="A109" t="inlineStr">
        <is>
          <t>A 4528-2022</t>
        </is>
      </c>
      <c r="B109" s="1" t="n">
        <v>44589</v>
      </c>
      <c r="C109" s="1" t="n">
        <v>45576</v>
      </c>
      <c r="D109" t="inlineStr">
        <is>
          <t>VÄSTERNORRLANDS LÄN</t>
        </is>
      </c>
      <c r="E109" t="inlineStr">
        <is>
          <t>SOLLEFTEÅ</t>
        </is>
      </c>
      <c r="G109" t="n">
        <v>2.6</v>
      </c>
      <c r="H109" t="n">
        <v>2</v>
      </c>
      <c r="I109" t="n">
        <v>1</v>
      </c>
      <c r="J109" t="n">
        <v>4</v>
      </c>
      <c r="K109" t="n">
        <v>0</v>
      </c>
      <c r="L109" t="n">
        <v>0</v>
      </c>
      <c r="M109" t="n">
        <v>0</v>
      </c>
      <c r="N109" t="n">
        <v>0</v>
      </c>
      <c r="O109" t="n">
        <v>4</v>
      </c>
      <c r="P109" t="n">
        <v>0</v>
      </c>
      <c r="Q109" t="n">
        <v>6</v>
      </c>
      <c r="R109" s="2" t="inlineStr">
        <is>
          <t>Garnlav
Tallticka
Tretåig hackspett
Ullticka
Vedticka
Revlummer</t>
        </is>
      </c>
      <c r="S109">
        <f>HYPERLINK("https://klasma.github.io/Logging_2283/artfynd/A 4528-2022 artfynd.xlsx", "A 4528-2022")</f>
        <v/>
      </c>
      <c r="T109">
        <f>HYPERLINK("https://klasma.github.io/Logging_2283/kartor/A 4528-2022 karta.png", "A 4528-2022")</f>
        <v/>
      </c>
      <c r="V109">
        <f>HYPERLINK("https://klasma.github.io/Logging_2283/klagomål/A 4528-2022 FSC-klagomål.docx", "A 4528-2022")</f>
        <v/>
      </c>
      <c r="W109">
        <f>HYPERLINK("https://klasma.github.io/Logging_2283/klagomålsmail/A 4528-2022 FSC-klagomål mail.docx", "A 4528-2022")</f>
        <v/>
      </c>
      <c r="X109">
        <f>HYPERLINK("https://klasma.github.io/Logging_2283/tillsyn/A 4528-2022 tillsynsbegäran.docx", "A 4528-2022")</f>
        <v/>
      </c>
      <c r="Y109">
        <f>HYPERLINK("https://klasma.github.io/Logging_2283/tillsynsmail/A 4528-2022 tillsynsbegäran mail.docx", "A 4528-2022")</f>
        <v/>
      </c>
      <c r="Z109">
        <f>HYPERLINK("https://klasma.github.io/Logging_2283/fåglar/A 4528-2022 prioriterade fågelarter.docx", "A 4528-2022")</f>
        <v/>
      </c>
    </row>
    <row r="110" ht="15" customHeight="1">
      <c r="A110" t="inlineStr">
        <is>
          <t>A 16087-2022</t>
        </is>
      </c>
      <c r="B110" s="1" t="n">
        <v>44665</v>
      </c>
      <c r="C110" s="1" t="n">
        <v>45576</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24887-2022</t>
        </is>
      </c>
      <c r="B111" s="1" t="n">
        <v>44728</v>
      </c>
      <c r="C111" s="1" t="n">
        <v>45576</v>
      </c>
      <c r="D111" t="inlineStr">
        <is>
          <t>VÄSTERNORRLANDS LÄN</t>
        </is>
      </c>
      <c r="E111" t="inlineStr">
        <is>
          <t>SOLLEFTEÅ</t>
        </is>
      </c>
      <c r="G111" t="n">
        <v>11.4</v>
      </c>
      <c r="H111" t="n">
        <v>2</v>
      </c>
      <c r="I111" t="n">
        <v>0</v>
      </c>
      <c r="J111" t="n">
        <v>5</v>
      </c>
      <c r="K111" t="n">
        <v>1</v>
      </c>
      <c r="L111" t="n">
        <v>0</v>
      </c>
      <c r="M111" t="n">
        <v>0</v>
      </c>
      <c r="N111" t="n">
        <v>0</v>
      </c>
      <c r="O111" t="n">
        <v>6</v>
      </c>
      <c r="P111" t="n">
        <v>1</v>
      </c>
      <c r="Q111" t="n">
        <v>6</v>
      </c>
      <c r="R111" s="2" t="inlineStr">
        <is>
          <t>Knärot
Garnlav
Gränsticka
Järpe
Rosenticka
Ullticka</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26594-2022</t>
        </is>
      </c>
      <c r="B112" s="1" t="n">
        <v>44739</v>
      </c>
      <c r="C112" s="1" t="n">
        <v>45576</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61377-2022</t>
        </is>
      </c>
      <c r="B113" s="1" t="n">
        <v>44915</v>
      </c>
      <c r="C113" s="1" t="n">
        <v>45576</v>
      </c>
      <c r="D113" t="inlineStr">
        <is>
          <t>VÄSTERNORRLANDS LÄN</t>
        </is>
      </c>
      <c r="E113" t="inlineStr">
        <is>
          <t>SOLLEFTEÅ</t>
        </is>
      </c>
      <c r="G113" t="n">
        <v>10.5</v>
      </c>
      <c r="H113" t="n">
        <v>0</v>
      </c>
      <c r="I113" t="n">
        <v>1</v>
      </c>
      <c r="J113" t="n">
        <v>5</v>
      </c>
      <c r="K113" t="n">
        <v>0</v>
      </c>
      <c r="L113" t="n">
        <v>0</v>
      </c>
      <c r="M113" t="n">
        <v>0</v>
      </c>
      <c r="N113" t="n">
        <v>0</v>
      </c>
      <c r="O113" t="n">
        <v>5</v>
      </c>
      <c r="P113" t="n">
        <v>0</v>
      </c>
      <c r="Q113" t="n">
        <v>6</v>
      </c>
      <c r="R113" s="2" t="inlineStr">
        <is>
          <t>Gammelgransskål
Garnlav
Granticka
Lunglav
Stjärntagging
Spädstarr</t>
        </is>
      </c>
      <c r="S113">
        <f>HYPERLINK("https://klasma.github.io/Logging_2283/artfynd/A 61377-2022 artfynd.xlsx", "A 61377-2022")</f>
        <v/>
      </c>
      <c r="T113">
        <f>HYPERLINK("https://klasma.github.io/Logging_2283/kartor/A 61377-2022 karta.png", "A 61377-2022")</f>
        <v/>
      </c>
      <c r="V113">
        <f>HYPERLINK("https://klasma.github.io/Logging_2283/klagomål/A 61377-2022 FSC-klagomål.docx", "A 61377-2022")</f>
        <v/>
      </c>
      <c r="W113">
        <f>HYPERLINK("https://klasma.github.io/Logging_2283/klagomålsmail/A 61377-2022 FSC-klagomål mail.docx", "A 61377-2022")</f>
        <v/>
      </c>
      <c r="X113">
        <f>HYPERLINK("https://klasma.github.io/Logging_2283/tillsyn/A 61377-2022 tillsynsbegäran.docx", "A 61377-2022")</f>
        <v/>
      </c>
      <c r="Y113">
        <f>HYPERLINK("https://klasma.github.io/Logging_2283/tillsynsmail/A 61377-2022 tillsynsbegäran mail.docx", "A 61377-2022")</f>
        <v/>
      </c>
    </row>
    <row r="114" ht="15" customHeight="1">
      <c r="A114" t="inlineStr">
        <is>
          <t>A 14860-2023</t>
        </is>
      </c>
      <c r="B114" s="1" t="n">
        <v>45015</v>
      </c>
      <c r="C114" s="1" t="n">
        <v>45576</v>
      </c>
      <c r="D114" t="inlineStr">
        <is>
          <t>VÄSTERNORRLANDS LÄN</t>
        </is>
      </c>
      <c r="E114" t="inlineStr">
        <is>
          <t>SOLLEFTEÅ</t>
        </is>
      </c>
      <c r="F114" t="inlineStr">
        <is>
          <t>SCA</t>
        </is>
      </c>
      <c r="G114" t="n">
        <v>5.8</v>
      </c>
      <c r="H114" t="n">
        <v>1</v>
      </c>
      <c r="I114" t="n">
        <v>2</v>
      </c>
      <c r="J114" t="n">
        <v>3</v>
      </c>
      <c r="K114" t="n">
        <v>1</v>
      </c>
      <c r="L114" t="n">
        <v>0</v>
      </c>
      <c r="M114" t="n">
        <v>0</v>
      </c>
      <c r="N114" t="n">
        <v>0</v>
      </c>
      <c r="O114" t="n">
        <v>4</v>
      </c>
      <c r="P114" t="n">
        <v>1</v>
      </c>
      <c r="Q114" t="n">
        <v>6</v>
      </c>
      <c r="R114" s="2" t="inlineStr">
        <is>
          <t>Knärot
Granticka
Lunglav
Ullticka
Skinnlav
Stuplav</t>
        </is>
      </c>
      <c r="S114">
        <f>HYPERLINK("https://klasma.github.io/Logging_2283/artfynd/A 14860-2023 artfynd.xlsx", "A 14860-2023")</f>
        <v/>
      </c>
      <c r="T114">
        <f>HYPERLINK("https://klasma.github.io/Logging_2283/kartor/A 14860-2023 karta.png", "A 14860-2023")</f>
        <v/>
      </c>
      <c r="U114">
        <f>HYPERLINK("https://klasma.github.io/Logging_2283/knärot/A 14860-2023 karta knärot.png", "A 14860-2023")</f>
        <v/>
      </c>
      <c r="V114">
        <f>HYPERLINK("https://klasma.github.io/Logging_2283/klagomål/A 14860-2023 FSC-klagomål.docx", "A 14860-2023")</f>
        <v/>
      </c>
      <c r="W114">
        <f>HYPERLINK("https://klasma.github.io/Logging_2283/klagomålsmail/A 14860-2023 FSC-klagomål mail.docx", "A 14860-2023")</f>
        <v/>
      </c>
      <c r="X114">
        <f>HYPERLINK("https://klasma.github.io/Logging_2283/tillsyn/A 14860-2023 tillsynsbegäran.docx", "A 14860-2023")</f>
        <v/>
      </c>
      <c r="Y114">
        <f>HYPERLINK("https://klasma.github.io/Logging_2283/tillsynsmail/A 14860-2023 tillsynsbegäran mail.docx", "A 14860-2023")</f>
        <v/>
      </c>
    </row>
    <row r="115" ht="15" customHeight="1">
      <c r="A115" t="inlineStr">
        <is>
          <t>A 39198-2023</t>
        </is>
      </c>
      <c r="B115" s="1" t="n">
        <v>45166</v>
      </c>
      <c r="C115" s="1" t="n">
        <v>45576</v>
      </c>
      <c r="D115" t="inlineStr">
        <is>
          <t>VÄSTERNORRLANDS LÄN</t>
        </is>
      </c>
      <c r="E115" t="inlineStr">
        <is>
          <t>SOLLEFTEÅ</t>
        </is>
      </c>
      <c r="G115" t="n">
        <v>11</v>
      </c>
      <c r="H115" t="n">
        <v>0</v>
      </c>
      <c r="I115" t="n">
        <v>2</v>
      </c>
      <c r="J115" t="n">
        <v>4</v>
      </c>
      <c r="K115" t="n">
        <v>0</v>
      </c>
      <c r="L115" t="n">
        <v>0</v>
      </c>
      <c r="M115" t="n">
        <v>0</v>
      </c>
      <c r="N115" t="n">
        <v>0</v>
      </c>
      <c r="O115" t="n">
        <v>4</v>
      </c>
      <c r="P115" t="n">
        <v>0</v>
      </c>
      <c r="Q115" t="n">
        <v>6</v>
      </c>
      <c r="R115" s="2" t="inlineStr">
        <is>
          <t>Garnlav
Lunglav
Rosenticka
Ullticka
Stor aspticka
Vedticka</t>
        </is>
      </c>
      <c r="S115">
        <f>HYPERLINK("https://klasma.github.io/Logging_2283/artfynd/A 39198-2023 artfynd.xlsx", "A 39198-2023")</f>
        <v/>
      </c>
      <c r="T115">
        <f>HYPERLINK("https://klasma.github.io/Logging_2283/kartor/A 39198-2023 karta.png", "A 39198-2023")</f>
        <v/>
      </c>
      <c r="U115">
        <f>HYPERLINK("https://klasma.github.io/Logging_2283/knärot/A 39198-2023 karta knärot.png", "A 39198-2023")</f>
        <v/>
      </c>
      <c r="V115">
        <f>HYPERLINK("https://klasma.github.io/Logging_2283/klagomål/A 39198-2023 FSC-klagomål.docx", "A 39198-2023")</f>
        <v/>
      </c>
      <c r="W115">
        <f>HYPERLINK("https://klasma.github.io/Logging_2283/klagomålsmail/A 39198-2023 FSC-klagomål mail.docx", "A 39198-2023")</f>
        <v/>
      </c>
      <c r="X115">
        <f>HYPERLINK("https://klasma.github.io/Logging_2283/tillsyn/A 39198-2023 tillsynsbegäran.docx", "A 39198-2023")</f>
        <v/>
      </c>
      <c r="Y115">
        <f>HYPERLINK("https://klasma.github.io/Logging_2283/tillsynsmail/A 39198-2023 tillsynsbegäran mail.docx", "A 39198-2023")</f>
        <v/>
      </c>
    </row>
    <row r="116" ht="15" customHeight="1">
      <c r="A116" t="inlineStr">
        <is>
          <t>A 40420-2023</t>
        </is>
      </c>
      <c r="B116" s="1" t="n">
        <v>45169</v>
      </c>
      <c r="C116" s="1" t="n">
        <v>45576</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40417-2023</t>
        </is>
      </c>
      <c r="B117" s="1" t="n">
        <v>45169</v>
      </c>
      <c r="C117" s="1" t="n">
        <v>45576</v>
      </c>
      <c r="D117" t="inlineStr">
        <is>
          <t>VÄSTERNORRLANDS LÄN</t>
        </is>
      </c>
      <c r="E117" t="inlineStr">
        <is>
          <t>SOLLEFTEÅ</t>
        </is>
      </c>
      <c r="F117" t="inlineStr">
        <is>
          <t>SCA</t>
        </is>
      </c>
      <c r="G117" t="n">
        <v>10.6</v>
      </c>
      <c r="H117" t="n">
        <v>2</v>
      </c>
      <c r="I117" t="n">
        <v>0</v>
      </c>
      <c r="J117" t="n">
        <v>4</v>
      </c>
      <c r="K117" t="n">
        <v>1</v>
      </c>
      <c r="L117" t="n">
        <v>0</v>
      </c>
      <c r="M117" t="n">
        <v>0</v>
      </c>
      <c r="N117" t="n">
        <v>0</v>
      </c>
      <c r="O117" t="n">
        <v>5</v>
      </c>
      <c r="P117" t="n">
        <v>1</v>
      </c>
      <c r="Q117" t="n">
        <v>6</v>
      </c>
      <c r="R117" s="2" t="inlineStr">
        <is>
          <t>Knärot
Kolflarnlav
Lunglav
Motaggsvamp
Mörk kolflarnlav
Tjäder</t>
        </is>
      </c>
      <c r="S117">
        <f>HYPERLINK("https://klasma.github.io/Logging_2283/artfynd/A 40417-2023 artfynd.xlsx", "A 40417-2023")</f>
        <v/>
      </c>
      <c r="T117">
        <f>HYPERLINK("https://klasma.github.io/Logging_2283/kartor/A 40417-2023 karta.png", "A 40417-2023")</f>
        <v/>
      </c>
      <c r="U117">
        <f>HYPERLINK("https://klasma.github.io/Logging_2283/knärot/A 40417-2023 karta knärot.png", "A 40417-2023")</f>
        <v/>
      </c>
      <c r="V117">
        <f>HYPERLINK("https://klasma.github.io/Logging_2283/klagomål/A 40417-2023 FSC-klagomål.docx", "A 40417-2023")</f>
        <v/>
      </c>
      <c r="W117">
        <f>HYPERLINK("https://klasma.github.io/Logging_2283/klagomålsmail/A 40417-2023 FSC-klagomål mail.docx", "A 40417-2023")</f>
        <v/>
      </c>
      <c r="X117">
        <f>HYPERLINK("https://klasma.github.io/Logging_2283/tillsyn/A 40417-2023 tillsynsbegäran.docx", "A 40417-2023")</f>
        <v/>
      </c>
      <c r="Y117">
        <f>HYPERLINK("https://klasma.github.io/Logging_2283/tillsynsmail/A 40417-2023 tillsynsbegäran mail.docx", "A 40417-2023")</f>
        <v/>
      </c>
      <c r="Z117">
        <f>HYPERLINK("https://klasma.github.io/Logging_2283/fåglar/A 40417-2023 prioriterade fågelarter.docx", "A 40417-2023")</f>
        <v/>
      </c>
    </row>
    <row r="118" ht="15" customHeight="1">
      <c r="A118" t="inlineStr">
        <is>
          <t>A 2068-2024</t>
        </is>
      </c>
      <c r="B118" s="1" t="n">
        <v>45308</v>
      </c>
      <c r="C118" s="1" t="n">
        <v>45576</v>
      </c>
      <c r="D118" t="inlineStr">
        <is>
          <t>VÄSTERNORRLANDS LÄN</t>
        </is>
      </c>
      <c r="E118" t="inlineStr">
        <is>
          <t>SOLLEFTEÅ</t>
        </is>
      </c>
      <c r="F118" t="inlineStr">
        <is>
          <t>SCA</t>
        </is>
      </c>
      <c r="G118" t="n">
        <v>5.7</v>
      </c>
      <c r="H118" t="n">
        <v>1</v>
      </c>
      <c r="I118" t="n">
        <v>2</v>
      </c>
      <c r="J118" t="n">
        <v>4</v>
      </c>
      <c r="K118" t="n">
        <v>0</v>
      </c>
      <c r="L118" t="n">
        <v>0</v>
      </c>
      <c r="M118" t="n">
        <v>0</v>
      </c>
      <c r="N118" t="n">
        <v>0</v>
      </c>
      <c r="O118" t="n">
        <v>4</v>
      </c>
      <c r="P118" t="n">
        <v>0</v>
      </c>
      <c r="Q118" t="n">
        <v>6</v>
      </c>
      <c r="R118" s="2" t="inlineStr">
        <is>
          <t>Garnlav
Lunglav
Tretåig hackspett
Ullticka
Bollvitmossa
Bårdlav</t>
        </is>
      </c>
      <c r="S118">
        <f>HYPERLINK("https://klasma.github.io/Logging_2283/artfynd/A 2068-2024 artfynd.xlsx", "A 2068-2024")</f>
        <v/>
      </c>
      <c r="T118">
        <f>HYPERLINK("https://klasma.github.io/Logging_2283/kartor/A 2068-2024 karta.png", "A 2068-2024")</f>
        <v/>
      </c>
      <c r="V118">
        <f>HYPERLINK("https://klasma.github.io/Logging_2283/klagomål/A 2068-2024 FSC-klagomål.docx", "A 2068-2024")</f>
        <v/>
      </c>
      <c r="W118">
        <f>HYPERLINK("https://klasma.github.io/Logging_2283/klagomålsmail/A 2068-2024 FSC-klagomål mail.docx", "A 2068-2024")</f>
        <v/>
      </c>
      <c r="X118">
        <f>HYPERLINK("https://klasma.github.io/Logging_2283/tillsyn/A 2068-2024 tillsynsbegäran.docx", "A 2068-2024")</f>
        <v/>
      </c>
      <c r="Y118">
        <f>HYPERLINK("https://klasma.github.io/Logging_2283/tillsynsmail/A 2068-2024 tillsynsbegäran mail.docx", "A 2068-2024")</f>
        <v/>
      </c>
      <c r="Z118">
        <f>HYPERLINK("https://klasma.github.io/Logging_2283/fåglar/A 2068-2024 prioriterade fågelarter.docx", "A 2068-2024")</f>
        <v/>
      </c>
    </row>
    <row r="119" ht="15" customHeight="1">
      <c r="A119" t="inlineStr">
        <is>
          <t>A 7114-2024</t>
        </is>
      </c>
      <c r="B119" s="1" t="n">
        <v>45343</v>
      </c>
      <c r="C119" s="1" t="n">
        <v>45576</v>
      </c>
      <c r="D119" t="inlineStr">
        <is>
          <t>VÄSTERNORRLANDS LÄN</t>
        </is>
      </c>
      <c r="E119" t="inlineStr">
        <is>
          <t>SOLLEFTEÅ</t>
        </is>
      </c>
      <c r="F119" t="inlineStr">
        <is>
          <t>SCA</t>
        </is>
      </c>
      <c r="G119" t="n">
        <v>2.9</v>
      </c>
      <c r="H119" t="n">
        <v>3</v>
      </c>
      <c r="I119" t="n">
        <v>0</v>
      </c>
      <c r="J119" t="n">
        <v>6</v>
      </c>
      <c r="K119" t="n">
        <v>0</v>
      </c>
      <c r="L119" t="n">
        <v>0</v>
      </c>
      <c r="M119" t="n">
        <v>0</v>
      </c>
      <c r="N119" t="n">
        <v>0</v>
      </c>
      <c r="O119" t="n">
        <v>6</v>
      </c>
      <c r="P119" t="n">
        <v>0</v>
      </c>
      <c r="Q119" t="n">
        <v>6</v>
      </c>
      <c r="R119" s="2" t="inlineStr">
        <is>
          <t>Garnlav
Järpe
Rosenticka
Spillkråka
Tretåig hackspett
Ullticka</t>
        </is>
      </c>
      <c r="S119">
        <f>HYPERLINK("https://klasma.github.io/Logging_2283/artfynd/A 7114-2024 artfynd.xlsx", "A 7114-2024")</f>
        <v/>
      </c>
      <c r="T119">
        <f>HYPERLINK("https://klasma.github.io/Logging_2283/kartor/A 7114-2024 karta.png", "A 7114-2024")</f>
        <v/>
      </c>
      <c r="V119">
        <f>HYPERLINK("https://klasma.github.io/Logging_2283/klagomål/A 7114-2024 FSC-klagomål.docx", "A 7114-2024")</f>
        <v/>
      </c>
      <c r="W119">
        <f>HYPERLINK("https://klasma.github.io/Logging_2283/klagomålsmail/A 7114-2024 FSC-klagomål mail.docx", "A 7114-2024")</f>
        <v/>
      </c>
      <c r="X119">
        <f>HYPERLINK("https://klasma.github.io/Logging_2283/tillsyn/A 7114-2024 tillsynsbegäran.docx", "A 7114-2024")</f>
        <v/>
      </c>
      <c r="Y119">
        <f>HYPERLINK("https://klasma.github.io/Logging_2283/tillsynsmail/A 7114-2024 tillsynsbegäran mail.docx", "A 7114-2024")</f>
        <v/>
      </c>
      <c r="Z119">
        <f>HYPERLINK("https://klasma.github.io/Logging_2283/fåglar/A 7114-2024 prioriterade fågelarter.docx", "A 7114-2024")</f>
        <v/>
      </c>
    </row>
    <row r="120" ht="15" customHeight="1">
      <c r="A120" t="inlineStr">
        <is>
          <t>A 11552-2024</t>
        </is>
      </c>
      <c r="B120" s="1" t="n">
        <v>45372</v>
      </c>
      <c r="C120" s="1" t="n">
        <v>45576</v>
      </c>
      <c r="D120" t="inlineStr">
        <is>
          <t>VÄSTERNORRLANDS LÄN</t>
        </is>
      </c>
      <c r="E120" t="inlineStr">
        <is>
          <t>SOLLEFTEÅ</t>
        </is>
      </c>
      <c r="F120" t="inlineStr">
        <is>
          <t>SCA</t>
        </is>
      </c>
      <c r="G120" t="n">
        <v>2.5</v>
      </c>
      <c r="H120" t="n">
        <v>1</v>
      </c>
      <c r="I120" t="n">
        <v>0</v>
      </c>
      <c r="J120" t="n">
        <v>6</v>
      </c>
      <c r="K120" t="n">
        <v>0</v>
      </c>
      <c r="L120" t="n">
        <v>0</v>
      </c>
      <c r="M120" t="n">
        <v>0</v>
      </c>
      <c r="N120" t="n">
        <v>0</v>
      </c>
      <c r="O120" t="n">
        <v>6</v>
      </c>
      <c r="P120" t="n">
        <v>0</v>
      </c>
      <c r="Q120" t="n">
        <v>6</v>
      </c>
      <c r="R120" s="2" t="inlineStr">
        <is>
          <t>Garnlav
Lunglav
Rosenticka
Tallticka
Tretåig hackspett
Ullticka</t>
        </is>
      </c>
      <c r="S120">
        <f>HYPERLINK("https://klasma.github.io/Logging_2283/artfynd/A 11552-2024 artfynd.xlsx", "A 11552-2024")</f>
        <v/>
      </c>
      <c r="T120">
        <f>HYPERLINK("https://klasma.github.io/Logging_2283/kartor/A 11552-2024 karta.png", "A 11552-2024")</f>
        <v/>
      </c>
      <c r="V120">
        <f>HYPERLINK("https://klasma.github.io/Logging_2283/klagomål/A 11552-2024 FSC-klagomål.docx", "A 11552-2024")</f>
        <v/>
      </c>
      <c r="W120">
        <f>HYPERLINK("https://klasma.github.io/Logging_2283/klagomålsmail/A 11552-2024 FSC-klagomål mail.docx", "A 11552-2024")</f>
        <v/>
      </c>
      <c r="X120">
        <f>HYPERLINK("https://klasma.github.io/Logging_2283/tillsyn/A 11552-2024 tillsynsbegäran.docx", "A 11552-2024")</f>
        <v/>
      </c>
      <c r="Y120">
        <f>HYPERLINK("https://klasma.github.io/Logging_2283/tillsynsmail/A 11552-2024 tillsynsbegäran mail.docx", "A 11552-2024")</f>
        <v/>
      </c>
      <c r="Z120">
        <f>HYPERLINK("https://klasma.github.io/Logging_2283/fåglar/A 11552-2024 prioriterade fågelarter.docx", "A 11552-2024")</f>
        <v/>
      </c>
    </row>
    <row r="121" ht="15" customHeight="1">
      <c r="A121" t="inlineStr">
        <is>
          <t>A 29250-2024</t>
        </is>
      </c>
      <c r="B121" s="1" t="n">
        <v>45482</v>
      </c>
      <c r="C121" s="1" t="n">
        <v>45576</v>
      </c>
      <c r="D121" t="inlineStr">
        <is>
          <t>VÄSTERNORRLANDS LÄN</t>
        </is>
      </c>
      <c r="E121" t="inlineStr">
        <is>
          <t>SOLLEFTEÅ</t>
        </is>
      </c>
      <c r="F121" t="inlineStr">
        <is>
          <t>SCA</t>
        </is>
      </c>
      <c r="G121" t="n">
        <v>14.4</v>
      </c>
      <c r="H121" t="n">
        <v>4</v>
      </c>
      <c r="I121" t="n">
        <v>1</v>
      </c>
      <c r="J121" t="n">
        <v>4</v>
      </c>
      <c r="K121" t="n">
        <v>1</v>
      </c>
      <c r="L121" t="n">
        <v>0</v>
      </c>
      <c r="M121" t="n">
        <v>0</v>
      </c>
      <c r="N121" t="n">
        <v>0</v>
      </c>
      <c r="O121" t="n">
        <v>5</v>
      </c>
      <c r="P121" t="n">
        <v>1</v>
      </c>
      <c r="Q121" t="n">
        <v>6</v>
      </c>
      <c r="R121" s="2" t="inlineStr">
        <is>
          <t>Knärot
Granticka
Harticka
Järpe
Tretåig hackspett
Lappranunkel</t>
        </is>
      </c>
      <c r="S121">
        <f>HYPERLINK("https://klasma.github.io/Logging_2283/artfynd/A 29250-2024 artfynd.xlsx", "A 29250-2024")</f>
        <v/>
      </c>
      <c r="T121">
        <f>HYPERLINK("https://klasma.github.io/Logging_2283/kartor/A 29250-2024 karta.png", "A 29250-2024")</f>
        <v/>
      </c>
      <c r="U121">
        <f>HYPERLINK("https://klasma.github.io/Logging_2283/knärot/A 29250-2024 karta knärot.png", "A 29250-2024")</f>
        <v/>
      </c>
      <c r="V121">
        <f>HYPERLINK("https://klasma.github.io/Logging_2283/klagomål/A 29250-2024 FSC-klagomål.docx", "A 29250-2024")</f>
        <v/>
      </c>
      <c r="W121">
        <f>HYPERLINK("https://klasma.github.io/Logging_2283/klagomålsmail/A 29250-2024 FSC-klagomål mail.docx", "A 29250-2024")</f>
        <v/>
      </c>
      <c r="X121">
        <f>HYPERLINK("https://klasma.github.io/Logging_2283/tillsyn/A 29250-2024 tillsynsbegäran.docx", "A 29250-2024")</f>
        <v/>
      </c>
      <c r="Y121">
        <f>HYPERLINK("https://klasma.github.io/Logging_2283/tillsynsmail/A 29250-2024 tillsynsbegäran mail.docx", "A 29250-2024")</f>
        <v/>
      </c>
      <c r="Z121">
        <f>HYPERLINK("https://klasma.github.io/Logging_2283/fåglar/A 29250-2024 prioriterade fågelarter.docx", "A 29250-2024")</f>
        <v/>
      </c>
    </row>
    <row r="122" ht="15" customHeight="1">
      <c r="A122" t="inlineStr">
        <is>
          <t>A 32448-2024</t>
        </is>
      </c>
      <c r="B122" s="1" t="n">
        <v>45512</v>
      </c>
      <c r="C122" s="1" t="n">
        <v>45576</v>
      </c>
      <c r="D122" t="inlineStr">
        <is>
          <t>VÄSTERNORRLANDS LÄN</t>
        </is>
      </c>
      <c r="E122" t="inlineStr">
        <is>
          <t>SOLLEFTEÅ</t>
        </is>
      </c>
      <c r="F122" t="inlineStr">
        <is>
          <t>SCA</t>
        </is>
      </c>
      <c r="G122" t="n">
        <v>6</v>
      </c>
      <c r="H122" t="n">
        <v>1</v>
      </c>
      <c r="I122" t="n">
        <v>1</v>
      </c>
      <c r="J122" t="n">
        <v>3</v>
      </c>
      <c r="K122" t="n">
        <v>1</v>
      </c>
      <c r="L122" t="n">
        <v>0</v>
      </c>
      <c r="M122" t="n">
        <v>0</v>
      </c>
      <c r="N122" t="n">
        <v>0</v>
      </c>
      <c r="O122" t="n">
        <v>4</v>
      </c>
      <c r="P122" t="n">
        <v>1</v>
      </c>
      <c r="Q122" t="n">
        <v>6</v>
      </c>
      <c r="R122" s="2" t="inlineStr">
        <is>
          <t>Rynkskinn
Garnlav
Rosenticka
Ullticka
Vedticka
Revlummer</t>
        </is>
      </c>
      <c r="S122">
        <f>HYPERLINK("https://klasma.github.io/Logging_2283/artfynd/A 32448-2024 artfynd.xlsx", "A 32448-2024")</f>
        <v/>
      </c>
      <c r="T122">
        <f>HYPERLINK("https://klasma.github.io/Logging_2283/kartor/A 32448-2024 karta.png", "A 32448-2024")</f>
        <v/>
      </c>
      <c r="V122">
        <f>HYPERLINK("https://klasma.github.io/Logging_2283/klagomål/A 32448-2024 FSC-klagomål.docx", "A 32448-2024")</f>
        <v/>
      </c>
      <c r="W122">
        <f>HYPERLINK("https://klasma.github.io/Logging_2283/klagomålsmail/A 32448-2024 FSC-klagomål mail.docx", "A 32448-2024")</f>
        <v/>
      </c>
      <c r="X122">
        <f>HYPERLINK("https://klasma.github.io/Logging_2283/tillsyn/A 32448-2024 tillsynsbegäran.docx", "A 32448-2024")</f>
        <v/>
      </c>
      <c r="Y122">
        <f>HYPERLINK("https://klasma.github.io/Logging_2283/tillsynsmail/A 32448-2024 tillsynsbegäran mail.docx", "A 32448-2024")</f>
        <v/>
      </c>
    </row>
    <row r="123" ht="15" customHeight="1">
      <c r="A123" t="inlineStr">
        <is>
          <t>A 35406-2024</t>
        </is>
      </c>
      <c r="B123" s="1" t="n">
        <v>45531</v>
      </c>
      <c r="C123" s="1" t="n">
        <v>45576</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36470-2024</t>
        </is>
      </c>
      <c r="B124" s="1" t="n">
        <v>45537</v>
      </c>
      <c r="C124" s="1" t="n">
        <v>45576</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40094-2024</t>
        </is>
      </c>
      <c r="B125" s="1" t="n">
        <v>45554</v>
      </c>
      <c r="C125" s="1" t="n">
        <v>45576</v>
      </c>
      <c r="D125" t="inlineStr">
        <is>
          <t>VÄSTERNORRLANDS LÄN</t>
        </is>
      </c>
      <c r="E125" t="inlineStr">
        <is>
          <t>SOLLEFTEÅ</t>
        </is>
      </c>
      <c r="F125" t="inlineStr">
        <is>
          <t>SCA</t>
        </is>
      </c>
      <c r="G125" t="n">
        <v>7.9</v>
      </c>
      <c r="H125" t="n">
        <v>2</v>
      </c>
      <c r="I125" t="n">
        <v>0</v>
      </c>
      <c r="J125" t="n">
        <v>6</v>
      </c>
      <c r="K125" t="n">
        <v>0</v>
      </c>
      <c r="L125" t="n">
        <v>0</v>
      </c>
      <c r="M125" t="n">
        <v>0</v>
      </c>
      <c r="N125" t="n">
        <v>0</v>
      </c>
      <c r="O125" t="n">
        <v>6</v>
      </c>
      <c r="P125" t="n">
        <v>0</v>
      </c>
      <c r="Q125" t="n">
        <v>6</v>
      </c>
      <c r="R125" s="2" t="inlineStr">
        <is>
          <t>Granticka
Lunglav
Skogshare
Skrovellav
Talltita
Tretåig hackspett</t>
        </is>
      </c>
      <c r="S125">
        <f>HYPERLINK("https://klasma.github.io/Logging_2283/artfynd/A 40094-2024 artfynd.xlsx", "A 40094-2024")</f>
        <v/>
      </c>
      <c r="T125">
        <f>HYPERLINK("https://klasma.github.io/Logging_2283/kartor/A 40094-2024 karta.png", "A 40094-2024")</f>
        <v/>
      </c>
      <c r="V125">
        <f>HYPERLINK("https://klasma.github.io/Logging_2283/klagomål/A 40094-2024 FSC-klagomål.docx", "A 40094-2024")</f>
        <v/>
      </c>
      <c r="W125">
        <f>HYPERLINK("https://klasma.github.io/Logging_2283/klagomålsmail/A 40094-2024 FSC-klagomål mail.docx", "A 40094-2024")</f>
        <v/>
      </c>
      <c r="X125">
        <f>HYPERLINK("https://klasma.github.io/Logging_2283/tillsyn/A 40094-2024 tillsynsbegäran.docx", "A 40094-2024")</f>
        <v/>
      </c>
      <c r="Y125">
        <f>HYPERLINK("https://klasma.github.io/Logging_2283/tillsynsmail/A 40094-2024 tillsynsbegäran mail.docx", "A 40094-2024")</f>
        <v/>
      </c>
      <c r="Z125">
        <f>HYPERLINK("https://klasma.github.io/Logging_2283/fåglar/A 40094-2024 prioriterade fågelarter.docx", "A 40094-2024")</f>
        <v/>
      </c>
    </row>
    <row r="126" ht="15" customHeight="1">
      <c r="A126" t="inlineStr">
        <is>
          <t>A 41785-2019</t>
        </is>
      </c>
      <c r="B126" s="1" t="n">
        <v>43699</v>
      </c>
      <c r="C126" s="1" t="n">
        <v>45576</v>
      </c>
      <c r="D126" t="inlineStr">
        <is>
          <t>VÄSTERNORRLANDS LÄN</t>
        </is>
      </c>
      <c r="E126" t="inlineStr">
        <is>
          <t>SOLLEFTEÅ</t>
        </is>
      </c>
      <c r="F126" t="inlineStr">
        <is>
          <t>SCA</t>
        </is>
      </c>
      <c r="G126" t="n">
        <v>3.1</v>
      </c>
      <c r="H126" t="n">
        <v>0</v>
      </c>
      <c r="I126" t="n">
        <v>1</v>
      </c>
      <c r="J126" t="n">
        <v>3</v>
      </c>
      <c r="K126" t="n">
        <v>1</v>
      </c>
      <c r="L126" t="n">
        <v>0</v>
      </c>
      <c r="M126" t="n">
        <v>0</v>
      </c>
      <c r="N126" t="n">
        <v>0</v>
      </c>
      <c r="O126" t="n">
        <v>4</v>
      </c>
      <c r="P126" t="n">
        <v>1</v>
      </c>
      <c r="Q126" t="n">
        <v>5</v>
      </c>
      <c r="R126" s="2" t="inlineStr">
        <is>
          <t>Rynkskinn
Rosenticka
Ullticka
Violmussling
Stor aspticka</t>
        </is>
      </c>
      <c r="S126">
        <f>HYPERLINK("https://klasma.github.io/Logging_2283/artfynd/A 41785-2019 artfynd.xlsx", "A 41785-2019")</f>
        <v/>
      </c>
      <c r="T126">
        <f>HYPERLINK("https://klasma.github.io/Logging_2283/kartor/A 41785-2019 karta.png", "A 41785-2019")</f>
        <v/>
      </c>
      <c r="V126">
        <f>HYPERLINK("https://klasma.github.io/Logging_2283/klagomål/A 41785-2019 FSC-klagomål.docx", "A 41785-2019")</f>
        <v/>
      </c>
      <c r="W126">
        <f>HYPERLINK("https://klasma.github.io/Logging_2283/klagomålsmail/A 41785-2019 FSC-klagomål mail.docx", "A 41785-2019")</f>
        <v/>
      </c>
      <c r="X126">
        <f>HYPERLINK("https://klasma.github.io/Logging_2283/tillsyn/A 41785-2019 tillsynsbegäran.docx", "A 41785-2019")</f>
        <v/>
      </c>
      <c r="Y126">
        <f>HYPERLINK("https://klasma.github.io/Logging_2283/tillsynsmail/A 41785-2019 tillsynsbegäran mail.docx", "A 41785-2019")</f>
        <v/>
      </c>
    </row>
    <row r="127" ht="15" customHeight="1">
      <c r="A127" t="inlineStr">
        <is>
          <t>A 33209-2020</t>
        </is>
      </c>
      <c r="B127" s="1" t="n">
        <v>44021</v>
      </c>
      <c r="C127" s="1" t="n">
        <v>45576</v>
      </c>
      <c r="D127" t="inlineStr">
        <is>
          <t>VÄSTERNORRLANDS LÄN</t>
        </is>
      </c>
      <c r="E127" t="inlineStr">
        <is>
          <t>SOLLEFTEÅ</t>
        </is>
      </c>
      <c r="F127" t="inlineStr">
        <is>
          <t>SCA</t>
        </is>
      </c>
      <c r="G127" t="n">
        <v>2</v>
      </c>
      <c r="H127" t="n">
        <v>2</v>
      </c>
      <c r="I127" t="n">
        <v>0</v>
      </c>
      <c r="J127" t="n">
        <v>5</v>
      </c>
      <c r="K127" t="n">
        <v>0</v>
      </c>
      <c r="L127" t="n">
        <v>0</v>
      </c>
      <c r="M127" t="n">
        <v>0</v>
      </c>
      <c r="N127" t="n">
        <v>0</v>
      </c>
      <c r="O127" t="n">
        <v>5</v>
      </c>
      <c r="P127" t="n">
        <v>0</v>
      </c>
      <c r="Q127" t="n">
        <v>5</v>
      </c>
      <c r="R127" s="2" t="inlineStr">
        <is>
          <t>Garnlav
Granticka
Harticka
Talltita
Tretåig hackspett</t>
        </is>
      </c>
      <c r="S127">
        <f>HYPERLINK("https://klasma.github.io/Logging_2283/artfynd/A 33209-2020 artfynd.xlsx", "A 33209-2020")</f>
        <v/>
      </c>
      <c r="T127">
        <f>HYPERLINK("https://klasma.github.io/Logging_2283/kartor/A 33209-2020 karta.png", "A 33209-2020")</f>
        <v/>
      </c>
      <c r="V127">
        <f>HYPERLINK("https://klasma.github.io/Logging_2283/klagomål/A 33209-2020 FSC-klagomål.docx", "A 33209-2020")</f>
        <v/>
      </c>
      <c r="W127">
        <f>HYPERLINK("https://klasma.github.io/Logging_2283/klagomålsmail/A 33209-2020 FSC-klagomål mail.docx", "A 33209-2020")</f>
        <v/>
      </c>
      <c r="X127">
        <f>HYPERLINK("https://klasma.github.io/Logging_2283/tillsyn/A 33209-2020 tillsynsbegäran.docx", "A 33209-2020")</f>
        <v/>
      </c>
      <c r="Y127">
        <f>HYPERLINK("https://klasma.github.io/Logging_2283/tillsynsmail/A 33209-2020 tillsynsbegäran mail.docx", "A 33209-2020")</f>
        <v/>
      </c>
      <c r="Z127">
        <f>HYPERLINK("https://klasma.github.io/Logging_2283/fåglar/A 33209-2020 prioriterade fågelarter.docx", "A 33209-2020")</f>
        <v/>
      </c>
    </row>
    <row r="128" ht="15" customHeight="1">
      <c r="A128" t="inlineStr">
        <is>
          <t>A 33612-2020</t>
        </is>
      </c>
      <c r="B128" s="1" t="n">
        <v>44025</v>
      </c>
      <c r="C128" s="1" t="n">
        <v>45576</v>
      </c>
      <c r="D128" t="inlineStr">
        <is>
          <t>VÄSTERNORRLANDS LÄN</t>
        </is>
      </c>
      <c r="E128" t="inlineStr">
        <is>
          <t>SOLLEFTEÅ</t>
        </is>
      </c>
      <c r="F128" t="inlineStr">
        <is>
          <t>SCA</t>
        </is>
      </c>
      <c r="G128" t="n">
        <v>2.3</v>
      </c>
      <c r="H128" t="n">
        <v>2</v>
      </c>
      <c r="I128" t="n">
        <v>1</v>
      </c>
      <c r="J128" t="n">
        <v>3</v>
      </c>
      <c r="K128" t="n">
        <v>0</v>
      </c>
      <c r="L128" t="n">
        <v>0</v>
      </c>
      <c r="M128" t="n">
        <v>0</v>
      </c>
      <c r="N128" t="n">
        <v>0</v>
      </c>
      <c r="O128" t="n">
        <v>3</v>
      </c>
      <c r="P128" t="n">
        <v>0</v>
      </c>
      <c r="Q128" t="n">
        <v>5</v>
      </c>
      <c r="R128" s="2" t="inlineStr">
        <is>
          <t>Dvärgbägarlav
Garnlav
Tretåig hackspett
Dropptaggsvamp
Tjäder</t>
        </is>
      </c>
      <c r="S128">
        <f>HYPERLINK("https://klasma.github.io/Logging_2283/artfynd/A 33612-2020 artfynd.xlsx", "A 33612-2020")</f>
        <v/>
      </c>
      <c r="T128">
        <f>HYPERLINK("https://klasma.github.io/Logging_2283/kartor/A 33612-2020 karta.png", "A 33612-2020")</f>
        <v/>
      </c>
      <c r="V128">
        <f>HYPERLINK("https://klasma.github.io/Logging_2283/klagomål/A 33612-2020 FSC-klagomål.docx", "A 33612-2020")</f>
        <v/>
      </c>
      <c r="W128">
        <f>HYPERLINK("https://klasma.github.io/Logging_2283/klagomålsmail/A 33612-2020 FSC-klagomål mail.docx", "A 33612-2020")</f>
        <v/>
      </c>
      <c r="X128">
        <f>HYPERLINK("https://klasma.github.io/Logging_2283/tillsyn/A 33612-2020 tillsynsbegäran.docx", "A 33612-2020")</f>
        <v/>
      </c>
      <c r="Y128">
        <f>HYPERLINK("https://klasma.github.io/Logging_2283/tillsynsmail/A 33612-2020 tillsynsbegäran mail.docx", "A 33612-2020")</f>
        <v/>
      </c>
      <c r="Z128">
        <f>HYPERLINK("https://klasma.github.io/Logging_2283/fåglar/A 33612-2020 prioriterade fågelarter.docx", "A 33612-2020")</f>
        <v/>
      </c>
    </row>
    <row r="129" ht="15" customHeight="1">
      <c r="A129" t="inlineStr">
        <is>
          <t>A 57076-2020</t>
        </is>
      </c>
      <c r="B129" s="1" t="n">
        <v>44138</v>
      </c>
      <c r="C129" s="1" t="n">
        <v>45576</v>
      </c>
      <c r="D129" t="inlineStr">
        <is>
          <t>VÄSTERNORRLANDS LÄN</t>
        </is>
      </c>
      <c r="E129" t="inlineStr">
        <is>
          <t>SOLLEFTEÅ</t>
        </is>
      </c>
      <c r="G129" t="n">
        <v>3.8</v>
      </c>
      <c r="H129" t="n">
        <v>3</v>
      </c>
      <c r="I129" t="n">
        <v>1</v>
      </c>
      <c r="J129" t="n">
        <v>3</v>
      </c>
      <c r="K129" t="n">
        <v>0</v>
      </c>
      <c r="L129" t="n">
        <v>0</v>
      </c>
      <c r="M129" t="n">
        <v>0</v>
      </c>
      <c r="N129" t="n">
        <v>0</v>
      </c>
      <c r="O129" t="n">
        <v>3</v>
      </c>
      <c r="P129" t="n">
        <v>0</v>
      </c>
      <c r="Q129" t="n">
        <v>5</v>
      </c>
      <c r="R129" s="2" t="inlineStr">
        <is>
          <t>Kråka
Nipsippa
Rosenticka
Strutbräken
Revlummer</t>
        </is>
      </c>
      <c r="S129">
        <f>HYPERLINK("https://klasma.github.io/Logging_2283/artfynd/A 57076-2020 artfynd.xlsx", "A 57076-2020")</f>
        <v/>
      </c>
      <c r="T129">
        <f>HYPERLINK("https://klasma.github.io/Logging_2283/kartor/A 57076-2020 karta.png", "A 57076-2020")</f>
        <v/>
      </c>
      <c r="V129">
        <f>HYPERLINK("https://klasma.github.io/Logging_2283/klagomål/A 57076-2020 FSC-klagomål.docx", "A 57076-2020")</f>
        <v/>
      </c>
      <c r="W129">
        <f>HYPERLINK("https://klasma.github.io/Logging_2283/klagomålsmail/A 57076-2020 FSC-klagomål mail.docx", "A 57076-2020")</f>
        <v/>
      </c>
      <c r="X129">
        <f>HYPERLINK("https://klasma.github.io/Logging_2283/tillsyn/A 57076-2020 tillsynsbegäran.docx", "A 57076-2020")</f>
        <v/>
      </c>
      <c r="Y129">
        <f>HYPERLINK("https://klasma.github.io/Logging_2283/tillsynsmail/A 57076-2020 tillsynsbegäran mail.docx", "A 57076-2020")</f>
        <v/>
      </c>
      <c r="Z129">
        <f>HYPERLINK("https://klasma.github.io/Logging_2283/fåglar/A 57076-2020 prioriterade fågelarter.docx", "A 57076-2020")</f>
        <v/>
      </c>
    </row>
    <row r="130" ht="15" customHeight="1">
      <c r="A130" t="inlineStr">
        <is>
          <t>A 59318-2021</t>
        </is>
      </c>
      <c r="B130" s="1" t="n">
        <v>44491</v>
      </c>
      <c r="C130" s="1" t="n">
        <v>45576</v>
      </c>
      <c r="D130" t="inlineStr">
        <is>
          <t>VÄSTERNORRLANDS LÄN</t>
        </is>
      </c>
      <c r="E130" t="inlineStr">
        <is>
          <t>SOLLEFTEÅ</t>
        </is>
      </c>
      <c r="G130" t="n">
        <v>1.2</v>
      </c>
      <c r="H130" t="n">
        <v>2</v>
      </c>
      <c r="I130" t="n">
        <v>1</v>
      </c>
      <c r="J130" t="n">
        <v>4</v>
      </c>
      <c r="K130" t="n">
        <v>0</v>
      </c>
      <c r="L130" t="n">
        <v>0</v>
      </c>
      <c r="M130" t="n">
        <v>0</v>
      </c>
      <c r="N130" t="n">
        <v>0</v>
      </c>
      <c r="O130" t="n">
        <v>4</v>
      </c>
      <c r="P130" t="n">
        <v>0</v>
      </c>
      <c r="Q130" t="n">
        <v>5</v>
      </c>
      <c r="R130" s="2" t="inlineStr">
        <is>
          <t>Gammelgransskål
Garnlav
Spillkråka
Talltita
Skinnlav</t>
        </is>
      </c>
      <c r="S130">
        <f>HYPERLINK("https://klasma.github.io/Logging_2283/artfynd/A 59318-2021 artfynd.xlsx", "A 59318-2021")</f>
        <v/>
      </c>
      <c r="T130">
        <f>HYPERLINK("https://klasma.github.io/Logging_2283/kartor/A 59318-2021 karta.png", "A 59318-2021")</f>
        <v/>
      </c>
      <c r="V130">
        <f>HYPERLINK("https://klasma.github.io/Logging_2283/klagomål/A 59318-2021 FSC-klagomål.docx", "A 59318-2021")</f>
        <v/>
      </c>
      <c r="W130">
        <f>HYPERLINK("https://klasma.github.io/Logging_2283/klagomålsmail/A 59318-2021 FSC-klagomål mail.docx", "A 59318-2021")</f>
        <v/>
      </c>
      <c r="X130">
        <f>HYPERLINK("https://klasma.github.io/Logging_2283/tillsyn/A 59318-2021 tillsynsbegäran.docx", "A 59318-2021")</f>
        <v/>
      </c>
      <c r="Y130">
        <f>HYPERLINK("https://klasma.github.io/Logging_2283/tillsynsmail/A 59318-2021 tillsynsbegäran mail.docx", "A 59318-2021")</f>
        <v/>
      </c>
      <c r="Z130">
        <f>HYPERLINK("https://klasma.github.io/Logging_2283/fåglar/A 59318-2021 prioriterade fågelarter.docx", "A 59318-2021")</f>
        <v/>
      </c>
    </row>
    <row r="131" ht="15" customHeight="1">
      <c r="A131" t="inlineStr">
        <is>
          <t>A 68354-2021</t>
        </is>
      </c>
      <c r="B131" s="1" t="n">
        <v>44528</v>
      </c>
      <c r="C131" s="1" t="n">
        <v>45576</v>
      </c>
      <c r="D131" t="inlineStr">
        <is>
          <t>VÄSTERNORRLANDS LÄN</t>
        </is>
      </c>
      <c r="E131" t="inlineStr">
        <is>
          <t>SOLLEFTEÅ</t>
        </is>
      </c>
      <c r="G131" t="n">
        <v>3.3</v>
      </c>
      <c r="H131" t="n">
        <v>2</v>
      </c>
      <c r="I131" t="n">
        <v>1</v>
      </c>
      <c r="J131" t="n">
        <v>4</v>
      </c>
      <c r="K131" t="n">
        <v>0</v>
      </c>
      <c r="L131" t="n">
        <v>0</v>
      </c>
      <c r="M131" t="n">
        <v>0</v>
      </c>
      <c r="N131" t="n">
        <v>0</v>
      </c>
      <c r="O131" t="n">
        <v>4</v>
      </c>
      <c r="P131" t="n">
        <v>0</v>
      </c>
      <c r="Q131" t="n">
        <v>5</v>
      </c>
      <c r="R131" s="2" t="inlineStr">
        <is>
          <t>Rosenticka
Spillkråka
Talltita
Ullticka
Vanlig flatbagge</t>
        </is>
      </c>
      <c r="S131">
        <f>HYPERLINK("https://klasma.github.io/Logging_2283/artfynd/A 68354-2021 artfynd.xlsx", "A 68354-2021")</f>
        <v/>
      </c>
      <c r="T131">
        <f>HYPERLINK("https://klasma.github.io/Logging_2283/kartor/A 68354-2021 karta.png", "A 68354-2021")</f>
        <v/>
      </c>
      <c r="V131">
        <f>HYPERLINK("https://klasma.github.io/Logging_2283/klagomål/A 68354-2021 FSC-klagomål.docx", "A 68354-2021")</f>
        <v/>
      </c>
      <c r="W131">
        <f>HYPERLINK("https://klasma.github.io/Logging_2283/klagomålsmail/A 68354-2021 FSC-klagomål mail.docx", "A 68354-2021")</f>
        <v/>
      </c>
      <c r="X131">
        <f>HYPERLINK("https://klasma.github.io/Logging_2283/tillsyn/A 68354-2021 tillsynsbegäran.docx", "A 68354-2021")</f>
        <v/>
      </c>
      <c r="Y131">
        <f>HYPERLINK("https://klasma.github.io/Logging_2283/tillsynsmail/A 68354-2021 tillsynsbegäran mail.docx", "A 68354-2021")</f>
        <v/>
      </c>
      <c r="Z131">
        <f>HYPERLINK("https://klasma.github.io/Logging_2283/fåglar/A 68354-2021 prioriterade fågelarter.docx", "A 68354-2021")</f>
        <v/>
      </c>
    </row>
    <row r="132" ht="15" customHeight="1">
      <c r="A132" t="inlineStr">
        <is>
          <t>A 10400-2022</t>
        </is>
      </c>
      <c r="B132" s="1" t="n">
        <v>44623</v>
      </c>
      <c r="C132" s="1" t="n">
        <v>45576</v>
      </c>
      <c r="D132" t="inlineStr">
        <is>
          <t>VÄSTERNORRLANDS LÄN</t>
        </is>
      </c>
      <c r="E132" t="inlineStr">
        <is>
          <t>SOLLEFTEÅ</t>
        </is>
      </c>
      <c r="G132" t="n">
        <v>25.8</v>
      </c>
      <c r="H132" t="n">
        <v>2</v>
      </c>
      <c r="I132" t="n">
        <v>1</v>
      </c>
      <c r="J132" t="n">
        <v>4</v>
      </c>
      <c r="K132" t="n">
        <v>0</v>
      </c>
      <c r="L132" t="n">
        <v>0</v>
      </c>
      <c r="M132" t="n">
        <v>0</v>
      </c>
      <c r="N132" t="n">
        <v>0</v>
      </c>
      <c r="O132" t="n">
        <v>4</v>
      </c>
      <c r="P132" t="n">
        <v>0</v>
      </c>
      <c r="Q132" t="n">
        <v>5</v>
      </c>
      <c r="R132" s="2" t="inlineStr">
        <is>
          <t>Lunglav
Spillkråka
Tretåig hackspett
Ullticka
Korallblylav</t>
        </is>
      </c>
      <c r="S132">
        <f>HYPERLINK("https://klasma.github.io/Logging_2283/artfynd/A 10400-2022 artfynd.xlsx", "A 10400-2022")</f>
        <v/>
      </c>
      <c r="T132">
        <f>HYPERLINK("https://klasma.github.io/Logging_2283/kartor/A 10400-2022 karta.png", "A 10400-2022")</f>
        <v/>
      </c>
      <c r="V132">
        <f>HYPERLINK("https://klasma.github.io/Logging_2283/klagomål/A 10400-2022 FSC-klagomål.docx", "A 10400-2022")</f>
        <v/>
      </c>
      <c r="W132">
        <f>HYPERLINK("https://klasma.github.io/Logging_2283/klagomålsmail/A 10400-2022 FSC-klagomål mail.docx", "A 10400-2022")</f>
        <v/>
      </c>
      <c r="X132">
        <f>HYPERLINK("https://klasma.github.io/Logging_2283/tillsyn/A 10400-2022 tillsynsbegäran.docx", "A 10400-2022")</f>
        <v/>
      </c>
      <c r="Y132">
        <f>HYPERLINK("https://klasma.github.io/Logging_2283/tillsynsmail/A 10400-2022 tillsynsbegäran mail.docx", "A 10400-2022")</f>
        <v/>
      </c>
      <c r="Z132">
        <f>HYPERLINK("https://klasma.github.io/Logging_2283/fåglar/A 10400-2022 prioriterade fågelarter.docx", "A 10400-2022")</f>
        <v/>
      </c>
    </row>
    <row r="133" ht="15" customHeight="1">
      <c r="A133" t="inlineStr">
        <is>
          <t>A 11490-2022</t>
        </is>
      </c>
      <c r="B133" s="1" t="n">
        <v>44630</v>
      </c>
      <c r="C133" s="1" t="n">
        <v>45576</v>
      </c>
      <c r="D133" t="inlineStr">
        <is>
          <t>VÄSTERNORRLANDS LÄN</t>
        </is>
      </c>
      <c r="E133" t="inlineStr">
        <is>
          <t>SOLLEFTEÅ</t>
        </is>
      </c>
      <c r="F133" t="inlineStr">
        <is>
          <t>SCA</t>
        </is>
      </c>
      <c r="G133" t="n">
        <v>2</v>
      </c>
      <c r="H133" t="n">
        <v>2</v>
      </c>
      <c r="I133" t="n">
        <v>0</v>
      </c>
      <c r="J133" t="n">
        <v>5</v>
      </c>
      <c r="K133" t="n">
        <v>0</v>
      </c>
      <c r="L133" t="n">
        <v>0</v>
      </c>
      <c r="M133" t="n">
        <v>0</v>
      </c>
      <c r="N133" t="n">
        <v>0</v>
      </c>
      <c r="O133" t="n">
        <v>5</v>
      </c>
      <c r="P133" t="n">
        <v>0</v>
      </c>
      <c r="Q133" t="n">
        <v>5</v>
      </c>
      <c r="R133" s="2" t="inlineStr">
        <is>
          <t>Garnlav
Lunglav
Spillkråka
Tretåig hackspett
Ullticka</t>
        </is>
      </c>
      <c r="S133">
        <f>HYPERLINK("https://klasma.github.io/Logging_2283/artfynd/A 11490-2022 artfynd.xlsx", "A 11490-2022")</f>
        <v/>
      </c>
      <c r="T133">
        <f>HYPERLINK("https://klasma.github.io/Logging_2283/kartor/A 11490-2022 karta.png", "A 11490-2022")</f>
        <v/>
      </c>
      <c r="V133">
        <f>HYPERLINK("https://klasma.github.io/Logging_2283/klagomål/A 11490-2022 FSC-klagomål.docx", "A 11490-2022")</f>
        <v/>
      </c>
      <c r="W133">
        <f>HYPERLINK("https://klasma.github.io/Logging_2283/klagomålsmail/A 11490-2022 FSC-klagomål mail.docx", "A 11490-2022")</f>
        <v/>
      </c>
      <c r="X133">
        <f>HYPERLINK("https://klasma.github.io/Logging_2283/tillsyn/A 11490-2022 tillsynsbegäran.docx", "A 11490-2022")</f>
        <v/>
      </c>
      <c r="Y133">
        <f>HYPERLINK("https://klasma.github.io/Logging_2283/tillsynsmail/A 11490-2022 tillsynsbegäran mail.docx", "A 11490-2022")</f>
        <v/>
      </c>
      <c r="Z133">
        <f>HYPERLINK("https://klasma.github.io/Logging_2283/fåglar/A 11490-2022 prioriterade fågelarter.docx", "A 11490-2022")</f>
        <v/>
      </c>
    </row>
    <row r="134" ht="15" customHeight="1">
      <c r="A134" t="inlineStr">
        <is>
          <t>A 20949-2022</t>
        </is>
      </c>
      <c r="B134" s="1" t="n">
        <v>44702</v>
      </c>
      <c r="C134" s="1" t="n">
        <v>45576</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41169-2022</t>
        </is>
      </c>
      <c r="B135" s="1" t="n">
        <v>44825</v>
      </c>
      <c r="C135" s="1" t="n">
        <v>45576</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81-2023</t>
        </is>
      </c>
      <c r="B136" s="1" t="n">
        <v>44920</v>
      </c>
      <c r="C136" s="1" t="n">
        <v>45576</v>
      </c>
      <c r="D136" t="inlineStr">
        <is>
          <t>VÄSTERNORRLANDS LÄN</t>
        </is>
      </c>
      <c r="E136" t="inlineStr">
        <is>
          <t>SOLLEFTEÅ</t>
        </is>
      </c>
      <c r="G136" t="n">
        <v>20</v>
      </c>
      <c r="H136" t="n">
        <v>2</v>
      </c>
      <c r="I136" t="n">
        <v>1</v>
      </c>
      <c r="J136" t="n">
        <v>3</v>
      </c>
      <c r="K136" t="n">
        <v>1</v>
      </c>
      <c r="L136" t="n">
        <v>0</v>
      </c>
      <c r="M136" t="n">
        <v>0</v>
      </c>
      <c r="N136" t="n">
        <v>0</v>
      </c>
      <c r="O136" t="n">
        <v>4</v>
      </c>
      <c r="P136" t="n">
        <v>1</v>
      </c>
      <c r="Q136" t="n">
        <v>5</v>
      </c>
      <c r="R136" s="2" t="inlineStr">
        <is>
          <t>Knärot
Garnlav
Lunglav
Talltita
Luddlav</t>
        </is>
      </c>
      <c r="S136">
        <f>HYPERLINK("https://klasma.github.io/Logging_2283/artfynd/A 81-2023 artfynd.xlsx", "A 81-2023")</f>
        <v/>
      </c>
      <c r="T136">
        <f>HYPERLINK("https://klasma.github.io/Logging_2283/kartor/A 81-2023 karta.png", "A 81-2023")</f>
        <v/>
      </c>
      <c r="U136">
        <f>HYPERLINK("https://klasma.github.io/Logging_2283/knärot/A 81-2023 karta knärot.png", "A 81-2023")</f>
        <v/>
      </c>
      <c r="V136">
        <f>HYPERLINK("https://klasma.github.io/Logging_2283/klagomål/A 81-2023 FSC-klagomål.docx", "A 81-2023")</f>
        <v/>
      </c>
      <c r="W136">
        <f>HYPERLINK("https://klasma.github.io/Logging_2283/klagomålsmail/A 81-2023 FSC-klagomål mail.docx", "A 81-2023")</f>
        <v/>
      </c>
      <c r="X136">
        <f>HYPERLINK("https://klasma.github.io/Logging_2283/tillsyn/A 81-2023 tillsynsbegäran.docx", "A 81-2023")</f>
        <v/>
      </c>
      <c r="Y136">
        <f>HYPERLINK("https://klasma.github.io/Logging_2283/tillsynsmail/A 81-2023 tillsynsbegäran mail.docx", "A 81-2023")</f>
        <v/>
      </c>
      <c r="Z136">
        <f>HYPERLINK("https://klasma.github.io/Logging_2283/fåglar/A 81-2023 prioriterade fågelarter.docx", "A 81-2023")</f>
        <v/>
      </c>
    </row>
    <row r="137" ht="15" customHeight="1">
      <c r="A137" t="inlineStr">
        <is>
          <t>A 14079-2023</t>
        </is>
      </c>
      <c r="B137" s="1" t="n">
        <v>45009</v>
      </c>
      <c r="C137" s="1" t="n">
        <v>45576</v>
      </c>
      <c r="D137" t="inlineStr">
        <is>
          <t>VÄSTERNORRLANDS LÄN</t>
        </is>
      </c>
      <c r="E137" t="inlineStr">
        <is>
          <t>SOLLEFTEÅ</t>
        </is>
      </c>
      <c r="F137" t="inlineStr">
        <is>
          <t>SCA</t>
        </is>
      </c>
      <c r="G137" t="n">
        <v>9</v>
      </c>
      <c r="H137" t="n">
        <v>0</v>
      </c>
      <c r="I137" t="n">
        <v>0</v>
      </c>
      <c r="J137" t="n">
        <v>5</v>
      </c>
      <c r="K137" t="n">
        <v>0</v>
      </c>
      <c r="L137" t="n">
        <v>0</v>
      </c>
      <c r="M137" t="n">
        <v>0</v>
      </c>
      <c r="N137" t="n">
        <v>0</v>
      </c>
      <c r="O137" t="n">
        <v>5</v>
      </c>
      <c r="P137" t="n">
        <v>0</v>
      </c>
      <c r="Q137" t="n">
        <v>5</v>
      </c>
      <c r="R137" s="2" t="inlineStr">
        <is>
          <t>Gammelgransskål
Garnlav
Ullticka
Vedskivlav
Vedtrappmossa</t>
        </is>
      </c>
      <c r="S137">
        <f>HYPERLINK("https://klasma.github.io/Logging_2283/artfynd/A 14079-2023 artfynd.xlsx", "A 14079-2023")</f>
        <v/>
      </c>
      <c r="T137">
        <f>HYPERLINK("https://klasma.github.io/Logging_2283/kartor/A 14079-2023 karta.png", "A 14079-2023")</f>
        <v/>
      </c>
      <c r="V137">
        <f>HYPERLINK("https://klasma.github.io/Logging_2283/klagomål/A 14079-2023 FSC-klagomål.docx", "A 14079-2023")</f>
        <v/>
      </c>
      <c r="W137">
        <f>HYPERLINK("https://klasma.github.io/Logging_2283/klagomålsmail/A 14079-2023 FSC-klagomål mail.docx", "A 14079-2023")</f>
        <v/>
      </c>
      <c r="X137">
        <f>HYPERLINK("https://klasma.github.io/Logging_2283/tillsyn/A 14079-2023 tillsynsbegäran.docx", "A 14079-2023")</f>
        <v/>
      </c>
      <c r="Y137">
        <f>HYPERLINK("https://klasma.github.io/Logging_2283/tillsynsmail/A 14079-2023 tillsynsbegäran mail.docx", "A 14079-2023")</f>
        <v/>
      </c>
    </row>
    <row r="138" ht="15" customHeight="1">
      <c r="A138" t="inlineStr">
        <is>
          <t>A 18163-2023</t>
        </is>
      </c>
      <c r="B138" s="1" t="n">
        <v>45040</v>
      </c>
      <c r="C138" s="1" t="n">
        <v>45576</v>
      </c>
      <c r="D138" t="inlineStr">
        <is>
          <t>VÄSTERNORRLANDS LÄN</t>
        </is>
      </c>
      <c r="E138" t="inlineStr">
        <is>
          <t>SOLLEFTEÅ</t>
        </is>
      </c>
      <c r="F138" t="inlineStr">
        <is>
          <t>SCA</t>
        </is>
      </c>
      <c r="G138" t="n">
        <v>5.2</v>
      </c>
      <c r="H138" t="n">
        <v>1</v>
      </c>
      <c r="I138" t="n">
        <v>0</v>
      </c>
      <c r="J138" t="n">
        <v>5</v>
      </c>
      <c r="K138" t="n">
        <v>0</v>
      </c>
      <c r="L138" t="n">
        <v>0</v>
      </c>
      <c r="M138" t="n">
        <v>0</v>
      </c>
      <c r="N138" t="n">
        <v>0</v>
      </c>
      <c r="O138" t="n">
        <v>5</v>
      </c>
      <c r="P138" t="n">
        <v>0</v>
      </c>
      <c r="Q138" t="n">
        <v>5</v>
      </c>
      <c r="R138" s="2" t="inlineStr">
        <is>
          <t>Garnlav
Granticka
Kolflarnlav
Spillkråka
Ullticka</t>
        </is>
      </c>
      <c r="S138">
        <f>HYPERLINK("https://klasma.github.io/Logging_2283/artfynd/A 18163-2023 artfynd.xlsx", "A 18163-2023")</f>
        <v/>
      </c>
      <c r="T138">
        <f>HYPERLINK("https://klasma.github.io/Logging_2283/kartor/A 18163-2023 karta.png", "A 18163-2023")</f>
        <v/>
      </c>
      <c r="V138">
        <f>HYPERLINK("https://klasma.github.io/Logging_2283/klagomål/A 18163-2023 FSC-klagomål.docx", "A 18163-2023")</f>
        <v/>
      </c>
      <c r="W138">
        <f>HYPERLINK("https://klasma.github.io/Logging_2283/klagomålsmail/A 18163-2023 FSC-klagomål mail.docx", "A 18163-2023")</f>
        <v/>
      </c>
      <c r="X138">
        <f>HYPERLINK("https://klasma.github.io/Logging_2283/tillsyn/A 18163-2023 tillsynsbegäran.docx", "A 18163-2023")</f>
        <v/>
      </c>
      <c r="Y138">
        <f>HYPERLINK("https://klasma.github.io/Logging_2283/tillsynsmail/A 18163-2023 tillsynsbegäran mail.docx", "A 18163-2023")</f>
        <v/>
      </c>
      <c r="Z138">
        <f>HYPERLINK("https://klasma.github.io/Logging_2283/fåglar/A 18163-2023 prioriterade fågelarter.docx", "A 18163-2023")</f>
        <v/>
      </c>
    </row>
    <row r="139" ht="15" customHeight="1">
      <c r="A139" t="inlineStr">
        <is>
          <t>A 27675-2023</t>
        </is>
      </c>
      <c r="B139" s="1" t="n">
        <v>45097</v>
      </c>
      <c r="C139" s="1" t="n">
        <v>45576</v>
      </c>
      <c r="D139" t="inlineStr">
        <is>
          <t>VÄSTERNORRLANDS LÄN</t>
        </is>
      </c>
      <c r="E139" t="inlineStr">
        <is>
          <t>SOLLEFTEÅ</t>
        </is>
      </c>
      <c r="G139" t="n">
        <v>4.7</v>
      </c>
      <c r="H139" t="n">
        <v>1</v>
      </c>
      <c r="I139" t="n">
        <v>1</v>
      </c>
      <c r="J139" t="n">
        <v>3</v>
      </c>
      <c r="K139" t="n">
        <v>1</v>
      </c>
      <c r="L139" t="n">
        <v>0</v>
      </c>
      <c r="M139" t="n">
        <v>0</v>
      </c>
      <c r="N139" t="n">
        <v>0</v>
      </c>
      <c r="O139" t="n">
        <v>4</v>
      </c>
      <c r="P139" t="n">
        <v>1</v>
      </c>
      <c r="Q139" t="n">
        <v>5</v>
      </c>
      <c r="R139" s="2" t="inlineStr">
        <is>
          <t>Knärot
Garnlav
Lunglav
Ullticka
Stuplav</t>
        </is>
      </c>
      <c r="S139">
        <f>HYPERLINK("https://klasma.github.io/Logging_2283/artfynd/A 27675-2023 artfynd.xlsx", "A 27675-2023")</f>
        <v/>
      </c>
      <c r="T139">
        <f>HYPERLINK("https://klasma.github.io/Logging_2283/kartor/A 27675-2023 karta.png", "A 27675-2023")</f>
        <v/>
      </c>
      <c r="U139">
        <f>HYPERLINK("https://klasma.github.io/Logging_2283/knärot/A 27675-2023 karta knärot.png", "A 27675-2023")</f>
        <v/>
      </c>
      <c r="V139">
        <f>HYPERLINK("https://klasma.github.io/Logging_2283/klagomål/A 27675-2023 FSC-klagomål.docx", "A 27675-2023")</f>
        <v/>
      </c>
      <c r="W139">
        <f>HYPERLINK("https://klasma.github.io/Logging_2283/klagomålsmail/A 27675-2023 FSC-klagomål mail.docx", "A 27675-2023")</f>
        <v/>
      </c>
      <c r="X139">
        <f>HYPERLINK("https://klasma.github.io/Logging_2283/tillsyn/A 27675-2023 tillsynsbegäran.docx", "A 27675-2023")</f>
        <v/>
      </c>
      <c r="Y139">
        <f>HYPERLINK("https://klasma.github.io/Logging_2283/tillsynsmail/A 27675-2023 tillsynsbegäran mail.docx", "A 27675-2023")</f>
        <v/>
      </c>
    </row>
    <row r="140" ht="15" customHeight="1">
      <c r="A140" t="inlineStr">
        <is>
          <t>A 32217-2023</t>
        </is>
      </c>
      <c r="B140" s="1" t="n">
        <v>45119</v>
      </c>
      <c r="C140" s="1" t="n">
        <v>45576</v>
      </c>
      <c r="D140" t="inlineStr">
        <is>
          <t>VÄSTERNORRLANDS LÄN</t>
        </is>
      </c>
      <c r="E140" t="inlineStr">
        <is>
          <t>SOLLEFTEÅ</t>
        </is>
      </c>
      <c r="F140" t="inlineStr">
        <is>
          <t>SCA</t>
        </is>
      </c>
      <c r="G140" t="n">
        <v>1.8</v>
      </c>
      <c r="H140" t="n">
        <v>1</v>
      </c>
      <c r="I140" t="n">
        <v>0</v>
      </c>
      <c r="J140" t="n">
        <v>5</v>
      </c>
      <c r="K140" t="n">
        <v>0</v>
      </c>
      <c r="L140" t="n">
        <v>0</v>
      </c>
      <c r="M140" t="n">
        <v>0</v>
      </c>
      <c r="N140" t="n">
        <v>0</v>
      </c>
      <c r="O140" t="n">
        <v>5</v>
      </c>
      <c r="P140" t="n">
        <v>0</v>
      </c>
      <c r="Q140" t="n">
        <v>5</v>
      </c>
      <c r="R140" s="2" t="inlineStr">
        <is>
          <t>Garnlav
Lunglav
Rosenticka
Skogshare
Tretåig hackspett</t>
        </is>
      </c>
      <c r="S140">
        <f>HYPERLINK("https://klasma.github.io/Logging_2283/artfynd/A 32217-2023 artfynd.xlsx", "A 32217-2023")</f>
        <v/>
      </c>
      <c r="T140">
        <f>HYPERLINK("https://klasma.github.io/Logging_2283/kartor/A 32217-2023 karta.png", "A 32217-2023")</f>
        <v/>
      </c>
      <c r="V140">
        <f>HYPERLINK("https://klasma.github.io/Logging_2283/klagomål/A 32217-2023 FSC-klagomål.docx", "A 32217-2023")</f>
        <v/>
      </c>
      <c r="W140">
        <f>HYPERLINK("https://klasma.github.io/Logging_2283/klagomålsmail/A 32217-2023 FSC-klagomål mail.docx", "A 32217-2023")</f>
        <v/>
      </c>
      <c r="X140">
        <f>HYPERLINK("https://klasma.github.io/Logging_2283/tillsyn/A 32217-2023 tillsynsbegäran.docx", "A 32217-2023")</f>
        <v/>
      </c>
      <c r="Y140">
        <f>HYPERLINK("https://klasma.github.io/Logging_2283/tillsynsmail/A 32217-2023 tillsynsbegäran mail.docx", "A 32217-2023")</f>
        <v/>
      </c>
      <c r="Z140">
        <f>HYPERLINK("https://klasma.github.io/Logging_2283/fåglar/A 32217-2023 prioriterade fågelarter.docx", "A 32217-2023")</f>
        <v/>
      </c>
    </row>
    <row r="141" ht="15" customHeight="1">
      <c r="A141" t="inlineStr">
        <is>
          <t>A 32216-2023</t>
        </is>
      </c>
      <c r="B141" s="1" t="n">
        <v>45120</v>
      </c>
      <c r="C141" s="1" t="n">
        <v>45576</v>
      </c>
      <c r="D141" t="inlineStr">
        <is>
          <t>VÄSTERNORRLANDS LÄN</t>
        </is>
      </c>
      <c r="E141" t="inlineStr">
        <is>
          <t>SOLLEFTEÅ</t>
        </is>
      </c>
      <c r="F141" t="inlineStr">
        <is>
          <t>SCA</t>
        </is>
      </c>
      <c r="G141" t="n">
        <v>2.2</v>
      </c>
      <c r="H141" t="n">
        <v>1</v>
      </c>
      <c r="I141" t="n">
        <v>0</v>
      </c>
      <c r="J141" t="n">
        <v>4</v>
      </c>
      <c r="K141" t="n">
        <v>1</v>
      </c>
      <c r="L141" t="n">
        <v>0</v>
      </c>
      <c r="M141" t="n">
        <v>0</v>
      </c>
      <c r="N141" t="n">
        <v>0</v>
      </c>
      <c r="O141" t="n">
        <v>5</v>
      </c>
      <c r="P141" t="n">
        <v>1</v>
      </c>
      <c r="Q141" t="n">
        <v>5</v>
      </c>
      <c r="R141" s="2" t="inlineStr">
        <is>
          <t>Rynkskinn
Lunglav
Rosenticka
Tretåig hackspett
Ullticka</t>
        </is>
      </c>
      <c r="S141">
        <f>HYPERLINK("https://klasma.github.io/Logging_2283/artfynd/A 32216-2023 artfynd.xlsx", "A 32216-2023")</f>
        <v/>
      </c>
      <c r="T141">
        <f>HYPERLINK("https://klasma.github.io/Logging_2283/kartor/A 32216-2023 karta.png", "A 32216-2023")</f>
        <v/>
      </c>
      <c r="V141">
        <f>HYPERLINK("https://klasma.github.io/Logging_2283/klagomål/A 32216-2023 FSC-klagomål.docx", "A 32216-2023")</f>
        <v/>
      </c>
      <c r="W141">
        <f>HYPERLINK("https://klasma.github.io/Logging_2283/klagomålsmail/A 32216-2023 FSC-klagomål mail.docx", "A 32216-2023")</f>
        <v/>
      </c>
      <c r="X141">
        <f>HYPERLINK("https://klasma.github.io/Logging_2283/tillsyn/A 32216-2023 tillsynsbegäran.docx", "A 32216-2023")</f>
        <v/>
      </c>
      <c r="Y141">
        <f>HYPERLINK("https://klasma.github.io/Logging_2283/tillsynsmail/A 32216-2023 tillsynsbegäran mail.docx", "A 32216-2023")</f>
        <v/>
      </c>
      <c r="Z141">
        <f>HYPERLINK("https://klasma.github.io/Logging_2283/fåglar/A 32216-2023 prioriterade fågelarter.docx", "A 32216-2023")</f>
        <v/>
      </c>
    </row>
    <row r="142" ht="15" customHeight="1">
      <c r="A142" t="inlineStr">
        <is>
          <t>A 59662-2023</t>
        </is>
      </c>
      <c r="B142" s="1" t="n">
        <v>45255</v>
      </c>
      <c r="C142" s="1" t="n">
        <v>45576</v>
      </c>
      <c r="D142" t="inlineStr">
        <is>
          <t>VÄSTERNORRLANDS LÄN</t>
        </is>
      </c>
      <c r="E142" t="inlineStr">
        <is>
          <t>SOLLEFTEÅ</t>
        </is>
      </c>
      <c r="F142" t="inlineStr">
        <is>
          <t>SCA</t>
        </is>
      </c>
      <c r="G142" t="n">
        <v>4.8</v>
      </c>
      <c r="H142" t="n">
        <v>1</v>
      </c>
      <c r="I142" t="n">
        <v>0</v>
      </c>
      <c r="J142" t="n">
        <v>4</v>
      </c>
      <c r="K142" t="n">
        <v>1</v>
      </c>
      <c r="L142" t="n">
        <v>0</v>
      </c>
      <c r="M142" t="n">
        <v>0</v>
      </c>
      <c r="N142" t="n">
        <v>0</v>
      </c>
      <c r="O142" t="n">
        <v>5</v>
      </c>
      <c r="P142" t="n">
        <v>1</v>
      </c>
      <c r="Q142" t="n">
        <v>5</v>
      </c>
      <c r="R142" s="2" t="inlineStr">
        <is>
          <t>Knärot
Dvärgbägarlav
Kolflarnlav
Koralltaggsvamp
Tallticka</t>
        </is>
      </c>
      <c r="S142">
        <f>HYPERLINK("https://klasma.github.io/Logging_2283/artfynd/A 59662-2023 artfynd.xlsx", "A 59662-2023")</f>
        <v/>
      </c>
      <c r="T142">
        <f>HYPERLINK("https://klasma.github.io/Logging_2283/kartor/A 59662-2023 karta.png", "A 59662-2023")</f>
        <v/>
      </c>
      <c r="U142">
        <f>HYPERLINK("https://klasma.github.io/Logging_2283/knärot/A 59662-2023 karta knärot.png", "A 59662-2023")</f>
        <v/>
      </c>
      <c r="V142">
        <f>HYPERLINK("https://klasma.github.io/Logging_2283/klagomål/A 59662-2023 FSC-klagomål.docx", "A 59662-2023")</f>
        <v/>
      </c>
      <c r="W142">
        <f>HYPERLINK("https://klasma.github.io/Logging_2283/klagomålsmail/A 59662-2023 FSC-klagomål mail.docx", "A 59662-2023")</f>
        <v/>
      </c>
      <c r="X142">
        <f>HYPERLINK("https://klasma.github.io/Logging_2283/tillsyn/A 59662-2023 tillsynsbegäran.docx", "A 59662-2023")</f>
        <v/>
      </c>
      <c r="Y142">
        <f>HYPERLINK("https://klasma.github.io/Logging_2283/tillsynsmail/A 59662-2023 tillsynsbegäran mail.docx", "A 59662-2023")</f>
        <v/>
      </c>
    </row>
    <row r="143" ht="15" customHeight="1">
      <c r="A143" t="inlineStr">
        <is>
          <t>A 2067-2024</t>
        </is>
      </c>
      <c r="B143" s="1" t="n">
        <v>45308</v>
      </c>
      <c r="C143" s="1" t="n">
        <v>45576</v>
      </c>
      <c r="D143" t="inlineStr">
        <is>
          <t>VÄSTERNORRLANDS LÄN</t>
        </is>
      </c>
      <c r="E143" t="inlineStr">
        <is>
          <t>SOLLEFTEÅ</t>
        </is>
      </c>
      <c r="F143" t="inlineStr">
        <is>
          <t>SCA</t>
        </is>
      </c>
      <c r="G143" t="n">
        <v>3.1</v>
      </c>
      <c r="H143" t="n">
        <v>1</v>
      </c>
      <c r="I143" t="n">
        <v>2</v>
      </c>
      <c r="J143" t="n">
        <v>3</v>
      </c>
      <c r="K143" t="n">
        <v>0</v>
      </c>
      <c r="L143" t="n">
        <v>0</v>
      </c>
      <c r="M143" t="n">
        <v>0</v>
      </c>
      <c r="N143" t="n">
        <v>0</v>
      </c>
      <c r="O143" t="n">
        <v>3</v>
      </c>
      <c r="P143" t="n">
        <v>0</v>
      </c>
      <c r="Q143" t="n">
        <v>5</v>
      </c>
      <c r="R143" s="2" t="inlineStr">
        <is>
          <t>Garnlav
Lunglav
Tretåig hackspett
Dropptaggsvamp
Stuplav</t>
        </is>
      </c>
      <c r="S143">
        <f>HYPERLINK("https://klasma.github.io/Logging_2283/artfynd/A 2067-2024 artfynd.xlsx", "A 2067-2024")</f>
        <v/>
      </c>
      <c r="T143">
        <f>HYPERLINK("https://klasma.github.io/Logging_2283/kartor/A 2067-2024 karta.png", "A 2067-2024")</f>
        <v/>
      </c>
      <c r="V143">
        <f>HYPERLINK("https://klasma.github.io/Logging_2283/klagomål/A 2067-2024 FSC-klagomål.docx", "A 2067-2024")</f>
        <v/>
      </c>
      <c r="W143">
        <f>HYPERLINK("https://klasma.github.io/Logging_2283/klagomålsmail/A 2067-2024 FSC-klagomål mail.docx", "A 2067-2024")</f>
        <v/>
      </c>
      <c r="X143">
        <f>HYPERLINK("https://klasma.github.io/Logging_2283/tillsyn/A 2067-2024 tillsynsbegäran.docx", "A 2067-2024")</f>
        <v/>
      </c>
      <c r="Y143">
        <f>HYPERLINK("https://klasma.github.io/Logging_2283/tillsynsmail/A 2067-2024 tillsynsbegäran mail.docx", "A 2067-2024")</f>
        <v/>
      </c>
      <c r="Z143">
        <f>HYPERLINK("https://klasma.github.io/Logging_2283/fåglar/A 2067-2024 prioriterade fågelarter.docx", "A 2067-2024")</f>
        <v/>
      </c>
    </row>
    <row r="144" ht="15" customHeight="1">
      <c r="A144" t="inlineStr">
        <is>
          <t>A 11540-2024</t>
        </is>
      </c>
      <c r="B144" s="1" t="n">
        <v>45372</v>
      </c>
      <c r="C144" s="1" t="n">
        <v>45576</v>
      </c>
      <c r="D144" t="inlineStr">
        <is>
          <t>VÄSTERNORRLANDS LÄN</t>
        </is>
      </c>
      <c r="E144" t="inlineStr">
        <is>
          <t>SOLLEFTEÅ</t>
        </is>
      </c>
      <c r="F144" t="inlineStr">
        <is>
          <t>SCA</t>
        </is>
      </c>
      <c r="G144" t="n">
        <v>2.2</v>
      </c>
      <c r="H144" t="n">
        <v>5</v>
      </c>
      <c r="I144" t="n">
        <v>0</v>
      </c>
      <c r="J144" t="n">
        <v>2</v>
      </c>
      <c r="K144" t="n">
        <v>0</v>
      </c>
      <c r="L144" t="n">
        <v>0</v>
      </c>
      <c r="M144" t="n">
        <v>0</v>
      </c>
      <c r="N144" t="n">
        <v>0</v>
      </c>
      <c r="O144" t="n">
        <v>2</v>
      </c>
      <c r="P144" t="n">
        <v>0</v>
      </c>
      <c r="Q144" t="n">
        <v>5</v>
      </c>
      <c r="R144" s="2" t="inlineStr">
        <is>
          <t>Björktrast
Tretåig hackspett
Grönsiska
Kungsfågel
Tjäder</t>
        </is>
      </c>
      <c r="S144">
        <f>HYPERLINK("https://klasma.github.io/Logging_2283/artfynd/A 11540-2024 artfynd.xlsx", "A 11540-2024")</f>
        <v/>
      </c>
      <c r="T144">
        <f>HYPERLINK("https://klasma.github.io/Logging_2283/kartor/A 11540-2024 karta.png", "A 11540-2024")</f>
        <v/>
      </c>
      <c r="V144">
        <f>HYPERLINK("https://klasma.github.io/Logging_2283/klagomål/A 11540-2024 FSC-klagomål.docx", "A 11540-2024")</f>
        <v/>
      </c>
      <c r="W144">
        <f>HYPERLINK("https://klasma.github.io/Logging_2283/klagomålsmail/A 11540-2024 FSC-klagomål mail.docx", "A 11540-2024")</f>
        <v/>
      </c>
      <c r="X144">
        <f>HYPERLINK("https://klasma.github.io/Logging_2283/tillsyn/A 11540-2024 tillsynsbegäran.docx", "A 11540-2024")</f>
        <v/>
      </c>
      <c r="Y144">
        <f>HYPERLINK("https://klasma.github.io/Logging_2283/tillsynsmail/A 11540-2024 tillsynsbegäran mail.docx", "A 11540-2024")</f>
        <v/>
      </c>
      <c r="Z144">
        <f>HYPERLINK("https://klasma.github.io/Logging_2283/fåglar/A 11540-2024 prioriterade fågelarter.docx", "A 11540-2024")</f>
        <v/>
      </c>
    </row>
    <row r="145" ht="15" customHeight="1">
      <c r="A145" t="inlineStr">
        <is>
          <t>A 19081-2024</t>
        </is>
      </c>
      <c r="B145" s="1" t="n">
        <v>45428</v>
      </c>
      <c r="C145" s="1" t="n">
        <v>45576</v>
      </c>
      <c r="D145" t="inlineStr">
        <is>
          <t>VÄSTERNORRLANDS LÄN</t>
        </is>
      </c>
      <c r="E145" t="inlineStr">
        <is>
          <t>SOLLEFTEÅ</t>
        </is>
      </c>
      <c r="F145" t="inlineStr">
        <is>
          <t>SCA</t>
        </is>
      </c>
      <c r="G145" t="n">
        <v>21.5</v>
      </c>
      <c r="H145" t="n">
        <v>2</v>
      </c>
      <c r="I145" t="n">
        <v>0</v>
      </c>
      <c r="J145" t="n">
        <v>4</v>
      </c>
      <c r="K145" t="n">
        <v>0</v>
      </c>
      <c r="L145" t="n">
        <v>0</v>
      </c>
      <c r="M145" t="n">
        <v>0</v>
      </c>
      <c r="N145" t="n">
        <v>0</v>
      </c>
      <c r="O145" t="n">
        <v>4</v>
      </c>
      <c r="P145" t="n">
        <v>0</v>
      </c>
      <c r="Q145" t="n">
        <v>5</v>
      </c>
      <c r="R145" s="2" t="inlineStr">
        <is>
          <t>Garnlav
Granticka
Järpe
Ullticka
Fläcknycklar</t>
        </is>
      </c>
      <c r="S145">
        <f>HYPERLINK("https://klasma.github.io/Logging_2283/artfynd/A 19081-2024 artfynd.xlsx", "A 19081-2024")</f>
        <v/>
      </c>
      <c r="T145">
        <f>HYPERLINK("https://klasma.github.io/Logging_2283/kartor/A 19081-2024 karta.png", "A 19081-2024")</f>
        <v/>
      </c>
      <c r="V145">
        <f>HYPERLINK("https://klasma.github.io/Logging_2283/klagomål/A 19081-2024 FSC-klagomål.docx", "A 19081-2024")</f>
        <v/>
      </c>
      <c r="W145">
        <f>HYPERLINK("https://klasma.github.io/Logging_2283/klagomålsmail/A 19081-2024 FSC-klagomål mail.docx", "A 19081-2024")</f>
        <v/>
      </c>
      <c r="X145">
        <f>HYPERLINK("https://klasma.github.io/Logging_2283/tillsyn/A 19081-2024 tillsynsbegäran.docx", "A 19081-2024")</f>
        <v/>
      </c>
      <c r="Y145">
        <f>HYPERLINK("https://klasma.github.io/Logging_2283/tillsynsmail/A 19081-2024 tillsynsbegäran mail.docx", "A 19081-2024")</f>
        <v/>
      </c>
      <c r="Z145">
        <f>HYPERLINK("https://klasma.github.io/Logging_2283/fåglar/A 19081-2024 prioriterade fågelarter.docx", "A 19081-2024")</f>
        <v/>
      </c>
    </row>
    <row r="146" ht="15" customHeight="1">
      <c r="A146" t="inlineStr">
        <is>
          <t>A 22125-2024</t>
        </is>
      </c>
      <c r="B146" s="1" t="n">
        <v>45443</v>
      </c>
      <c r="C146" s="1" t="n">
        <v>45576</v>
      </c>
      <c r="D146" t="inlineStr">
        <is>
          <t>VÄSTERNORRLANDS LÄN</t>
        </is>
      </c>
      <c r="E146" t="inlineStr">
        <is>
          <t>SOLLEFTEÅ</t>
        </is>
      </c>
      <c r="F146" t="inlineStr">
        <is>
          <t>SCA</t>
        </is>
      </c>
      <c r="G146" t="n">
        <v>1.8</v>
      </c>
      <c r="H146" t="n">
        <v>2</v>
      </c>
      <c r="I146" t="n">
        <v>0</v>
      </c>
      <c r="J146" t="n">
        <v>4</v>
      </c>
      <c r="K146" t="n">
        <v>1</v>
      </c>
      <c r="L146" t="n">
        <v>0</v>
      </c>
      <c r="M146" t="n">
        <v>0</v>
      </c>
      <c r="N146" t="n">
        <v>0</v>
      </c>
      <c r="O146" t="n">
        <v>5</v>
      </c>
      <c r="P146" t="n">
        <v>1</v>
      </c>
      <c r="Q146" t="n">
        <v>5</v>
      </c>
      <c r="R146" s="2" t="inlineStr">
        <is>
          <t>Knärot
Garnlav
Kolflarnlav
Lunglav
Tretåig hackspett</t>
        </is>
      </c>
      <c r="S146">
        <f>HYPERLINK("https://klasma.github.io/Logging_2283/artfynd/A 22125-2024 artfynd.xlsx", "A 22125-2024")</f>
        <v/>
      </c>
      <c r="T146">
        <f>HYPERLINK("https://klasma.github.io/Logging_2283/kartor/A 22125-2024 karta.png", "A 22125-2024")</f>
        <v/>
      </c>
      <c r="U146">
        <f>HYPERLINK("https://klasma.github.io/Logging_2283/knärot/A 22125-2024 karta knärot.png", "A 22125-2024")</f>
        <v/>
      </c>
      <c r="V146">
        <f>HYPERLINK("https://klasma.github.io/Logging_2283/klagomål/A 22125-2024 FSC-klagomål.docx", "A 22125-2024")</f>
        <v/>
      </c>
      <c r="W146">
        <f>HYPERLINK("https://klasma.github.io/Logging_2283/klagomålsmail/A 22125-2024 FSC-klagomål mail.docx", "A 22125-2024")</f>
        <v/>
      </c>
      <c r="X146">
        <f>HYPERLINK("https://klasma.github.io/Logging_2283/tillsyn/A 22125-2024 tillsynsbegäran.docx", "A 22125-2024")</f>
        <v/>
      </c>
      <c r="Y146">
        <f>HYPERLINK("https://klasma.github.io/Logging_2283/tillsynsmail/A 22125-2024 tillsynsbegäran mail.docx", "A 22125-2024")</f>
        <v/>
      </c>
      <c r="Z146">
        <f>HYPERLINK("https://klasma.github.io/Logging_2283/fåglar/A 22125-2024 prioriterade fågelarter.docx", "A 22125-2024")</f>
        <v/>
      </c>
    </row>
    <row r="147" ht="15" customHeight="1">
      <c r="A147" t="inlineStr">
        <is>
          <t>A 27910-2024</t>
        </is>
      </c>
      <c r="B147" s="1" t="n">
        <v>45475</v>
      </c>
      <c r="C147" s="1" t="n">
        <v>45576</v>
      </c>
      <c r="D147" t="inlineStr">
        <is>
          <t>VÄSTERNORRLANDS LÄN</t>
        </is>
      </c>
      <c r="E147" t="inlineStr">
        <is>
          <t>SOLLEFTEÅ</t>
        </is>
      </c>
      <c r="F147" t="inlineStr">
        <is>
          <t>SCA</t>
        </is>
      </c>
      <c r="G147" t="n">
        <v>3.2</v>
      </c>
      <c r="H147" t="n">
        <v>0</v>
      </c>
      <c r="I147" t="n">
        <v>1</v>
      </c>
      <c r="J147" t="n">
        <v>3</v>
      </c>
      <c r="K147" t="n">
        <v>1</v>
      </c>
      <c r="L147" t="n">
        <v>0</v>
      </c>
      <c r="M147" t="n">
        <v>0</v>
      </c>
      <c r="N147" t="n">
        <v>0</v>
      </c>
      <c r="O147" t="n">
        <v>4</v>
      </c>
      <c r="P147" t="n">
        <v>1</v>
      </c>
      <c r="Q147" t="n">
        <v>5</v>
      </c>
      <c r="R147" s="2" t="inlineStr">
        <is>
          <t>Rynkskinn
Gammelgransskål
Rosenticka
Ullticka
Vedticka</t>
        </is>
      </c>
      <c r="S147">
        <f>HYPERLINK("https://klasma.github.io/Logging_2283/artfynd/A 27910-2024 artfynd.xlsx", "A 27910-2024")</f>
        <v/>
      </c>
      <c r="T147">
        <f>HYPERLINK("https://klasma.github.io/Logging_2283/kartor/A 27910-2024 karta.png", "A 27910-2024")</f>
        <v/>
      </c>
      <c r="V147">
        <f>HYPERLINK("https://klasma.github.io/Logging_2283/klagomål/A 27910-2024 FSC-klagomål.docx", "A 27910-2024")</f>
        <v/>
      </c>
      <c r="W147">
        <f>HYPERLINK("https://klasma.github.io/Logging_2283/klagomålsmail/A 27910-2024 FSC-klagomål mail.docx", "A 27910-2024")</f>
        <v/>
      </c>
      <c r="X147">
        <f>HYPERLINK("https://klasma.github.io/Logging_2283/tillsyn/A 27910-2024 tillsynsbegäran.docx", "A 27910-2024")</f>
        <v/>
      </c>
      <c r="Y147">
        <f>HYPERLINK("https://klasma.github.io/Logging_2283/tillsynsmail/A 27910-2024 tillsynsbegäran mail.docx", "A 27910-2024")</f>
        <v/>
      </c>
    </row>
    <row r="148" ht="15" customHeight="1">
      <c r="A148" t="inlineStr">
        <is>
          <t>A 29101-2024</t>
        </is>
      </c>
      <c r="B148" s="1" t="n">
        <v>45482</v>
      </c>
      <c r="C148" s="1" t="n">
        <v>45576</v>
      </c>
      <c r="D148" t="inlineStr">
        <is>
          <t>VÄSTERNORRLANDS LÄN</t>
        </is>
      </c>
      <c r="E148" t="inlineStr">
        <is>
          <t>SOLLEFTEÅ</t>
        </is>
      </c>
      <c r="F148" t="inlineStr">
        <is>
          <t>SCA</t>
        </is>
      </c>
      <c r="G148" t="n">
        <v>2.2</v>
      </c>
      <c r="H148" t="n">
        <v>1</v>
      </c>
      <c r="I148" t="n">
        <v>1</v>
      </c>
      <c r="J148" t="n">
        <v>4</v>
      </c>
      <c r="K148" t="n">
        <v>0</v>
      </c>
      <c r="L148" t="n">
        <v>0</v>
      </c>
      <c r="M148" t="n">
        <v>0</v>
      </c>
      <c r="N148" t="n">
        <v>0</v>
      </c>
      <c r="O148" t="n">
        <v>4</v>
      </c>
      <c r="P148" t="n">
        <v>0</v>
      </c>
      <c r="Q148" t="n">
        <v>5</v>
      </c>
      <c r="R148" s="2" t="inlineStr">
        <is>
          <t>Garnlav
Rosenticka
Talltita
Ullticka
Vedticka</t>
        </is>
      </c>
      <c r="S148">
        <f>HYPERLINK("https://klasma.github.io/Logging_2283/artfynd/A 29101-2024 artfynd.xlsx", "A 29101-2024")</f>
        <v/>
      </c>
      <c r="T148">
        <f>HYPERLINK("https://klasma.github.io/Logging_2283/kartor/A 29101-2024 karta.png",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30571-2024</t>
        </is>
      </c>
      <c r="B149" s="1" t="n">
        <v>45493</v>
      </c>
      <c r="C149" s="1" t="n">
        <v>45576</v>
      </c>
      <c r="D149" t="inlineStr">
        <is>
          <t>VÄSTERNORRLANDS LÄN</t>
        </is>
      </c>
      <c r="E149" t="inlineStr">
        <is>
          <t>SOLLEFTEÅ</t>
        </is>
      </c>
      <c r="F149" t="inlineStr">
        <is>
          <t>SCA</t>
        </is>
      </c>
      <c r="G149" t="n">
        <v>3.1</v>
      </c>
      <c r="H149" t="n">
        <v>3</v>
      </c>
      <c r="I149" t="n">
        <v>0</v>
      </c>
      <c r="J149" t="n">
        <v>4</v>
      </c>
      <c r="K149" t="n">
        <v>1</v>
      </c>
      <c r="L149" t="n">
        <v>0</v>
      </c>
      <c r="M149" t="n">
        <v>0</v>
      </c>
      <c r="N149" t="n">
        <v>0</v>
      </c>
      <c r="O149" t="n">
        <v>5</v>
      </c>
      <c r="P149" t="n">
        <v>1</v>
      </c>
      <c r="Q149" t="n">
        <v>5</v>
      </c>
      <c r="R149" s="2" t="inlineStr">
        <is>
          <t>Knärot
Garnlav
Kolflarnlav
Spillkråka
Tretåig hackspett</t>
        </is>
      </c>
      <c r="S149">
        <f>HYPERLINK("https://klasma.github.io/Logging_2283/artfynd/A 30571-2024 artfynd.xlsx", "A 30571-2024")</f>
        <v/>
      </c>
      <c r="T149">
        <f>HYPERLINK("https://klasma.github.io/Logging_2283/kartor/A 30571-2024 karta.png", "A 30571-2024")</f>
        <v/>
      </c>
      <c r="U149">
        <f>HYPERLINK("https://klasma.github.io/Logging_2283/knärot/A 30571-2024 karta knärot.png", "A 30571-2024")</f>
        <v/>
      </c>
      <c r="V149">
        <f>HYPERLINK("https://klasma.github.io/Logging_2283/klagomål/A 30571-2024 FSC-klagomål.docx", "A 30571-2024")</f>
        <v/>
      </c>
      <c r="W149">
        <f>HYPERLINK("https://klasma.github.io/Logging_2283/klagomålsmail/A 30571-2024 FSC-klagomål mail.docx", "A 30571-2024")</f>
        <v/>
      </c>
      <c r="X149">
        <f>HYPERLINK("https://klasma.github.io/Logging_2283/tillsyn/A 30571-2024 tillsynsbegäran.docx", "A 30571-2024")</f>
        <v/>
      </c>
      <c r="Y149">
        <f>HYPERLINK("https://klasma.github.io/Logging_2283/tillsynsmail/A 30571-2024 tillsynsbegäran mail.docx", "A 30571-2024")</f>
        <v/>
      </c>
      <c r="Z149">
        <f>HYPERLINK("https://klasma.github.io/Logging_2283/fåglar/A 30571-2024 prioriterade fågelarter.docx", "A 30571-2024")</f>
        <v/>
      </c>
    </row>
    <row r="150" ht="15" customHeight="1">
      <c r="A150" t="inlineStr">
        <is>
          <t>A 40055-2024</t>
        </is>
      </c>
      <c r="B150" s="1" t="n">
        <v>45553</v>
      </c>
      <c r="C150" s="1" t="n">
        <v>45576</v>
      </c>
      <c r="D150" t="inlineStr">
        <is>
          <t>VÄSTERNORRLANDS LÄN</t>
        </is>
      </c>
      <c r="E150" t="inlineStr">
        <is>
          <t>SOLLEFTEÅ</t>
        </is>
      </c>
      <c r="G150" t="n">
        <v>10.4</v>
      </c>
      <c r="H150" t="n">
        <v>2</v>
      </c>
      <c r="I150" t="n">
        <v>1</v>
      </c>
      <c r="J150" t="n">
        <v>3</v>
      </c>
      <c r="K150" t="n">
        <v>1</v>
      </c>
      <c r="L150" t="n">
        <v>0</v>
      </c>
      <c r="M150" t="n">
        <v>0</v>
      </c>
      <c r="N150" t="n">
        <v>0</v>
      </c>
      <c r="O150" t="n">
        <v>4</v>
      </c>
      <c r="P150" t="n">
        <v>1</v>
      </c>
      <c r="Q150" t="n">
        <v>5</v>
      </c>
      <c r="R150" s="2" t="inlineStr">
        <is>
          <t>Knärot
Rosenticka
Talltita
Ullticka
Vedticka</t>
        </is>
      </c>
      <c r="S150">
        <f>HYPERLINK("https://klasma.github.io/Logging_2283/artfynd/A 40055-2024 artfynd.xlsx", "A 40055-2024")</f>
        <v/>
      </c>
      <c r="T150">
        <f>HYPERLINK("https://klasma.github.io/Logging_2283/kartor/A 40055-2024 karta.png", "A 40055-2024")</f>
        <v/>
      </c>
      <c r="U150">
        <f>HYPERLINK("https://klasma.github.io/Logging_2283/knärot/A 40055-2024 karta knärot.png", "A 40055-2024")</f>
        <v/>
      </c>
      <c r="V150">
        <f>HYPERLINK("https://klasma.github.io/Logging_2283/klagomål/A 40055-2024 FSC-klagomål.docx", "A 40055-2024")</f>
        <v/>
      </c>
      <c r="W150">
        <f>HYPERLINK("https://klasma.github.io/Logging_2283/klagomålsmail/A 40055-2024 FSC-klagomål mail.docx", "A 40055-2024")</f>
        <v/>
      </c>
      <c r="X150">
        <f>HYPERLINK("https://klasma.github.io/Logging_2283/tillsyn/A 40055-2024 tillsynsbegäran.docx", "A 40055-2024")</f>
        <v/>
      </c>
      <c r="Y150">
        <f>HYPERLINK("https://klasma.github.io/Logging_2283/tillsynsmail/A 40055-2024 tillsynsbegäran mail.docx", "A 40055-2024")</f>
        <v/>
      </c>
      <c r="Z150">
        <f>HYPERLINK("https://klasma.github.io/Logging_2283/fåglar/A 40055-2024 prioriterade fågelarter.docx", "A 40055-2024")</f>
        <v/>
      </c>
    </row>
    <row r="151" ht="15" customHeight="1">
      <c r="A151" t="inlineStr">
        <is>
          <t>A 44372-2024</t>
        </is>
      </c>
      <c r="B151" s="1" t="n">
        <v>45573</v>
      </c>
      <c r="C151" s="1" t="n">
        <v>45576</v>
      </c>
      <c r="D151" t="inlineStr">
        <is>
          <t>VÄSTERNORRLANDS LÄN</t>
        </is>
      </c>
      <c r="E151" t="inlineStr">
        <is>
          <t>SOLLEFTEÅ</t>
        </is>
      </c>
      <c r="F151" t="inlineStr">
        <is>
          <t>SCA</t>
        </is>
      </c>
      <c r="G151" t="n">
        <v>3.3</v>
      </c>
      <c r="H151" t="n">
        <v>1</v>
      </c>
      <c r="I151" t="n">
        <v>1</v>
      </c>
      <c r="J151" t="n">
        <v>4</v>
      </c>
      <c r="K151" t="n">
        <v>0</v>
      </c>
      <c r="L151" t="n">
        <v>0</v>
      </c>
      <c r="M151" t="n">
        <v>0</v>
      </c>
      <c r="N151" t="n">
        <v>0</v>
      </c>
      <c r="O151" t="n">
        <v>4</v>
      </c>
      <c r="P151" t="n">
        <v>0</v>
      </c>
      <c r="Q151" t="n">
        <v>5</v>
      </c>
      <c r="R151" s="2" t="inlineStr">
        <is>
          <t>Gammelgransskål
Garnlav
Rosenticka
Tretåig hackspett
Bollvitmossa</t>
        </is>
      </c>
      <c r="S151">
        <f>HYPERLINK("https://klasma.github.io/Logging_2283/artfynd/A 44372-2024 artfynd.xlsx", "A 44372-2024")</f>
        <v/>
      </c>
      <c r="T151">
        <f>HYPERLINK("https://klasma.github.io/Logging_2283/kartor/A 44372-2024 karta.png", "A 44372-2024")</f>
        <v/>
      </c>
      <c r="V151">
        <f>HYPERLINK("https://klasma.github.io/Logging_2283/klagomål/A 44372-2024 FSC-klagomål.docx", "A 44372-2024")</f>
        <v/>
      </c>
      <c r="W151">
        <f>HYPERLINK("https://klasma.github.io/Logging_2283/klagomålsmail/A 44372-2024 FSC-klagomål mail.docx", "A 44372-2024")</f>
        <v/>
      </c>
      <c r="X151">
        <f>HYPERLINK("https://klasma.github.io/Logging_2283/tillsyn/A 44372-2024 tillsynsbegäran.docx", "A 44372-2024")</f>
        <v/>
      </c>
      <c r="Y151">
        <f>HYPERLINK("https://klasma.github.io/Logging_2283/tillsynsmail/A 44372-2024 tillsynsbegäran mail.docx", "A 44372-2024")</f>
        <v/>
      </c>
      <c r="Z151">
        <f>HYPERLINK("https://klasma.github.io/Logging_2283/fåglar/A 44372-2024 prioriterade fågelarter.docx", "A 44372-2024")</f>
        <v/>
      </c>
    </row>
    <row r="152" ht="15" customHeight="1">
      <c r="A152" t="inlineStr">
        <is>
          <t>A 23860-2020</t>
        </is>
      </c>
      <c r="B152" s="1" t="n">
        <v>43971</v>
      </c>
      <c r="C152" s="1" t="n">
        <v>45576</v>
      </c>
      <c r="D152" t="inlineStr">
        <is>
          <t>VÄSTERNORRLANDS LÄN</t>
        </is>
      </c>
      <c r="E152" t="inlineStr">
        <is>
          <t>SOLLEFTEÅ</t>
        </is>
      </c>
      <c r="G152" t="n">
        <v>22.3</v>
      </c>
      <c r="H152" t="n">
        <v>0</v>
      </c>
      <c r="I152" t="n">
        <v>1</v>
      </c>
      <c r="J152" t="n">
        <v>2</v>
      </c>
      <c r="K152" t="n">
        <v>1</v>
      </c>
      <c r="L152" t="n">
        <v>0</v>
      </c>
      <c r="M152" t="n">
        <v>0</v>
      </c>
      <c r="N152" t="n">
        <v>0</v>
      </c>
      <c r="O152" t="n">
        <v>3</v>
      </c>
      <c r="P152" t="n">
        <v>1</v>
      </c>
      <c r="Q152" t="n">
        <v>4</v>
      </c>
      <c r="R152" s="2" t="inlineStr">
        <is>
          <t>Aspgelélav
Lunglav
Vedskivlav
Dropptaggsvamp</t>
        </is>
      </c>
      <c r="S152">
        <f>HYPERLINK("https://klasma.github.io/Logging_2283/artfynd/A 23860-2020 artfynd.xlsx", "A 23860-2020")</f>
        <v/>
      </c>
      <c r="T152">
        <f>HYPERLINK("https://klasma.github.io/Logging_2283/kartor/A 23860-2020 karta.png", "A 23860-2020")</f>
        <v/>
      </c>
      <c r="U152">
        <f>HYPERLINK("https://klasma.github.io/Logging_2283/knärot/A 23860-2020 karta knärot.png", "A 23860-2020")</f>
        <v/>
      </c>
      <c r="V152">
        <f>HYPERLINK("https://klasma.github.io/Logging_2283/klagomål/A 23860-2020 FSC-klagomål.docx", "A 23860-2020")</f>
        <v/>
      </c>
      <c r="W152">
        <f>HYPERLINK("https://klasma.github.io/Logging_2283/klagomålsmail/A 23860-2020 FSC-klagomål mail.docx", "A 23860-2020")</f>
        <v/>
      </c>
      <c r="X152">
        <f>HYPERLINK("https://klasma.github.io/Logging_2283/tillsyn/A 23860-2020 tillsynsbegäran.docx", "A 23860-2020")</f>
        <v/>
      </c>
      <c r="Y152">
        <f>HYPERLINK("https://klasma.github.io/Logging_2283/tillsynsmail/A 23860-2020 tillsynsbegäran mail.docx", "A 23860-2020")</f>
        <v/>
      </c>
    </row>
    <row r="153" ht="15" customHeight="1">
      <c r="A153" t="inlineStr">
        <is>
          <t>A 44344-2021</t>
        </is>
      </c>
      <c r="B153" s="1" t="n">
        <v>44435</v>
      </c>
      <c r="C153" s="1" t="n">
        <v>45576</v>
      </c>
      <c r="D153" t="inlineStr">
        <is>
          <t>VÄSTERNORRLANDS LÄN</t>
        </is>
      </c>
      <c r="E153" t="inlineStr">
        <is>
          <t>SOLLEFTEÅ</t>
        </is>
      </c>
      <c r="F153" t="inlineStr">
        <is>
          <t>Kommuner</t>
        </is>
      </c>
      <c r="G153" t="n">
        <v>10.8</v>
      </c>
      <c r="H153" t="n">
        <v>0</v>
      </c>
      <c r="I153" t="n">
        <v>1</v>
      </c>
      <c r="J153" t="n">
        <v>2</v>
      </c>
      <c r="K153" t="n">
        <v>1</v>
      </c>
      <c r="L153" t="n">
        <v>0</v>
      </c>
      <c r="M153" t="n">
        <v>0</v>
      </c>
      <c r="N153" t="n">
        <v>0</v>
      </c>
      <c r="O153" t="n">
        <v>3</v>
      </c>
      <c r="P153" t="n">
        <v>1</v>
      </c>
      <c r="Q153" t="n">
        <v>4</v>
      </c>
      <c r="R153" s="2" t="inlineStr">
        <is>
          <t>Rynkskinn
Rosenticka
Ullticka
Skinnlav</t>
        </is>
      </c>
      <c r="S153">
        <f>HYPERLINK("https://klasma.github.io/Logging_2283/artfynd/A 44344-2021 artfynd.xlsx", "A 44344-2021")</f>
        <v/>
      </c>
      <c r="T153">
        <f>HYPERLINK("https://klasma.github.io/Logging_2283/kartor/A 44344-2021 karta.png", "A 44344-2021")</f>
        <v/>
      </c>
      <c r="V153">
        <f>HYPERLINK("https://klasma.github.io/Logging_2283/klagomål/A 44344-2021 FSC-klagomål.docx", "A 44344-2021")</f>
        <v/>
      </c>
      <c r="W153">
        <f>HYPERLINK("https://klasma.github.io/Logging_2283/klagomålsmail/A 44344-2021 FSC-klagomål mail.docx", "A 44344-2021")</f>
        <v/>
      </c>
      <c r="X153">
        <f>HYPERLINK("https://klasma.github.io/Logging_2283/tillsyn/A 44344-2021 tillsynsbegäran.docx", "A 44344-2021")</f>
        <v/>
      </c>
      <c r="Y153">
        <f>HYPERLINK("https://klasma.github.io/Logging_2283/tillsynsmail/A 44344-2021 tillsynsbegäran mail.docx", "A 44344-2021")</f>
        <v/>
      </c>
    </row>
    <row r="154" ht="15" customHeight="1">
      <c r="A154" t="inlineStr">
        <is>
          <t>A 64943-2021</t>
        </is>
      </c>
      <c r="B154" s="1" t="n">
        <v>44512</v>
      </c>
      <c r="C154" s="1" t="n">
        <v>45576</v>
      </c>
      <c r="D154" t="inlineStr">
        <is>
          <t>VÄSTERNORRLANDS LÄN</t>
        </is>
      </c>
      <c r="E154" t="inlineStr">
        <is>
          <t>SOLLEFTEÅ</t>
        </is>
      </c>
      <c r="F154" t="inlineStr">
        <is>
          <t>SCA</t>
        </is>
      </c>
      <c r="G154" t="n">
        <v>8.1</v>
      </c>
      <c r="H154" t="n">
        <v>0</v>
      </c>
      <c r="I154" t="n">
        <v>1</v>
      </c>
      <c r="J154" t="n">
        <v>3</v>
      </c>
      <c r="K154" t="n">
        <v>0</v>
      </c>
      <c r="L154" t="n">
        <v>0</v>
      </c>
      <c r="M154" t="n">
        <v>0</v>
      </c>
      <c r="N154" t="n">
        <v>0</v>
      </c>
      <c r="O154" t="n">
        <v>3</v>
      </c>
      <c r="P154" t="n">
        <v>0</v>
      </c>
      <c r="Q154" t="n">
        <v>4</v>
      </c>
      <c r="R154" s="2" t="inlineStr">
        <is>
          <t>Garnlav
Lunglav
Ullticka
Vedticka</t>
        </is>
      </c>
      <c r="S154">
        <f>HYPERLINK("https://klasma.github.io/Logging_2283/artfynd/A 64943-2021 artfynd.xlsx", "A 64943-2021")</f>
        <v/>
      </c>
      <c r="T154">
        <f>HYPERLINK("https://klasma.github.io/Logging_2283/kartor/A 64943-2021 karta.png", "A 64943-2021")</f>
        <v/>
      </c>
      <c r="V154">
        <f>HYPERLINK("https://klasma.github.io/Logging_2283/klagomål/A 64943-2021 FSC-klagomål.docx", "A 64943-2021")</f>
        <v/>
      </c>
      <c r="W154">
        <f>HYPERLINK("https://klasma.github.io/Logging_2283/klagomålsmail/A 64943-2021 FSC-klagomål mail.docx", "A 64943-2021")</f>
        <v/>
      </c>
      <c r="X154">
        <f>HYPERLINK("https://klasma.github.io/Logging_2283/tillsyn/A 64943-2021 tillsynsbegäran.docx", "A 64943-2021")</f>
        <v/>
      </c>
      <c r="Y154">
        <f>HYPERLINK("https://klasma.github.io/Logging_2283/tillsynsmail/A 64943-2021 tillsynsbegäran mail.docx", "A 64943-2021")</f>
        <v/>
      </c>
    </row>
    <row r="155" ht="15" customHeight="1">
      <c r="A155" t="inlineStr">
        <is>
          <t>A 18009-2022</t>
        </is>
      </c>
      <c r="B155" s="1" t="n">
        <v>44683</v>
      </c>
      <c r="C155" s="1" t="n">
        <v>45576</v>
      </c>
      <c r="D155" t="inlineStr">
        <is>
          <t>VÄSTERNORRLANDS LÄN</t>
        </is>
      </c>
      <c r="E155" t="inlineStr">
        <is>
          <t>SOLLEFTEÅ</t>
        </is>
      </c>
      <c r="F155" t="inlineStr">
        <is>
          <t>SCA</t>
        </is>
      </c>
      <c r="G155" t="n">
        <v>3.6</v>
      </c>
      <c r="H155" t="n">
        <v>3</v>
      </c>
      <c r="I155" t="n">
        <v>0</v>
      </c>
      <c r="J155" t="n">
        <v>3</v>
      </c>
      <c r="K155" t="n">
        <v>1</v>
      </c>
      <c r="L155" t="n">
        <v>0</v>
      </c>
      <c r="M155" t="n">
        <v>0</v>
      </c>
      <c r="N155" t="n">
        <v>0</v>
      </c>
      <c r="O155" t="n">
        <v>4</v>
      </c>
      <c r="P155" t="n">
        <v>1</v>
      </c>
      <c r="Q155" t="n">
        <v>4</v>
      </c>
      <c r="R155" s="2" t="inlineStr">
        <is>
          <t>Knärot
Garnlav
Järpe
Tretåig hackspett</t>
        </is>
      </c>
      <c r="S155">
        <f>HYPERLINK("https://klasma.github.io/Logging_2283/artfynd/A 18009-2022 artfynd.xlsx", "A 18009-2022")</f>
        <v/>
      </c>
      <c r="T155">
        <f>HYPERLINK("https://klasma.github.io/Logging_2283/kartor/A 18009-2022 karta.png", "A 18009-2022")</f>
        <v/>
      </c>
      <c r="U155">
        <f>HYPERLINK("https://klasma.github.io/Logging_2283/knärot/A 18009-2022 karta knärot.png", "A 18009-2022")</f>
        <v/>
      </c>
      <c r="V155">
        <f>HYPERLINK("https://klasma.github.io/Logging_2283/klagomål/A 18009-2022 FSC-klagomål.docx", "A 18009-2022")</f>
        <v/>
      </c>
      <c r="W155">
        <f>HYPERLINK("https://klasma.github.io/Logging_2283/klagomålsmail/A 18009-2022 FSC-klagomål mail.docx", "A 18009-2022")</f>
        <v/>
      </c>
      <c r="X155">
        <f>HYPERLINK("https://klasma.github.io/Logging_2283/tillsyn/A 18009-2022 tillsynsbegäran.docx", "A 18009-2022")</f>
        <v/>
      </c>
      <c r="Y155">
        <f>HYPERLINK("https://klasma.github.io/Logging_2283/tillsynsmail/A 18009-2022 tillsynsbegäran mail.docx", "A 18009-2022")</f>
        <v/>
      </c>
      <c r="Z155">
        <f>HYPERLINK("https://klasma.github.io/Logging_2283/fåglar/A 18009-2022 prioriterade fågelarter.docx", "A 18009-2022")</f>
        <v/>
      </c>
    </row>
    <row r="156" ht="15" customHeight="1">
      <c r="A156" t="inlineStr">
        <is>
          <t>A 18005-2022</t>
        </is>
      </c>
      <c r="B156" s="1" t="n">
        <v>44684</v>
      </c>
      <c r="C156" s="1" t="n">
        <v>45576</v>
      </c>
      <c r="D156" t="inlineStr">
        <is>
          <t>VÄSTERNORRLANDS LÄN</t>
        </is>
      </c>
      <c r="E156" t="inlineStr">
        <is>
          <t>SOLLEFTEÅ</t>
        </is>
      </c>
      <c r="F156" t="inlineStr">
        <is>
          <t>SCA</t>
        </is>
      </c>
      <c r="G156" t="n">
        <v>6.3</v>
      </c>
      <c r="H156" t="n">
        <v>0</v>
      </c>
      <c r="I156" t="n">
        <v>0</v>
      </c>
      <c r="J156" t="n">
        <v>4</v>
      </c>
      <c r="K156" t="n">
        <v>0</v>
      </c>
      <c r="L156" t="n">
        <v>0</v>
      </c>
      <c r="M156" t="n">
        <v>0</v>
      </c>
      <c r="N156" t="n">
        <v>0</v>
      </c>
      <c r="O156" t="n">
        <v>4</v>
      </c>
      <c r="P156" t="n">
        <v>0</v>
      </c>
      <c r="Q156" t="n">
        <v>4</v>
      </c>
      <c r="R156" s="2" t="inlineStr">
        <is>
          <t>Garnlav
Gränsticka
Lunglav
Ullticka</t>
        </is>
      </c>
      <c r="S156">
        <f>HYPERLINK("https://klasma.github.io/Logging_2283/artfynd/A 18005-2022 artfynd.xlsx", "A 18005-2022")</f>
        <v/>
      </c>
      <c r="T156">
        <f>HYPERLINK("https://klasma.github.io/Logging_2283/kartor/A 18005-2022 karta.png", "A 18005-2022")</f>
        <v/>
      </c>
      <c r="V156">
        <f>HYPERLINK("https://klasma.github.io/Logging_2283/klagomål/A 18005-2022 FSC-klagomål.docx", "A 18005-2022")</f>
        <v/>
      </c>
      <c r="W156">
        <f>HYPERLINK("https://klasma.github.io/Logging_2283/klagomålsmail/A 18005-2022 FSC-klagomål mail.docx", "A 18005-2022")</f>
        <v/>
      </c>
      <c r="X156">
        <f>HYPERLINK("https://klasma.github.io/Logging_2283/tillsyn/A 18005-2022 tillsynsbegäran.docx", "A 18005-2022")</f>
        <v/>
      </c>
      <c r="Y156">
        <f>HYPERLINK("https://klasma.github.io/Logging_2283/tillsynsmail/A 18005-2022 tillsynsbegäran mail.docx", "A 18005-2022")</f>
        <v/>
      </c>
    </row>
    <row r="157" ht="15" customHeight="1">
      <c r="A157" t="inlineStr">
        <is>
          <t>A 18025-2022</t>
        </is>
      </c>
      <c r="B157" s="1" t="n">
        <v>44683</v>
      </c>
      <c r="C157" s="1" t="n">
        <v>45576</v>
      </c>
      <c r="D157" t="inlineStr">
        <is>
          <t>VÄSTERNORRLANDS LÄN</t>
        </is>
      </c>
      <c r="E157" t="inlineStr">
        <is>
          <t>SOLLEFTEÅ</t>
        </is>
      </c>
      <c r="F157" t="inlineStr">
        <is>
          <t>SCA</t>
        </is>
      </c>
      <c r="G157" t="n">
        <v>5.2</v>
      </c>
      <c r="H157" t="n">
        <v>1</v>
      </c>
      <c r="I157" t="n">
        <v>1</v>
      </c>
      <c r="J157" t="n">
        <v>2</v>
      </c>
      <c r="K157" t="n">
        <v>0</v>
      </c>
      <c r="L157" t="n">
        <v>0</v>
      </c>
      <c r="M157" t="n">
        <v>0</v>
      </c>
      <c r="N157" t="n">
        <v>0</v>
      </c>
      <c r="O157" t="n">
        <v>2</v>
      </c>
      <c r="P157" t="n">
        <v>0</v>
      </c>
      <c r="Q157" t="n">
        <v>4</v>
      </c>
      <c r="R157" s="2" t="inlineStr">
        <is>
          <t>Garnlav
Lunglav
Bronshjon
Fläcknycklar</t>
        </is>
      </c>
      <c r="S157">
        <f>HYPERLINK("https://klasma.github.io/Logging_2283/artfynd/A 18025-2022 artfynd.xlsx", "A 18025-2022")</f>
        <v/>
      </c>
      <c r="T157">
        <f>HYPERLINK("https://klasma.github.io/Logging_2283/kartor/A 18025-2022 karta.png", "A 18025-2022")</f>
        <v/>
      </c>
      <c r="V157">
        <f>HYPERLINK("https://klasma.github.io/Logging_2283/klagomål/A 18025-2022 FSC-klagomål.docx", "A 18025-2022")</f>
        <v/>
      </c>
      <c r="W157">
        <f>HYPERLINK("https://klasma.github.io/Logging_2283/klagomålsmail/A 18025-2022 FSC-klagomål mail.docx", "A 18025-2022")</f>
        <v/>
      </c>
      <c r="X157">
        <f>HYPERLINK("https://klasma.github.io/Logging_2283/tillsyn/A 18025-2022 tillsynsbegäran.docx", "A 18025-2022")</f>
        <v/>
      </c>
      <c r="Y157">
        <f>HYPERLINK("https://klasma.github.io/Logging_2283/tillsynsmail/A 18025-2022 tillsynsbegäran mail.docx", "A 18025-2022")</f>
        <v/>
      </c>
    </row>
    <row r="158" ht="15" customHeight="1">
      <c r="A158" t="inlineStr">
        <is>
          <t>A 27071-2022</t>
        </is>
      </c>
      <c r="B158" s="1" t="n">
        <v>44741</v>
      </c>
      <c r="C158" s="1" t="n">
        <v>45576</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57001-2022</t>
        </is>
      </c>
      <c r="B159" s="1" t="n">
        <v>44894</v>
      </c>
      <c r="C159" s="1" t="n">
        <v>45576</v>
      </c>
      <c r="D159" t="inlineStr">
        <is>
          <t>VÄSTERNORRLANDS LÄN</t>
        </is>
      </c>
      <c r="E159" t="inlineStr">
        <is>
          <t>SOLLEFTEÅ</t>
        </is>
      </c>
      <c r="F159" t="inlineStr">
        <is>
          <t>SCA</t>
        </is>
      </c>
      <c r="G159" t="n">
        <v>1.2</v>
      </c>
      <c r="H159" t="n">
        <v>2</v>
      </c>
      <c r="I159" t="n">
        <v>0</v>
      </c>
      <c r="J159" t="n">
        <v>3</v>
      </c>
      <c r="K159" t="n">
        <v>1</v>
      </c>
      <c r="L159" t="n">
        <v>0</v>
      </c>
      <c r="M159" t="n">
        <v>0</v>
      </c>
      <c r="N159" t="n">
        <v>0</v>
      </c>
      <c r="O159" t="n">
        <v>4</v>
      </c>
      <c r="P159" t="n">
        <v>1</v>
      </c>
      <c r="Q159" t="n">
        <v>4</v>
      </c>
      <c r="R159" s="2" t="inlineStr">
        <is>
          <t>Knärot
Garnlav
Järpe
Lunglav</t>
        </is>
      </c>
      <c r="S159">
        <f>HYPERLINK("https://klasma.github.io/Logging_2283/artfynd/A 57001-2022 artfynd.xlsx", "A 57001-2022")</f>
        <v/>
      </c>
      <c r="T159">
        <f>HYPERLINK("https://klasma.github.io/Logging_2283/kartor/A 57001-2022 karta.png", "A 57001-2022")</f>
        <v/>
      </c>
      <c r="U159">
        <f>HYPERLINK("https://klasma.github.io/Logging_2283/knärot/A 57001-2022 karta knärot.png", "A 57001-2022")</f>
        <v/>
      </c>
      <c r="V159">
        <f>HYPERLINK("https://klasma.github.io/Logging_2283/klagomål/A 57001-2022 FSC-klagomål.docx", "A 57001-2022")</f>
        <v/>
      </c>
      <c r="W159">
        <f>HYPERLINK("https://klasma.github.io/Logging_2283/klagomålsmail/A 57001-2022 FSC-klagomål mail.docx", "A 57001-2022")</f>
        <v/>
      </c>
      <c r="X159">
        <f>HYPERLINK("https://klasma.github.io/Logging_2283/tillsyn/A 57001-2022 tillsynsbegäran.docx", "A 57001-2022")</f>
        <v/>
      </c>
      <c r="Y159">
        <f>HYPERLINK("https://klasma.github.io/Logging_2283/tillsynsmail/A 57001-2022 tillsynsbegäran mail.docx", "A 57001-2022")</f>
        <v/>
      </c>
      <c r="Z159">
        <f>HYPERLINK("https://klasma.github.io/Logging_2283/fåglar/A 57001-2022 prioriterade fågelarter.docx", "A 57001-2022")</f>
        <v/>
      </c>
    </row>
    <row r="160" ht="15" customHeight="1">
      <c r="A160" t="inlineStr">
        <is>
          <t>A 62638-2022</t>
        </is>
      </c>
      <c r="B160" s="1" t="n">
        <v>44925</v>
      </c>
      <c r="C160" s="1" t="n">
        <v>45576</v>
      </c>
      <c r="D160" t="inlineStr">
        <is>
          <t>VÄSTERNORRLANDS LÄN</t>
        </is>
      </c>
      <c r="E160" t="inlineStr">
        <is>
          <t>SOLLEFTEÅ</t>
        </is>
      </c>
      <c r="F160" t="inlineStr">
        <is>
          <t>Holmen skog AB</t>
        </is>
      </c>
      <c r="G160" t="n">
        <v>4</v>
      </c>
      <c r="H160" t="n">
        <v>1</v>
      </c>
      <c r="I160" t="n">
        <v>1</v>
      </c>
      <c r="J160" t="n">
        <v>2</v>
      </c>
      <c r="K160" t="n">
        <v>1</v>
      </c>
      <c r="L160" t="n">
        <v>0</v>
      </c>
      <c r="M160" t="n">
        <v>0</v>
      </c>
      <c r="N160" t="n">
        <v>0</v>
      </c>
      <c r="O160" t="n">
        <v>3</v>
      </c>
      <c r="P160" t="n">
        <v>1</v>
      </c>
      <c r="Q160" t="n">
        <v>4</v>
      </c>
      <c r="R160" s="2" t="inlineStr">
        <is>
          <t>Knärot
Koralltaggsvamp
Lunglav
Skinnlav</t>
        </is>
      </c>
      <c r="S160">
        <f>HYPERLINK("https://klasma.github.io/Logging_2283/artfynd/A 62638-2022 artfynd.xlsx", "A 62638-2022")</f>
        <v/>
      </c>
      <c r="T160">
        <f>HYPERLINK("https://klasma.github.io/Logging_2283/kartor/A 62638-2022 karta.png", "A 62638-2022")</f>
        <v/>
      </c>
      <c r="U160">
        <f>HYPERLINK("https://klasma.github.io/Logging_2283/knärot/A 62638-2022 karta knärot.png", "A 62638-2022")</f>
        <v/>
      </c>
      <c r="V160">
        <f>HYPERLINK("https://klasma.github.io/Logging_2283/klagomål/A 62638-2022 FSC-klagomål.docx", "A 62638-2022")</f>
        <v/>
      </c>
      <c r="W160">
        <f>HYPERLINK("https://klasma.github.io/Logging_2283/klagomålsmail/A 62638-2022 FSC-klagomål mail.docx", "A 62638-2022")</f>
        <v/>
      </c>
      <c r="X160">
        <f>HYPERLINK("https://klasma.github.io/Logging_2283/tillsyn/A 62638-2022 tillsynsbegäran.docx", "A 62638-2022")</f>
        <v/>
      </c>
      <c r="Y160">
        <f>HYPERLINK("https://klasma.github.io/Logging_2283/tillsynsmail/A 62638-2022 tillsynsbegäran mail.docx", "A 62638-2022")</f>
        <v/>
      </c>
    </row>
    <row r="161" ht="15" customHeight="1">
      <c r="A161" t="inlineStr">
        <is>
          <t>A 62632-2022</t>
        </is>
      </c>
      <c r="B161" s="1" t="n">
        <v>44925</v>
      </c>
      <c r="C161" s="1" t="n">
        <v>45576</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2409-2023</t>
        </is>
      </c>
      <c r="B162" s="1" t="n">
        <v>44942</v>
      </c>
      <c r="C162" s="1" t="n">
        <v>45576</v>
      </c>
      <c r="D162" t="inlineStr">
        <is>
          <t>VÄSTERNORRLANDS LÄN</t>
        </is>
      </c>
      <c r="E162" t="inlineStr">
        <is>
          <t>SOLLEFTEÅ</t>
        </is>
      </c>
      <c r="F162" t="inlineStr">
        <is>
          <t>SCA</t>
        </is>
      </c>
      <c r="G162" t="n">
        <v>2</v>
      </c>
      <c r="H162" t="n">
        <v>0</v>
      </c>
      <c r="I162" t="n">
        <v>1</v>
      </c>
      <c r="J162" t="n">
        <v>3</v>
      </c>
      <c r="K162" t="n">
        <v>0</v>
      </c>
      <c r="L162" t="n">
        <v>0</v>
      </c>
      <c r="M162" t="n">
        <v>0</v>
      </c>
      <c r="N162" t="n">
        <v>0</v>
      </c>
      <c r="O162" t="n">
        <v>3</v>
      </c>
      <c r="P162" t="n">
        <v>0</v>
      </c>
      <c r="Q162" t="n">
        <v>4</v>
      </c>
      <c r="R162" s="2" t="inlineStr">
        <is>
          <t>Rosenticka
Tallticka
Ullticka
Dropptaggsvamp</t>
        </is>
      </c>
      <c r="S162">
        <f>HYPERLINK("https://klasma.github.io/Logging_2283/artfynd/A 2409-2023 artfynd.xlsx", "A 2409-2023")</f>
        <v/>
      </c>
      <c r="T162">
        <f>HYPERLINK("https://klasma.github.io/Logging_2283/kartor/A 2409-2023 karta.png", "A 2409-2023")</f>
        <v/>
      </c>
      <c r="V162">
        <f>HYPERLINK("https://klasma.github.io/Logging_2283/klagomål/A 2409-2023 FSC-klagomål.docx", "A 2409-2023")</f>
        <v/>
      </c>
      <c r="W162">
        <f>HYPERLINK("https://klasma.github.io/Logging_2283/klagomålsmail/A 2409-2023 FSC-klagomål mail.docx", "A 2409-2023")</f>
        <v/>
      </c>
      <c r="X162">
        <f>HYPERLINK("https://klasma.github.io/Logging_2283/tillsyn/A 2409-2023 tillsynsbegäran.docx", "A 2409-2023")</f>
        <v/>
      </c>
      <c r="Y162">
        <f>HYPERLINK("https://klasma.github.io/Logging_2283/tillsynsmail/A 2409-2023 tillsynsbegäran mail.docx", "A 2409-2023")</f>
        <v/>
      </c>
    </row>
    <row r="163" ht="15" customHeight="1">
      <c r="A163" t="inlineStr">
        <is>
          <t>A 9365-2023</t>
        </is>
      </c>
      <c r="B163" s="1" t="n">
        <v>44980</v>
      </c>
      <c r="C163" s="1" t="n">
        <v>45576</v>
      </c>
      <c r="D163" t="inlineStr">
        <is>
          <t>VÄSTERNORRLANDS LÄN</t>
        </is>
      </c>
      <c r="E163" t="inlineStr">
        <is>
          <t>SOLLEFTEÅ</t>
        </is>
      </c>
      <c r="F163" t="inlineStr">
        <is>
          <t>SCA</t>
        </is>
      </c>
      <c r="G163" t="n">
        <v>6.5</v>
      </c>
      <c r="H163" t="n">
        <v>2</v>
      </c>
      <c r="I163" t="n">
        <v>0</v>
      </c>
      <c r="J163" t="n">
        <v>3</v>
      </c>
      <c r="K163" t="n">
        <v>0</v>
      </c>
      <c r="L163" t="n">
        <v>0</v>
      </c>
      <c r="M163" t="n">
        <v>0</v>
      </c>
      <c r="N163" t="n">
        <v>0</v>
      </c>
      <c r="O163" t="n">
        <v>3</v>
      </c>
      <c r="P163" t="n">
        <v>0</v>
      </c>
      <c r="Q163" t="n">
        <v>4</v>
      </c>
      <c r="R163" s="2" t="inlineStr">
        <is>
          <t>Garnlav
Kolflarnlav
Tretåig hackspett
Tjäder</t>
        </is>
      </c>
      <c r="S163">
        <f>HYPERLINK("https://klasma.github.io/Logging_2283/artfynd/A 9365-2023 artfynd.xlsx", "A 9365-2023")</f>
        <v/>
      </c>
      <c r="T163">
        <f>HYPERLINK("https://klasma.github.io/Logging_2283/kartor/A 9365-2023 karta.png", "A 9365-2023")</f>
        <v/>
      </c>
      <c r="V163">
        <f>HYPERLINK("https://klasma.github.io/Logging_2283/klagomål/A 9365-2023 FSC-klagomål.docx", "A 9365-2023")</f>
        <v/>
      </c>
      <c r="W163">
        <f>HYPERLINK("https://klasma.github.io/Logging_2283/klagomålsmail/A 9365-2023 FSC-klagomål mail.docx", "A 9365-2023")</f>
        <v/>
      </c>
      <c r="X163">
        <f>HYPERLINK("https://klasma.github.io/Logging_2283/tillsyn/A 9365-2023 tillsynsbegäran.docx", "A 9365-2023")</f>
        <v/>
      </c>
      <c r="Y163">
        <f>HYPERLINK("https://klasma.github.io/Logging_2283/tillsynsmail/A 9365-2023 tillsynsbegäran mail.docx", "A 9365-2023")</f>
        <v/>
      </c>
      <c r="Z163">
        <f>HYPERLINK("https://klasma.github.io/Logging_2283/fåglar/A 9365-2023 prioriterade fågelarter.docx", "A 9365-2023")</f>
        <v/>
      </c>
    </row>
    <row r="164" ht="15" customHeight="1">
      <c r="A164" t="inlineStr">
        <is>
          <t>A 10776-2023</t>
        </is>
      </c>
      <c r="B164" s="1" t="n">
        <v>44988</v>
      </c>
      <c r="C164" s="1" t="n">
        <v>45576</v>
      </c>
      <c r="D164" t="inlineStr">
        <is>
          <t>VÄSTERNORRLANDS LÄN</t>
        </is>
      </c>
      <c r="E164" t="inlineStr">
        <is>
          <t>SOLLEFTEÅ</t>
        </is>
      </c>
      <c r="F164" t="inlineStr">
        <is>
          <t>SCA</t>
        </is>
      </c>
      <c r="G164" t="n">
        <v>6.2</v>
      </c>
      <c r="H164" t="n">
        <v>0</v>
      </c>
      <c r="I164" t="n">
        <v>0</v>
      </c>
      <c r="J164" t="n">
        <v>4</v>
      </c>
      <c r="K164" t="n">
        <v>0</v>
      </c>
      <c r="L164" t="n">
        <v>0</v>
      </c>
      <c r="M164" t="n">
        <v>0</v>
      </c>
      <c r="N164" t="n">
        <v>0</v>
      </c>
      <c r="O164" t="n">
        <v>4</v>
      </c>
      <c r="P164" t="n">
        <v>0</v>
      </c>
      <c r="Q164" t="n">
        <v>4</v>
      </c>
      <c r="R164" s="2" t="inlineStr">
        <is>
          <t>Granticka
Rosenticka
Ullticka
Vedskivlav</t>
        </is>
      </c>
      <c r="S164">
        <f>HYPERLINK("https://klasma.github.io/Logging_2283/artfynd/A 10776-2023 artfynd.xlsx", "A 10776-2023")</f>
        <v/>
      </c>
      <c r="T164">
        <f>HYPERLINK("https://klasma.github.io/Logging_2283/kartor/A 10776-2023 karta.png", "A 10776-2023")</f>
        <v/>
      </c>
      <c r="V164">
        <f>HYPERLINK("https://klasma.github.io/Logging_2283/klagomål/A 10776-2023 FSC-klagomål.docx", "A 10776-2023")</f>
        <v/>
      </c>
      <c r="W164">
        <f>HYPERLINK("https://klasma.github.io/Logging_2283/klagomålsmail/A 10776-2023 FSC-klagomål mail.docx", "A 10776-2023")</f>
        <v/>
      </c>
      <c r="X164">
        <f>HYPERLINK("https://klasma.github.io/Logging_2283/tillsyn/A 10776-2023 tillsynsbegäran.docx", "A 10776-2023")</f>
        <v/>
      </c>
      <c r="Y164">
        <f>HYPERLINK("https://klasma.github.io/Logging_2283/tillsynsmail/A 10776-2023 tillsynsbegäran mail.docx", "A 10776-2023")</f>
        <v/>
      </c>
    </row>
    <row r="165" ht="15" customHeight="1">
      <c r="A165" t="inlineStr">
        <is>
          <t>A 12365-2023</t>
        </is>
      </c>
      <c r="B165" s="1" t="n">
        <v>44999</v>
      </c>
      <c r="C165" s="1" t="n">
        <v>45576</v>
      </c>
      <c r="D165" t="inlineStr">
        <is>
          <t>VÄSTERNORRLANDS LÄN</t>
        </is>
      </c>
      <c r="E165" t="inlineStr">
        <is>
          <t>SOLLEFTEÅ</t>
        </is>
      </c>
      <c r="F165" t="inlineStr">
        <is>
          <t>Kommuner</t>
        </is>
      </c>
      <c r="G165" t="n">
        <v>2.2</v>
      </c>
      <c r="H165" t="n">
        <v>0</v>
      </c>
      <c r="I165" t="n">
        <v>2</v>
      </c>
      <c r="J165" t="n">
        <v>2</v>
      </c>
      <c r="K165" t="n">
        <v>0</v>
      </c>
      <c r="L165" t="n">
        <v>0</v>
      </c>
      <c r="M165" t="n">
        <v>0</v>
      </c>
      <c r="N165" t="n">
        <v>0</v>
      </c>
      <c r="O165" t="n">
        <v>2</v>
      </c>
      <c r="P165" t="n">
        <v>0</v>
      </c>
      <c r="Q165" t="n">
        <v>4</v>
      </c>
      <c r="R165" s="2" t="inlineStr">
        <is>
          <t>Rosenticka
Ullticka
Mörk husmossa
Skinnlav</t>
        </is>
      </c>
      <c r="S165">
        <f>HYPERLINK("https://klasma.github.io/Logging_2283/artfynd/A 12365-2023 artfynd.xlsx", "A 12365-2023")</f>
        <v/>
      </c>
      <c r="T165">
        <f>HYPERLINK("https://klasma.github.io/Logging_2283/kartor/A 12365-2023 karta.png", "A 12365-2023")</f>
        <v/>
      </c>
      <c r="U165">
        <f>HYPERLINK("https://klasma.github.io/Logging_2283/knärot/A 12365-2023 karta knärot.png", "A 12365-2023")</f>
        <v/>
      </c>
      <c r="V165">
        <f>HYPERLINK("https://klasma.github.io/Logging_2283/klagomål/A 12365-2023 FSC-klagomål.docx", "A 12365-2023")</f>
        <v/>
      </c>
      <c r="W165">
        <f>HYPERLINK("https://klasma.github.io/Logging_2283/klagomålsmail/A 12365-2023 FSC-klagomål mail.docx", "A 12365-2023")</f>
        <v/>
      </c>
      <c r="X165">
        <f>HYPERLINK("https://klasma.github.io/Logging_2283/tillsyn/A 12365-2023 tillsynsbegäran.docx", "A 12365-2023")</f>
        <v/>
      </c>
      <c r="Y165">
        <f>HYPERLINK("https://klasma.github.io/Logging_2283/tillsynsmail/A 12365-2023 tillsynsbegäran mail.docx", "A 12365-2023")</f>
        <v/>
      </c>
    </row>
    <row r="166" ht="15" customHeight="1">
      <c r="A166" t="inlineStr">
        <is>
          <t>A 18066-2023</t>
        </is>
      </c>
      <c r="B166" s="1" t="n">
        <v>45040</v>
      </c>
      <c r="C166" s="1" t="n">
        <v>45576</v>
      </c>
      <c r="D166" t="inlineStr">
        <is>
          <t>VÄSTERNORRLANDS LÄN</t>
        </is>
      </c>
      <c r="E166" t="inlineStr">
        <is>
          <t>SOLLEFTEÅ</t>
        </is>
      </c>
      <c r="G166" t="n">
        <v>0.8</v>
      </c>
      <c r="H166" t="n">
        <v>1</v>
      </c>
      <c r="I166" t="n">
        <v>0</v>
      </c>
      <c r="J166" t="n">
        <v>3</v>
      </c>
      <c r="K166" t="n">
        <v>1</v>
      </c>
      <c r="L166" t="n">
        <v>0</v>
      </c>
      <c r="M166" t="n">
        <v>0</v>
      </c>
      <c r="N166" t="n">
        <v>0</v>
      </c>
      <c r="O166" t="n">
        <v>4</v>
      </c>
      <c r="P166" t="n">
        <v>1</v>
      </c>
      <c r="Q166" t="n">
        <v>4</v>
      </c>
      <c r="R166" s="2" t="inlineStr">
        <is>
          <t>Knärot
Garnlav
Rosenticka
Ullticka</t>
        </is>
      </c>
      <c r="S166">
        <f>HYPERLINK("https://klasma.github.io/Logging_2283/artfynd/A 18066-2023 artfynd.xlsx", "A 18066-2023")</f>
        <v/>
      </c>
      <c r="T166">
        <f>HYPERLINK("https://klasma.github.io/Logging_2283/kartor/A 18066-2023 karta.png", "A 18066-2023")</f>
        <v/>
      </c>
      <c r="U166">
        <f>HYPERLINK("https://klasma.github.io/Logging_2283/knärot/A 18066-2023 karta knärot.png", "A 18066-2023")</f>
        <v/>
      </c>
      <c r="V166">
        <f>HYPERLINK("https://klasma.github.io/Logging_2283/klagomål/A 18066-2023 FSC-klagomål.docx", "A 18066-2023")</f>
        <v/>
      </c>
      <c r="W166">
        <f>HYPERLINK("https://klasma.github.io/Logging_2283/klagomålsmail/A 18066-2023 FSC-klagomål mail.docx", "A 18066-2023")</f>
        <v/>
      </c>
      <c r="X166">
        <f>HYPERLINK("https://klasma.github.io/Logging_2283/tillsyn/A 18066-2023 tillsynsbegäran.docx", "A 18066-2023")</f>
        <v/>
      </c>
      <c r="Y166">
        <f>HYPERLINK("https://klasma.github.io/Logging_2283/tillsynsmail/A 18066-2023 tillsynsbegäran mail.docx", "A 18066-2023")</f>
        <v/>
      </c>
    </row>
    <row r="167" ht="15" customHeight="1">
      <c r="A167" t="inlineStr">
        <is>
          <t>A 32218-2023</t>
        </is>
      </c>
      <c r="B167" s="1" t="n">
        <v>45120</v>
      </c>
      <c r="C167" s="1" t="n">
        <v>45576</v>
      </c>
      <c r="D167" t="inlineStr">
        <is>
          <t>VÄSTERNORRLANDS LÄN</t>
        </is>
      </c>
      <c r="E167" t="inlineStr">
        <is>
          <t>SOLLEFTEÅ</t>
        </is>
      </c>
      <c r="F167" t="inlineStr">
        <is>
          <t>SCA</t>
        </is>
      </c>
      <c r="G167" t="n">
        <v>2.1</v>
      </c>
      <c r="H167" t="n">
        <v>1</v>
      </c>
      <c r="I167" t="n">
        <v>0</v>
      </c>
      <c r="J167" t="n">
        <v>4</v>
      </c>
      <c r="K167" t="n">
        <v>0</v>
      </c>
      <c r="L167" t="n">
        <v>0</v>
      </c>
      <c r="M167" t="n">
        <v>0</v>
      </c>
      <c r="N167" t="n">
        <v>0</v>
      </c>
      <c r="O167" t="n">
        <v>4</v>
      </c>
      <c r="P167" t="n">
        <v>0</v>
      </c>
      <c r="Q167" t="n">
        <v>4</v>
      </c>
      <c r="R167" s="2" t="inlineStr">
        <is>
          <t>Garnlav
Lunglav
Tretåig hackspett
Ullticka</t>
        </is>
      </c>
      <c r="S167">
        <f>HYPERLINK("https://klasma.github.io/Logging_2283/artfynd/A 32218-2023 artfynd.xlsx", "A 32218-2023")</f>
        <v/>
      </c>
      <c r="T167">
        <f>HYPERLINK("https://klasma.github.io/Logging_2283/kartor/A 32218-2023 karta.png", "A 32218-2023")</f>
        <v/>
      </c>
      <c r="V167">
        <f>HYPERLINK("https://klasma.github.io/Logging_2283/klagomål/A 32218-2023 FSC-klagomål.docx", "A 32218-2023")</f>
        <v/>
      </c>
      <c r="W167">
        <f>HYPERLINK("https://klasma.github.io/Logging_2283/klagomålsmail/A 32218-2023 FSC-klagomål mail.docx", "A 32218-2023")</f>
        <v/>
      </c>
      <c r="X167">
        <f>HYPERLINK("https://klasma.github.io/Logging_2283/tillsyn/A 32218-2023 tillsynsbegäran.docx", "A 32218-2023")</f>
        <v/>
      </c>
      <c r="Y167">
        <f>HYPERLINK("https://klasma.github.io/Logging_2283/tillsynsmail/A 32218-2023 tillsynsbegäran mail.docx", "A 32218-2023")</f>
        <v/>
      </c>
      <c r="Z167">
        <f>HYPERLINK("https://klasma.github.io/Logging_2283/fåglar/A 32218-2023 prioriterade fågelarter.docx", "A 32218-2023")</f>
        <v/>
      </c>
    </row>
    <row r="168" ht="15" customHeight="1">
      <c r="A168" t="inlineStr">
        <is>
          <t>A 35505-2023</t>
        </is>
      </c>
      <c r="B168" s="1" t="n">
        <v>45147</v>
      </c>
      <c r="C168" s="1" t="n">
        <v>45576</v>
      </c>
      <c r="D168" t="inlineStr">
        <is>
          <t>VÄSTERNORRLANDS LÄN</t>
        </is>
      </c>
      <c r="E168" t="inlineStr">
        <is>
          <t>SOLLEFTEÅ</t>
        </is>
      </c>
      <c r="F168" t="inlineStr">
        <is>
          <t>SCA</t>
        </is>
      </c>
      <c r="G168" t="n">
        <v>2.6</v>
      </c>
      <c r="H168" t="n">
        <v>0</v>
      </c>
      <c r="I168" t="n">
        <v>2</v>
      </c>
      <c r="J168" t="n">
        <v>2</v>
      </c>
      <c r="K168" t="n">
        <v>0</v>
      </c>
      <c r="L168" t="n">
        <v>0</v>
      </c>
      <c r="M168" t="n">
        <v>0</v>
      </c>
      <c r="N168" t="n">
        <v>0</v>
      </c>
      <c r="O168" t="n">
        <v>2</v>
      </c>
      <c r="P168" t="n">
        <v>0</v>
      </c>
      <c r="Q168" t="n">
        <v>4</v>
      </c>
      <c r="R168" s="2" t="inlineStr">
        <is>
          <t>Garnlav
Lunglav
Bårdlav
Norrlandslav</t>
        </is>
      </c>
      <c r="S168">
        <f>HYPERLINK("https://klasma.github.io/Logging_2283/artfynd/A 35505-2023 artfynd.xlsx", "A 35505-2023")</f>
        <v/>
      </c>
      <c r="T168">
        <f>HYPERLINK("https://klasma.github.io/Logging_2283/kartor/A 35505-2023 karta.png", "A 35505-2023")</f>
        <v/>
      </c>
      <c r="V168">
        <f>HYPERLINK("https://klasma.github.io/Logging_2283/klagomål/A 35505-2023 FSC-klagomål.docx", "A 35505-2023")</f>
        <v/>
      </c>
      <c r="W168">
        <f>HYPERLINK("https://klasma.github.io/Logging_2283/klagomålsmail/A 35505-2023 FSC-klagomål mail.docx", "A 35505-2023")</f>
        <v/>
      </c>
      <c r="X168">
        <f>HYPERLINK("https://klasma.github.io/Logging_2283/tillsyn/A 35505-2023 tillsynsbegäran.docx", "A 35505-2023")</f>
        <v/>
      </c>
      <c r="Y168">
        <f>HYPERLINK("https://klasma.github.io/Logging_2283/tillsynsmail/A 35505-2023 tillsynsbegäran mail.docx", "A 35505-2023")</f>
        <v/>
      </c>
    </row>
    <row r="169" ht="15" customHeight="1">
      <c r="A169" t="inlineStr">
        <is>
          <t>A 37270-2023</t>
        </is>
      </c>
      <c r="B169" s="1" t="n">
        <v>45155</v>
      </c>
      <c r="C169" s="1" t="n">
        <v>45576</v>
      </c>
      <c r="D169" t="inlineStr">
        <is>
          <t>VÄSTERNORRLANDS LÄN</t>
        </is>
      </c>
      <c r="E169" t="inlineStr">
        <is>
          <t>SOLLEFTEÅ</t>
        </is>
      </c>
      <c r="F169" t="inlineStr">
        <is>
          <t>SCA</t>
        </is>
      </c>
      <c r="G169" t="n">
        <v>2.3</v>
      </c>
      <c r="H169" t="n">
        <v>1</v>
      </c>
      <c r="I169" t="n">
        <v>1</v>
      </c>
      <c r="J169" t="n">
        <v>3</v>
      </c>
      <c r="K169" t="n">
        <v>0</v>
      </c>
      <c r="L169" t="n">
        <v>0</v>
      </c>
      <c r="M169" t="n">
        <v>0</v>
      </c>
      <c r="N169" t="n">
        <v>0</v>
      </c>
      <c r="O169" t="n">
        <v>3</v>
      </c>
      <c r="P169" t="n">
        <v>0</v>
      </c>
      <c r="Q169" t="n">
        <v>4</v>
      </c>
      <c r="R169" s="2" t="inlineStr">
        <is>
          <t>Orange taggsvamp
Tallticka
Tretåig hackspett
Dropptaggsvamp</t>
        </is>
      </c>
      <c r="S169">
        <f>HYPERLINK("https://klasma.github.io/Logging_2283/artfynd/A 37270-2023 artfynd.xlsx", "A 37270-2023")</f>
        <v/>
      </c>
      <c r="T169">
        <f>HYPERLINK("https://klasma.github.io/Logging_2283/kartor/A 37270-2023 karta.png", "A 37270-2023")</f>
        <v/>
      </c>
      <c r="V169">
        <f>HYPERLINK("https://klasma.github.io/Logging_2283/klagomål/A 37270-2023 FSC-klagomål.docx", "A 37270-2023")</f>
        <v/>
      </c>
      <c r="W169">
        <f>HYPERLINK("https://klasma.github.io/Logging_2283/klagomålsmail/A 37270-2023 FSC-klagomål mail.docx", "A 37270-2023")</f>
        <v/>
      </c>
      <c r="X169">
        <f>HYPERLINK("https://klasma.github.io/Logging_2283/tillsyn/A 37270-2023 tillsynsbegäran.docx", "A 37270-2023")</f>
        <v/>
      </c>
      <c r="Y169">
        <f>HYPERLINK("https://klasma.github.io/Logging_2283/tillsynsmail/A 37270-2023 tillsynsbegäran mail.docx", "A 37270-2023")</f>
        <v/>
      </c>
      <c r="Z169">
        <f>HYPERLINK("https://klasma.github.io/Logging_2283/fåglar/A 37270-2023 prioriterade fågelarter.docx", "A 37270-2023")</f>
        <v/>
      </c>
    </row>
    <row r="170" ht="15" customHeight="1">
      <c r="A170" t="inlineStr">
        <is>
          <t>A 43954-2023</t>
        </is>
      </c>
      <c r="B170" s="1" t="n">
        <v>45187</v>
      </c>
      <c r="C170" s="1" t="n">
        <v>45576</v>
      </c>
      <c r="D170" t="inlineStr">
        <is>
          <t>VÄSTERNORRLANDS LÄN</t>
        </is>
      </c>
      <c r="E170" t="inlineStr">
        <is>
          <t>SOLLEFTEÅ</t>
        </is>
      </c>
      <c r="F170" t="inlineStr">
        <is>
          <t>SCA</t>
        </is>
      </c>
      <c r="G170" t="n">
        <v>1.7</v>
      </c>
      <c r="H170" t="n">
        <v>3</v>
      </c>
      <c r="I170" t="n">
        <v>0</v>
      </c>
      <c r="J170" t="n">
        <v>2</v>
      </c>
      <c r="K170" t="n">
        <v>2</v>
      </c>
      <c r="L170" t="n">
        <v>0</v>
      </c>
      <c r="M170" t="n">
        <v>0</v>
      </c>
      <c r="N170" t="n">
        <v>0</v>
      </c>
      <c r="O170" t="n">
        <v>4</v>
      </c>
      <c r="P170" t="n">
        <v>2</v>
      </c>
      <c r="Q170" t="n">
        <v>4</v>
      </c>
      <c r="R170" s="2" t="inlineStr">
        <is>
          <t>Doftticka
Knärot
Lunglav
Tretåig hackspett</t>
        </is>
      </c>
      <c r="S170">
        <f>HYPERLINK("https://klasma.github.io/Logging_2283/artfynd/A 43954-2023 artfynd.xlsx", "A 43954-2023")</f>
        <v/>
      </c>
      <c r="T170">
        <f>HYPERLINK("https://klasma.github.io/Logging_2283/kartor/A 43954-2023 karta.png", "A 43954-2023")</f>
        <v/>
      </c>
      <c r="U170">
        <f>HYPERLINK("https://klasma.github.io/Logging_2283/knärot/A 43954-2023 karta knärot.png", "A 43954-2023")</f>
        <v/>
      </c>
      <c r="V170">
        <f>HYPERLINK("https://klasma.github.io/Logging_2283/klagomål/A 43954-2023 FSC-klagomål.docx", "A 43954-2023")</f>
        <v/>
      </c>
      <c r="W170">
        <f>HYPERLINK("https://klasma.github.io/Logging_2283/klagomålsmail/A 43954-2023 FSC-klagomål mail.docx", "A 43954-2023")</f>
        <v/>
      </c>
      <c r="X170">
        <f>HYPERLINK("https://klasma.github.io/Logging_2283/tillsyn/A 43954-2023 tillsynsbegäran.docx", "A 43954-2023")</f>
        <v/>
      </c>
      <c r="Y170">
        <f>HYPERLINK("https://klasma.github.io/Logging_2283/tillsynsmail/A 43954-2023 tillsynsbegäran mail.docx", "A 43954-2023")</f>
        <v/>
      </c>
      <c r="Z170">
        <f>HYPERLINK("https://klasma.github.io/Logging_2283/fåglar/A 43954-2023 prioriterade fågelarter.docx", "A 43954-2023")</f>
        <v/>
      </c>
    </row>
    <row r="171" ht="15" customHeight="1">
      <c r="A171" t="inlineStr">
        <is>
          <t>A 50839-2023</t>
        </is>
      </c>
      <c r="B171" s="1" t="n">
        <v>45217</v>
      </c>
      <c r="C171" s="1" t="n">
        <v>45576</v>
      </c>
      <c r="D171" t="inlineStr">
        <is>
          <t>VÄSTERNORRLANDS LÄN</t>
        </is>
      </c>
      <c r="E171" t="inlineStr">
        <is>
          <t>SOLLEFTEÅ</t>
        </is>
      </c>
      <c r="F171" t="inlineStr">
        <is>
          <t>SCA</t>
        </is>
      </c>
      <c r="G171" t="n">
        <v>2.8</v>
      </c>
      <c r="H171" t="n">
        <v>0</v>
      </c>
      <c r="I171" t="n">
        <v>1</v>
      </c>
      <c r="J171" t="n">
        <v>3</v>
      </c>
      <c r="K171" t="n">
        <v>0</v>
      </c>
      <c r="L171" t="n">
        <v>0</v>
      </c>
      <c r="M171" t="n">
        <v>0</v>
      </c>
      <c r="N171" t="n">
        <v>0</v>
      </c>
      <c r="O171" t="n">
        <v>3</v>
      </c>
      <c r="P171" t="n">
        <v>0</v>
      </c>
      <c r="Q171" t="n">
        <v>4</v>
      </c>
      <c r="R171" s="2" t="inlineStr">
        <is>
          <t>Garnlav
Granticka
Vitskaftad svartspik
Gulnål</t>
        </is>
      </c>
      <c r="S171">
        <f>HYPERLINK("https://klasma.github.io/Logging_2283/artfynd/A 50839-2023 artfynd.xlsx", "A 50839-2023")</f>
        <v/>
      </c>
      <c r="T171">
        <f>HYPERLINK("https://klasma.github.io/Logging_2283/kartor/A 50839-2023 karta.png", "A 50839-2023")</f>
        <v/>
      </c>
      <c r="V171">
        <f>HYPERLINK("https://klasma.github.io/Logging_2283/klagomål/A 50839-2023 FSC-klagomål.docx", "A 50839-2023")</f>
        <v/>
      </c>
      <c r="W171">
        <f>HYPERLINK("https://klasma.github.io/Logging_2283/klagomålsmail/A 50839-2023 FSC-klagomål mail.docx", "A 50839-2023")</f>
        <v/>
      </c>
      <c r="X171">
        <f>HYPERLINK("https://klasma.github.io/Logging_2283/tillsyn/A 50839-2023 tillsynsbegäran.docx", "A 50839-2023")</f>
        <v/>
      </c>
      <c r="Y171">
        <f>HYPERLINK("https://klasma.github.io/Logging_2283/tillsynsmail/A 50839-2023 tillsynsbegäran mail.docx", "A 50839-2023")</f>
        <v/>
      </c>
    </row>
    <row r="172" ht="15" customHeight="1">
      <c r="A172" t="inlineStr">
        <is>
          <t>A 52088-2023</t>
        </is>
      </c>
      <c r="B172" s="1" t="n">
        <v>45223</v>
      </c>
      <c r="C172" s="1" t="n">
        <v>45576</v>
      </c>
      <c r="D172" t="inlineStr">
        <is>
          <t>VÄSTERNORRLANDS LÄN</t>
        </is>
      </c>
      <c r="E172" t="inlineStr">
        <is>
          <t>SOLLEFTEÅ</t>
        </is>
      </c>
      <c r="G172" t="n">
        <v>6.4</v>
      </c>
      <c r="H172" t="n">
        <v>0</v>
      </c>
      <c r="I172" t="n">
        <v>1</v>
      </c>
      <c r="J172" t="n">
        <v>3</v>
      </c>
      <c r="K172" t="n">
        <v>0</v>
      </c>
      <c r="L172" t="n">
        <v>0</v>
      </c>
      <c r="M172" t="n">
        <v>0</v>
      </c>
      <c r="N172" t="n">
        <v>0</v>
      </c>
      <c r="O172" t="n">
        <v>3</v>
      </c>
      <c r="P172" t="n">
        <v>0</v>
      </c>
      <c r="Q172" t="n">
        <v>4</v>
      </c>
      <c r="R172" s="2" t="inlineStr">
        <is>
          <t>Granticka
Lunglav
Rosenticka
Vedticka</t>
        </is>
      </c>
      <c r="S172">
        <f>HYPERLINK("https://klasma.github.io/Logging_2283/artfynd/A 52088-2023 artfynd.xlsx", "A 52088-2023")</f>
        <v/>
      </c>
      <c r="T172">
        <f>HYPERLINK("https://klasma.github.io/Logging_2283/kartor/A 52088-2023 karta.png", "A 52088-2023")</f>
        <v/>
      </c>
      <c r="V172">
        <f>HYPERLINK("https://klasma.github.io/Logging_2283/klagomål/A 52088-2023 FSC-klagomål.docx", "A 52088-2023")</f>
        <v/>
      </c>
      <c r="W172">
        <f>HYPERLINK("https://klasma.github.io/Logging_2283/klagomålsmail/A 52088-2023 FSC-klagomål mail.docx", "A 52088-2023")</f>
        <v/>
      </c>
      <c r="X172">
        <f>HYPERLINK("https://klasma.github.io/Logging_2283/tillsyn/A 52088-2023 tillsynsbegäran.docx", "A 52088-2023")</f>
        <v/>
      </c>
      <c r="Y172">
        <f>HYPERLINK("https://klasma.github.io/Logging_2283/tillsynsmail/A 52088-2023 tillsynsbegäran mail.docx", "A 52088-2023")</f>
        <v/>
      </c>
    </row>
    <row r="173" ht="15" customHeight="1">
      <c r="A173" t="inlineStr">
        <is>
          <t>A 53566-2023</t>
        </is>
      </c>
      <c r="B173" s="1" t="n">
        <v>45223</v>
      </c>
      <c r="C173" s="1" t="n">
        <v>45576</v>
      </c>
      <c r="D173" t="inlineStr">
        <is>
          <t>VÄSTERNORRLANDS LÄN</t>
        </is>
      </c>
      <c r="E173" t="inlineStr">
        <is>
          <t>SOLLEFTEÅ</t>
        </is>
      </c>
      <c r="G173" t="n">
        <v>9</v>
      </c>
      <c r="H173" t="n">
        <v>2</v>
      </c>
      <c r="I173" t="n">
        <v>0</v>
      </c>
      <c r="J173" t="n">
        <v>2</v>
      </c>
      <c r="K173" t="n">
        <v>0</v>
      </c>
      <c r="L173" t="n">
        <v>0</v>
      </c>
      <c r="M173" t="n">
        <v>0</v>
      </c>
      <c r="N173" t="n">
        <v>0</v>
      </c>
      <c r="O173" t="n">
        <v>2</v>
      </c>
      <c r="P173" t="n">
        <v>0</v>
      </c>
      <c r="Q173" t="n">
        <v>4</v>
      </c>
      <c r="R173" s="2" t="inlineStr">
        <is>
          <t>Garnlav
Lunglav
Fläcknycklar
Revlummer</t>
        </is>
      </c>
      <c r="S173">
        <f>HYPERLINK("https://klasma.github.io/Logging_2283/artfynd/A 53566-2023 artfynd.xlsx", "A 53566-2023")</f>
        <v/>
      </c>
      <c r="T173">
        <f>HYPERLINK("https://klasma.github.io/Logging_2283/kartor/A 53566-2023 karta.png", "A 53566-2023")</f>
        <v/>
      </c>
      <c r="V173">
        <f>HYPERLINK("https://klasma.github.io/Logging_2283/klagomål/A 53566-2023 FSC-klagomål.docx", "A 53566-2023")</f>
        <v/>
      </c>
      <c r="W173">
        <f>HYPERLINK("https://klasma.github.io/Logging_2283/klagomålsmail/A 53566-2023 FSC-klagomål mail.docx", "A 53566-2023")</f>
        <v/>
      </c>
      <c r="X173">
        <f>HYPERLINK("https://klasma.github.io/Logging_2283/tillsyn/A 53566-2023 tillsynsbegäran.docx", "A 53566-2023")</f>
        <v/>
      </c>
      <c r="Y173">
        <f>HYPERLINK("https://klasma.github.io/Logging_2283/tillsynsmail/A 53566-2023 tillsynsbegäran mail.docx", "A 53566-2023")</f>
        <v/>
      </c>
    </row>
    <row r="174" ht="15" customHeight="1">
      <c r="A174" t="inlineStr">
        <is>
          <t>A 53049-2023</t>
        </is>
      </c>
      <c r="B174" s="1" t="n">
        <v>45226</v>
      </c>
      <c r="C174" s="1" t="n">
        <v>45576</v>
      </c>
      <c r="D174" t="inlineStr">
        <is>
          <t>VÄSTERNORRLANDS LÄN</t>
        </is>
      </c>
      <c r="E174" t="inlineStr">
        <is>
          <t>SOLLEFTEÅ</t>
        </is>
      </c>
      <c r="F174" t="inlineStr">
        <is>
          <t>SCA</t>
        </is>
      </c>
      <c r="G174" t="n">
        <v>3.7</v>
      </c>
      <c r="H174" t="n">
        <v>2</v>
      </c>
      <c r="I174" t="n">
        <v>0</v>
      </c>
      <c r="J174" t="n">
        <v>4</v>
      </c>
      <c r="K174" t="n">
        <v>0</v>
      </c>
      <c r="L174" t="n">
        <v>0</v>
      </c>
      <c r="M174" t="n">
        <v>0</v>
      </c>
      <c r="N174" t="n">
        <v>0</v>
      </c>
      <c r="O174" t="n">
        <v>4</v>
      </c>
      <c r="P174" t="n">
        <v>0</v>
      </c>
      <c r="Q174" t="n">
        <v>4</v>
      </c>
      <c r="R174" s="2" t="inlineStr">
        <is>
          <t>Järpe
Lunglav
Tretåig hackspett
Ullticka</t>
        </is>
      </c>
      <c r="S174">
        <f>HYPERLINK("https://klasma.github.io/Logging_2283/artfynd/A 53049-2023 artfynd.xlsx", "A 53049-2023")</f>
        <v/>
      </c>
      <c r="T174">
        <f>HYPERLINK("https://klasma.github.io/Logging_2283/kartor/A 53049-2023 karta.png", "A 53049-2023")</f>
        <v/>
      </c>
      <c r="V174">
        <f>HYPERLINK("https://klasma.github.io/Logging_2283/klagomål/A 53049-2023 FSC-klagomål.docx", "A 53049-2023")</f>
        <v/>
      </c>
      <c r="W174">
        <f>HYPERLINK("https://klasma.github.io/Logging_2283/klagomålsmail/A 53049-2023 FSC-klagomål mail.docx", "A 53049-2023")</f>
        <v/>
      </c>
      <c r="X174">
        <f>HYPERLINK("https://klasma.github.io/Logging_2283/tillsyn/A 53049-2023 tillsynsbegäran.docx", "A 53049-2023")</f>
        <v/>
      </c>
      <c r="Y174">
        <f>HYPERLINK("https://klasma.github.io/Logging_2283/tillsynsmail/A 53049-2023 tillsynsbegäran mail.docx", "A 53049-2023")</f>
        <v/>
      </c>
      <c r="Z174">
        <f>HYPERLINK("https://klasma.github.io/Logging_2283/fåglar/A 53049-2023 prioriterade fågelarter.docx", "A 53049-2023")</f>
        <v/>
      </c>
    </row>
    <row r="175" ht="15" customHeight="1">
      <c r="A175" t="inlineStr">
        <is>
          <t>A 56248-2023</t>
        </is>
      </c>
      <c r="B175" s="1" t="n">
        <v>45240</v>
      </c>
      <c r="C175" s="1" t="n">
        <v>45576</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2833-2024</t>
        </is>
      </c>
      <c r="B176" s="1" t="n">
        <v>45314</v>
      </c>
      <c r="C176" s="1" t="n">
        <v>45576</v>
      </c>
      <c r="D176" t="inlineStr">
        <is>
          <t>VÄSTERNORRLANDS LÄN</t>
        </is>
      </c>
      <c r="E176" t="inlineStr">
        <is>
          <t>SOLLEFTEÅ</t>
        </is>
      </c>
      <c r="F176" t="inlineStr">
        <is>
          <t>SCA</t>
        </is>
      </c>
      <c r="G176" t="n">
        <v>12.9</v>
      </c>
      <c r="H176" t="n">
        <v>1</v>
      </c>
      <c r="I176" t="n">
        <v>0</v>
      </c>
      <c r="J176" t="n">
        <v>3</v>
      </c>
      <c r="K176" t="n">
        <v>0</v>
      </c>
      <c r="L176" t="n">
        <v>0</v>
      </c>
      <c r="M176" t="n">
        <v>0</v>
      </c>
      <c r="N176" t="n">
        <v>0</v>
      </c>
      <c r="O176" t="n">
        <v>3</v>
      </c>
      <c r="P176" t="n">
        <v>0</v>
      </c>
      <c r="Q176" t="n">
        <v>4</v>
      </c>
      <c r="R176" s="2" t="inlineStr">
        <is>
          <t>Garnlav
Kolflarnlav
Mörk kolflarnlav
Tjäder</t>
        </is>
      </c>
      <c r="S176">
        <f>HYPERLINK("https://klasma.github.io/Logging_2283/artfynd/A 2833-2024 artfynd.xlsx", "A 2833-2024")</f>
        <v/>
      </c>
      <c r="T176">
        <f>HYPERLINK("https://klasma.github.io/Logging_2283/kartor/A 2833-2024 karta.png", "A 2833-2024")</f>
        <v/>
      </c>
      <c r="V176">
        <f>HYPERLINK("https://klasma.github.io/Logging_2283/klagomål/A 2833-2024 FSC-klagomål.docx", "A 2833-2024")</f>
        <v/>
      </c>
      <c r="W176">
        <f>HYPERLINK("https://klasma.github.io/Logging_2283/klagomålsmail/A 2833-2024 FSC-klagomål mail.docx", "A 2833-2024")</f>
        <v/>
      </c>
      <c r="X176">
        <f>HYPERLINK("https://klasma.github.io/Logging_2283/tillsyn/A 2833-2024 tillsynsbegäran.docx", "A 2833-2024")</f>
        <v/>
      </c>
      <c r="Y176">
        <f>HYPERLINK("https://klasma.github.io/Logging_2283/tillsynsmail/A 2833-2024 tillsynsbegäran mail.docx", "A 2833-2024")</f>
        <v/>
      </c>
      <c r="Z176">
        <f>HYPERLINK("https://klasma.github.io/Logging_2283/fåglar/A 2833-2024 prioriterade fågelarter.docx", "A 2833-2024")</f>
        <v/>
      </c>
    </row>
    <row r="177" ht="15" customHeight="1">
      <c r="A177" t="inlineStr">
        <is>
          <t>A 9819-2024</t>
        </is>
      </c>
      <c r="B177" s="1" t="n">
        <v>45363</v>
      </c>
      <c r="C177" s="1" t="n">
        <v>45576</v>
      </c>
      <c r="D177" t="inlineStr">
        <is>
          <t>VÄSTERNORRLANDS LÄN</t>
        </is>
      </c>
      <c r="E177" t="inlineStr">
        <is>
          <t>SOLLEFTEÅ</t>
        </is>
      </c>
      <c r="F177" t="inlineStr">
        <is>
          <t>SCA</t>
        </is>
      </c>
      <c r="G177" t="n">
        <v>6.8</v>
      </c>
      <c r="H177" t="n">
        <v>1</v>
      </c>
      <c r="I177" t="n">
        <v>1</v>
      </c>
      <c r="J177" t="n">
        <v>2</v>
      </c>
      <c r="K177" t="n">
        <v>1</v>
      </c>
      <c r="L177" t="n">
        <v>0</v>
      </c>
      <c r="M177" t="n">
        <v>0</v>
      </c>
      <c r="N177" t="n">
        <v>0</v>
      </c>
      <c r="O177" t="n">
        <v>3</v>
      </c>
      <c r="P177" t="n">
        <v>1</v>
      </c>
      <c r="Q177" t="n">
        <v>4</v>
      </c>
      <c r="R177" s="2" t="inlineStr">
        <is>
          <t>Knärot
Motaggsvamp
Vitgrynig nållav
Dropptaggsvamp</t>
        </is>
      </c>
      <c r="S177">
        <f>HYPERLINK("https://klasma.github.io/Logging_2283/artfynd/A 9819-2024 artfynd.xlsx", "A 9819-2024")</f>
        <v/>
      </c>
      <c r="T177">
        <f>HYPERLINK("https://klasma.github.io/Logging_2283/kartor/A 9819-2024 karta.png", "A 9819-2024")</f>
        <v/>
      </c>
      <c r="U177">
        <f>HYPERLINK("https://klasma.github.io/Logging_2283/knärot/A 9819-2024 karta knärot.png", "A 9819-2024")</f>
        <v/>
      </c>
      <c r="V177">
        <f>HYPERLINK("https://klasma.github.io/Logging_2283/klagomål/A 9819-2024 FSC-klagomål.docx", "A 9819-2024")</f>
        <v/>
      </c>
      <c r="W177">
        <f>HYPERLINK("https://klasma.github.io/Logging_2283/klagomålsmail/A 9819-2024 FSC-klagomål mail.docx", "A 9819-2024")</f>
        <v/>
      </c>
      <c r="X177">
        <f>HYPERLINK("https://klasma.github.io/Logging_2283/tillsyn/A 9819-2024 tillsynsbegäran.docx", "A 9819-2024")</f>
        <v/>
      </c>
      <c r="Y177">
        <f>HYPERLINK("https://klasma.github.io/Logging_2283/tillsynsmail/A 9819-2024 tillsynsbegäran mail.docx", "A 9819-2024")</f>
        <v/>
      </c>
    </row>
    <row r="178" ht="15" customHeight="1">
      <c r="A178" t="inlineStr">
        <is>
          <t>A 13342-2024</t>
        </is>
      </c>
      <c r="B178" s="1" t="n">
        <v>45386</v>
      </c>
      <c r="C178" s="1" t="n">
        <v>45576</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26467-2024</t>
        </is>
      </c>
      <c r="B179" s="1" t="n">
        <v>45469</v>
      </c>
      <c r="C179" s="1" t="n">
        <v>45576</v>
      </c>
      <c r="D179" t="inlineStr">
        <is>
          <t>VÄSTERNORRLANDS LÄN</t>
        </is>
      </c>
      <c r="E179" t="inlineStr">
        <is>
          <t>SOLLEFTEÅ</t>
        </is>
      </c>
      <c r="G179" t="n">
        <v>1.1</v>
      </c>
      <c r="H179" t="n">
        <v>2</v>
      </c>
      <c r="I179" t="n">
        <v>1</v>
      </c>
      <c r="J179" t="n">
        <v>1</v>
      </c>
      <c r="K179" t="n">
        <v>0</v>
      </c>
      <c r="L179" t="n">
        <v>0</v>
      </c>
      <c r="M179" t="n">
        <v>0</v>
      </c>
      <c r="N179" t="n">
        <v>0</v>
      </c>
      <c r="O179" t="n">
        <v>1</v>
      </c>
      <c r="P179" t="n">
        <v>0</v>
      </c>
      <c r="Q179" t="n">
        <v>4</v>
      </c>
      <c r="R179" s="2" t="inlineStr">
        <is>
          <t>Rosenticka
Springkorn
Skogsrör
Revlummer</t>
        </is>
      </c>
      <c r="S179">
        <f>HYPERLINK("https://klasma.github.io/Logging_2283/artfynd/A 26467-2024 artfynd.xlsx", "A 26467-2024")</f>
        <v/>
      </c>
      <c r="T179">
        <f>HYPERLINK("https://klasma.github.io/Logging_2283/kartor/A 26467-2024 karta.png", "A 26467-2024")</f>
        <v/>
      </c>
      <c r="V179">
        <f>HYPERLINK("https://klasma.github.io/Logging_2283/klagomål/A 26467-2024 FSC-klagomål.docx", "A 26467-2024")</f>
        <v/>
      </c>
      <c r="W179">
        <f>HYPERLINK("https://klasma.github.io/Logging_2283/klagomålsmail/A 26467-2024 FSC-klagomål mail.docx", "A 26467-2024")</f>
        <v/>
      </c>
      <c r="X179">
        <f>HYPERLINK("https://klasma.github.io/Logging_2283/tillsyn/A 26467-2024 tillsynsbegäran.docx", "A 26467-2024")</f>
        <v/>
      </c>
      <c r="Y179">
        <f>HYPERLINK("https://klasma.github.io/Logging_2283/tillsynsmail/A 26467-2024 tillsynsbegäran mail.docx", "A 26467-2024")</f>
        <v/>
      </c>
    </row>
    <row r="180" ht="15" customHeight="1">
      <c r="A180" t="inlineStr">
        <is>
          <t>A 29249-2024</t>
        </is>
      </c>
      <c r="B180" s="1" t="n">
        <v>45483</v>
      </c>
      <c r="C180" s="1" t="n">
        <v>45576</v>
      </c>
      <c r="D180" t="inlineStr">
        <is>
          <t>VÄSTERNORRLANDS LÄN</t>
        </is>
      </c>
      <c r="E180" t="inlineStr">
        <is>
          <t>SOLLEFTEÅ</t>
        </is>
      </c>
      <c r="F180" t="inlineStr">
        <is>
          <t>SCA</t>
        </is>
      </c>
      <c r="G180" t="n">
        <v>7.3</v>
      </c>
      <c r="H180" t="n">
        <v>3</v>
      </c>
      <c r="I180" t="n">
        <v>0</v>
      </c>
      <c r="J180" t="n">
        <v>3</v>
      </c>
      <c r="K180" t="n">
        <v>1</v>
      </c>
      <c r="L180" t="n">
        <v>0</v>
      </c>
      <c r="M180" t="n">
        <v>0</v>
      </c>
      <c r="N180" t="n">
        <v>0</v>
      </c>
      <c r="O180" t="n">
        <v>4</v>
      </c>
      <c r="P180" t="n">
        <v>1</v>
      </c>
      <c r="Q180" t="n">
        <v>4</v>
      </c>
      <c r="R180" s="2" t="inlineStr">
        <is>
          <t>Knärot
Harticka
Talltita
Tretåig hackspett</t>
        </is>
      </c>
      <c r="S180">
        <f>HYPERLINK("https://klasma.github.io/Logging_2283/artfynd/A 29249-2024 artfynd.xlsx", "A 29249-2024")</f>
        <v/>
      </c>
      <c r="T180">
        <f>HYPERLINK("https://klasma.github.io/Logging_2283/kartor/A 29249-2024 karta.png", "A 29249-2024")</f>
        <v/>
      </c>
      <c r="U180">
        <f>HYPERLINK("https://klasma.github.io/Logging_2283/knärot/A 29249-2024 karta knärot.png", "A 29249-2024")</f>
        <v/>
      </c>
      <c r="V180">
        <f>HYPERLINK("https://klasma.github.io/Logging_2283/klagomål/A 29249-2024 FSC-klagomål.docx", "A 29249-2024")</f>
        <v/>
      </c>
      <c r="W180">
        <f>HYPERLINK("https://klasma.github.io/Logging_2283/klagomålsmail/A 29249-2024 FSC-klagomål mail.docx", "A 29249-2024")</f>
        <v/>
      </c>
      <c r="X180">
        <f>HYPERLINK("https://klasma.github.io/Logging_2283/tillsyn/A 29249-2024 tillsynsbegäran.docx", "A 29249-2024")</f>
        <v/>
      </c>
      <c r="Y180">
        <f>HYPERLINK("https://klasma.github.io/Logging_2283/tillsynsmail/A 29249-2024 tillsynsbegäran mail.docx", "A 29249-2024")</f>
        <v/>
      </c>
      <c r="Z180">
        <f>HYPERLINK("https://klasma.github.io/Logging_2283/fåglar/A 29249-2024 prioriterade fågelarter.docx", "A 29249-2024")</f>
        <v/>
      </c>
    </row>
    <row r="181" ht="15" customHeight="1">
      <c r="A181" t="inlineStr">
        <is>
          <t>A 31560-2024</t>
        </is>
      </c>
      <c r="B181" s="1" t="n">
        <v>45505</v>
      </c>
      <c r="C181" s="1" t="n">
        <v>45576</v>
      </c>
      <c r="D181" t="inlineStr">
        <is>
          <t>VÄSTERNORRLANDS LÄN</t>
        </is>
      </c>
      <c r="E181" t="inlineStr">
        <is>
          <t>SOLLEFTEÅ</t>
        </is>
      </c>
      <c r="F181" t="inlineStr">
        <is>
          <t>SCA</t>
        </is>
      </c>
      <c r="G181" t="n">
        <v>6</v>
      </c>
      <c r="H181" t="n">
        <v>0</v>
      </c>
      <c r="I181" t="n">
        <v>0</v>
      </c>
      <c r="J181" t="n">
        <v>2</v>
      </c>
      <c r="K181" t="n">
        <v>2</v>
      </c>
      <c r="L181" t="n">
        <v>0</v>
      </c>
      <c r="M181" t="n">
        <v>0</v>
      </c>
      <c r="N181" t="n">
        <v>0</v>
      </c>
      <c r="O181" t="n">
        <v>4</v>
      </c>
      <c r="P181" t="n">
        <v>2</v>
      </c>
      <c r="Q181" t="n">
        <v>4</v>
      </c>
      <c r="R181" s="2" t="inlineStr">
        <is>
          <t>Lappticka
Rynkskinn
Rosenticka
Ullticka</t>
        </is>
      </c>
      <c r="S181">
        <f>HYPERLINK("https://klasma.github.io/Logging_2283/artfynd/A 31560-2024 artfynd.xlsx", "A 31560-2024")</f>
        <v/>
      </c>
      <c r="T181">
        <f>HYPERLINK("https://klasma.github.io/Logging_2283/kartor/A 31560-2024 karta.png", "A 31560-2024")</f>
        <v/>
      </c>
      <c r="V181">
        <f>HYPERLINK("https://klasma.github.io/Logging_2283/klagomål/A 31560-2024 FSC-klagomål.docx", "A 31560-2024")</f>
        <v/>
      </c>
      <c r="W181">
        <f>HYPERLINK("https://klasma.github.io/Logging_2283/klagomålsmail/A 31560-2024 FSC-klagomål mail.docx", "A 31560-2024")</f>
        <v/>
      </c>
      <c r="X181">
        <f>HYPERLINK("https://klasma.github.io/Logging_2283/tillsyn/A 31560-2024 tillsynsbegäran.docx", "A 31560-2024")</f>
        <v/>
      </c>
      <c r="Y181">
        <f>HYPERLINK("https://klasma.github.io/Logging_2283/tillsynsmail/A 31560-2024 tillsynsbegäran mail.docx", "A 31560-2024")</f>
        <v/>
      </c>
    </row>
    <row r="182" ht="15" customHeight="1">
      <c r="A182" t="inlineStr">
        <is>
          <t>A 33519-2024</t>
        </is>
      </c>
      <c r="B182" s="1" t="n">
        <v>45519</v>
      </c>
      <c r="C182" s="1" t="n">
        <v>45576</v>
      </c>
      <c r="D182" t="inlineStr">
        <is>
          <t>VÄSTERNORRLANDS LÄN</t>
        </is>
      </c>
      <c r="E182" t="inlineStr">
        <is>
          <t>SOLLEFTEÅ</t>
        </is>
      </c>
      <c r="G182" t="n">
        <v>3.6</v>
      </c>
      <c r="H182" t="n">
        <v>0</v>
      </c>
      <c r="I182" t="n">
        <v>1</v>
      </c>
      <c r="J182" t="n">
        <v>3</v>
      </c>
      <c r="K182" t="n">
        <v>0</v>
      </c>
      <c r="L182" t="n">
        <v>0</v>
      </c>
      <c r="M182" t="n">
        <v>0</v>
      </c>
      <c r="N182" t="n">
        <v>0</v>
      </c>
      <c r="O182" t="n">
        <v>3</v>
      </c>
      <c r="P182" t="n">
        <v>0</v>
      </c>
      <c r="Q182" t="n">
        <v>4</v>
      </c>
      <c r="R182" s="2" t="inlineStr">
        <is>
          <t>Garnlav
Kolflarnlav
Skrovlig taggsvamp
Dropptaggsvamp</t>
        </is>
      </c>
      <c r="S182">
        <f>HYPERLINK("https://klasma.github.io/Logging_2283/artfynd/A 33519-2024 artfynd.xlsx", "A 33519-2024")</f>
        <v/>
      </c>
      <c r="T182">
        <f>HYPERLINK("https://klasma.github.io/Logging_2283/kartor/A 33519-2024 karta.png", "A 33519-2024")</f>
        <v/>
      </c>
      <c r="U182">
        <f>HYPERLINK("https://klasma.github.io/Logging_2283/knärot/A 33519-2024 karta knärot.png", "A 33519-2024")</f>
        <v/>
      </c>
      <c r="V182">
        <f>HYPERLINK("https://klasma.github.io/Logging_2283/klagomål/A 33519-2024 FSC-klagomål.docx", "A 33519-2024")</f>
        <v/>
      </c>
      <c r="W182">
        <f>HYPERLINK("https://klasma.github.io/Logging_2283/klagomålsmail/A 33519-2024 FSC-klagomål mail.docx", "A 33519-2024")</f>
        <v/>
      </c>
      <c r="X182">
        <f>HYPERLINK("https://klasma.github.io/Logging_2283/tillsyn/A 33519-2024 tillsynsbegäran.docx", "A 33519-2024")</f>
        <v/>
      </c>
      <c r="Y182">
        <f>HYPERLINK("https://klasma.github.io/Logging_2283/tillsynsmail/A 33519-2024 tillsynsbegäran mail.docx", "A 33519-2024")</f>
        <v/>
      </c>
    </row>
    <row r="183" ht="15" customHeight="1">
      <c r="A183" t="inlineStr">
        <is>
          <t>A 55683-2019</t>
        </is>
      </c>
      <c r="B183" s="1" t="n">
        <v>43760</v>
      </c>
      <c r="C183" s="1" t="n">
        <v>45576</v>
      </c>
      <c r="D183" t="inlineStr">
        <is>
          <t>VÄSTERNORRLANDS LÄN</t>
        </is>
      </c>
      <c r="E183" t="inlineStr">
        <is>
          <t>SOLLEFTEÅ</t>
        </is>
      </c>
      <c r="F183" t="inlineStr">
        <is>
          <t>SCA</t>
        </is>
      </c>
      <c r="G183" t="n">
        <v>2.9</v>
      </c>
      <c r="H183" t="n">
        <v>0</v>
      </c>
      <c r="I183" t="n">
        <v>0</v>
      </c>
      <c r="J183" t="n">
        <v>2</v>
      </c>
      <c r="K183" t="n">
        <v>1</v>
      </c>
      <c r="L183" t="n">
        <v>0</v>
      </c>
      <c r="M183" t="n">
        <v>0</v>
      </c>
      <c r="N183" t="n">
        <v>0</v>
      </c>
      <c r="O183" t="n">
        <v>3</v>
      </c>
      <c r="P183" t="n">
        <v>1</v>
      </c>
      <c r="Q183" t="n">
        <v>3</v>
      </c>
      <c r="R183" s="2" t="inlineStr">
        <is>
          <t>Rynkskinn
Granticka
Rosenticka</t>
        </is>
      </c>
      <c r="S183">
        <f>HYPERLINK("https://klasma.github.io/Logging_2283/artfynd/A 55683-2019 artfynd.xlsx", "A 55683-2019")</f>
        <v/>
      </c>
      <c r="T183">
        <f>HYPERLINK("https://klasma.github.io/Logging_2283/kartor/A 55683-2019 karta.png", "A 55683-2019")</f>
        <v/>
      </c>
      <c r="V183">
        <f>HYPERLINK("https://klasma.github.io/Logging_2283/klagomål/A 55683-2019 FSC-klagomål.docx", "A 55683-2019")</f>
        <v/>
      </c>
      <c r="W183">
        <f>HYPERLINK("https://klasma.github.io/Logging_2283/klagomålsmail/A 55683-2019 FSC-klagomål mail.docx", "A 55683-2019")</f>
        <v/>
      </c>
      <c r="X183">
        <f>HYPERLINK("https://klasma.github.io/Logging_2283/tillsyn/A 55683-2019 tillsynsbegäran.docx", "A 55683-2019")</f>
        <v/>
      </c>
      <c r="Y183">
        <f>HYPERLINK("https://klasma.github.io/Logging_2283/tillsynsmail/A 55683-2019 tillsynsbegäran mail.docx", "A 55683-2019")</f>
        <v/>
      </c>
    </row>
    <row r="184" ht="15" customHeight="1">
      <c r="A184" t="inlineStr">
        <is>
          <t>A 24219-2020</t>
        </is>
      </c>
      <c r="B184" s="1" t="n">
        <v>43973</v>
      </c>
      <c r="C184" s="1" t="n">
        <v>45576</v>
      </c>
      <c r="D184" t="inlineStr">
        <is>
          <t>VÄSTERNORRLANDS LÄN</t>
        </is>
      </c>
      <c r="E184" t="inlineStr">
        <is>
          <t>SOLLEFTEÅ</t>
        </is>
      </c>
      <c r="G184" t="n">
        <v>11.9</v>
      </c>
      <c r="H184" t="n">
        <v>0</v>
      </c>
      <c r="I184" t="n">
        <v>0</v>
      </c>
      <c r="J184" t="n">
        <v>3</v>
      </c>
      <c r="K184" t="n">
        <v>0</v>
      </c>
      <c r="L184" t="n">
        <v>0</v>
      </c>
      <c r="M184" t="n">
        <v>0</v>
      </c>
      <c r="N184" t="n">
        <v>0</v>
      </c>
      <c r="O184" t="n">
        <v>3</v>
      </c>
      <c r="P184" t="n">
        <v>0</v>
      </c>
      <c r="Q184" t="n">
        <v>3</v>
      </c>
      <c r="R184" s="2" t="inlineStr">
        <is>
          <t>Garnlav
Lunglav
Rosenticka</t>
        </is>
      </c>
      <c r="S184">
        <f>HYPERLINK("https://klasma.github.io/Logging_2283/artfynd/A 24219-2020 artfynd.xlsx", "A 24219-2020")</f>
        <v/>
      </c>
      <c r="T184">
        <f>HYPERLINK("https://klasma.github.io/Logging_2283/kartor/A 24219-2020 karta.png", "A 24219-2020")</f>
        <v/>
      </c>
      <c r="V184">
        <f>HYPERLINK("https://klasma.github.io/Logging_2283/klagomål/A 24219-2020 FSC-klagomål.docx", "A 24219-2020")</f>
        <v/>
      </c>
      <c r="W184">
        <f>HYPERLINK("https://klasma.github.io/Logging_2283/klagomålsmail/A 24219-2020 FSC-klagomål mail.docx", "A 24219-2020")</f>
        <v/>
      </c>
      <c r="X184">
        <f>HYPERLINK("https://klasma.github.io/Logging_2283/tillsyn/A 24219-2020 tillsynsbegäran.docx", "A 24219-2020")</f>
        <v/>
      </c>
      <c r="Y184">
        <f>HYPERLINK("https://klasma.github.io/Logging_2283/tillsynsmail/A 24219-2020 tillsynsbegäran mail.docx", "A 24219-2020")</f>
        <v/>
      </c>
    </row>
    <row r="185" ht="15" customHeight="1">
      <c r="A185" t="inlineStr">
        <is>
          <t>A 31640-2020</t>
        </is>
      </c>
      <c r="B185" s="1" t="n">
        <v>44013</v>
      </c>
      <c r="C185" s="1" t="n">
        <v>45576</v>
      </c>
      <c r="D185" t="inlineStr">
        <is>
          <t>VÄSTERNORRLANDS LÄN</t>
        </is>
      </c>
      <c r="E185" t="inlineStr">
        <is>
          <t>SOLLEFTEÅ</t>
        </is>
      </c>
      <c r="F185" t="inlineStr">
        <is>
          <t>SCA</t>
        </is>
      </c>
      <c r="G185" t="n">
        <v>27.4</v>
      </c>
      <c r="H185" t="n">
        <v>1</v>
      </c>
      <c r="I185" t="n">
        <v>0</v>
      </c>
      <c r="J185" t="n">
        <v>2</v>
      </c>
      <c r="K185" t="n">
        <v>1</v>
      </c>
      <c r="L185" t="n">
        <v>0</v>
      </c>
      <c r="M185" t="n">
        <v>0</v>
      </c>
      <c r="N185" t="n">
        <v>0</v>
      </c>
      <c r="O185" t="n">
        <v>3</v>
      </c>
      <c r="P185" t="n">
        <v>1</v>
      </c>
      <c r="Q185" t="n">
        <v>3</v>
      </c>
      <c r="R185" s="2" t="inlineStr">
        <is>
          <t>Doftticka
Lunglav
Skrovellav</t>
        </is>
      </c>
      <c r="S185">
        <f>HYPERLINK("https://klasma.github.io/Logging_2283/artfynd/A 31640-2020 artfynd.xlsx", "A 31640-2020")</f>
        <v/>
      </c>
      <c r="T185">
        <f>HYPERLINK("https://klasma.github.io/Logging_2283/kartor/A 31640-2020 karta.png", "A 31640-2020")</f>
        <v/>
      </c>
      <c r="V185">
        <f>HYPERLINK("https://klasma.github.io/Logging_2283/klagomål/A 31640-2020 FSC-klagomål.docx", "A 31640-2020")</f>
        <v/>
      </c>
      <c r="W185">
        <f>HYPERLINK("https://klasma.github.io/Logging_2283/klagomålsmail/A 31640-2020 FSC-klagomål mail.docx", "A 31640-2020")</f>
        <v/>
      </c>
      <c r="X185">
        <f>HYPERLINK("https://klasma.github.io/Logging_2283/tillsyn/A 31640-2020 tillsynsbegäran.docx", "A 31640-2020")</f>
        <v/>
      </c>
      <c r="Y185">
        <f>HYPERLINK("https://klasma.github.io/Logging_2283/tillsynsmail/A 31640-2020 tillsynsbegäran mail.docx", "A 31640-2020")</f>
        <v/>
      </c>
    </row>
    <row r="186" ht="15" customHeight="1">
      <c r="A186" t="inlineStr">
        <is>
          <t>A 34085-2020</t>
        </is>
      </c>
      <c r="B186" s="1" t="n">
        <v>44028</v>
      </c>
      <c r="C186" s="1" t="n">
        <v>45576</v>
      </c>
      <c r="D186" t="inlineStr">
        <is>
          <t>VÄSTERNORRLANDS LÄN</t>
        </is>
      </c>
      <c r="E186" t="inlineStr">
        <is>
          <t>SOLLEFTEÅ</t>
        </is>
      </c>
      <c r="F186" t="inlineStr">
        <is>
          <t>SCA</t>
        </is>
      </c>
      <c r="G186" t="n">
        <v>3.7</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HYPERLINK("https://klasma.github.io/Logging_2283/artfynd/A 34085-2020 artfynd.xlsx", "A 34085-2020")</f>
        <v/>
      </c>
      <c r="T186">
        <f>HYPERLINK("https://klasma.github.io/Logging_2283/kartor/A 34085-2020 karta.png", "A 34085-2020")</f>
        <v/>
      </c>
      <c r="U186">
        <f>HYPERLINK("https://klasma.github.io/Logging_2283/knärot/A 34085-2020 karta knärot.png", "A 34085-2020")</f>
        <v/>
      </c>
      <c r="V186">
        <f>HYPERLINK("https://klasma.github.io/Logging_2283/klagomål/A 34085-2020 FSC-klagomål.docx", "A 34085-2020")</f>
        <v/>
      </c>
      <c r="W186">
        <f>HYPERLINK("https://klasma.github.io/Logging_2283/klagomålsmail/A 34085-2020 FSC-klagomål mail.docx", "A 34085-2020")</f>
        <v/>
      </c>
      <c r="X186">
        <f>HYPERLINK("https://klasma.github.io/Logging_2283/tillsyn/A 34085-2020 tillsynsbegäran.docx", "A 34085-2020")</f>
        <v/>
      </c>
      <c r="Y186">
        <f>HYPERLINK("https://klasma.github.io/Logging_2283/tillsynsmail/A 34085-2020 tillsynsbegäran mail.docx", "A 34085-2020")</f>
        <v/>
      </c>
      <c r="Z186">
        <f>HYPERLINK("https://klasma.github.io/Logging_2283/fåglar/A 34085-2020 prioriterade fågelarter.docx", "A 34085-2020")</f>
        <v/>
      </c>
    </row>
    <row r="187" ht="15" customHeight="1">
      <c r="A187" t="inlineStr">
        <is>
          <t>A 31354-2021</t>
        </is>
      </c>
      <c r="B187" s="1" t="n">
        <v>44369</v>
      </c>
      <c r="C187" s="1" t="n">
        <v>45576</v>
      </c>
      <c r="D187" t="inlineStr">
        <is>
          <t>VÄSTERNORRLANDS LÄN</t>
        </is>
      </c>
      <c r="E187" t="inlineStr">
        <is>
          <t>SOLLEFTEÅ</t>
        </is>
      </c>
      <c r="F187" t="inlineStr">
        <is>
          <t>SCA</t>
        </is>
      </c>
      <c r="G187" t="n">
        <v>1.5</v>
      </c>
      <c r="H187" t="n">
        <v>1</v>
      </c>
      <c r="I187" t="n">
        <v>1</v>
      </c>
      <c r="J187" t="n">
        <v>1</v>
      </c>
      <c r="K187" t="n">
        <v>1</v>
      </c>
      <c r="L187" t="n">
        <v>0</v>
      </c>
      <c r="M187" t="n">
        <v>0</v>
      </c>
      <c r="N187" t="n">
        <v>0</v>
      </c>
      <c r="O187" t="n">
        <v>2</v>
      </c>
      <c r="P187" t="n">
        <v>1</v>
      </c>
      <c r="Q187" t="n">
        <v>3</v>
      </c>
      <c r="R187" s="2" t="inlineStr">
        <is>
          <t>Knärot
Garnlav
Norrlandslav</t>
        </is>
      </c>
      <c r="S187">
        <f>HYPERLINK("https://klasma.github.io/Logging_2283/artfynd/A 31354-2021 artfynd.xlsx", "A 31354-2021")</f>
        <v/>
      </c>
      <c r="T187">
        <f>HYPERLINK("https://klasma.github.io/Logging_2283/kartor/A 31354-2021 karta.png", "A 31354-2021")</f>
        <v/>
      </c>
      <c r="U187">
        <f>HYPERLINK("https://klasma.github.io/Logging_2283/knärot/A 31354-2021 karta knärot.png", "A 31354-2021")</f>
        <v/>
      </c>
      <c r="V187">
        <f>HYPERLINK("https://klasma.github.io/Logging_2283/klagomål/A 31354-2021 FSC-klagomål.docx", "A 31354-2021")</f>
        <v/>
      </c>
      <c r="W187">
        <f>HYPERLINK("https://klasma.github.io/Logging_2283/klagomålsmail/A 31354-2021 FSC-klagomål mail.docx", "A 31354-2021")</f>
        <v/>
      </c>
      <c r="X187">
        <f>HYPERLINK("https://klasma.github.io/Logging_2283/tillsyn/A 31354-2021 tillsynsbegäran.docx", "A 31354-2021")</f>
        <v/>
      </c>
      <c r="Y187">
        <f>HYPERLINK("https://klasma.github.io/Logging_2283/tillsynsmail/A 31354-2021 tillsynsbegäran mail.docx", "A 31354-2021")</f>
        <v/>
      </c>
    </row>
    <row r="188" ht="15" customHeight="1">
      <c r="A188" t="inlineStr">
        <is>
          <t>A 44599-2021</t>
        </is>
      </c>
      <c r="B188" s="1" t="n">
        <v>44436</v>
      </c>
      <c r="C188" s="1" t="n">
        <v>45576</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61481-2021</t>
        </is>
      </c>
      <c r="B189" s="1" t="n">
        <v>44500</v>
      </c>
      <c r="C189" s="1" t="n">
        <v>45576</v>
      </c>
      <c r="D189" t="inlineStr">
        <is>
          <t>VÄSTERNORRLANDS LÄN</t>
        </is>
      </c>
      <c r="E189" t="inlineStr">
        <is>
          <t>SOLLEFTEÅ</t>
        </is>
      </c>
      <c r="F189" t="inlineStr">
        <is>
          <t>SCA</t>
        </is>
      </c>
      <c r="G189" t="n">
        <v>6.8</v>
      </c>
      <c r="H189" t="n">
        <v>0</v>
      </c>
      <c r="I189" t="n">
        <v>1</v>
      </c>
      <c r="J189" t="n">
        <v>2</v>
      </c>
      <c r="K189" t="n">
        <v>0</v>
      </c>
      <c r="L189" t="n">
        <v>0</v>
      </c>
      <c r="M189" t="n">
        <v>0</v>
      </c>
      <c r="N189" t="n">
        <v>0</v>
      </c>
      <c r="O189" t="n">
        <v>2</v>
      </c>
      <c r="P189" t="n">
        <v>0</v>
      </c>
      <c r="Q189" t="n">
        <v>3</v>
      </c>
      <c r="R189" s="2" t="inlineStr">
        <is>
          <t>Lunglav
Skrovellav
Kambräken</t>
        </is>
      </c>
      <c r="S189">
        <f>HYPERLINK("https://klasma.github.io/Logging_2283/artfynd/A 61481-2021 artfynd.xlsx", "A 61481-2021")</f>
        <v/>
      </c>
      <c r="T189">
        <f>HYPERLINK("https://klasma.github.io/Logging_2283/kartor/A 61481-2021 karta.png", "A 61481-2021")</f>
        <v/>
      </c>
      <c r="V189">
        <f>HYPERLINK("https://klasma.github.io/Logging_2283/klagomål/A 61481-2021 FSC-klagomål.docx", "A 61481-2021")</f>
        <v/>
      </c>
      <c r="W189">
        <f>HYPERLINK("https://klasma.github.io/Logging_2283/klagomålsmail/A 61481-2021 FSC-klagomål mail.docx", "A 61481-2021")</f>
        <v/>
      </c>
      <c r="X189">
        <f>HYPERLINK("https://klasma.github.io/Logging_2283/tillsyn/A 61481-2021 tillsynsbegäran.docx", "A 61481-2021")</f>
        <v/>
      </c>
      <c r="Y189">
        <f>HYPERLINK("https://klasma.github.io/Logging_2283/tillsynsmail/A 61481-2021 tillsynsbegäran mail.docx", "A 61481-2021")</f>
        <v/>
      </c>
    </row>
    <row r="190" ht="15" customHeight="1">
      <c r="A190" t="inlineStr">
        <is>
          <t>A 18012-2022</t>
        </is>
      </c>
      <c r="B190" s="1" t="n">
        <v>44683</v>
      </c>
      <c r="C190" s="1" t="n">
        <v>45576</v>
      </c>
      <c r="D190" t="inlineStr">
        <is>
          <t>VÄSTERNORRLANDS LÄN</t>
        </is>
      </c>
      <c r="E190" t="inlineStr">
        <is>
          <t>SOLLEFTEÅ</t>
        </is>
      </c>
      <c r="F190" t="inlineStr">
        <is>
          <t>SCA</t>
        </is>
      </c>
      <c r="G190" t="n">
        <v>1.7</v>
      </c>
      <c r="H190" t="n">
        <v>2</v>
      </c>
      <c r="I190" t="n">
        <v>0</v>
      </c>
      <c r="J190" t="n">
        <v>2</v>
      </c>
      <c r="K190" t="n">
        <v>1</v>
      </c>
      <c r="L190" t="n">
        <v>0</v>
      </c>
      <c r="M190" t="n">
        <v>0</v>
      </c>
      <c r="N190" t="n">
        <v>0</v>
      </c>
      <c r="O190" t="n">
        <v>3</v>
      </c>
      <c r="P190" t="n">
        <v>1</v>
      </c>
      <c r="Q190" t="n">
        <v>3</v>
      </c>
      <c r="R190" s="2" t="inlineStr">
        <is>
          <t>Knärot
Garnlav
Tretåig hackspett</t>
        </is>
      </c>
      <c r="S190">
        <f>HYPERLINK("https://klasma.github.io/Logging_2283/artfynd/A 18012-2022 artfynd.xlsx", "A 18012-2022")</f>
        <v/>
      </c>
      <c r="T190">
        <f>HYPERLINK("https://klasma.github.io/Logging_2283/kartor/A 18012-2022 karta.png", "A 18012-2022")</f>
        <v/>
      </c>
      <c r="U190">
        <f>HYPERLINK("https://klasma.github.io/Logging_2283/knärot/A 18012-2022 karta knärot.png", "A 18012-2022")</f>
        <v/>
      </c>
      <c r="V190">
        <f>HYPERLINK("https://klasma.github.io/Logging_2283/klagomål/A 18012-2022 FSC-klagomål.docx", "A 18012-2022")</f>
        <v/>
      </c>
      <c r="W190">
        <f>HYPERLINK("https://klasma.github.io/Logging_2283/klagomålsmail/A 18012-2022 FSC-klagomål mail.docx", "A 18012-2022")</f>
        <v/>
      </c>
      <c r="X190">
        <f>HYPERLINK("https://klasma.github.io/Logging_2283/tillsyn/A 18012-2022 tillsynsbegäran.docx", "A 18012-2022")</f>
        <v/>
      </c>
      <c r="Y190">
        <f>HYPERLINK("https://klasma.github.io/Logging_2283/tillsynsmail/A 18012-2022 tillsynsbegäran mail.docx", "A 18012-2022")</f>
        <v/>
      </c>
      <c r="Z190">
        <f>HYPERLINK("https://klasma.github.io/Logging_2283/fåglar/A 18012-2022 prioriterade fågelarter.docx", "A 18012-2022")</f>
        <v/>
      </c>
    </row>
    <row r="191" ht="15" customHeight="1">
      <c r="A191" t="inlineStr">
        <is>
          <t>A 34528-2022</t>
        </is>
      </c>
      <c r="B191" s="1" t="n">
        <v>44792</v>
      </c>
      <c r="C191" s="1" t="n">
        <v>45576</v>
      </c>
      <c r="D191" t="inlineStr">
        <is>
          <t>VÄSTERNORRLANDS LÄN</t>
        </is>
      </c>
      <c r="E191" t="inlineStr">
        <is>
          <t>SOLLEFTEÅ</t>
        </is>
      </c>
      <c r="F191" t="inlineStr">
        <is>
          <t>SCA</t>
        </is>
      </c>
      <c r="G191" t="n">
        <v>1.8</v>
      </c>
      <c r="H191" t="n">
        <v>0</v>
      </c>
      <c r="I191" t="n">
        <v>0</v>
      </c>
      <c r="J191" t="n">
        <v>3</v>
      </c>
      <c r="K191" t="n">
        <v>0</v>
      </c>
      <c r="L191" t="n">
        <v>0</v>
      </c>
      <c r="M191" t="n">
        <v>0</v>
      </c>
      <c r="N191" t="n">
        <v>0</v>
      </c>
      <c r="O191" t="n">
        <v>3</v>
      </c>
      <c r="P191" t="n">
        <v>0</v>
      </c>
      <c r="Q191" t="n">
        <v>3</v>
      </c>
      <c r="R191" s="2" t="inlineStr">
        <is>
          <t>Garnlav
Mörk kolflarnlav
Rosenticka</t>
        </is>
      </c>
      <c r="S191">
        <f>HYPERLINK("https://klasma.github.io/Logging_2283/artfynd/A 34528-2022 artfynd.xlsx", "A 34528-2022")</f>
        <v/>
      </c>
      <c r="T191">
        <f>HYPERLINK("https://klasma.github.io/Logging_2283/kartor/A 34528-2022 karta.png", "A 34528-2022")</f>
        <v/>
      </c>
      <c r="V191">
        <f>HYPERLINK("https://klasma.github.io/Logging_2283/klagomål/A 34528-2022 FSC-klagomål.docx", "A 34528-2022")</f>
        <v/>
      </c>
      <c r="W191">
        <f>HYPERLINK("https://klasma.github.io/Logging_2283/klagomålsmail/A 34528-2022 FSC-klagomål mail.docx", "A 34528-2022")</f>
        <v/>
      </c>
      <c r="X191">
        <f>HYPERLINK("https://klasma.github.io/Logging_2283/tillsyn/A 34528-2022 tillsynsbegäran.docx", "A 34528-2022")</f>
        <v/>
      </c>
      <c r="Y191">
        <f>HYPERLINK("https://klasma.github.io/Logging_2283/tillsynsmail/A 34528-2022 tillsynsbegäran mail.docx", "A 34528-2022")</f>
        <v/>
      </c>
    </row>
    <row r="192" ht="15" customHeight="1">
      <c r="A192" t="inlineStr">
        <is>
          <t>A 42301-2022</t>
        </is>
      </c>
      <c r="B192" s="1" t="n">
        <v>44831</v>
      </c>
      <c r="C192" s="1" t="n">
        <v>45576</v>
      </c>
      <c r="D192" t="inlineStr">
        <is>
          <t>VÄSTERNORRLANDS LÄN</t>
        </is>
      </c>
      <c r="E192" t="inlineStr">
        <is>
          <t>SOLLEFTEÅ</t>
        </is>
      </c>
      <c r="F192" t="inlineStr">
        <is>
          <t>SCA</t>
        </is>
      </c>
      <c r="G192" t="n">
        <v>0.8</v>
      </c>
      <c r="H192" t="n">
        <v>1</v>
      </c>
      <c r="I192" t="n">
        <v>0</v>
      </c>
      <c r="J192" t="n">
        <v>3</v>
      </c>
      <c r="K192" t="n">
        <v>0</v>
      </c>
      <c r="L192" t="n">
        <v>0</v>
      </c>
      <c r="M192" t="n">
        <v>0</v>
      </c>
      <c r="N192" t="n">
        <v>0</v>
      </c>
      <c r="O192" t="n">
        <v>3</v>
      </c>
      <c r="P192" t="n">
        <v>0</v>
      </c>
      <c r="Q192" t="n">
        <v>3</v>
      </c>
      <c r="R192" s="2" t="inlineStr">
        <is>
          <t>Gammelgransskål
Harticka
Tretåig hackspett</t>
        </is>
      </c>
      <c r="S192">
        <f>HYPERLINK("https://klasma.github.io/Logging_2283/artfynd/A 42301-2022 artfynd.xlsx", "A 42301-2022")</f>
        <v/>
      </c>
      <c r="T192">
        <f>HYPERLINK("https://klasma.github.io/Logging_2283/kartor/A 42301-2022 karta.png", "A 42301-2022")</f>
        <v/>
      </c>
      <c r="V192">
        <f>HYPERLINK("https://klasma.github.io/Logging_2283/klagomål/A 42301-2022 FSC-klagomål.docx", "A 42301-2022")</f>
        <v/>
      </c>
      <c r="W192">
        <f>HYPERLINK("https://klasma.github.io/Logging_2283/klagomålsmail/A 42301-2022 FSC-klagomål mail.docx", "A 42301-2022")</f>
        <v/>
      </c>
      <c r="X192">
        <f>HYPERLINK("https://klasma.github.io/Logging_2283/tillsyn/A 42301-2022 tillsynsbegäran.docx", "A 42301-2022")</f>
        <v/>
      </c>
      <c r="Y192">
        <f>HYPERLINK("https://klasma.github.io/Logging_2283/tillsynsmail/A 42301-2022 tillsynsbegäran mail.docx", "A 42301-2022")</f>
        <v/>
      </c>
      <c r="Z192">
        <f>HYPERLINK("https://klasma.github.io/Logging_2283/fåglar/A 42301-2022 prioriterade fågelarter.docx", "A 42301-2022")</f>
        <v/>
      </c>
    </row>
    <row r="193" ht="15" customHeight="1">
      <c r="A193" t="inlineStr">
        <is>
          <t>A 59046-2022</t>
        </is>
      </c>
      <c r="B193" s="1" t="n">
        <v>44903</v>
      </c>
      <c r="C193" s="1" t="n">
        <v>45576</v>
      </c>
      <c r="D193" t="inlineStr">
        <is>
          <t>VÄSTERNORRLANDS LÄN</t>
        </is>
      </c>
      <c r="E193" t="inlineStr">
        <is>
          <t>SOLLEFTEÅ</t>
        </is>
      </c>
      <c r="F193" t="inlineStr">
        <is>
          <t>SCA</t>
        </is>
      </c>
      <c r="G193" t="n">
        <v>10.3</v>
      </c>
      <c r="H193" t="n">
        <v>1</v>
      </c>
      <c r="I193" t="n">
        <v>0</v>
      </c>
      <c r="J193" t="n">
        <v>3</v>
      </c>
      <c r="K193" t="n">
        <v>0</v>
      </c>
      <c r="L193" t="n">
        <v>0</v>
      </c>
      <c r="M193" t="n">
        <v>0</v>
      </c>
      <c r="N193" t="n">
        <v>0</v>
      </c>
      <c r="O193" t="n">
        <v>3</v>
      </c>
      <c r="P193" t="n">
        <v>0</v>
      </c>
      <c r="Q193" t="n">
        <v>3</v>
      </c>
      <c r="R193" s="2" t="inlineStr">
        <is>
          <t>Lunglav
Orange taggsvamp
Tretåig hackspett</t>
        </is>
      </c>
      <c r="S193">
        <f>HYPERLINK("https://klasma.github.io/Logging_2283/artfynd/A 59046-2022 artfynd.xlsx", "A 59046-2022")</f>
        <v/>
      </c>
      <c r="T193">
        <f>HYPERLINK("https://klasma.github.io/Logging_2283/kartor/A 59046-2022 karta.png", "A 59046-2022")</f>
        <v/>
      </c>
      <c r="V193">
        <f>HYPERLINK("https://klasma.github.io/Logging_2283/klagomål/A 59046-2022 FSC-klagomål.docx", "A 59046-2022")</f>
        <v/>
      </c>
      <c r="W193">
        <f>HYPERLINK("https://klasma.github.io/Logging_2283/klagomålsmail/A 59046-2022 FSC-klagomål mail.docx", "A 59046-2022")</f>
        <v/>
      </c>
      <c r="X193">
        <f>HYPERLINK("https://klasma.github.io/Logging_2283/tillsyn/A 59046-2022 tillsynsbegäran.docx", "A 59046-2022")</f>
        <v/>
      </c>
      <c r="Y193">
        <f>HYPERLINK("https://klasma.github.io/Logging_2283/tillsynsmail/A 59046-2022 tillsynsbegäran mail.docx", "A 59046-2022")</f>
        <v/>
      </c>
      <c r="Z193">
        <f>HYPERLINK("https://klasma.github.io/Logging_2283/fåglar/A 59046-2022 prioriterade fågelarter.docx", "A 59046-2022")</f>
        <v/>
      </c>
    </row>
    <row r="194" ht="15" customHeight="1">
      <c r="A194" t="inlineStr">
        <is>
          <t>A 6235-2023</t>
        </is>
      </c>
      <c r="B194" s="1" t="n">
        <v>44964</v>
      </c>
      <c r="C194" s="1" t="n">
        <v>45576</v>
      </c>
      <c r="D194" t="inlineStr">
        <is>
          <t>VÄSTERNORRLANDS LÄN</t>
        </is>
      </c>
      <c r="E194" t="inlineStr">
        <is>
          <t>SOLLEFTEÅ</t>
        </is>
      </c>
      <c r="F194" t="inlineStr">
        <is>
          <t>SCA</t>
        </is>
      </c>
      <c r="G194" t="n">
        <v>0.6</v>
      </c>
      <c r="H194" t="n">
        <v>2</v>
      </c>
      <c r="I194" t="n">
        <v>0</v>
      </c>
      <c r="J194" t="n">
        <v>2</v>
      </c>
      <c r="K194" t="n">
        <v>0</v>
      </c>
      <c r="L194" t="n">
        <v>0</v>
      </c>
      <c r="M194" t="n">
        <v>0</v>
      </c>
      <c r="N194" t="n">
        <v>0</v>
      </c>
      <c r="O194" t="n">
        <v>2</v>
      </c>
      <c r="P194" t="n">
        <v>0</v>
      </c>
      <c r="Q194" t="n">
        <v>3</v>
      </c>
      <c r="R194" s="2" t="inlineStr">
        <is>
          <t>Harticka
Tretåig hackspett
Tjäder</t>
        </is>
      </c>
      <c r="S194">
        <f>HYPERLINK("https://klasma.github.io/Logging_2283/artfynd/A 6235-2023 artfynd.xlsx", "A 6235-2023")</f>
        <v/>
      </c>
      <c r="T194">
        <f>HYPERLINK("https://klasma.github.io/Logging_2283/kartor/A 6235-2023 karta.png", "A 6235-2023")</f>
        <v/>
      </c>
      <c r="V194">
        <f>HYPERLINK("https://klasma.github.io/Logging_2283/klagomål/A 6235-2023 FSC-klagomål.docx", "A 6235-2023")</f>
        <v/>
      </c>
      <c r="W194">
        <f>HYPERLINK("https://klasma.github.io/Logging_2283/klagomålsmail/A 6235-2023 FSC-klagomål mail.docx", "A 6235-2023")</f>
        <v/>
      </c>
      <c r="X194">
        <f>HYPERLINK("https://klasma.github.io/Logging_2283/tillsyn/A 6235-2023 tillsynsbegäran.docx", "A 6235-2023")</f>
        <v/>
      </c>
      <c r="Y194">
        <f>HYPERLINK("https://klasma.github.io/Logging_2283/tillsynsmail/A 6235-2023 tillsynsbegäran mail.docx", "A 6235-2023")</f>
        <v/>
      </c>
      <c r="Z194">
        <f>HYPERLINK("https://klasma.github.io/Logging_2283/fåglar/A 6235-2023 prioriterade fågelarter.docx", "A 6235-2023")</f>
        <v/>
      </c>
    </row>
    <row r="195" ht="15" customHeight="1">
      <c r="A195" t="inlineStr">
        <is>
          <t>A 20781-2023</t>
        </is>
      </c>
      <c r="B195" s="1" t="n">
        <v>45058</v>
      </c>
      <c r="C195" s="1" t="n">
        <v>45576</v>
      </c>
      <c r="D195" t="inlineStr">
        <is>
          <t>VÄSTERNORRLANDS LÄN</t>
        </is>
      </c>
      <c r="E195" t="inlineStr">
        <is>
          <t>SOLLEFTEÅ</t>
        </is>
      </c>
      <c r="F195" t="inlineStr">
        <is>
          <t>Kyrkan</t>
        </is>
      </c>
      <c r="G195" t="n">
        <v>11.1</v>
      </c>
      <c r="H195" t="n">
        <v>1</v>
      </c>
      <c r="I195" t="n">
        <v>0</v>
      </c>
      <c r="J195" t="n">
        <v>2</v>
      </c>
      <c r="K195" t="n">
        <v>1</v>
      </c>
      <c r="L195" t="n">
        <v>0</v>
      </c>
      <c r="M195" t="n">
        <v>0</v>
      </c>
      <c r="N195" t="n">
        <v>0</v>
      </c>
      <c r="O195" t="n">
        <v>3</v>
      </c>
      <c r="P195" t="n">
        <v>1</v>
      </c>
      <c r="Q195" t="n">
        <v>3</v>
      </c>
      <c r="R195" s="2" t="inlineStr">
        <is>
          <t>Knärot
Garnlav
Ullticka</t>
        </is>
      </c>
      <c r="S195">
        <f>HYPERLINK("https://klasma.github.io/Logging_2283/artfynd/A 20781-2023 artfynd.xlsx", "A 20781-2023")</f>
        <v/>
      </c>
      <c r="T195">
        <f>HYPERLINK("https://klasma.github.io/Logging_2283/kartor/A 20781-2023 karta.png", "A 20781-2023")</f>
        <v/>
      </c>
      <c r="U195">
        <f>HYPERLINK("https://klasma.github.io/Logging_2283/knärot/A 20781-2023 karta knärot.png", "A 20781-2023")</f>
        <v/>
      </c>
      <c r="V195">
        <f>HYPERLINK("https://klasma.github.io/Logging_2283/klagomål/A 20781-2023 FSC-klagomål.docx", "A 20781-2023")</f>
        <v/>
      </c>
      <c r="W195">
        <f>HYPERLINK("https://klasma.github.io/Logging_2283/klagomålsmail/A 20781-2023 FSC-klagomål mail.docx", "A 20781-2023")</f>
        <v/>
      </c>
      <c r="X195">
        <f>HYPERLINK("https://klasma.github.io/Logging_2283/tillsyn/A 20781-2023 tillsynsbegäran.docx", "A 20781-2023")</f>
        <v/>
      </c>
      <c r="Y195">
        <f>HYPERLINK("https://klasma.github.io/Logging_2283/tillsynsmail/A 20781-2023 tillsynsbegäran mail.docx", "A 20781-2023")</f>
        <v/>
      </c>
    </row>
    <row r="196" ht="15" customHeight="1">
      <c r="A196" t="inlineStr">
        <is>
          <t>A 21342-2023</t>
        </is>
      </c>
      <c r="B196" s="1" t="n">
        <v>45062</v>
      </c>
      <c r="C196" s="1" t="n">
        <v>45576</v>
      </c>
      <c r="D196" t="inlineStr">
        <is>
          <t>VÄSTERNORRLANDS LÄN</t>
        </is>
      </c>
      <c r="E196" t="inlineStr">
        <is>
          <t>SOLLEFTEÅ</t>
        </is>
      </c>
      <c r="F196" t="inlineStr">
        <is>
          <t>SCA</t>
        </is>
      </c>
      <c r="G196" t="n">
        <v>4.3</v>
      </c>
      <c r="H196" t="n">
        <v>1</v>
      </c>
      <c r="I196" t="n">
        <v>1</v>
      </c>
      <c r="J196" t="n">
        <v>2</v>
      </c>
      <c r="K196" t="n">
        <v>0</v>
      </c>
      <c r="L196" t="n">
        <v>0</v>
      </c>
      <c r="M196" t="n">
        <v>0</v>
      </c>
      <c r="N196" t="n">
        <v>0</v>
      </c>
      <c r="O196" t="n">
        <v>2</v>
      </c>
      <c r="P196" t="n">
        <v>0</v>
      </c>
      <c r="Q196" t="n">
        <v>3</v>
      </c>
      <c r="R196" s="2" t="inlineStr">
        <is>
          <t>Dvärgbägarlav
Kolflarnlav
Plattlummer</t>
        </is>
      </c>
      <c r="S196">
        <f>HYPERLINK("https://klasma.github.io/Logging_2283/artfynd/A 21342-2023 artfynd.xlsx", "A 21342-2023")</f>
        <v/>
      </c>
      <c r="T196">
        <f>HYPERLINK("https://klasma.github.io/Logging_2283/kartor/A 21342-2023 karta.png", "A 21342-2023")</f>
        <v/>
      </c>
      <c r="V196">
        <f>HYPERLINK("https://klasma.github.io/Logging_2283/klagomål/A 21342-2023 FSC-klagomål.docx", "A 21342-2023")</f>
        <v/>
      </c>
      <c r="W196">
        <f>HYPERLINK("https://klasma.github.io/Logging_2283/klagomålsmail/A 21342-2023 FSC-klagomål mail.docx", "A 21342-2023")</f>
        <v/>
      </c>
      <c r="X196">
        <f>HYPERLINK("https://klasma.github.io/Logging_2283/tillsyn/A 21342-2023 tillsynsbegäran.docx", "A 21342-2023")</f>
        <v/>
      </c>
      <c r="Y196">
        <f>HYPERLINK("https://klasma.github.io/Logging_2283/tillsynsmail/A 21342-2023 tillsynsbegäran mail.docx", "A 21342-2023")</f>
        <v/>
      </c>
    </row>
    <row r="197" ht="15" customHeight="1">
      <c r="A197" t="inlineStr">
        <is>
          <t>A 21343-2023</t>
        </is>
      </c>
      <c r="B197" s="1" t="n">
        <v>45062</v>
      </c>
      <c r="C197" s="1" t="n">
        <v>45576</v>
      </c>
      <c r="D197" t="inlineStr">
        <is>
          <t>VÄSTERNORRLANDS LÄN</t>
        </is>
      </c>
      <c r="E197" t="inlineStr">
        <is>
          <t>SOLLEFTEÅ</t>
        </is>
      </c>
      <c r="F197" t="inlineStr">
        <is>
          <t>SCA</t>
        </is>
      </c>
      <c r="G197" t="n">
        <v>4.8</v>
      </c>
      <c r="H197" t="n">
        <v>0</v>
      </c>
      <c r="I197" t="n">
        <v>0</v>
      </c>
      <c r="J197" t="n">
        <v>3</v>
      </c>
      <c r="K197" t="n">
        <v>0</v>
      </c>
      <c r="L197" t="n">
        <v>0</v>
      </c>
      <c r="M197" t="n">
        <v>0</v>
      </c>
      <c r="N197" t="n">
        <v>0</v>
      </c>
      <c r="O197" t="n">
        <v>3</v>
      </c>
      <c r="P197" t="n">
        <v>0</v>
      </c>
      <c r="Q197" t="n">
        <v>3</v>
      </c>
      <c r="R197" s="2" t="inlineStr">
        <is>
          <t>Garnlav
Kolflarnlav
Vedskivlav</t>
        </is>
      </c>
      <c r="S197">
        <f>HYPERLINK("https://klasma.github.io/Logging_2283/artfynd/A 21343-2023 artfynd.xlsx", "A 21343-2023")</f>
        <v/>
      </c>
      <c r="T197">
        <f>HYPERLINK("https://klasma.github.io/Logging_2283/kartor/A 21343-2023 karta.png", "A 21343-2023")</f>
        <v/>
      </c>
      <c r="V197">
        <f>HYPERLINK("https://klasma.github.io/Logging_2283/klagomål/A 21343-2023 FSC-klagomål.docx", "A 21343-2023")</f>
        <v/>
      </c>
      <c r="W197">
        <f>HYPERLINK("https://klasma.github.io/Logging_2283/klagomålsmail/A 21343-2023 FSC-klagomål mail.docx", "A 21343-2023")</f>
        <v/>
      </c>
      <c r="X197">
        <f>HYPERLINK("https://klasma.github.io/Logging_2283/tillsyn/A 21343-2023 tillsynsbegäran.docx", "A 21343-2023")</f>
        <v/>
      </c>
      <c r="Y197">
        <f>HYPERLINK("https://klasma.github.io/Logging_2283/tillsynsmail/A 21343-2023 tillsynsbegäran mail.docx", "A 21343-2023")</f>
        <v/>
      </c>
    </row>
    <row r="198" ht="15" customHeight="1">
      <c r="A198" t="inlineStr">
        <is>
          <t>A 23782-2023</t>
        </is>
      </c>
      <c r="B198" s="1" t="n">
        <v>45077</v>
      </c>
      <c r="C198" s="1" t="n">
        <v>45576</v>
      </c>
      <c r="D198" t="inlineStr">
        <is>
          <t>VÄSTERNORRLANDS LÄN</t>
        </is>
      </c>
      <c r="E198" t="inlineStr">
        <is>
          <t>SOLLEFTEÅ</t>
        </is>
      </c>
      <c r="F198" t="inlineStr">
        <is>
          <t>SCA</t>
        </is>
      </c>
      <c r="G198" t="n">
        <v>6.3</v>
      </c>
      <c r="H198" t="n">
        <v>0</v>
      </c>
      <c r="I198" t="n">
        <v>2</v>
      </c>
      <c r="J198" t="n">
        <v>1</v>
      </c>
      <c r="K198" t="n">
        <v>0</v>
      </c>
      <c r="L198" t="n">
        <v>0</v>
      </c>
      <c r="M198" t="n">
        <v>0</v>
      </c>
      <c r="N198" t="n">
        <v>0</v>
      </c>
      <c r="O198" t="n">
        <v>1</v>
      </c>
      <c r="P198" t="n">
        <v>0</v>
      </c>
      <c r="Q198" t="n">
        <v>3</v>
      </c>
      <c r="R198" s="2" t="inlineStr">
        <is>
          <t>Garnlav
Bollvitmossa
Norrlandslav</t>
        </is>
      </c>
      <c r="S198">
        <f>HYPERLINK("https://klasma.github.io/Logging_2283/artfynd/A 23782-2023 artfynd.xlsx", "A 23782-2023")</f>
        <v/>
      </c>
      <c r="T198">
        <f>HYPERLINK("https://klasma.github.io/Logging_2283/kartor/A 23782-2023 karta.png", "A 23782-2023")</f>
        <v/>
      </c>
      <c r="V198">
        <f>HYPERLINK("https://klasma.github.io/Logging_2283/klagomål/A 23782-2023 FSC-klagomål.docx", "A 23782-2023")</f>
        <v/>
      </c>
      <c r="W198">
        <f>HYPERLINK("https://klasma.github.io/Logging_2283/klagomålsmail/A 23782-2023 FSC-klagomål mail.docx", "A 23782-2023")</f>
        <v/>
      </c>
      <c r="X198">
        <f>HYPERLINK("https://klasma.github.io/Logging_2283/tillsyn/A 23782-2023 tillsynsbegäran.docx", "A 23782-2023")</f>
        <v/>
      </c>
      <c r="Y198">
        <f>HYPERLINK("https://klasma.github.io/Logging_2283/tillsynsmail/A 23782-2023 tillsynsbegäran mail.docx", "A 23782-2023")</f>
        <v/>
      </c>
    </row>
    <row r="199" ht="15" customHeight="1">
      <c r="A199" t="inlineStr">
        <is>
          <t>A 26374-2023</t>
        </is>
      </c>
      <c r="B199" s="1" t="n">
        <v>45092</v>
      </c>
      <c r="C199" s="1" t="n">
        <v>45576</v>
      </c>
      <c r="D199" t="inlineStr">
        <is>
          <t>VÄSTERNORRLANDS LÄN</t>
        </is>
      </c>
      <c r="E199" t="inlineStr">
        <is>
          <t>SOLLEFTEÅ</t>
        </is>
      </c>
      <c r="F199" t="inlineStr">
        <is>
          <t>SCA</t>
        </is>
      </c>
      <c r="G199" t="n">
        <v>0.9</v>
      </c>
      <c r="H199" t="n">
        <v>0</v>
      </c>
      <c r="I199" t="n">
        <v>0</v>
      </c>
      <c r="J199" t="n">
        <v>2</v>
      </c>
      <c r="K199" t="n">
        <v>1</v>
      </c>
      <c r="L199" t="n">
        <v>0</v>
      </c>
      <c r="M199" t="n">
        <v>0</v>
      </c>
      <c r="N199" t="n">
        <v>0</v>
      </c>
      <c r="O199" t="n">
        <v>3</v>
      </c>
      <c r="P199" t="n">
        <v>1</v>
      </c>
      <c r="Q199" t="n">
        <v>3</v>
      </c>
      <c r="R199" s="2" t="inlineStr">
        <is>
          <t>Blackticka
Granticka
Ullticka</t>
        </is>
      </c>
      <c r="S199">
        <f>HYPERLINK("https://klasma.github.io/Logging_2283/artfynd/A 26374-2023 artfynd.xlsx", "A 26374-2023")</f>
        <v/>
      </c>
      <c r="T199">
        <f>HYPERLINK("https://klasma.github.io/Logging_2283/kartor/A 26374-2023 karta.png", "A 26374-2023")</f>
        <v/>
      </c>
      <c r="V199">
        <f>HYPERLINK("https://klasma.github.io/Logging_2283/klagomål/A 26374-2023 FSC-klagomål.docx", "A 26374-2023")</f>
        <v/>
      </c>
      <c r="W199">
        <f>HYPERLINK("https://klasma.github.io/Logging_2283/klagomålsmail/A 26374-2023 FSC-klagomål mail.docx", "A 26374-2023")</f>
        <v/>
      </c>
      <c r="X199">
        <f>HYPERLINK("https://klasma.github.io/Logging_2283/tillsyn/A 26374-2023 tillsynsbegäran.docx", "A 26374-2023")</f>
        <v/>
      </c>
      <c r="Y199">
        <f>HYPERLINK("https://klasma.github.io/Logging_2283/tillsynsmail/A 26374-2023 tillsynsbegäran mail.docx", "A 26374-2023")</f>
        <v/>
      </c>
    </row>
    <row r="200" ht="15" customHeight="1">
      <c r="A200" t="inlineStr">
        <is>
          <t>A 45006-2023</t>
        </is>
      </c>
      <c r="B200" s="1" t="n">
        <v>45190</v>
      </c>
      <c r="C200" s="1" t="n">
        <v>45576</v>
      </c>
      <c r="D200" t="inlineStr">
        <is>
          <t>VÄSTERNORRLANDS LÄN</t>
        </is>
      </c>
      <c r="E200" t="inlineStr">
        <is>
          <t>SOLLEFTEÅ</t>
        </is>
      </c>
      <c r="F200" t="inlineStr">
        <is>
          <t>SCA</t>
        </is>
      </c>
      <c r="G200" t="n">
        <v>5.1</v>
      </c>
      <c r="H200" t="n">
        <v>0</v>
      </c>
      <c r="I200" t="n">
        <v>0</v>
      </c>
      <c r="J200" t="n">
        <v>2</v>
      </c>
      <c r="K200" t="n">
        <v>1</v>
      </c>
      <c r="L200" t="n">
        <v>0</v>
      </c>
      <c r="M200" t="n">
        <v>0</v>
      </c>
      <c r="N200" t="n">
        <v>0</v>
      </c>
      <c r="O200" t="n">
        <v>3</v>
      </c>
      <c r="P200" t="n">
        <v>1</v>
      </c>
      <c r="Q200" t="n">
        <v>3</v>
      </c>
      <c r="R200" s="2" t="inlineStr">
        <is>
          <t>Rynkskinn
Gammelgransskål
Rosenticka</t>
        </is>
      </c>
      <c r="S200">
        <f>HYPERLINK("https://klasma.github.io/Logging_2283/artfynd/A 45006-2023 artfynd.xlsx", "A 45006-2023")</f>
        <v/>
      </c>
      <c r="T200">
        <f>HYPERLINK("https://klasma.github.io/Logging_2283/kartor/A 45006-2023 karta.png", "A 45006-2023")</f>
        <v/>
      </c>
      <c r="V200">
        <f>HYPERLINK("https://klasma.github.io/Logging_2283/klagomål/A 45006-2023 FSC-klagomål.docx", "A 45006-2023")</f>
        <v/>
      </c>
      <c r="W200">
        <f>HYPERLINK("https://klasma.github.io/Logging_2283/klagomålsmail/A 45006-2023 FSC-klagomål mail.docx", "A 45006-2023")</f>
        <v/>
      </c>
      <c r="X200">
        <f>HYPERLINK("https://klasma.github.io/Logging_2283/tillsyn/A 45006-2023 tillsynsbegäran.docx", "A 45006-2023")</f>
        <v/>
      </c>
      <c r="Y200">
        <f>HYPERLINK("https://klasma.github.io/Logging_2283/tillsynsmail/A 45006-2023 tillsynsbegäran mail.docx", "A 45006-2023")</f>
        <v/>
      </c>
    </row>
    <row r="201" ht="15" customHeight="1">
      <c r="A201" t="inlineStr">
        <is>
          <t>A 50838-2023</t>
        </is>
      </c>
      <c r="B201" s="1" t="n">
        <v>45217</v>
      </c>
      <c r="C201" s="1" t="n">
        <v>45576</v>
      </c>
      <c r="D201" t="inlineStr">
        <is>
          <t>VÄSTERNORRLANDS LÄN</t>
        </is>
      </c>
      <c r="E201" t="inlineStr">
        <is>
          <t>SOLLEFTEÅ</t>
        </is>
      </c>
      <c r="F201" t="inlineStr">
        <is>
          <t>SCA</t>
        </is>
      </c>
      <c r="G201" t="n">
        <v>2.1</v>
      </c>
      <c r="H201" t="n">
        <v>2</v>
      </c>
      <c r="I201" t="n">
        <v>0</v>
      </c>
      <c r="J201" t="n">
        <v>1</v>
      </c>
      <c r="K201" t="n">
        <v>2</v>
      </c>
      <c r="L201" t="n">
        <v>0</v>
      </c>
      <c r="M201" t="n">
        <v>0</v>
      </c>
      <c r="N201" t="n">
        <v>0</v>
      </c>
      <c r="O201" t="n">
        <v>3</v>
      </c>
      <c r="P201" t="n">
        <v>2</v>
      </c>
      <c r="Q201" t="n">
        <v>3</v>
      </c>
      <c r="R201" s="2" t="inlineStr">
        <is>
          <t>Doftticka
Knärot
Lunglav</t>
        </is>
      </c>
      <c r="S201">
        <f>HYPERLINK("https://klasma.github.io/Logging_2283/artfynd/A 50838-2023 artfynd.xlsx", "A 50838-2023")</f>
        <v/>
      </c>
      <c r="T201">
        <f>HYPERLINK("https://klasma.github.io/Logging_2283/kartor/A 50838-2023 karta.png", "A 50838-2023")</f>
        <v/>
      </c>
      <c r="U201">
        <f>HYPERLINK("https://klasma.github.io/Logging_2283/knärot/A 50838-2023 karta knärot.png", "A 50838-2023")</f>
        <v/>
      </c>
      <c r="V201">
        <f>HYPERLINK("https://klasma.github.io/Logging_2283/klagomål/A 50838-2023 FSC-klagomål.docx", "A 50838-2023")</f>
        <v/>
      </c>
      <c r="W201">
        <f>HYPERLINK("https://klasma.github.io/Logging_2283/klagomålsmail/A 50838-2023 FSC-klagomål mail.docx", "A 50838-2023")</f>
        <v/>
      </c>
      <c r="X201">
        <f>HYPERLINK("https://klasma.github.io/Logging_2283/tillsyn/A 50838-2023 tillsynsbegäran.docx", "A 50838-2023")</f>
        <v/>
      </c>
      <c r="Y201">
        <f>HYPERLINK("https://klasma.github.io/Logging_2283/tillsynsmail/A 50838-2023 tillsynsbegäran mail.docx", "A 50838-2023")</f>
        <v/>
      </c>
    </row>
    <row r="202" ht="15" customHeight="1">
      <c r="A202" t="inlineStr">
        <is>
          <t>A 52762-2023</t>
        </is>
      </c>
      <c r="B202" s="1" t="n">
        <v>45225</v>
      </c>
      <c r="C202" s="1" t="n">
        <v>45576</v>
      </c>
      <c r="D202" t="inlineStr">
        <is>
          <t>VÄSTERNORRLANDS LÄN</t>
        </is>
      </c>
      <c r="E202" t="inlineStr">
        <is>
          <t>SOLLEFTEÅ</t>
        </is>
      </c>
      <c r="F202" t="inlineStr">
        <is>
          <t>SCA</t>
        </is>
      </c>
      <c r="G202" t="n">
        <v>6.3</v>
      </c>
      <c r="H202" t="n">
        <v>1</v>
      </c>
      <c r="I202" t="n">
        <v>0</v>
      </c>
      <c r="J202" t="n">
        <v>2</v>
      </c>
      <c r="K202" t="n">
        <v>0</v>
      </c>
      <c r="L202" t="n">
        <v>0</v>
      </c>
      <c r="M202" t="n">
        <v>0</v>
      </c>
      <c r="N202" t="n">
        <v>0</v>
      </c>
      <c r="O202" t="n">
        <v>2</v>
      </c>
      <c r="P202" t="n">
        <v>0</v>
      </c>
      <c r="Q202" t="n">
        <v>3</v>
      </c>
      <c r="R202" s="2" t="inlineStr">
        <is>
          <t>Rosenticka
Ullticka
Fläcknycklar</t>
        </is>
      </c>
      <c r="S202">
        <f>HYPERLINK("https://klasma.github.io/Logging_2283/artfynd/A 52762-2023 artfynd.xlsx", "A 52762-2023")</f>
        <v/>
      </c>
      <c r="T202">
        <f>HYPERLINK("https://klasma.github.io/Logging_2283/kartor/A 52762-2023 karta.png", "A 52762-2023")</f>
        <v/>
      </c>
      <c r="V202">
        <f>HYPERLINK("https://klasma.github.io/Logging_2283/klagomål/A 52762-2023 FSC-klagomål.docx", "A 52762-2023")</f>
        <v/>
      </c>
      <c r="W202">
        <f>HYPERLINK("https://klasma.github.io/Logging_2283/klagomålsmail/A 52762-2023 FSC-klagomål mail.docx", "A 52762-2023")</f>
        <v/>
      </c>
      <c r="X202">
        <f>HYPERLINK("https://klasma.github.io/Logging_2283/tillsyn/A 52762-2023 tillsynsbegäran.docx", "A 52762-2023")</f>
        <v/>
      </c>
      <c r="Y202">
        <f>HYPERLINK("https://klasma.github.io/Logging_2283/tillsynsmail/A 52762-2023 tillsynsbegäran mail.docx", "A 52762-2023")</f>
        <v/>
      </c>
    </row>
    <row r="203" ht="15" customHeight="1">
      <c r="A203" t="inlineStr">
        <is>
          <t>A 54030-2023</t>
        </is>
      </c>
      <c r="B203" s="1" t="n">
        <v>45231</v>
      </c>
      <c r="C203" s="1" t="n">
        <v>45576</v>
      </c>
      <c r="D203" t="inlineStr">
        <is>
          <t>VÄSTERNORRLANDS LÄN</t>
        </is>
      </c>
      <c r="E203" t="inlineStr">
        <is>
          <t>SOLLEFTEÅ</t>
        </is>
      </c>
      <c r="G203" t="n">
        <v>4.4</v>
      </c>
      <c r="H203" t="n">
        <v>0</v>
      </c>
      <c r="I203" t="n">
        <v>0</v>
      </c>
      <c r="J203" t="n">
        <v>2</v>
      </c>
      <c r="K203" t="n">
        <v>1</v>
      </c>
      <c r="L203" t="n">
        <v>0</v>
      </c>
      <c r="M203" t="n">
        <v>0</v>
      </c>
      <c r="N203" t="n">
        <v>0</v>
      </c>
      <c r="O203" t="n">
        <v>3</v>
      </c>
      <c r="P203" t="n">
        <v>1</v>
      </c>
      <c r="Q203" t="n">
        <v>3</v>
      </c>
      <c r="R203" s="2" t="inlineStr">
        <is>
          <t>Rynkskinn
Rosenticka
Ullticka</t>
        </is>
      </c>
      <c r="S203">
        <f>HYPERLINK("https://klasma.github.io/Logging_2283/artfynd/A 54030-2023 artfynd.xlsx", "A 54030-2023")</f>
        <v/>
      </c>
      <c r="T203">
        <f>HYPERLINK("https://klasma.github.io/Logging_2283/kartor/A 54030-2023 karta.png", "A 54030-2023")</f>
        <v/>
      </c>
      <c r="V203">
        <f>HYPERLINK("https://klasma.github.io/Logging_2283/klagomål/A 54030-2023 FSC-klagomål.docx", "A 54030-2023")</f>
        <v/>
      </c>
      <c r="W203">
        <f>HYPERLINK("https://klasma.github.io/Logging_2283/klagomålsmail/A 54030-2023 FSC-klagomål mail.docx", "A 54030-2023")</f>
        <v/>
      </c>
      <c r="X203">
        <f>HYPERLINK("https://klasma.github.io/Logging_2283/tillsyn/A 54030-2023 tillsynsbegäran.docx", "A 54030-2023")</f>
        <v/>
      </c>
      <c r="Y203">
        <f>HYPERLINK("https://klasma.github.io/Logging_2283/tillsynsmail/A 54030-2023 tillsynsbegäran mail.docx", "A 54030-2023")</f>
        <v/>
      </c>
    </row>
    <row r="204" ht="15" customHeight="1">
      <c r="A204" t="inlineStr">
        <is>
          <t>A 16702-2024</t>
        </is>
      </c>
      <c r="B204" s="1" t="n">
        <v>45409</v>
      </c>
      <c r="C204" s="1" t="n">
        <v>45576</v>
      </c>
      <c r="D204" t="inlineStr">
        <is>
          <t>VÄSTERNORRLANDS LÄN</t>
        </is>
      </c>
      <c r="E204" t="inlineStr">
        <is>
          <t>SOLLEFTEÅ</t>
        </is>
      </c>
      <c r="F204" t="inlineStr">
        <is>
          <t>SCA</t>
        </is>
      </c>
      <c r="G204" t="n">
        <v>2.4</v>
      </c>
      <c r="H204" t="n">
        <v>0</v>
      </c>
      <c r="I204" t="n">
        <v>0</v>
      </c>
      <c r="J204" t="n">
        <v>3</v>
      </c>
      <c r="K204" t="n">
        <v>0</v>
      </c>
      <c r="L204" t="n">
        <v>0</v>
      </c>
      <c r="M204" t="n">
        <v>0</v>
      </c>
      <c r="N204" t="n">
        <v>0</v>
      </c>
      <c r="O204" t="n">
        <v>3</v>
      </c>
      <c r="P204" t="n">
        <v>0</v>
      </c>
      <c r="Q204" t="n">
        <v>3</v>
      </c>
      <c r="R204" s="2" t="inlineStr">
        <is>
          <t>Gammelgransskål
Rosenticka
Ullticka</t>
        </is>
      </c>
      <c r="S204">
        <f>HYPERLINK("https://klasma.github.io/Logging_2283/artfynd/A 16702-2024 artfynd.xlsx", "A 16702-2024")</f>
        <v/>
      </c>
      <c r="T204">
        <f>HYPERLINK("https://klasma.github.io/Logging_2283/kartor/A 16702-2024 karta.png", "A 16702-2024")</f>
        <v/>
      </c>
      <c r="V204">
        <f>HYPERLINK("https://klasma.github.io/Logging_2283/klagomål/A 16702-2024 FSC-klagomål.docx", "A 16702-2024")</f>
        <v/>
      </c>
      <c r="W204">
        <f>HYPERLINK("https://klasma.github.io/Logging_2283/klagomålsmail/A 16702-2024 FSC-klagomål mail.docx", "A 16702-2024")</f>
        <v/>
      </c>
      <c r="X204">
        <f>HYPERLINK("https://klasma.github.io/Logging_2283/tillsyn/A 16702-2024 tillsynsbegäran.docx", "A 16702-2024")</f>
        <v/>
      </c>
      <c r="Y204">
        <f>HYPERLINK("https://klasma.github.io/Logging_2283/tillsynsmail/A 16702-2024 tillsynsbegäran mail.docx", "A 16702-2024")</f>
        <v/>
      </c>
    </row>
    <row r="205" ht="15" customHeight="1">
      <c r="A205" t="inlineStr">
        <is>
          <t>A 21097-2024</t>
        </is>
      </c>
      <c r="B205" s="1" t="n">
        <v>45440</v>
      </c>
      <c r="C205" s="1" t="n">
        <v>45576</v>
      </c>
      <c r="D205" t="inlineStr">
        <is>
          <t>VÄSTERNORRLANDS LÄN</t>
        </is>
      </c>
      <c r="E205" t="inlineStr">
        <is>
          <t>SOLLEFTEÅ</t>
        </is>
      </c>
      <c r="F205" t="inlineStr">
        <is>
          <t>SCA</t>
        </is>
      </c>
      <c r="G205" t="n">
        <v>7.7</v>
      </c>
      <c r="H205" t="n">
        <v>1</v>
      </c>
      <c r="I205" t="n">
        <v>1</v>
      </c>
      <c r="J205" t="n">
        <v>2</v>
      </c>
      <c r="K205" t="n">
        <v>0</v>
      </c>
      <c r="L205" t="n">
        <v>0</v>
      </c>
      <c r="M205" t="n">
        <v>0</v>
      </c>
      <c r="N205" t="n">
        <v>0</v>
      </c>
      <c r="O205" t="n">
        <v>2</v>
      </c>
      <c r="P205" t="n">
        <v>0</v>
      </c>
      <c r="Q205" t="n">
        <v>3</v>
      </c>
      <c r="R205" s="2" t="inlineStr">
        <is>
          <t>Lunglav
Ullticka
Lappranunkel</t>
        </is>
      </c>
      <c r="S205">
        <f>HYPERLINK("https://klasma.github.io/Logging_2283/artfynd/A 21097-2024 artfynd.xlsx", "A 21097-2024")</f>
        <v/>
      </c>
      <c r="T205">
        <f>HYPERLINK("https://klasma.github.io/Logging_2283/kartor/A 21097-2024 karta.png", "A 21097-2024")</f>
        <v/>
      </c>
      <c r="V205">
        <f>HYPERLINK("https://klasma.github.io/Logging_2283/klagomål/A 21097-2024 FSC-klagomål.docx", "A 21097-2024")</f>
        <v/>
      </c>
      <c r="W205">
        <f>HYPERLINK("https://klasma.github.io/Logging_2283/klagomålsmail/A 21097-2024 FSC-klagomål mail.docx", "A 21097-2024")</f>
        <v/>
      </c>
      <c r="X205">
        <f>HYPERLINK("https://klasma.github.io/Logging_2283/tillsyn/A 21097-2024 tillsynsbegäran.docx", "A 21097-2024")</f>
        <v/>
      </c>
      <c r="Y205">
        <f>HYPERLINK("https://klasma.github.io/Logging_2283/tillsynsmail/A 21097-2024 tillsynsbegäran mail.docx", "A 21097-2024")</f>
        <v/>
      </c>
    </row>
    <row r="206" ht="15" customHeight="1">
      <c r="A206" t="inlineStr">
        <is>
          <t>A 24757-2024</t>
        </is>
      </c>
      <c r="B206" s="1" t="n">
        <v>45460</v>
      </c>
      <c r="C206" s="1" t="n">
        <v>45576</v>
      </c>
      <c r="D206" t="inlineStr">
        <is>
          <t>VÄSTERNORRLANDS LÄN</t>
        </is>
      </c>
      <c r="E206" t="inlineStr">
        <is>
          <t>SOLLEFTEÅ</t>
        </is>
      </c>
      <c r="G206" t="n">
        <v>1.4</v>
      </c>
      <c r="H206" t="n">
        <v>1</v>
      </c>
      <c r="I206" t="n">
        <v>0</v>
      </c>
      <c r="J206" t="n">
        <v>2</v>
      </c>
      <c r="K206" t="n">
        <v>0</v>
      </c>
      <c r="L206" t="n">
        <v>0</v>
      </c>
      <c r="M206" t="n">
        <v>0</v>
      </c>
      <c r="N206" t="n">
        <v>0</v>
      </c>
      <c r="O206" t="n">
        <v>2</v>
      </c>
      <c r="P206" t="n">
        <v>0</v>
      </c>
      <c r="Q206" t="n">
        <v>3</v>
      </c>
      <c r="R206" s="2" t="inlineStr">
        <is>
          <t>Harticka
Lunglav
Revlummer</t>
        </is>
      </c>
      <c r="S206">
        <f>HYPERLINK("https://klasma.github.io/Logging_2283/artfynd/A 24757-2024 artfynd.xlsx", "A 24757-2024")</f>
        <v/>
      </c>
      <c r="T206">
        <f>HYPERLINK("https://klasma.github.io/Logging_2283/kartor/A 24757-2024 karta.png", "A 24757-2024")</f>
        <v/>
      </c>
      <c r="V206">
        <f>HYPERLINK("https://klasma.github.io/Logging_2283/klagomål/A 24757-2024 FSC-klagomål.docx", "A 24757-2024")</f>
        <v/>
      </c>
      <c r="W206">
        <f>HYPERLINK("https://klasma.github.io/Logging_2283/klagomålsmail/A 24757-2024 FSC-klagomål mail.docx", "A 24757-2024")</f>
        <v/>
      </c>
      <c r="X206">
        <f>HYPERLINK("https://klasma.github.io/Logging_2283/tillsyn/A 24757-2024 tillsynsbegäran.docx", "A 24757-2024")</f>
        <v/>
      </c>
      <c r="Y206">
        <f>HYPERLINK("https://klasma.github.io/Logging_2283/tillsynsmail/A 24757-2024 tillsynsbegäran mail.docx", "A 24757-2024")</f>
        <v/>
      </c>
    </row>
    <row r="207" ht="15" customHeight="1">
      <c r="A207" t="inlineStr">
        <is>
          <t>A 28875-2024</t>
        </is>
      </c>
      <c r="B207" s="1" t="n">
        <v>45478</v>
      </c>
      <c r="C207" s="1" t="n">
        <v>45576</v>
      </c>
      <c r="D207" t="inlineStr">
        <is>
          <t>VÄSTERNORRLANDS LÄN</t>
        </is>
      </c>
      <c r="E207" t="inlineStr">
        <is>
          <t>SOLLEFTEÅ</t>
        </is>
      </c>
      <c r="F207" t="inlineStr">
        <is>
          <t>SCA</t>
        </is>
      </c>
      <c r="G207" t="n">
        <v>14.2</v>
      </c>
      <c r="H207" t="n">
        <v>1</v>
      </c>
      <c r="I207" t="n">
        <v>0</v>
      </c>
      <c r="J207" t="n">
        <v>3</v>
      </c>
      <c r="K207" t="n">
        <v>0</v>
      </c>
      <c r="L207" t="n">
        <v>0</v>
      </c>
      <c r="M207" t="n">
        <v>0</v>
      </c>
      <c r="N207" t="n">
        <v>0</v>
      </c>
      <c r="O207" t="n">
        <v>3</v>
      </c>
      <c r="P207" t="n">
        <v>0</v>
      </c>
      <c r="Q207" t="n">
        <v>3</v>
      </c>
      <c r="R207" s="2" t="inlineStr">
        <is>
          <t>Garnlav
Lunglav
Tretåig hackspett</t>
        </is>
      </c>
      <c r="S207">
        <f>HYPERLINK("https://klasma.github.io/Logging_2283/artfynd/A 28875-2024 artfynd.xlsx", "A 28875-2024")</f>
        <v/>
      </c>
      <c r="T207">
        <f>HYPERLINK("https://klasma.github.io/Logging_2283/kartor/A 28875-2024 karta.png", "A 28875-2024")</f>
        <v/>
      </c>
      <c r="V207">
        <f>HYPERLINK("https://klasma.github.io/Logging_2283/klagomål/A 28875-2024 FSC-klagomål.docx", "A 28875-2024")</f>
        <v/>
      </c>
      <c r="W207">
        <f>HYPERLINK("https://klasma.github.io/Logging_2283/klagomålsmail/A 28875-2024 FSC-klagomål mail.docx", "A 28875-2024")</f>
        <v/>
      </c>
      <c r="X207">
        <f>HYPERLINK("https://klasma.github.io/Logging_2283/tillsyn/A 28875-2024 tillsynsbegäran.docx", "A 28875-2024")</f>
        <v/>
      </c>
      <c r="Y207">
        <f>HYPERLINK("https://klasma.github.io/Logging_2283/tillsynsmail/A 28875-2024 tillsynsbegäran mail.docx", "A 28875-2024")</f>
        <v/>
      </c>
      <c r="Z207">
        <f>HYPERLINK("https://klasma.github.io/Logging_2283/fåglar/A 28875-2024 prioriterade fågelarter.docx", "A 28875-2024")</f>
        <v/>
      </c>
    </row>
    <row r="208" ht="15" customHeight="1">
      <c r="A208" t="inlineStr">
        <is>
          <t>A 32256-2024</t>
        </is>
      </c>
      <c r="B208" s="1" t="n">
        <v>45511</v>
      </c>
      <c r="C208" s="1" t="n">
        <v>45576</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38096-2024</t>
        </is>
      </c>
      <c r="B209" s="1" t="n">
        <v>45545</v>
      </c>
      <c r="C209" s="1" t="n">
        <v>45576</v>
      </c>
      <c r="D209" t="inlineStr">
        <is>
          <t>VÄSTERNORRLANDS LÄN</t>
        </is>
      </c>
      <c r="E209" t="inlineStr">
        <is>
          <t>SOLLEFTEÅ</t>
        </is>
      </c>
      <c r="F209" t="inlineStr">
        <is>
          <t>SCA</t>
        </is>
      </c>
      <c r="G209" t="n">
        <v>5.2</v>
      </c>
      <c r="H209" t="n">
        <v>1</v>
      </c>
      <c r="I209" t="n">
        <v>2</v>
      </c>
      <c r="J209" t="n">
        <v>1</v>
      </c>
      <c r="K209" t="n">
        <v>0</v>
      </c>
      <c r="L209" t="n">
        <v>0</v>
      </c>
      <c r="M209" t="n">
        <v>0</v>
      </c>
      <c r="N209" t="n">
        <v>0</v>
      </c>
      <c r="O209" t="n">
        <v>1</v>
      </c>
      <c r="P209" t="n">
        <v>0</v>
      </c>
      <c r="Q209" t="n">
        <v>3</v>
      </c>
      <c r="R209" s="2" t="inlineStr">
        <is>
          <t>Lunglav
Bollvitmossa
Lappranunkel</t>
        </is>
      </c>
      <c r="S209">
        <f>HYPERLINK("https://klasma.github.io/Logging_2283/artfynd/A 38096-2024 artfynd.xlsx", "A 38096-2024")</f>
        <v/>
      </c>
      <c r="T209">
        <f>HYPERLINK("https://klasma.github.io/Logging_2283/kartor/A 38096-2024 karta.png", "A 38096-2024")</f>
        <v/>
      </c>
      <c r="V209">
        <f>HYPERLINK("https://klasma.github.io/Logging_2283/klagomål/A 38096-2024 FSC-klagomål.docx", "A 38096-2024")</f>
        <v/>
      </c>
      <c r="W209">
        <f>HYPERLINK("https://klasma.github.io/Logging_2283/klagomålsmail/A 38096-2024 FSC-klagomål mail.docx", "A 38096-2024")</f>
        <v/>
      </c>
      <c r="X209">
        <f>HYPERLINK("https://klasma.github.io/Logging_2283/tillsyn/A 38096-2024 tillsynsbegäran.docx", "A 38096-2024")</f>
        <v/>
      </c>
      <c r="Y209">
        <f>HYPERLINK("https://klasma.github.io/Logging_2283/tillsynsmail/A 38096-2024 tillsynsbegäran mail.docx", "A 38096-2024")</f>
        <v/>
      </c>
    </row>
    <row r="210" ht="15" customHeight="1">
      <c r="A210" t="inlineStr">
        <is>
          <t>A 42099-2024</t>
        </is>
      </c>
      <c r="B210" s="1" t="n">
        <v>45562</v>
      </c>
      <c r="C210" s="1" t="n">
        <v>45576</v>
      </c>
      <c r="D210" t="inlineStr">
        <is>
          <t>VÄSTERNORRLANDS LÄN</t>
        </is>
      </c>
      <c r="E210" t="inlineStr">
        <is>
          <t>SOLLEFTEÅ</t>
        </is>
      </c>
      <c r="F210" t="inlineStr">
        <is>
          <t>SCA</t>
        </is>
      </c>
      <c r="G210" t="n">
        <v>23.8</v>
      </c>
      <c r="H210" t="n">
        <v>0</v>
      </c>
      <c r="I210" t="n">
        <v>0</v>
      </c>
      <c r="J210" t="n">
        <v>3</v>
      </c>
      <c r="K210" t="n">
        <v>0</v>
      </c>
      <c r="L210" t="n">
        <v>0</v>
      </c>
      <c r="M210" t="n">
        <v>0</v>
      </c>
      <c r="N210" t="n">
        <v>0</v>
      </c>
      <c r="O210" t="n">
        <v>3</v>
      </c>
      <c r="P210" t="n">
        <v>0</v>
      </c>
      <c r="Q210" t="n">
        <v>3</v>
      </c>
      <c r="R210" s="2" t="inlineStr">
        <is>
          <t>Granticka
Lunglav
Ullticka</t>
        </is>
      </c>
      <c r="S210">
        <f>HYPERLINK("https://klasma.github.io/Logging_2283/artfynd/A 42099-2024 artfynd.xlsx", "A 42099-2024")</f>
        <v/>
      </c>
      <c r="T210">
        <f>HYPERLINK("https://klasma.github.io/Logging_2283/kartor/A 42099-2024 karta.png", "A 42099-2024")</f>
        <v/>
      </c>
      <c r="V210">
        <f>HYPERLINK("https://klasma.github.io/Logging_2283/klagomål/A 42099-2024 FSC-klagomål.docx", "A 42099-2024")</f>
        <v/>
      </c>
      <c r="W210">
        <f>HYPERLINK("https://klasma.github.io/Logging_2283/klagomålsmail/A 42099-2024 FSC-klagomål mail.docx", "A 42099-2024")</f>
        <v/>
      </c>
      <c r="X210">
        <f>HYPERLINK("https://klasma.github.io/Logging_2283/tillsyn/A 42099-2024 tillsynsbegäran.docx", "A 42099-2024")</f>
        <v/>
      </c>
      <c r="Y210">
        <f>HYPERLINK("https://klasma.github.io/Logging_2283/tillsynsmail/A 42099-2024 tillsynsbegäran mail.docx", "A 42099-2024")</f>
        <v/>
      </c>
    </row>
    <row r="211" ht="15" customHeight="1">
      <c r="A211" t="inlineStr">
        <is>
          <t>A 42951-2024</t>
        </is>
      </c>
      <c r="B211" s="1" t="n">
        <v>45567</v>
      </c>
      <c r="C211" s="1" t="n">
        <v>45576</v>
      </c>
      <c r="D211" t="inlineStr">
        <is>
          <t>VÄSTERNORRLANDS LÄN</t>
        </is>
      </c>
      <c r="E211" t="inlineStr">
        <is>
          <t>SOLLEFTEÅ</t>
        </is>
      </c>
      <c r="F211" t="inlineStr">
        <is>
          <t>SCA</t>
        </is>
      </c>
      <c r="G211" t="n">
        <v>8</v>
      </c>
      <c r="H211" t="n">
        <v>2</v>
      </c>
      <c r="I211" t="n">
        <v>0</v>
      </c>
      <c r="J211" t="n">
        <v>1</v>
      </c>
      <c r="K211" t="n">
        <v>1</v>
      </c>
      <c r="L211" t="n">
        <v>0</v>
      </c>
      <c r="M211" t="n">
        <v>0</v>
      </c>
      <c r="N211" t="n">
        <v>0</v>
      </c>
      <c r="O211" t="n">
        <v>2</v>
      </c>
      <c r="P211" t="n">
        <v>1</v>
      </c>
      <c r="Q211" t="n">
        <v>3</v>
      </c>
      <c r="R211" s="2" t="inlineStr">
        <is>
          <t>Knärot
Rosenticka
Revlummer</t>
        </is>
      </c>
      <c r="S211">
        <f>HYPERLINK("https://klasma.github.io/Logging_2283/artfynd/A 42951-2024 artfynd.xlsx", "A 42951-2024")</f>
        <v/>
      </c>
      <c r="T211">
        <f>HYPERLINK("https://klasma.github.io/Logging_2283/kartor/A 42951-2024 karta.png", "A 42951-2024")</f>
        <v/>
      </c>
      <c r="U211">
        <f>HYPERLINK("https://klasma.github.io/Logging_2283/knärot/A 42951-2024 karta knärot.png", "A 42951-2024")</f>
        <v/>
      </c>
      <c r="V211">
        <f>HYPERLINK("https://klasma.github.io/Logging_2283/klagomål/A 42951-2024 FSC-klagomål.docx", "A 42951-2024")</f>
        <v/>
      </c>
      <c r="W211">
        <f>HYPERLINK("https://klasma.github.io/Logging_2283/klagomålsmail/A 42951-2024 FSC-klagomål mail.docx", "A 42951-2024")</f>
        <v/>
      </c>
      <c r="X211">
        <f>HYPERLINK("https://klasma.github.io/Logging_2283/tillsyn/A 42951-2024 tillsynsbegäran.docx", "A 42951-2024")</f>
        <v/>
      </c>
      <c r="Y211">
        <f>HYPERLINK("https://klasma.github.io/Logging_2283/tillsynsmail/A 42951-2024 tillsynsbegäran mail.docx", "A 42951-2024")</f>
        <v/>
      </c>
    </row>
    <row r="212" ht="15" customHeight="1">
      <c r="A212" t="inlineStr">
        <is>
          <t>A 44369-2024</t>
        </is>
      </c>
      <c r="B212" s="1" t="n">
        <v>45573</v>
      </c>
      <c r="C212" s="1" t="n">
        <v>45576</v>
      </c>
      <c r="D212" t="inlineStr">
        <is>
          <t>VÄSTERNORRLANDS LÄN</t>
        </is>
      </c>
      <c r="E212" t="inlineStr">
        <is>
          <t>SOLLEFTEÅ</t>
        </is>
      </c>
      <c r="F212" t="inlineStr">
        <is>
          <t>SCA</t>
        </is>
      </c>
      <c r="G212" t="n">
        <v>1.5</v>
      </c>
      <c r="H212" t="n">
        <v>0</v>
      </c>
      <c r="I212" t="n">
        <v>0</v>
      </c>
      <c r="J212" t="n">
        <v>3</v>
      </c>
      <c r="K212" t="n">
        <v>0</v>
      </c>
      <c r="L212" t="n">
        <v>0</v>
      </c>
      <c r="M212" t="n">
        <v>0</v>
      </c>
      <c r="N212" t="n">
        <v>0</v>
      </c>
      <c r="O212" t="n">
        <v>3</v>
      </c>
      <c r="P212" t="n">
        <v>0</v>
      </c>
      <c r="Q212" t="n">
        <v>3</v>
      </c>
      <c r="R212" s="2" t="inlineStr">
        <is>
          <t>Garnlav
Lunglav
Rosenticka</t>
        </is>
      </c>
      <c r="S212">
        <f>HYPERLINK("https://klasma.github.io/Logging_2283/artfynd/A 44369-2024 artfynd.xlsx", "A 44369-2024")</f>
        <v/>
      </c>
      <c r="T212">
        <f>HYPERLINK("https://klasma.github.io/Logging_2283/kartor/A 44369-2024 karta.png", "A 44369-2024")</f>
        <v/>
      </c>
      <c r="U212">
        <f>HYPERLINK("https://klasma.github.io/Logging_2283/knärot/A 44369-2024 karta knärot.png", "A 44369-2024")</f>
        <v/>
      </c>
      <c r="V212">
        <f>HYPERLINK("https://klasma.github.io/Logging_2283/klagomål/A 44369-2024 FSC-klagomål.docx", "A 44369-2024")</f>
        <v/>
      </c>
      <c r="W212">
        <f>HYPERLINK("https://klasma.github.io/Logging_2283/klagomålsmail/A 44369-2024 FSC-klagomål mail.docx", "A 44369-2024")</f>
        <v/>
      </c>
      <c r="X212">
        <f>HYPERLINK("https://klasma.github.io/Logging_2283/tillsyn/A 44369-2024 tillsynsbegäran.docx", "A 44369-2024")</f>
        <v/>
      </c>
      <c r="Y212">
        <f>HYPERLINK("https://klasma.github.io/Logging_2283/tillsynsmail/A 44369-2024 tillsynsbegäran mail.docx", "A 44369-2024")</f>
        <v/>
      </c>
    </row>
    <row r="213" ht="15" customHeight="1">
      <c r="A213" t="inlineStr">
        <is>
          <t>A 18452-2019</t>
        </is>
      </c>
      <c r="B213" s="1" t="n">
        <v>43559</v>
      </c>
      <c r="C213" s="1" t="n">
        <v>45576</v>
      </c>
      <c r="D213" t="inlineStr">
        <is>
          <t>VÄSTERNORRLANDS LÄN</t>
        </is>
      </c>
      <c r="E213" t="inlineStr">
        <is>
          <t>SOLLEFTEÅ</t>
        </is>
      </c>
      <c r="G213" t="n">
        <v>2.2</v>
      </c>
      <c r="H213" t="n">
        <v>0</v>
      </c>
      <c r="I213" t="n">
        <v>1</v>
      </c>
      <c r="J213" t="n">
        <v>1</v>
      </c>
      <c r="K213" t="n">
        <v>0</v>
      </c>
      <c r="L213" t="n">
        <v>0</v>
      </c>
      <c r="M213" t="n">
        <v>0</v>
      </c>
      <c r="N213" t="n">
        <v>0</v>
      </c>
      <c r="O213" t="n">
        <v>1</v>
      </c>
      <c r="P213" t="n">
        <v>0</v>
      </c>
      <c r="Q213" t="n">
        <v>2</v>
      </c>
      <c r="R213" s="2" t="inlineStr">
        <is>
          <t>Lunglav
Bollvitmossa</t>
        </is>
      </c>
      <c r="S213">
        <f>HYPERLINK("https://klasma.github.io/Logging_2283/artfynd/A 18452-2019 artfynd.xlsx", "A 18452-2019")</f>
        <v/>
      </c>
      <c r="T213">
        <f>HYPERLINK("https://klasma.github.io/Logging_2283/kartor/A 18452-2019 karta.png", "A 18452-2019")</f>
        <v/>
      </c>
      <c r="V213">
        <f>HYPERLINK("https://klasma.github.io/Logging_2283/klagomål/A 18452-2019 FSC-klagomål.docx", "A 18452-2019")</f>
        <v/>
      </c>
      <c r="W213">
        <f>HYPERLINK("https://klasma.github.io/Logging_2283/klagomålsmail/A 18452-2019 FSC-klagomål mail.docx", "A 18452-2019")</f>
        <v/>
      </c>
      <c r="X213">
        <f>HYPERLINK("https://klasma.github.io/Logging_2283/tillsyn/A 18452-2019 tillsynsbegäran.docx", "A 18452-2019")</f>
        <v/>
      </c>
      <c r="Y213">
        <f>HYPERLINK("https://klasma.github.io/Logging_2283/tillsynsmail/A 18452-2019 tillsynsbegäran mail.docx", "A 18452-2019")</f>
        <v/>
      </c>
    </row>
    <row r="214" ht="15" customHeight="1">
      <c r="A214" t="inlineStr">
        <is>
          <t>A 34918-2019</t>
        </is>
      </c>
      <c r="B214" s="1" t="n">
        <v>43658</v>
      </c>
      <c r="C214" s="1" t="n">
        <v>45576</v>
      </c>
      <c r="D214" t="inlineStr">
        <is>
          <t>VÄSTERNORRLANDS LÄN</t>
        </is>
      </c>
      <c r="E214" t="inlineStr">
        <is>
          <t>SOLLEFTEÅ</t>
        </is>
      </c>
      <c r="G214" t="n">
        <v>2.7</v>
      </c>
      <c r="H214" t="n">
        <v>0</v>
      </c>
      <c r="I214" t="n">
        <v>0</v>
      </c>
      <c r="J214" t="n">
        <v>2</v>
      </c>
      <c r="K214" t="n">
        <v>0</v>
      </c>
      <c r="L214" t="n">
        <v>0</v>
      </c>
      <c r="M214" t="n">
        <v>0</v>
      </c>
      <c r="N214" t="n">
        <v>0</v>
      </c>
      <c r="O214" t="n">
        <v>2</v>
      </c>
      <c r="P214" t="n">
        <v>0</v>
      </c>
      <c r="Q214" t="n">
        <v>2</v>
      </c>
      <c r="R214" s="2" t="inlineStr">
        <is>
          <t>Granticka
Ullticka</t>
        </is>
      </c>
      <c r="S214">
        <f>HYPERLINK("https://klasma.github.io/Logging_2283/artfynd/A 34918-2019 artfynd.xlsx", "A 34918-2019")</f>
        <v/>
      </c>
      <c r="T214">
        <f>HYPERLINK("https://klasma.github.io/Logging_2283/kartor/A 34918-2019 karta.png", "A 34918-2019")</f>
        <v/>
      </c>
      <c r="V214">
        <f>HYPERLINK("https://klasma.github.io/Logging_2283/klagomål/A 34918-2019 FSC-klagomål.docx", "A 34918-2019")</f>
        <v/>
      </c>
      <c r="W214">
        <f>HYPERLINK("https://klasma.github.io/Logging_2283/klagomålsmail/A 34918-2019 FSC-klagomål mail.docx", "A 34918-2019")</f>
        <v/>
      </c>
      <c r="X214">
        <f>HYPERLINK("https://klasma.github.io/Logging_2283/tillsyn/A 34918-2019 tillsynsbegäran.docx", "A 34918-2019")</f>
        <v/>
      </c>
      <c r="Y214">
        <f>HYPERLINK("https://klasma.github.io/Logging_2283/tillsynsmail/A 34918-2019 tillsynsbegäran mail.docx", "A 34918-2019")</f>
        <v/>
      </c>
    </row>
    <row r="215" ht="15" customHeight="1">
      <c r="A215" t="inlineStr">
        <is>
          <t>A 40512-2019</t>
        </is>
      </c>
      <c r="B215" s="1" t="n">
        <v>43696</v>
      </c>
      <c r="C215" s="1" t="n">
        <v>45576</v>
      </c>
      <c r="D215" t="inlineStr">
        <is>
          <t>VÄSTERNORRLANDS LÄN</t>
        </is>
      </c>
      <c r="E215" t="inlineStr">
        <is>
          <t>SOLLEFTEÅ</t>
        </is>
      </c>
      <c r="F215" t="inlineStr">
        <is>
          <t>SCA</t>
        </is>
      </c>
      <c r="G215" t="n">
        <v>5.8</v>
      </c>
      <c r="H215" t="n">
        <v>0</v>
      </c>
      <c r="I215" t="n">
        <v>0</v>
      </c>
      <c r="J215" t="n">
        <v>2</v>
      </c>
      <c r="K215" t="n">
        <v>0</v>
      </c>
      <c r="L215" t="n">
        <v>0</v>
      </c>
      <c r="M215" t="n">
        <v>0</v>
      </c>
      <c r="N215" t="n">
        <v>0</v>
      </c>
      <c r="O215" t="n">
        <v>2</v>
      </c>
      <c r="P215" t="n">
        <v>0</v>
      </c>
      <c r="Q215" t="n">
        <v>2</v>
      </c>
      <c r="R215" s="2" t="inlineStr">
        <is>
          <t>Granticka
Orange taggsvamp</t>
        </is>
      </c>
      <c r="S215">
        <f>HYPERLINK("https://klasma.github.io/Logging_2283/artfynd/A 40512-2019 artfynd.xlsx", "A 40512-2019")</f>
        <v/>
      </c>
      <c r="T215">
        <f>HYPERLINK("https://klasma.github.io/Logging_2283/kartor/A 40512-2019 karta.png", "A 40512-2019")</f>
        <v/>
      </c>
      <c r="V215">
        <f>HYPERLINK("https://klasma.github.io/Logging_2283/klagomål/A 40512-2019 FSC-klagomål.docx", "A 40512-2019")</f>
        <v/>
      </c>
      <c r="W215">
        <f>HYPERLINK("https://klasma.github.io/Logging_2283/klagomålsmail/A 40512-2019 FSC-klagomål mail.docx", "A 40512-2019")</f>
        <v/>
      </c>
      <c r="X215">
        <f>HYPERLINK("https://klasma.github.io/Logging_2283/tillsyn/A 40512-2019 tillsynsbegäran.docx", "A 40512-2019")</f>
        <v/>
      </c>
      <c r="Y215">
        <f>HYPERLINK("https://klasma.github.io/Logging_2283/tillsynsmail/A 40512-2019 tillsynsbegäran mail.docx", "A 40512-2019")</f>
        <v/>
      </c>
    </row>
    <row r="216" ht="15" customHeight="1">
      <c r="A216" t="inlineStr">
        <is>
          <t>A 66366-2019</t>
        </is>
      </c>
      <c r="B216" s="1" t="n">
        <v>43808</v>
      </c>
      <c r="C216" s="1" t="n">
        <v>45576</v>
      </c>
      <c r="D216" t="inlineStr">
        <is>
          <t>VÄSTERNORRLANDS LÄN</t>
        </is>
      </c>
      <c r="E216" t="inlineStr">
        <is>
          <t>SOLLEFTEÅ</t>
        </is>
      </c>
      <c r="G216" t="n">
        <v>2.9</v>
      </c>
      <c r="H216" t="n">
        <v>0</v>
      </c>
      <c r="I216" t="n">
        <v>1</v>
      </c>
      <c r="J216" t="n">
        <v>1</v>
      </c>
      <c r="K216" t="n">
        <v>0</v>
      </c>
      <c r="L216" t="n">
        <v>0</v>
      </c>
      <c r="M216" t="n">
        <v>0</v>
      </c>
      <c r="N216" t="n">
        <v>0</v>
      </c>
      <c r="O216" t="n">
        <v>1</v>
      </c>
      <c r="P216" t="n">
        <v>0</v>
      </c>
      <c r="Q216" t="n">
        <v>2</v>
      </c>
      <c r="R216" s="2" t="inlineStr">
        <is>
          <t>Lunglav
Stor aspticka</t>
        </is>
      </c>
      <c r="S216">
        <f>HYPERLINK("https://klasma.github.io/Logging_2283/artfynd/A 66366-2019 artfynd.xlsx", "A 66366-2019")</f>
        <v/>
      </c>
      <c r="T216">
        <f>HYPERLINK("https://klasma.github.io/Logging_2283/kartor/A 66366-2019 karta.png", "A 66366-2019")</f>
        <v/>
      </c>
      <c r="V216">
        <f>HYPERLINK("https://klasma.github.io/Logging_2283/klagomål/A 66366-2019 FSC-klagomål.docx", "A 66366-2019")</f>
        <v/>
      </c>
      <c r="W216">
        <f>HYPERLINK("https://klasma.github.io/Logging_2283/klagomålsmail/A 66366-2019 FSC-klagomål mail.docx", "A 66366-2019")</f>
        <v/>
      </c>
      <c r="X216">
        <f>HYPERLINK("https://klasma.github.io/Logging_2283/tillsyn/A 66366-2019 tillsynsbegäran.docx", "A 66366-2019")</f>
        <v/>
      </c>
      <c r="Y216">
        <f>HYPERLINK("https://klasma.github.io/Logging_2283/tillsynsmail/A 66366-2019 tillsynsbegäran mail.docx", "A 66366-2019")</f>
        <v/>
      </c>
    </row>
    <row r="217" ht="15" customHeight="1">
      <c r="A217" t="inlineStr">
        <is>
          <t>A 5314-2020</t>
        </is>
      </c>
      <c r="B217" s="1" t="n">
        <v>43857</v>
      </c>
      <c r="C217" s="1" t="n">
        <v>45576</v>
      </c>
      <c r="D217" t="inlineStr">
        <is>
          <t>VÄSTERNORRLANDS LÄN</t>
        </is>
      </c>
      <c r="E217" t="inlineStr">
        <is>
          <t>SOLLEFTEÅ</t>
        </is>
      </c>
      <c r="G217" t="n">
        <v>1.1</v>
      </c>
      <c r="H217" t="n">
        <v>0</v>
      </c>
      <c r="I217" t="n">
        <v>0</v>
      </c>
      <c r="J217" t="n">
        <v>2</v>
      </c>
      <c r="K217" t="n">
        <v>0</v>
      </c>
      <c r="L217" t="n">
        <v>0</v>
      </c>
      <c r="M217" t="n">
        <v>0</v>
      </c>
      <c r="N217" t="n">
        <v>0</v>
      </c>
      <c r="O217" t="n">
        <v>2</v>
      </c>
      <c r="P217" t="n">
        <v>0</v>
      </c>
      <c r="Q217" t="n">
        <v>2</v>
      </c>
      <c r="R217" s="2" t="inlineStr">
        <is>
          <t>Kolflarnlav
Vedskivlav</t>
        </is>
      </c>
      <c r="S217">
        <f>HYPERLINK("https://klasma.github.io/Logging_2283/artfynd/A 5314-2020 artfynd.xlsx", "A 5314-2020")</f>
        <v/>
      </c>
      <c r="T217">
        <f>HYPERLINK("https://klasma.github.io/Logging_2283/kartor/A 5314-2020 karta.png", "A 5314-2020")</f>
        <v/>
      </c>
      <c r="V217">
        <f>HYPERLINK("https://klasma.github.io/Logging_2283/klagomål/A 5314-2020 FSC-klagomål.docx", "A 5314-2020")</f>
        <v/>
      </c>
      <c r="W217">
        <f>HYPERLINK("https://klasma.github.io/Logging_2283/klagomålsmail/A 5314-2020 FSC-klagomål mail.docx", "A 5314-2020")</f>
        <v/>
      </c>
      <c r="X217">
        <f>HYPERLINK("https://klasma.github.io/Logging_2283/tillsyn/A 5314-2020 tillsynsbegäran.docx", "A 5314-2020")</f>
        <v/>
      </c>
      <c r="Y217">
        <f>HYPERLINK("https://klasma.github.io/Logging_2283/tillsynsmail/A 5314-2020 tillsynsbegäran mail.docx", "A 5314-2020")</f>
        <v/>
      </c>
    </row>
    <row r="218" ht="15" customHeight="1">
      <c r="A218" t="inlineStr">
        <is>
          <t>A 29505-2020</t>
        </is>
      </c>
      <c r="B218" s="1" t="n">
        <v>44004</v>
      </c>
      <c r="C218" s="1" t="n">
        <v>45576</v>
      </c>
      <c r="D218" t="inlineStr">
        <is>
          <t>VÄSTERNORRLANDS LÄN</t>
        </is>
      </c>
      <c r="E218" t="inlineStr">
        <is>
          <t>SOLLEFTEÅ</t>
        </is>
      </c>
      <c r="F218" t="inlineStr">
        <is>
          <t>SCA</t>
        </is>
      </c>
      <c r="G218" t="n">
        <v>1.9</v>
      </c>
      <c r="H218" t="n">
        <v>0</v>
      </c>
      <c r="I218" t="n">
        <v>1</v>
      </c>
      <c r="J218" t="n">
        <v>1</v>
      </c>
      <c r="K218" t="n">
        <v>0</v>
      </c>
      <c r="L218" t="n">
        <v>0</v>
      </c>
      <c r="M218" t="n">
        <v>0</v>
      </c>
      <c r="N218" t="n">
        <v>0</v>
      </c>
      <c r="O218" t="n">
        <v>1</v>
      </c>
      <c r="P218" t="n">
        <v>0</v>
      </c>
      <c r="Q218" t="n">
        <v>2</v>
      </c>
      <c r="R218" s="2" t="inlineStr">
        <is>
          <t>Lunglav
Bårdlav</t>
        </is>
      </c>
      <c r="S218">
        <f>HYPERLINK("https://klasma.github.io/Logging_2283/artfynd/A 29505-2020 artfynd.xlsx", "A 29505-2020")</f>
        <v/>
      </c>
      <c r="T218">
        <f>HYPERLINK("https://klasma.github.io/Logging_2283/kartor/A 29505-2020 karta.png", "A 29505-2020")</f>
        <v/>
      </c>
      <c r="V218">
        <f>HYPERLINK("https://klasma.github.io/Logging_2283/klagomål/A 29505-2020 FSC-klagomål.docx", "A 29505-2020")</f>
        <v/>
      </c>
      <c r="W218">
        <f>HYPERLINK("https://klasma.github.io/Logging_2283/klagomålsmail/A 29505-2020 FSC-klagomål mail.docx", "A 29505-2020")</f>
        <v/>
      </c>
      <c r="X218">
        <f>HYPERLINK("https://klasma.github.io/Logging_2283/tillsyn/A 29505-2020 tillsynsbegäran.docx", "A 29505-2020")</f>
        <v/>
      </c>
      <c r="Y218">
        <f>HYPERLINK("https://klasma.github.io/Logging_2283/tillsynsmail/A 29505-2020 tillsynsbegäran mail.docx", "A 29505-2020")</f>
        <v/>
      </c>
    </row>
    <row r="219" ht="15" customHeight="1">
      <c r="A219" t="inlineStr">
        <is>
          <t>A 35220-2020</t>
        </is>
      </c>
      <c r="B219" s="1" t="n">
        <v>44041</v>
      </c>
      <c r="C219" s="1" t="n">
        <v>45576</v>
      </c>
      <c r="D219" t="inlineStr">
        <is>
          <t>VÄSTERNORRLANDS LÄN</t>
        </is>
      </c>
      <c r="E219" t="inlineStr">
        <is>
          <t>SOLLEFTEÅ</t>
        </is>
      </c>
      <c r="F219" t="inlineStr">
        <is>
          <t>SCA</t>
        </is>
      </c>
      <c r="G219" t="n">
        <v>3.4</v>
      </c>
      <c r="H219" t="n">
        <v>2</v>
      </c>
      <c r="I219" t="n">
        <v>0</v>
      </c>
      <c r="J219" t="n">
        <v>1</v>
      </c>
      <c r="K219" t="n">
        <v>0</v>
      </c>
      <c r="L219" t="n">
        <v>0</v>
      </c>
      <c r="M219" t="n">
        <v>0</v>
      </c>
      <c r="N219" t="n">
        <v>0</v>
      </c>
      <c r="O219" t="n">
        <v>1</v>
      </c>
      <c r="P219" t="n">
        <v>0</v>
      </c>
      <c r="Q219" t="n">
        <v>2</v>
      </c>
      <c r="R219" s="2" t="inlineStr">
        <is>
          <t>Järpe
Tjäder</t>
        </is>
      </c>
      <c r="S219">
        <f>HYPERLINK("https://klasma.github.io/Logging_2283/artfynd/A 35220-2020 artfynd.xlsx", "A 35220-2020")</f>
        <v/>
      </c>
      <c r="T219">
        <f>HYPERLINK("https://klasma.github.io/Logging_2283/kartor/A 35220-2020 karta.png", "A 35220-2020")</f>
        <v/>
      </c>
      <c r="V219">
        <f>HYPERLINK("https://klasma.github.io/Logging_2283/klagomål/A 35220-2020 FSC-klagomål.docx", "A 35220-2020")</f>
        <v/>
      </c>
      <c r="W219">
        <f>HYPERLINK("https://klasma.github.io/Logging_2283/klagomålsmail/A 35220-2020 FSC-klagomål mail.docx", "A 35220-2020")</f>
        <v/>
      </c>
      <c r="X219">
        <f>HYPERLINK("https://klasma.github.io/Logging_2283/tillsyn/A 35220-2020 tillsynsbegäran.docx", "A 35220-2020")</f>
        <v/>
      </c>
      <c r="Y219">
        <f>HYPERLINK("https://klasma.github.io/Logging_2283/tillsynsmail/A 35220-2020 tillsynsbegäran mail.docx", "A 35220-2020")</f>
        <v/>
      </c>
      <c r="Z219">
        <f>HYPERLINK("https://klasma.github.io/Logging_2283/fåglar/A 35220-2020 prioriterade fågelarter.docx", "A 35220-2020")</f>
        <v/>
      </c>
    </row>
    <row r="220" ht="15" customHeight="1">
      <c r="A220" t="inlineStr">
        <is>
          <t>A 2309-2021</t>
        </is>
      </c>
      <c r="B220" s="1" t="n">
        <v>44213</v>
      </c>
      <c r="C220" s="1" t="n">
        <v>45576</v>
      </c>
      <c r="D220" t="inlineStr">
        <is>
          <t>VÄSTERNORRLANDS LÄN</t>
        </is>
      </c>
      <c r="E220" t="inlineStr">
        <is>
          <t>SOLLEFTEÅ</t>
        </is>
      </c>
      <c r="G220" t="n">
        <v>2.1</v>
      </c>
      <c r="H220" t="n">
        <v>1</v>
      </c>
      <c r="I220" t="n">
        <v>0</v>
      </c>
      <c r="J220" t="n">
        <v>2</v>
      </c>
      <c r="K220" t="n">
        <v>0</v>
      </c>
      <c r="L220" t="n">
        <v>0</v>
      </c>
      <c r="M220" t="n">
        <v>0</v>
      </c>
      <c r="N220" t="n">
        <v>0</v>
      </c>
      <c r="O220" t="n">
        <v>2</v>
      </c>
      <c r="P220" t="n">
        <v>0</v>
      </c>
      <c r="Q220" t="n">
        <v>2</v>
      </c>
      <c r="R220" s="2" t="inlineStr">
        <is>
          <t>Tretåig hackspett
Ullticka</t>
        </is>
      </c>
      <c r="S220">
        <f>HYPERLINK("https://klasma.github.io/Logging_2283/artfynd/A 2309-2021 artfynd.xlsx", "A 2309-2021")</f>
        <v/>
      </c>
      <c r="T220">
        <f>HYPERLINK("https://klasma.github.io/Logging_2283/kartor/A 2309-2021 karta.png", "A 2309-2021")</f>
        <v/>
      </c>
      <c r="V220">
        <f>HYPERLINK("https://klasma.github.io/Logging_2283/klagomål/A 2309-2021 FSC-klagomål.docx", "A 2309-2021")</f>
        <v/>
      </c>
      <c r="W220">
        <f>HYPERLINK("https://klasma.github.io/Logging_2283/klagomålsmail/A 2309-2021 FSC-klagomål mail.docx", "A 2309-2021")</f>
        <v/>
      </c>
      <c r="X220">
        <f>HYPERLINK("https://klasma.github.io/Logging_2283/tillsyn/A 2309-2021 tillsynsbegäran.docx", "A 2309-2021")</f>
        <v/>
      </c>
      <c r="Y220">
        <f>HYPERLINK("https://klasma.github.io/Logging_2283/tillsynsmail/A 2309-2021 tillsynsbegäran mail.docx", "A 2309-2021")</f>
        <v/>
      </c>
      <c r="Z220">
        <f>HYPERLINK("https://klasma.github.io/Logging_2283/fåglar/A 2309-2021 prioriterade fågelarter.docx", "A 2309-2021")</f>
        <v/>
      </c>
    </row>
    <row r="221" ht="15" customHeight="1">
      <c r="A221" t="inlineStr">
        <is>
          <t>A 20836-2021</t>
        </is>
      </c>
      <c r="B221" s="1" t="n">
        <v>44318</v>
      </c>
      <c r="C221" s="1" t="n">
        <v>45576</v>
      </c>
      <c r="D221" t="inlineStr">
        <is>
          <t>VÄSTERNORRLANDS LÄN</t>
        </is>
      </c>
      <c r="E221" t="inlineStr">
        <is>
          <t>SOLLEFTEÅ</t>
        </is>
      </c>
      <c r="F221" t="inlineStr">
        <is>
          <t>SCA</t>
        </is>
      </c>
      <c r="G221" t="n">
        <v>4.8</v>
      </c>
      <c r="H221" t="n">
        <v>1</v>
      </c>
      <c r="I221" t="n">
        <v>0</v>
      </c>
      <c r="J221" t="n">
        <v>2</v>
      </c>
      <c r="K221" t="n">
        <v>0</v>
      </c>
      <c r="L221" t="n">
        <v>0</v>
      </c>
      <c r="M221" t="n">
        <v>0</v>
      </c>
      <c r="N221" t="n">
        <v>0</v>
      </c>
      <c r="O221" t="n">
        <v>2</v>
      </c>
      <c r="P221" t="n">
        <v>0</v>
      </c>
      <c r="Q221" t="n">
        <v>2</v>
      </c>
      <c r="R221" s="2" t="inlineStr">
        <is>
          <t>Garnlav
Talltita</t>
        </is>
      </c>
      <c r="S221">
        <f>HYPERLINK("https://klasma.github.io/Logging_2283/artfynd/A 20836-2021 artfynd.xlsx", "A 20836-2021")</f>
        <v/>
      </c>
      <c r="T221">
        <f>HYPERLINK("https://klasma.github.io/Logging_2283/kartor/A 20836-2021 karta.png", "A 20836-2021")</f>
        <v/>
      </c>
      <c r="V221">
        <f>HYPERLINK("https://klasma.github.io/Logging_2283/klagomål/A 20836-2021 FSC-klagomål.docx", "A 20836-2021")</f>
        <v/>
      </c>
      <c r="W221">
        <f>HYPERLINK("https://klasma.github.io/Logging_2283/klagomålsmail/A 20836-2021 FSC-klagomål mail.docx", "A 20836-2021")</f>
        <v/>
      </c>
      <c r="X221">
        <f>HYPERLINK("https://klasma.github.io/Logging_2283/tillsyn/A 20836-2021 tillsynsbegäran.docx", "A 20836-2021")</f>
        <v/>
      </c>
      <c r="Y221">
        <f>HYPERLINK("https://klasma.github.io/Logging_2283/tillsynsmail/A 20836-2021 tillsynsbegäran mail.docx", "A 20836-2021")</f>
        <v/>
      </c>
      <c r="Z221">
        <f>HYPERLINK("https://klasma.github.io/Logging_2283/fåglar/A 20836-2021 prioriterade fågelarter.docx", "A 20836-2021")</f>
        <v/>
      </c>
    </row>
    <row r="222" ht="15" customHeight="1">
      <c r="A222" t="inlineStr">
        <is>
          <t>A 27983-2021</t>
        </is>
      </c>
      <c r="B222" s="1" t="n">
        <v>44354</v>
      </c>
      <c r="C222" s="1" t="n">
        <v>45576</v>
      </c>
      <c r="D222" t="inlineStr">
        <is>
          <t>VÄSTERNORRLANDS LÄN</t>
        </is>
      </c>
      <c r="E222" t="inlineStr">
        <is>
          <t>SOLLEFTEÅ</t>
        </is>
      </c>
      <c r="F222" t="inlineStr">
        <is>
          <t>SCA</t>
        </is>
      </c>
      <c r="G222" t="n">
        <v>5.4</v>
      </c>
      <c r="H222" t="n">
        <v>0</v>
      </c>
      <c r="I222" t="n">
        <v>0</v>
      </c>
      <c r="J222" t="n">
        <v>2</v>
      </c>
      <c r="K222" t="n">
        <v>0</v>
      </c>
      <c r="L222" t="n">
        <v>0</v>
      </c>
      <c r="M222" t="n">
        <v>0</v>
      </c>
      <c r="N222" t="n">
        <v>0</v>
      </c>
      <c r="O222" t="n">
        <v>2</v>
      </c>
      <c r="P222" t="n">
        <v>0</v>
      </c>
      <c r="Q222" t="n">
        <v>2</v>
      </c>
      <c r="R222" s="2" t="inlineStr">
        <is>
          <t>Rosenticka
Ullticka</t>
        </is>
      </c>
      <c r="S222">
        <f>HYPERLINK("https://klasma.github.io/Logging_2283/artfynd/A 27983-2021 artfynd.xlsx", "A 27983-2021")</f>
        <v/>
      </c>
      <c r="T222">
        <f>HYPERLINK("https://klasma.github.io/Logging_2283/kartor/A 27983-2021 karta.png", "A 27983-2021")</f>
        <v/>
      </c>
      <c r="V222">
        <f>HYPERLINK("https://klasma.github.io/Logging_2283/klagomål/A 27983-2021 FSC-klagomål.docx", "A 27983-2021")</f>
        <v/>
      </c>
      <c r="W222">
        <f>HYPERLINK("https://klasma.github.io/Logging_2283/klagomålsmail/A 27983-2021 FSC-klagomål mail.docx", "A 27983-2021")</f>
        <v/>
      </c>
      <c r="X222">
        <f>HYPERLINK("https://klasma.github.io/Logging_2283/tillsyn/A 27983-2021 tillsynsbegäran.docx", "A 27983-2021")</f>
        <v/>
      </c>
      <c r="Y222">
        <f>HYPERLINK("https://klasma.github.io/Logging_2283/tillsynsmail/A 27983-2021 tillsynsbegäran mail.docx", "A 27983-2021")</f>
        <v/>
      </c>
    </row>
    <row r="223" ht="15" customHeight="1">
      <c r="A223" t="inlineStr">
        <is>
          <t>A 35071-2021</t>
        </is>
      </c>
      <c r="B223" s="1" t="n">
        <v>44383</v>
      </c>
      <c r="C223" s="1" t="n">
        <v>45576</v>
      </c>
      <c r="D223" t="inlineStr">
        <is>
          <t>VÄSTERNORRLANDS LÄN</t>
        </is>
      </c>
      <c r="E223" t="inlineStr">
        <is>
          <t>SOLLEFTEÅ</t>
        </is>
      </c>
      <c r="F223" t="inlineStr">
        <is>
          <t>SCA</t>
        </is>
      </c>
      <c r="G223" t="n">
        <v>1.8</v>
      </c>
      <c r="H223" t="n">
        <v>0</v>
      </c>
      <c r="I223" t="n">
        <v>2</v>
      </c>
      <c r="J223" t="n">
        <v>0</v>
      </c>
      <c r="K223" t="n">
        <v>0</v>
      </c>
      <c r="L223" t="n">
        <v>0</v>
      </c>
      <c r="M223" t="n">
        <v>0</v>
      </c>
      <c r="N223" t="n">
        <v>0</v>
      </c>
      <c r="O223" t="n">
        <v>0</v>
      </c>
      <c r="P223" t="n">
        <v>0</v>
      </c>
      <c r="Q223" t="n">
        <v>2</v>
      </c>
      <c r="R223" s="2" t="inlineStr">
        <is>
          <t>Norrlandslav
Vedticka</t>
        </is>
      </c>
      <c r="S223">
        <f>HYPERLINK("https://klasma.github.io/Logging_2283/artfynd/A 35071-2021 artfynd.xlsx", "A 35071-2021")</f>
        <v/>
      </c>
      <c r="T223">
        <f>HYPERLINK("https://klasma.github.io/Logging_2283/kartor/A 35071-2021 karta.png", "A 35071-2021")</f>
        <v/>
      </c>
      <c r="V223">
        <f>HYPERLINK("https://klasma.github.io/Logging_2283/klagomål/A 35071-2021 FSC-klagomål.docx", "A 35071-2021")</f>
        <v/>
      </c>
      <c r="W223">
        <f>HYPERLINK("https://klasma.github.io/Logging_2283/klagomålsmail/A 35071-2021 FSC-klagomål mail.docx", "A 35071-2021")</f>
        <v/>
      </c>
      <c r="X223">
        <f>HYPERLINK("https://klasma.github.io/Logging_2283/tillsyn/A 35071-2021 tillsynsbegäran.docx", "A 35071-2021")</f>
        <v/>
      </c>
      <c r="Y223">
        <f>HYPERLINK("https://klasma.github.io/Logging_2283/tillsynsmail/A 35071-2021 tillsynsbegäran mail.docx", "A 35071-2021")</f>
        <v/>
      </c>
    </row>
    <row r="224" ht="15" customHeight="1">
      <c r="A224" t="inlineStr">
        <is>
          <t>A 39329-2021</t>
        </is>
      </c>
      <c r="B224" s="1" t="n">
        <v>44414</v>
      </c>
      <c r="C224" s="1" t="n">
        <v>45576</v>
      </c>
      <c r="D224" t="inlineStr">
        <is>
          <t>VÄSTERNORRLANDS LÄN</t>
        </is>
      </c>
      <c r="E224" t="inlineStr">
        <is>
          <t>SOLLEFTEÅ</t>
        </is>
      </c>
      <c r="F224" t="inlineStr">
        <is>
          <t>SCA</t>
        </is>
      </c>
      <c r="G224" t="n">
        <v>2.7</v>
      </c>
      <c r="H224" t="n">
        <v>0</v>
      </c>
      <c r="I224" t="n">
        <v>1</v>
      </c>
      <c r="J224" t="n">
        <v>1</v>
      </c>
      <c r="K224" t="n">
        <v>0</v>
      </c>
      <c r="L224" t="n">
        <v>0</v>
      </c>
      <c r="M224" t="n">
        <v>0</v>
      </c>
      <c r="N224" t="n">
        <v>0</v>
      </c>
      <c r="O224" t="n">
        <v>1</v>
      </c>
      <c r="P224" t="n">
        <v>0</v>
      </c>
      <c r="Q224" t="n">
        <v>2</v>
      </c>
      <c r="R224" s="2" t="inlineStr">
        <is>
          <t>Mörk kolflarnlav
Bollvitmossa</t>
        </is>
      </c>
      <c r="S224">
        <f>HYPERLINK("https://klasma.github.io/Logging_2283/artfynd/A 39329-2021 artfynd.xlsx", "A 39329-2021")</f>
        <v/>
      </c>
      <c r="T224">
        <f>HYPERLINK("https://klasma.github.io/Logging_2283/kartor/A 39329-2021 karta.png", "A 39329-2021")</f>
        <v/>
      </c>
      <c r="V224">
        <f>HYPERLINK("https://klasma.github.io/Logging_2283/klagomål/A 39329-2021 FSC-klagomål.docx", "A 39329-2021")</f>
        <v/>
      </c>
      <c r="W224">
        <f>HYPERLINK("https://klasma.github.io/Logging_2283/klagomålsmail/A 39329-2021 FSC-klagomål mail.docx", "A 39329-2021")</f>
        <v/>
      </c>
      <c r="X224">
        <f>HYPERLINK("https://klasma.github.io/Logging_2283/tillsyn/A 39329-2021 tillsynsbegäran.docx", "A 39329-2021")</f>
        <v/>
      </c>
      <c r="Y224">
        <f>HYPERLINK("https://klasma.github.io/Logging_2283/tillsynsmail/A 39329-2021 tillsynsbegäran mail.docx", "A 39329-2021")</f>
        <v/>
      </c>
    </row>
    <row r="225" ht="15" customHeight="1">
      <c r="A225" t="inlineStr">
        <is>
          <t>A 47858-2021</t>
        </is>
      </c>
      <c r="B225" s="1" t="n">
        <v>44448</v>
      </c>
      <c r="C225" s="1" t="n">
        <v>45576</v>
      </c>
      <c r="D225" t="inlineStr">
        <is>
          <t>VÄSTERNORRLANDS LÄN</t>
        </is>
      </c>
      <c r="E225" t="inlineStr">
        <is>
          <t>SOLLEFTEÅ</t>
        </is>
      </c>
      <c r="G225" t="n">
        <v>7.7</v>
      </c>
      <c r="H225" t="n">
        <v>0</v>
      </c>
      <c r="I225" t="n">
        <v>0</v>
      </c>
      <c r="J225" t="n">
        <v>2</v>
      </c>
      <c r="K225" t="n">
        <v>0</v>
      </c>
      <c r="L225" t="n">
        <v>0</v>
      </c>
      <c r="M225" t="n">
        <v>0</v>
      </c>
      <c r="N225" t="n">
        <v>0</v>
      </c>
      <c r="O225" t="n">
        <v>2</v>
      </c>
      <c r="P225" t="n">
        <v>0</v>
      </c>
      <c r="Q225" t="n">
        <v>2</v>
      </c>
      <c r="R225" s="2" t="inlineStr">
        <is>
          <t>Rosenticka
Ullticka</t>
        </is>
      </c>
      <c r="S225">
        <f>HYPERLINK("https://klasma.github.io/Logging_2283/artfynd/A 47858-2021 artfynd.xlsx", "A 47858-2021")</f>
        <v/>
      </c>
      <c r="T225">
        <f>HYPERLINK("https://klasma.github.io/Logging_2283/kartor/A 47858-2021 karta.png", "A 47858-2021")</f>
        <v/>
      </c>
      <c r="V225">
        <f>HYPERLINK("https://klasma.github.io/Logging_2283/klagomål/A 47858-2021 FSC-klagomål.docx", "A 47858-2021")</f>
        <v/>
      </c>
      <c r="W225">
        <f>HYPERLINK("https://klasma.github.io/Logging_2283/klagomålsmail/A 47858-2021 FSC-klagomål mail.docx", "A 47858-2021")</f>
        <v/>
      </c>
      <c r="X225">
        <f>HYPERLINK("https://klasma.github.io/Logging_2283/tillsyn/A 47858-2021 tillsynsbegäran.docx", "A 47858-2021")</f>
        <v/>
      </c>
      <c r="Y225">
        <f>HYPERLINK("https://klasma.github.io/Logging_2283/tillsynsmail/A 47858-2021 tillsynsbegäran mail.docx", "A 47858-2021")</f>
        <v/>
      </c>
    </row>
    <row r="226" ht="15" customHeight="1">
      <c r="A226" t="inlineStr">
        <is>
          <t>A 51024-2021</t>
        </is>
      </c>
      <c r="B226" s="1" t="n">
        <v>44461</v>
      </c>
      <c r="C226" s="1" t="n">
        <v>45576</v>
      </c>
      <c r="D226" t="inlineStr">
        <is>
          <t>VÄSTERNORRLANDS LÄN</t>
        </is>
      </c>
      <c r="E226" t="inlineStr">
        <is>
          <t>SOLLEFTEÅ</t>
        </is>
      </c>
      <c r="F226" t="inlineStr">
        <is>
          <t>SCA</t>
        </is>
      </c>
      <c r="G226" t="n">
        <v>7.1</v>
      </c>
      <c r="H226" t="n">
        <v>0</v>
      </c>
      <c r="I226" t="n">
        <v>0</v>
      </c>
      <c r="J226" t="n">
        <v>2</v>
      </c>
      <c r="K226" t="n">
        <v>0</v>
      </c>
      <c r="L226" t="n">
        <v>0</v>
      </c>
      <c r="M226" t="n">
        <v>0</v>
      </c>
      <c r="N226" t="n">
        <v>0</v>
      </c>
      <c r="O226" t="n">
        <v>2</v>
      </c>
      <c r="P226" t="n">
        <v>0</v>
      </c>
      <c r="Q226" t="n">
        <v>2</v>
      </c>
      <c r="R226" s="2" t="inlineStr">
        <is>
          <t>Tallticka
Ullticka</t>
        </is>
      </c>
      <c r="S226">
        <f>HYPERLINK("https://klasma.github.io/Logging_2283/artfynd/A 51024-2021 artfynd.xlsx", "A 51024-2021")</f>
        <v/>
      </c>
      <c r="T226">
        <f>HYPERLINK("https://klasma.github.io/Logging_2283/kartor/A 51024-2021 karta.png", "A 51024-2021")</f>
        <v/>
      </c>
      <c r="V226">
        <f>HYPERLINK("https://klasma.github.io/Logging_2283/klagomål/A 51024-2021 FSC-klagomål.docx", "A 51024-2021")</f>
        <v/>
      </c>
      <c r="W226">
        <f>HYPERLINK("https://klasma.github.io/Logging_2283/klagomålsmail/A 51024-2021 FSC-klagomål mail.docx", "A 51024-2021")</f>
        <v/>
      </c>
      <c r="X226">
        <f>HYPERLINK("https://klasma.github.io/Logging_2283/tillsyn/A 51024-2021 tillsynsbegäran.docx", "A 51024-2021")</f>
        <v/>
      </c>
      <c r="Y226">
        <f>HYPERLINK("https://klasma.github.io/Logging_2283/tillsynsmail/A 51024-2021 tillsynsbegäran mail.docx", "A 51024-2021")</f>
        <v/>
      </c>
    </row>
    <row r="227" ht="15" customHeight="1">
      <c r="A227" t="inlineStr">
        <is>
          <t>A 54153-2021</t>
        </is>
      </c>
      <c r="B227" s="1" t="n">
        <v>44469</v>
      </c>
      <c r="C227" s="1" t="n">
        <v>45576</v>
      </c>
      <c r="D227" t="inlineStr">
        <is>
          <t>VÄSTERNORRLANDS LÄN</t>
        </is>
      </c>
      <c r="E227" t="inlineStr">
        <is>
          <t>SOLLEFTEÅ</t>
        </is>
      </c>
      <c r="G227" t="n">
        <v>1.4</v>
      </c>
      <c r="H227" t="n">
        <v>0</v>
      </c>
      <c r="I227" t="n">
        <v>0</v>
      </c>
      <c r="J227" t="n">
        <v>2</v>
      </c>
      <c r="K227" t="n">
        <v>0</v>
      </c>
      <c r="L227" t="n">
        <v>0</v>
      </c>
      <c r="M227" t="n">
        <v>0</v>
      </c>
      <c r="N227" t="n">
        <v>0</v>
      </c>
      <c r="O227" t="n">
        <v>2</v>
      </c>
      <c r="P227" t="n">
        <v>0</v>
      </c>
      <c r="Q227" t="n">
        <v>2</v>
      </c>
      <c r="R227" s="2" t="inlineStr">
        <is>
          <t>Garnlav
Rosenticka</t>
        </is>
      </c>
      <c r="S227">
        <f>HYPERLINK("https://klasma.github.io/Logging_2283/artfynd/A 54153-2021 artfynd.xlsx", "A 54153-2021")</f>
        <v/>
      </c>
      <c r="T227">
        <f>HYPERLINK("https://klasma.github.io/Logging_2283/kartor/A 54153-2021 karta.png", "A 54153-2021")</f>
        <v/>
      </c>
      <c r="V227">
        <f>HYPERLINK("https://klasma.github.io/Logging_2283/klagomål/A 54153-2021 FSC-klagomål.docx", "A 54153-2021")</f>
        <v/>
      </c>
      <c r="W227">
        <f>HYPERLINK("https://klasma.github.io/Logging_2283/klagomålsmail/A 54153-2021 FSC-klagomål mail.docx", "A 54153-2021")</f>
        <v/>
      </c>
      <c r="X227">
        <f>HYPERLINK("https://klasma.github.io/Logging_2283/tillsyn/A 54153-2021 tillsynsbegäran.docx", "A 54153-2021")</f>
        <v/>
      </c>
      <c r="Y227">
        <f>HYPERLINK("https://klasma.github.io/Logging_2283/tillsynsmail/A 54153-2021 tillsynsbegäran mail.docx", "A 54153-2021")</f>
        <v/>
      </c>
    </row>
    <row r="228" ht="15" customHeight="1">
      <c r="A228" t="inlineStr">
        <is>
          <t>A 9583-2022</t>
        </is>
      </c>
      <c r="B228" s="1" t="n">
        <v>44617</v>
      </c>
      <c r="C228" s="1" t="n">
        <v>45576</v>
      </c>
      <c r="D228" t="inlineStr">
        <is>
          <t>VÄSTERNORRLANDS LÄN</t>
        </is>
      </c>
      <c r="E228" t="inlineStr">
        <is>
          <t>SOLLEFTEÅ</t>
        </is>
      </c>
      <c r="F228" t="inlineStr">
        <is>
          <t>Övriga Aktiebolag</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HYPERLINK("https://klasma.github.io/Logging_2283/artfynd/A 9583-2022 artfynd.xlsx", "A 9583-2022")</f>
        <v/>
      </c>
      <c r="T228">
        <f>HYPERLINK("https://klasma.github.io/Logging_2283/kartor/A 9583-2022 karta.png", "A 9583-2022")</f>
        <v/>
      </c>
      <c r="V228">
        <f>HYPERLINK("https://klasma.github.io/Logging_2283/klagomål/A 9583-2022 FSC-klagomål.docx", "A 9583-2022")</f>
        <v/>
      </c>
      <c r="W228">
        <f>HYPERLINK("https://klasma.github.io/Logging_2283/klagomålsmail/A 9583-2022 FSC-klagomål mail.docx", "A 9583-2022")</f>
        <v/>
      </c>
      <c r="X228">
        <f>HYPERLINK("https://klasma.github.io/Logging_2283/tillsyn/A 9583-2022 tillsynsbegäran.docx", "A 9583-2022")</f>
        <v/>
      </c>
      <c r="Y228">
        <f>HYPERLINK("https://klasma.github.io/Logging_2283/tillsynsmail/A 9583-2022 tillsynsbegäran mail.docx", "A 9583-2022")</f>
        <v/>
      </c>
    </row>
    <row r="229" ht="15" customHeight="1">
      <c r="A229" t="inlineStr">
        <is>
          <t>A 13059-2022</t>
        </is>
      </c>
      <c r="B229" s="1" t="n">
        <v>44643</v>
      </c>
      <c r="C229" s="1" t="n">
        <v>45576</v>
      </c>
      <c r="D229" t="inlineStr">
        <is>
          <t>VÄSTERNORRLANDS LÄN</t>
        </is>
      </c>
      <c r="E229" t="inlineStr">
        <is>
          <t>SOLLEFTEÅ</t>
        </is>
      </c>
      <c r="G229" t="n">
        <v>9.9</v>
      </c>
      <c r="H229" t="n">
        <v>0</v>
      </c>
      <c r="I229" t="n">
        <v>0</v>
      </c>
      <c r="J229" t="n">
        <v>2</v>
      </c>
      <c r="K229" t="n">
        <v>0</v>
      </c>
      <c r="L229" t="n">
        <v>0</v>
      </c>
      <c r="M229" t="n">
        <v>0</v>
      </c>
      <c r="N229" t="n">
        <v>0</v>
      </c>
      <c r="O229" t="n">
        <v>2</v>
      </c>
      <c r="P229" t="n">
        <v>0</v>
      </c>
      <c r="Q229" t="n">
        <v>2</v>
      </c>
      <c r="R229" s="2" t="inlineStr">
        <is>
          <t>Garnlav
Ullticka</t>
        </is>
      </c>
      <c r="S229">
        <f>HYPERLINK("https://klasma.github.io/Logging_2283/artfynd/A 13059-2022 artfynd.xlsx", "A 13059-2022")</f>
        <v/>
      </c>
      <c r="T229">
        <f>HYPERLINK("https://klasma.github.io/Logging_2283/kartor/A 13059-2022 karta.png", "A 13059-2022")</f>
        <v/>
      </c>
      <c r="V229">
        <f>HYPERLINK("https://klasma.github.io/Logging_2283/klagomål/A 13059-2022 FSC-klagomål.docx", "A 13059-2022")</f>
        <v/>
      </c>
      <c r="W229">
        <f>HYPERLINK("https://klasma.github.io/Logging_2283/klagomålsmail/A 13059-2022 FSC-klagomål mail.docx", "A 13059-2022")</f>
        <v/>
      </c>
      <c r="X229">
        <f>HYPERLINK("https://klasma.github.io/Logging_2283/tillsyn/A 13059-2022 tillsynsbegäran.docx", "A 13059-2022")</f>
        <v/>
      </c>
      <c r="Y229">
        <f>HYPERLINK("https://klasma.github.io/Logging_2283/tillsynsmail/A 13059-2022 tillsynsbegäran mail.docx", "A 13059-2022")</f>
        <v/>
      </c>
    </row>
    <row r="230" ht="15" customHeight="1">
      <c r="A230" t="inlineStr">
        <is>
          <t>A 18019-2022</t>
        </is>
      </c>
      <c r="B230" s="1" t="n">
        <v>44684</v>
      </c>
      <c r="C230" s="1" t="n">
        <v>45576</v>
      </c>
      <c r="D230" t="inlineStr">
        <is>
          <t>VÄSTERNORRLANDS LÄN</t>
        </is>
      </c>
      <c r="E230" t="inlineStr">
        <is>
          <t>SOLLEFTEÅ</t>
        </is>
      </c>
      <c r="F230" t="inlineStr">
        <is>
          <t>SCA</t>
        </is>
      </c>
      <c r="G230" t="n">
        <v>2.6</v>
      </c>
      <c r="H230" t="n">
        <v>0</v>
      </c>
      <c r="I230" t="n">
        <v>0</v>
      </c>
      <c r="J230" t="n">
        <v>2</v>
      </c>
      <c r="K230" t="n">
        <v>0</v>
      </c>
      <c r="L230" t="n">
        <v>0</v>
      </c>
      <c r="M230" t="n">
        <v>0</v>
      </c>
      <c r="N230" t="n">
        <v>0</v>
      </c>
      <c r="O230" t="n">
        <v>2</v>
      </c>
      <c r="P230" t="n">
        <v>0</v>
      </c>
      <c r="Q230" t="n">
        <v>2</v>
      </c>
      <c r="R230" s="2" t="inlineStr">
        <is>
          <t>Gammelgransskål
Ullticka</t>
        </is>
      </c>
      <c r="S230">
        <f>HYPERLINK("https://klasma.github.io/Logging_2283/artfynd/A 18019-2022 artfynd.xlsx", "A 18019-2022")</f>
        <v/>
      </c>
      <c r="T230">
        <f>HYPERLINK("https://klasma.github.io/Logging_2283/kartor/A 18019-2022 karta.png", "A 18019-2022")</f>
        <v/>
      </c>
      <c r="V230">
        <f>HYPERLINK("https://klasma.github.io/Logging_2283/klagomål/A 18019-2022 FSC-klagomål.docx", "A 18019-2022")</f>
        <v/>
      </c>
      <c r="W230">
        <f>HYPERLINK("https://klasma.github.io/Logging_2283/klagomålsmail/A 18019-2022 FSC-klagomål mail.docx", "A 18019-2022")</f>
        <v/>
      </c>
      <c r="X230">
        <f>HYPERLINK("https://klasma.github.io/Logging_2283/tillsyn/A 18019-2022 tillsynsbegäran.docx", "A 18019-2022")</f>
        <v/>
      </c>
      <c r="Y230">
        <f>HYPERLINK("https://klasma.github.io/Logging_2283/tillsynsmail/A 18019-2022 tillsynsbegäran mail.docx", "A 18019-2022")</f>
        <v/>
      </c>
    </row>
    <row r="231" ht="15" customHeight="1">
      <c r="A231" t="inlineStr">
        <is>
          <t>A 20956-2022</t>
        </is>
      </c>
      <c r="B231" s="1" t="n">
        <v>44701</v>
      </c>
      <c r="C231" s="1" t="n">
        <v>45576</v>
      </c>
      <c r="D231" t="inlineStr">
        <is>
          <t>VÄSTERNORRLANDS LÄN</t>
        </is>
      </c>
      <c r="E231" t="inlineStr">
        <is>
          <t>SOLLEFTEÅ</t>
        </is>
      </c>
      <c r="F231" t="inlineStr">
        <is>
          <t>SCA</t>
        </is>
      </c>
      <c r="G231" t="n">
        <v>2.5</v>
      </c>
      <c r="H231" t="n">
        <v>0</v>
      </c>
      <c r="I231" t="n">
        <v>0</v>
      </c>
      <c r="J231" t="n">
        <v>2</v>
      </c>
      <c r="K231" t="n">
        <v>0</v>
      </c>
      <c r="L231" t="n">
        <v>0</v>
      </c>
      <c r="M231" t="n">
        <v>0</v>
      </c>
      <c r="N231" t="n">
        <v>0</v>
      </c>
      <c r="O231" t="n">
        <v>2</v>
      </c>
      <c r="P231" t="n">
        <v>0</v>
      </c>
      <c r="Q231" t="n">
        <v>2</v>
      </c>
      <c r="R231" s="2" t="inlineStr">
        <is>
          <t>Kandelabersvamp
Stiftgelélav</t>
        </is>
      </c>
      <c r="S231">
        <f>HYPERLINK("https://klasma.github.io/Logging_2283/artfynd/A 20956-2022 artfynd.xlsx", "A 20956-2022")</f>
        <v/>
      </c>
      <c r="T231">
        <f>HYPERLINK("https://klasma.github.io/Logging_2283/kartor/A 20956-2022 karta.png", "A 20956-2022")</f>
        <v/>
      </c>
      <c r="V231">
        <f>HYPERLINK("https://klasma.github.io/Logging_2283/klagomål/A 20956-2022 FSC-klagomål.docx", "A 20956-2022")</f>
        <v/>
      </c>
      <c r="W231">
        <f>HYPERLINK("https://klasma.github.io/Logging_2283/klagomålsmail/A 20956-2022 FSC-klagomål mail.docx", "A 20956-2022")</f>
        <v/>
      </c>
      <c r="X231">
        <f>HYPERLINK("https://klasma.github.io/Logging_2283/tillsyn/A 20956-2022 tillsynsbegäran.docx", "A 20956-2022")</f>
        <v/>
      </c>
      <c r="Y231">
        <f>HYPERLINK("https://klasma.github.io/Logging_2283/tillsynsmail/A 20956-2022 tillsynsbegäran mail.docx", "A 20956-2022")</f>
        <v/>
      </c>
    </row>
    <row r="232" ht="15" customHeight="1">
      <c r="A232" t="inlineStr">
        <is>
          <t>A 24321-2022</t>
        </is>
      </c>
      <c r="B232" s="1" t="n">
        <v>44725</v>
      </c>
      <c r="C232" s="1" t="n">
        <v>45576</v>
      </c>
      <c r="D232" t="inlineStr">
        <is>
          <t>VÄSTERNORRLANDS LÄN</t>
        </is>
      </c>
      <c r="E232" t="inlineStr">
        <is>
          <t>SOLLEFTEÅ</t>
        </is>
      </c>
      <c r="F232" t="inlineStr">
        <is>
          <t>SCA</t>
        </is>
      </c>
      <c r="G232" t="n">
        <v>1.1</v>
      </c>
      <c r="H232" t="n">
        <v>1</v>
      </c>
      <c r="I232" t="n">
        <v>0</v>
      </c>
      <c r="J232" t="n">
        <v>1</v>
      </c>
      <c r="K232" t="n">
        <v>1</v>
      </c>
      <c r="L232" t="n">
        <v>0</v>
      </c>
      <c r="M232" t="n">
        <v>0</v>
      </c>
      <c r="N232" t="n">
        <v>0</v>
      </c>
      <c r="O232" t="n">
        <v>2</v>
      </c>
      <c r="P232" t="n">
        <v>1</v>
      </c>
      <c r="Q232" t="n">
        <v>2</v>
      </c>
      <c r="R232" s="2" t="inlineStr">
        <is>
          <t>Knärot
Garnlav</t>
        </is>
      </c>
      <c r="S232">
        <f>HYPERLINK("https://klasma.github.io/Logging_2283/artfynd/A 24321-2022 artfynd.xlsx", "A 24321-2022")</f>
        <v/>
      </c>
      <c r="T232">
        <f>HYPERLINK("https://klasma.github.io/Logging_2283/kartor/A 24321-2022 karta.png", "A 24321-2022")</f>
        <v/>
      </c>
      <c r="U232">
        <f>HYPERLINK("https://klasma.github.io/Logging_2283/knärot/A 24321-2022 karta knärot.png", "A 24321-2022")</f>
        <v/>
      </c>
      <c r="V232">
        <f>HYPERLINK("https://klasma.github.io/Logging_2283/klagomål/A 24321-2022 FSC-klagomål.docx", "A 24321-2022")</f>
        <v/>
      </c>
      <c r="W232">
        <f>HYPERLINK("https://klasma.github.io/Logging_2283/klagomålsmail/A 24321-2022 FSC-klagomål mail.docx", "A 24321-2022")</f>
        <v/>
      </c>
      <c r="X232">
        <f>HYPERLINK("https://klasma.github.io/Logging_2283/tillsyn/A 24321-2022 tillsynsbegäran.docx", "A 24321-2022")</f>
        <v/>
      </c>
      <c r="Y232">
        <f>HYPERLINK("https://klasma.github.io/Logging_2283/tillsynsmail/A 24321-2022 tillsynsbegäran mail.docx", "A 24321-2022")</f>
        <v/>
      </c>
    </row>
    <row r="233" ht="15" customHeight="1">
      <c r="A233" t="inlineStr">
        <is>
          <t>A 29549-2022</t>
        </is>
      </c>
      <c r="B233" s="1" t="n">
        <v>44753</v>
      </c>
      <c r="C233" s="1" t="n">
        <v>45576</v>
      </c>
      <c r="D233" t="inlineStr">
        <is>
          <t>VÄSTERNORRLANDS LÄN</t>
        </is>
      </c>
      <c r="E233" t="inlineStr">
        <is>
          <t>SOLLEFTEÅ</t>
        </is>
      </c>
      <c r="F233" t="inlineStr">
        <is>
          <t>SCA</t>
        </is>
      </c>
      <c r="G233" t="n">
        <v>36.7</v>
      </c>
      <c r="H233" t="n">
        <v>0</v>
      </c>
      <c r="I233" t="n">
        <v>0</v>
      </c>
      <c r="J233" t="n">
        <v>2</v>
      </c>
      <c r="K233" t="n">
        <v>0</v>
      </c>
      <c r="L233" t="n">
        <v>0</v>
      </c>
      <c r="M233" t="n">
        <v>0</v>
      </c>
      <c r="N233" t="n">
        <v>0</v>
      </c>
      <c r="O233" t="n">
        <v>2</v>
      </c>
      <c r="P233" t="n">
        <v>0</v>
      </c>
      <c r="Q233" t="n">
        <v>2</v>
      </c>
      <c r="R233" s="2" t="inlineStr">
        <is>
          <t>Kolflarnlav
Skrovlig taggsvamp</t>
        </is>
      </c>
      <c r="S233">
        <f>HYPERLINK("https://klasma.github.io/Logging_2283/artfynd/A 29549-2022 artfynd.xlsx", "A 29549-2022")</f>
        <v/>
      </c>
      <c r="T233">
        <f>HYPERLINK("https://klasma.github.io/Logging_2283/kartor/A 29549-2022 karta.png", "A 29549-2022")</f>
        <v/>
      </c>
      <c r="V233">
        <f>HYPERLINK("https://klasma.github.io/Logging_2283/klagomål/A 29549-2022 FSC-klagomål.docx", "A 29549-2022")</f>
        <v/>
      </c>
      <c r="W233">
        <f>HYPERLINK("https://klasma.github.io/Logging_2283/klagomålsmail/A 29549-2022 FSC-klagomål mail.docx", "A 29549-2022")</f>
        <v/>
      </c>
      <c r="X233">
        <f>HYPERLINK("https://klasma.github.io/Logging_2283/tillsyn/A 29549-2022 tillsynsbegäran.docx", "A 29549-2022")</f>
        <v/>
      </c>
      <c r="Y233">
        <f>HYPERLINK("https://klasma.github.io/Logging_2283/tillsynsmail/A 29549-2022 tillsynsbegäran mail.docx", "A 29549-2022")</f>
        <v/>
      </c>
    </row>
    <row r="234" ht="15" customHeight="1">
      <c r="A234" t="inlineStr">
        <is>
          <t>A 30235-2022</t>
        </is>
      </c>
      <c r="B234" s="1" t="n">
        <v>44757</v>
      </c>
      <c r="C234" s="1" t="n">
        <v>45576</v>
      </c>
      <c r="D234" t="inlineStr">
        <is>
          <t>VÄSTERNORRLANDS LÄN</t>
        </is>
      </c>
      <c r="E234" t="inlineStr">
        <is>
          <t>SOLLEFTEÅ</t>
        </is>
      </c>
      <c r="F234" t="inlineStr">
        <is>
          <t>SCA</t>
        </is>
      </c>
      <c r="G234" t="n">
        <v>4.7</v>
      </c>
      <c r="H234" t="n">
        <v>2</v>
      </c>
      <c r="I234" t="n">
        <v>0</v>
      </c>
      <c r="J234" t="n">
        <v>0</v>
      </c>
      <c r="K234" t="n">
        <v>2</v>
      </c>
      <c r="L234" t="n">
        <v>0</v>
      </c>
      <c r="M234" t="n">
        <v>0</v>
      </c>
      <c r="N234" t="n">
        <v>0</v>
      </c>
      <c r="O234" t="n">
        <v>2</v>
      </c>
      <c r="P234" t="n">
        <v>2</v>
      </c>
      <c r="Q234" t="n">
        <v>2</v>
      </c>
      <c r="R234" s="2" t="inlineStr">
        <is>
          <t>Doftticka
Knärot</t>
        </is>
      </c>
      <c r="S234">
        <f>HYPERLINK("https://klasma.github.io/Logging_2283/artfynd/A 30235-2022 artfynd.xlsx", "A 30235-2022")</f>
        <v/>
      </c>
      <c r="T234">
        <f>HYPERLINK("https://klasma.github.io/Logging_2283/kartor/A 30235-2022 karta.png", "A 30235-2022")</f>
        <v/>
      </c>
      <c r="U234">
        <f>HYPERLINK("https://klasma.github.io/Logging_2283/knärot/A 30235-2022 karta knärot.png", "A 30235-2022")</f>
        <v/>
      </c>
      <c r="V234">
        <f>HYPERLINK("https://klasma.github.io/Logging_2283/klagomål/A 30235-2022 FSC-klagomål.docx", "A 30235-2022")</f>
        <v/>
      </c>
      <c r="W234">
        <f>HYPERLINK("https://klasma.github.io/Logging_2283/klagomålsmail/A 30235-2022 FSC-klagomål mail.docx", "A 30235-2022")</f>
        <v/>
      </c>
      <c r="X234">
        <f>HYPERLINK("https://klasma.github.io/Logging_2283/tillsyn/A 30235-2022 tillsynsbegäran.docx", "A 30235-2022")</f>
        <v/>
      </c>
      <c r="Y234">
        <f>HYPERLINK("https://klasma.github.io/Logging_2283/tillsynsmail/A 30235-2022 tillsynsbegäran mail.docx", "A 30235-2022")</f>
        <v/>
      </c>
    </row>
    <row r="235" ht="15" customHeight="1">
      <c r="A235" t="inlineStr">
        <is>
          <t>A 33087-2022</t>
        </is>
      </c>
      <c r="B235" s="1" t="n">
        <v>44785</v>
      </c>
      <c r="C235" s="1" t="n">
        <v>45576</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34526-2022</t>
        </is>
      </c>
      <c r="B236" s="1" t="n">
        <v>44792</v>
      </c>
      <c r="C236" s="1" t="n">
        <v>45576</v>
      </c>
      <c r="D236" t="inlineStr">
        <is>
          <t>VÄSTERNORRLANDS LÄN</t>
        </is>
      </c>
      <c r="E236" t="inlineStr">
        <is>
          <t>SOLLEFTEÅ</t>
        </is>
      </c>
      <c r="F236" t="inlineStr">
        <is>
          <t>SCA</t>
        </is>
      </c>
      <c r="G236" t="n">
        <v>1.4</v>
      </c>
      <c r="H236" t="n">
        <v>0</v>
      </c>
      <c r="I236" t="n">
        <v>0</v>
      </c>
      <c r="J236" t="n">
        <v>2</v>
      </c>
      <c r="K236" t="n">
        <v>0</v>
      </c>
      <c r="L236" t="n">
        <v>0</v>
      </c>
      <c r="M236" t="n">
        <v>0</v>
      </c>
      <c r="N236" t="n">
        <v>0</v>
      </c>
      <c r="O236" t="n">
        <v>2</v>
      </c>
      <c r="P236" t="n">
        <v>0</v>
      </c>
      <c r="Q236" t="n">
        <v>2</v>
      </c>
      <c r="R236" s="2" t="inlineStr">
        <is>
          <t>Garnlav
Mörk kolflarnlav</t>
        </is>
      </c>
      <c r="S236">
        <f>HYPERLINK("https://klasma.github.io/Logging_2283/artfynd/A 34526-2022 artfynd.xlsx", "A 34526-2022")</f>
        <v/>
      </c>
      <c r="T236">
        <f>HYPERLINK("https://klasma.github.io/Logging_2283/kartor/A 34526-2022 karta.png", "A 34526-2022")</f>
        <v/>
      </c>
      <c r="V236">
        <f>HYPERLINK("https://klasma.github.io/Logging_2283/klagomål/A 34526-2022 FSC-klagomål.docx", "A 34526-2022")</f>
        <v/>
      </c>
      <c r="W236">
        <f>HYPERLINK("https://klasma.github.io/Logging_2283/klagomålsmail/A 34526-2022 FSC-klagomål mail.docx", "A 34526-2022")</f>
        <v/>
      </c>
      <c r="X236">
        <f>HYPERLINK("https://klasma.github.io/Logging_2283/tillsyn/A 34526-2022 tillsynsbegäran.docx", "A 34526-2022")</f>
        <v/>
      </c>
      <c r="Y236">
        <f>HYPERLINK("https://klasma.github.io/Logging_2283/tillsynsmail/A 34526-2022 tillsynsbegäran mail.docx", "A 34526-2022")</f>
        <v/>
      </c>
    </row>
    <row r="237" ht="15" customHeight="1">
      <c r="A237" t="inlineStr">
        <is>
          <t>A 37243-2022</t>
        </is>
      </c>
      <c r="B237" s="1" t="n">
        <v>44806</v>
      </c>
      <c r="C237" s="1" t="n">
        <v>45576</v>
      </c>
      <c r="D237" t="inlineStr">
        <is>
          <t>VÄSTERNORRLANDS LÄN</t>
        </is>
      </c>
      <c r="E237" t="inlineStr">
        <is>
          <t>SOLLEFTEÅ</t>
        </is>
      </c>
      <c r="F237" t="inlineStr">
        <is>
          <t>SCA</t>
        </is>
      </c>
      <c r="G237" t="n">
        <v>7.1</v>
      </c>
      <c r="H237" t="n">
        <v>0</v>
      </c>
      <c r="I237" t="n">
        <v>1</v>
      </c>
      <c r="J237" t="n">
        <v>1</v>
      </c>
      <c r="K237" t="n">
        <v>0</v>
      </c>
      <c r="L237" t="n">
        <v>0</v>
      </c>
      <c r="M237" t="n">
        <v>0</v>
      </c>
      <c r="N237" t="n">
        <v>0</v>
      </c>
      <c r="O237" t="n">
        <v>1</v>
      </c>
      <c r="P237" t="n">
        <v>0</v>
      </c>
      <c r="Q237" t="n">
        <v>2</v>
      </c>
      <c r="R237" s="2" t="inlineStr">
        <is>
          <t>Violettgrå tagellav
Dropptaggsvamp</t>
        </is>
      </c>
      <c r="S237">
        <f>HYPERLINK("https://klasma.github.io/Logging_2283/artfynd/A 37243-2022 artfynd.xlsx", "A 37243-2022")</f>
        <v/>
      </c>
      <c r="T237">
        <f>HYPERLINK("https://klasma.github.io/Logging_2283/kartor/A 37243-2022 karta.png", "A 37243-2022")</f>
        <v/>
      </c>
      <c r="V237">
        <f>HYPERLINK("https://klasma.github.io/Logging_2283/klagomål/A 37243-2022 FSC-klagomål.docx", "A 37243-2022")</f>
        <v/>
      </c>
      <c r="W237">
        <f>HYPERLINK("https://klasma.github.io/Logging_2283/klagomålsmail/A 37243-2022 FSC-klagomål mail.docx", "A 37243-2022")</f>
        <v/>
      </c>
      <c r="X237">
        <f>HYPERLINK("https://klasma.github.io/Logging_2283/tillsyn/A 37243-2022 tillsynsbegäran.docx", "A 37243-2022")</f>
        <v/>
      </c>
      <c r="Y237">
        <f>HYPERLINK("https://klasma.github.io/Logging_2283/tillsynsmail/A 37243-2022 tillsynsbegäran mail.docx", "A 37243-2022")</f>
        <v/>
      </c>
    </row>
    <row r="238" ht="15" customHeight="1">
      <c r="A238" t="inlineStr">
        <is>
          <t>A 45083-2022</t>
        </is>
      </c>
      <c r="B238" s="1" t="n">
        <v>44841</v>
      </c>
      <c r="C238" s="1" t="n">
        <v>45576</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45084-2022</t>
        </is>
      </c>
      <c r="B239" s="1" t="n">
        <v>44841</v>
      </c>
      <c r="C239" s="1" t="n">
        <v>45576</v>
      </c>
      <c r="D239" t="inlineStr">
        <is>
          <t>VÄSTERNORRLANDS LÄN</t>
        </is>
      </c>
      <c r="E239" t="inlineStr">
        <is>
          <t>SOLLEFTEÅ</t>
        </is>
      </c>
      <c r="F239" t="inlineStr">
        <is>
          <t>SCA</t>
        </is>
      </c>
      <c r="G239" t="n">
        <v>5.5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45084-2022 artfynd.xlsx", "A 45084-2022")</f>
        <v/>
      </c>
      <c r="T239">
        <f>HYPERLINK("https://klasma.github.io/Logging_2283/kartor/A 45084-2022 karta.png",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48073-2022</t>
        </is>
      </c>
      <c r="B240" s="1" t="n">
        <v>44855</v>
      </c>
      <c r="C240" s="1" t="n">
        <v>45576</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48073-2022 artfynd.xlsx", "A 48073-2022")</f>
        <v/>
      </c>
      <c r="T240">
        <f>HYPERLINK("https://klasma.github.io/Logging_2283/kartor/A 48073-2022 karta.png", "A 48073-2022")</f>
        <v/>
      </c>
      <c r="V240">
        <f>HYPERLINK("https://klasma.github.io/Logging_2283/klagomål/A 48073-2022 FSC-klagomål.docx", "A 48073-2022")</f>
        <v/>
      </c>
      <c r="W240">
        <f>HYPERLINK("https://klasma.github.io/Logging_2283/klagomålsmail/A 48073-2022 FSC-klagomål mail.docx", "A 48073-2022")</f>
        <v/>
      </c>
      <c r="X240">
        <f>HYPERLINK("https://klasma.github.io/Logging_2283/tillsyn/A 48073-2022 tillsynsbegäran.docx", "A 48073-2022")</f>
        <v/>
      </c>
      <c r="Y240">
        <f>HYPERLINK("https://klasma.github.io/Logging_2283/tillsynsmail/A 48073-2022 tillsynsbegäran mail.docx", "A 48073-2022")</f>
        <v/>
      </c>
      <c r="Z240">
        <f>HYPERLINK("https://klasma.github.io/Logging_2283/fåglar/A 48073-2022 prioriterade fågelarter.docx", "A 48073-2022")</f>
        <v/>
      </c>
    </row>
    <row r="241" ht="15" customHeight="1">
      <c r="A241" t="inlineStr">
        <is>
          <t>A 53130-2022</t>
        </is>
      </c>
      <c r="B241" s="1" t="n">
        <v>44873</v>
      </c>
      <c r="C241" s="1" t="n">
        <v>45576</v>
      </c>
      <c r="D241" t="inlineStr">
        <is>
          <t>VÄSTERNORRLANDS LÄN</t>
        </is>
      </c>
      <c r="E241" t="inlineStr">
        <is>
          <t>SOLLEFTEÅ</t>
        </is>
      </c>
      <c r="G241" t="n">
        <v>19.8</v>
      </c>
      <c r="H241" t="n">
        <v>2</v>
      </c>
      <c r="I241" t="n">
        <v>0</v>
      </c>
      <c r="J241" t="n">
        <v>1</v>
      </c>
      <c r="K241" t="n">
        <v>0</v>
      </c>
      <c r="L241" t="n">
        <v>0</v>
      </c>
      <c r="M241" t="n">
        <v>0</v>
      </c>
      <c r="N241" t="n">
        <v>0</v>
      </c>
      <c r="O241" t="n">
        <v>1</v>
      </c>
      <c r="P241" t="n">
        <v>0</v>
      </c>
      <c r="Q241" t="n">
        <v>2</v>
      </c>
      <c r="R241" s="2" t="inlineStr">
        <is>
          <t>Myrbräcka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55727-2022</t>
        </is>
      </c>
      <c r="B242" s="1" t="n">
        <v>44883</v>
      </c>
      <c r="C242" s="1" t="n">
        <v>45576</v>
      </c>
      <c r="D242" t="inlineStr">
        <is>
          <t>VÄSTERNORRLANDS LÄN</t>
        </is>
      </c>
      <c r="E242" t="inlineStr">
        <is>
          <t>SOLLEFTEÅ</t>
        </is>
      </c>
      <c r="G242" t="n">
        <v>16.7</v>
      </c>
      <c r="H242" t="n">
        <v>1</v>
      </c>
      <c r="I242" t="n">
        <v>0</v>
      </c>
      <c r="J242" t="n">
        <v>2</v>
      </c>
      <c r="K242" t="n">
        <v>0</v>
      </c>
      <c r="L242" t="n">
        <v>0</v>
      </c>
      <c r="M242" t="n">
        <v>0</v>
      </c>
      <c r="N242" t="n">
        <v>0</v>
      </c>
      <c r="O242" t="n">
        <v>2</v>
      </c>
      <c r="P242" t="n">
        <v>0</v>
      </c>
      <c r="Q242" t="n">
        <v>2</v>
      </c>
      <c r="R242" s="2" t="inlineStr">
        <is>
          <t>Rosenticka
Tretåig hackspett</t>
        </is>
      </c>
      <c r="S242">
        <f>HYPERLINK("https://klasma.github.io/Logging_2283/artfynd/A 55727-2022 artfynd.xlsx", "A 55727-2022")</f>
        <v/>
      </c>
      <c r="T242">
        <f>HYPERLINK("https://klasma.github.io/Logging_2283/kartor/A 55727-2022 karta.png", "A 55727-2022")</f>
        <v/>
      </c>
      <c r="V242">
        <f>HYPERLINK("https://klasma.github.io/Logging_2283/klagomål/A 55727-2022 FSC-klagomål.docx", "A 55727-2022")</f>
        <v/>
      </c>
      <c r="W242">
        <f>HYPERLINK("https://klasma.github.io/Logging_2283/klagomålsmail/A 55727-2022 FSC-klagomål mail.docx", "A 55727-2022")</f>
        <v/>
      </c>
      <c r="X242">
        <f>HYPERLINK("https://klasma.github.io/Logging_2283/tillsyn/A 55727-2022 tillsynsbegäran.docx", "A 55727-2022")</f>
        <v/>
      </c>
      <c r="Y242">
        <f>HYPERLINK("https://klasma.github.io/Logging_2283/tillsynsmail/A 55727-2022 tillsynsbegäran mail.docx", "A 55727-2022")</f>
        <v/>
      </c>
      <c r="Z242">
        <f>HYPERLINK("https://klasma.github.io/Logging_2283/fåglar/A 55727-2022 prioriterade fågelarter.docx", "A 55727-2022")</f>
        <v/>
      </c>
    </row>
    <row r="243" ht="15" customHeight="1">
      <c r="A243" t="inlineStr">
        <is>
          <t>A 3017-2023</t>
        </is>
      </c>
      <c r="B243" s="1" t="n">
        <v>44945</v>
      </c>
      <c r="C243" s="1" t="n">
        <v>45576</v>
      </c>
      <c r="D243" t="inlineStr">
        <is>
          <t>VÄSTERNORRLANDS LÄN</t>
        </is>
      </c>
      <c r="E243" t="inlineStr">
        <is>
          <t>SOLLEFTEÅ</t>
        </is>
      </c>
      <c r="G243" t="n">
        <v>3.6</v>
      </c>
      <c r="H243" t="n">
        <v>0</v>
      </c>
      <c r="I243" t="n">
        <v>0</v>
      </c>
      <c r="J243" t="n">
        <v>2</v>
      </c>
      <c r="K243" t="n">
        <v>0</v>
      </c>
      <c r="L243" t="n">
        <v>0</v>
      </c>
      <c r="M243" t="n">
        <v>0</v>
      </c>
      <c r="N243" t="n">
        <v>0</v>
      </c>
      <c r="O243" t="n">
        <v>2</v>
      </c>
      <c r="P243" t="n">
        <v>0</v>
      </c>
      <c r="Q243" t="n">
        <v>2</v>
      </c>
      <c r="R243" s="2" t="inlineStr">
        <is>
          <t>Harticka
Ullticka</t>
        </is>
      </c>
      <c r="S243">
        <f>HYPERLINK("https://klasma.github.io/Logging_2283/artfynd/A 3017-2023 artfynd.xlsx", "A 3017-2023")</f>
        <v/>
      </c>
      <c r="T243">
        <f>HYPERLINK("https://klasma.github.io/Logging_2283/kartor/A 3017-2023 karta.png", "A 3017-2023")</f>
        <v/>
      </c>
      <c r="V243">
        <f>HYPERLINK("https://klasma.github.io/Logging_2283/klagomål/A 3017-2023 FSC-klagomål.docx", "A 3017-2023")</f>
        <v/>
      </c>
      <c r="W243">
        <f>HYPERLINK("https://klasma.github.io/Logging_2283/klagomålsmail/A 3017-2023 FSC-klagomål mail.docx", "A 3017-2023")</f>
        <v/>
      </c>
      <c r="X243">
        <f>HYPERLINK("https://klasma.github.io/Logging_2283/tillsyn/A 3017-2023 tillsynsbegäran.docx", "A 3017-2023")</f>
        <v/>
      </c>
      <c r="Y243">
        <f>HYPERLINK("https://klasma.github.io/Logging_2283/tillsynsmail/A 3017-2023 tillsynsbegäran mail.docx", "A 3017-2023")</f>
        <v/>
      </c>
    </row>
    <row r="244" ht="15" customHeight="1">
      <c r="A244" t="inlineStr">
        <is>
          <t>A 8669-2023</t>
        </is>
      </c>
      <c r="B244" s="1" t="n">
        <v>44977</v>
      </c>
      <c r="C244" s="1" t="n">
        <v>45576</v>
      </c>
      <c r="D244" t="inlineStr">
        <is>
          <t>VÄSTERNORRLANDS LÄN</t>
        </is>
      </c>
      <c r="E244" t="inlineStr">
        <is>
          <t>SOLLEFTEÅ</t>
        </is>
      </c>
      <c r="F244" t="inlineStr">
        <is>
          <t>SCA</t>
        </is>
      </c>
      <c r="G244" t="n">
        <v>2.3</v>
      </c>
      <c r="H244" t="n">
        <v>1</v>
      </c>
      <c r="I244" t="n">
        <v>1</v>
      </c>
      <c r="J244" t="n">
        <v>1</v>
      </c>
      <c r="K244" t="n">
        <v>0</v>
      </c>
      <c r="L244" t="n">
        <v>0</v>
      </c>
      <c r="M244" t="n">
        <v>0</v>
      </c>
      <c r="N244" t="n">
        <v>0</v>
      </c>
      <c r="O244" t="n">
        <v>1</v>
      </c>
      <c r="P244" t="n">
        <v>0</v>
      </c>
      <c r="Q244" t="n">
        <v>2</v>
      </c>
      <c r="R244" s="2" t="inlineStr">
        <is>
          <t>Garnlav
Lappranunkel</t>
        </is>
      </c>
      <c r="S244">
        <f>HYPERLINK("https://klasma.github.io/Logging_2283/artfynd/A 8669-2023 artfynd.xlsx", "A 8669-2023")</f>
        <v/>
      </c>
      <c r="T244">
        <f>HYPERLINK("https://klasma.github.io/Logging_2283/kartor/A 8669-2023 karta.png", "A 8669-2023")</f>
        <v/>
      </c>
      <c r="V244">
        <f>HYPERLINK("https://klasma.github.io/Logging_2283/klagomål/A 8669-2023 FSC-klagomål.docx", "A 8669-2023")</f>
        <v/>
      </c>
      <c r="W244">
        <f>HYPERLINK("https://klasma.github.io/Logging_2283/klagomålsmail/A 8669-2023 FSC-klagomål mail.docx", "A 8669-2023")</f>
        <v/>
      </c>
      <c r="X244">
        <f>HYPERLINK("https://klasma.github.io/Logging_2283/tillsyn/A 8669-2023 tillsynsbegäran.docx", "A 8669-2023")</f>
        <v/>
      </c>
      <c r="Y244">
        <f>HYPERLINK("https://klasma.github.io/Logging_2283/tillsynsmail/A 8669-2023 tillsynsbegäran mail.docx", "A 8669-2023")</f>
        <v/>
      </c>
    </row>
    <row r="245" ht="15" customHeight="1">
      <c r="A245" t="inlineStr">
        <is>
          <t>A 9363-2023</t>
        </is>
      </c>
      <c r="B245" s="1" t="n">
        <v>44980</v>
      </c>
      <c r="C245" s="1" t="n">
        <v>45576</v>
      </c>
      <c r="D245" t="inlineStr">
        <is>
          <t>VÄSTERNORRLANDS LÄN</t>
        </is>
      </c>
      <c r="E245" t="inlineStr">
        <is>
          <t>SOLLEFTEÅ</t>
        </is>
      </c>
      <c r="F245" t="inlineStr">
        <is>
          <t>SCA</t>
        </is>
      </c>
      <c r="G245" t="n">
        <v>4.7</v>
      </c>
      <c r="H245" t="n">
        <v>0</v>
      </c>
      <c r="I245" t="n">
        <v>0</v>
      </c>
      <c r="J245" t="n">
        <v>2</v>
      </c>
      <c r="K245" t="n">
        <v>0</v>
      </c>
      <c r="L245" t="n">
        <v>0</v>
      </c>
      <c r="M245" t="n">
        <v>0</v>
      </c>
      <c r="N245" t="n">
        <v>0</v>
      </c>
      <c r="O245" t="n">
        <v>2</v>
      </c>
      <c r="P245" t="n">
        <v>0</v>
      </c>
      <c r="Q245" t="n">
        <v>2</v>
      </c>
      <c r="R245" s="2" t="inlineStr">
        <is>
          <t>Garnlav
Vedskivlav</t>
        </is>
      </c>
      <c r="S245">
        <f>HYPERLINK("https://klasma.github.io/Logging_2283/artfynd/A 9363-2023 artfynd.xlsx", "A 9363-2023")</f>
        <v/>
      </c>
      <c r="T245">
        <f>HYPERLINK("https://klasma.github.io/Logging_2283/kartor/A 9363-2023 karta.png", "A 9363-2023")</f>
        <v/>
      </c>
      <c r="V245">
        <f>HYPERLINK("https://klasma.github.io/Logging_2283/klagomål/A 9363-2023 FSC-klagomål.docx", "A 9363-2023")</f>
        <v/>
      </c>
      <c r="W245">
        <f>HYPERLINK("https://klasma.github.io/Logging_2283/klagomålsmail/A 9363-2023 FSC-klagomål mail.docx", "A 9363-2023")</f>
        <v/>
      </c>
      <c r="X245">
        <f>HYPERLINK("https://klasma.github.io/Logging_2283/tillsyn/A 9363-2023 tillsynsbegäran.docx", "A 9363-2023")</f>
        <v/>
      </c>
      <c r="Y245">
        <f>HYPERLINK("https://klasma.github.io/Logging_2283/tillsynsmail/A 9363-2023 tillsynsbegäran mail.docx", "A 9363-2023")</f>
        <v/>
      </c>
    </row>
    <row r="246" ht="15" customHeight="1">
      <c r="A246" t="inlineStr">
        <is>
          <t>A 13000-2023</t>
        </is>
      </c>
      <c r="B246" s="1" t="n">
        <v>45002</v>
      </c>
      <c r="C246" s="1" t="n">
        <v>45576</v>
      </c>
      <c r="D246" t="inlineStr">
        <is>
          <t>VÄSTERNORRLANDS LÄN</t>
        </is>
      </c>
      <c r="E246" t="inlineStr">
        <is>
          <t>SOLLEFTEÅ</t>
        </is>
      </c>
      <c r="F246" t="inlineStr">
        <is>
          <t>SCA</t>
        </is>
      </c>
      <c r="G246" t="n">
        <v>93.5</v>
      </c>
      <c r="H246" t="n">
        <v>1</v>
      </c>
      <c r="I246" t="n">
        <v>0</v>
      </c>
      <c r="J246" t="n">
        <v>1</v>
      </c>
      <c r="K246" t="n">
        <v>0</v>
      </c>
      <c r="L246" t="n">
        <v>0</v>
      </c>
      <c r="M246" t="n">
        <v>0</v>
      </c>
      <c r="N246" t="n">
        <v>0</v>
      </c>
      <c r="O246" t="n">
        <v>1</v>
      </c>
      <c r="P246" t="n">
        <v>0</v>
      </c>
      <c r="Q246" t="n">
        <v>2</v>
      </c>
      <c r="R246" s="2" t="inlineStr">
        <is>
          <t>Månlåsbräken
Fläcknycklar</t>
        </is>
      </c>
      <c r="S246">
        <f>HYPERLINK("https://klasma.github.io/Logging_2283/artfynd/A 13000-2023 artfynd.xlsx", "A 13000-2023")</f>
        <v/>
      </c>
      <c r="T246">
        <f>HYPERLINK("https://klasma.github.io/Logging_2283/kartor/A 13000-2023 karta.png", "A 13000-2023")</f>
        <v/>
      </c>
      <c r="V246">
        <f>HYPERLINK("https://klasma.github.io/Logging_2283/klagomål/A 13000-2023 FSC-klagomål.docx", "A 13000-2023")</f>
        <v/>
      </c>
      <c r="W246">
        <f>HYPERLINK("https://klasma.github.io/Logging_2283/klagomålsmail/A 13000-2023 FSC-klagomål mail.docx", "A 13000-2023")</f>
        <v/>
      </c>
      <c r="X246">
        <f>HYPERLINK("https://klasma.github.io/Logging_2283/tillsyn/A 13000-2023 tillsynsbegäran.docx", "A 13000-2023")</f>
        <v/>
      </c>
      <c r="Y246">
        <f>HYPERLINK("https://klasma.github.io/Logging_2283/tillsynsmail/A 13000-2023 tillsynsbegäran mail.docx", "A 13000-2023")</f>
        <v/>
      </c>
    </row>
    <row r="247" ht="15" customHeight="1">
      <c r="A247" t="inlineStr">
        <is>
          <t>A 33036-2023</t>
        </is>
      </c>
      <c r="B247" s="1" t="n">
        <v>45125</v>
      </c>
      <c r="C247" s="1" t="n">
        <v>45576</v>
      </c>
      <c r="D247" t="inlineStr">
        <is>
          <t>VÄSTERNORRLANDS LÄN</t>
        </is>
      </c>
      <c r="E247" t="inlineStr">
        <is>
          <t>SOLLEFTEÅ</t>
        </is>
      </c>
      <c r="F247" t="inlineStr">
        <is>
          <t>SCA</t>
        </is>
      </c>
      <c r="G247" t="n">
        <v>12</v>
      </c>
      <c r="H247" t="n">
        <v>0</v>
      </c>
      <c r="I247" t="n">
        <v>1</v>
      </c>
      <c r="J247" t="n">
        <v>1</v>
      </c>
      <c r="K247" t="n">
        <v>0</v>
      </c>
      <c r="L247" t="n">
        <v>0</v>
      </c>
      <c r="M247" t="n">
        <v>0</v>
      </c>
      <c r="N247" t="n">
        <v>0</v>
      </c>
      <c r="O247" t="n">
        <v>1</v>
      </c>
      <c r="P247" t="n">
        <v>0</v>
      </c>
      <c r="Q247" t="n">
        <v>2</v>
      </c>
      <c r="R247" s="2" t="inlineStr">
        <is>
          <t>Småflikig brosklav
Stuplav</t>
        </is>
      </c>
      <c r="S247">
        <f>HYPERLINK("https://klasma.github.io/Logging_2283/artfynd/A 33036-2023 artfynd.xlsx", "A 33036-2023")</f>
        <v/>
      </c>
      <c r="T247">
        <f>HYPERLINK("https://klasma.github.io/Logging_2283/kartor/A 33036-2023 karta.png", "A 33036-2023")</f>
        <v/>
      </c>
      <c r="V247">
        <f>HYPERLINK("https://klasma.github.io/Logging_2283/klagomål/A 33036-2023 FSC-klagomål.docx", "A 33036-2023")</f>
        <v/>
      </c>
      <c r="W247">
        <f>HYPERLINK("https://klasma.github.io/Logging_2283/klagomålsmail/A 33036-2023 FSC-klagomål mail.docx", "A 33036-2023")</f>
        <v/>
      </c>
      <c r="X247">
        <f>HYPERLINK("https://klasma.github.io/Logging_2283/tillsyn/A 33036-2023 tillsynsbegäran.docx", "A 33036-2023")</f>
        <v/>
      </c>
      <c r="Y247">
        <f>HYPERLINK("https://klasma.github.io/Logging_2283/tillsynsmail/A 33036-2023 tillsynsbegäran mail.docx", "A 33036-2023")</f>
        <v/>
      </c>
    </row>
    <row r="248" ht="15" customHeight="1">
      <c r="A248" t="inlineStr">
        <is>
          <t>A 35587-2023</t>
        </is>
      </c>
      <c r="B248" s="1" t="n">
        <v>45147</v>
      </c>
      <c r="C248" s="1" t="n">
        <v>45576</v>
      </c>
      <c r="D248" t="inlineStr">
        <is>
          <t>VÄSTERNORRLANDS LÄN</t>
        </is>
      </c>
      <c r="E248" t="inlineStr">
        <is>
          <t>SOLLEFTEÅ</t>
        </is>
      </c>
      <c r="F248" t="inlineStr">
        <is>
          <t>Holmen skog AB</t>
        </is>
      </c>
      <c r="G248" t="n">
        <v>5.1</v>
      </c>
      <c r="H248" t="n">
        <v>0</v>
      </c>
      <c r="I248" t="n">
        <v>1</v>
      </c>
      <c r="J248" t="n">
        <v>0</v>
      </c>
      <c r="K248" t="n">
        <v>1</v>
      </c>
      <c r="L248" t="n">
        <v>0</v>
      </c>
      <c r="M248" t="n">
        <v>0</v>
      </c>
      <c r="N248" t="n">
        <v>0</v>
      </c>
      <c r="O248" t="n">
        <v>1</v>
      </c>
      <c r="P248" t="n">
        <v>1</v>
      </c>
      <c r="Q248" t="n">
        <v>2</v>
      </c>
      <c r="R248" s="2" t="inlineStr">
        <is>
          <t>Fläckporing
Dropptaggsvamp</t>
        </is>
      </c>
      <c r="S248">
        <f>HYPERLINK("https://klasma.github.io/Logging_2283/artfynd/A 35587-2023 artfynd.xlsx", "A 35587-2023")</f>
        <v/>
      </c>
      <c r="T248">
        <f>HYPERLINK("https://klasma.github.io/Logging_2283/kartor/A 35587-2023 karta.png", "A 35587-2023")</f>
        <v/>
      </c>
      <c r="V248">
        <f>HYPERLINK("https://klasma.github.io/Logging_2283/klagomål/A 35587-2023 FSC-klagomål.docx", "A 35587-2023")</f>
        <v/>
      </c>
      <c r="W248">
        <f>HYPERLINK("https://klasma.github.io/Logging_2283/klagomålsmail/A 35587-2023 FSC-klagomål mail.docx", "A 35587-2023")</f>
        <v/>
      </c>
      <c r="X248">
        <f>HYPERLINK("https://klasma.github.io/Logging_2283/tillsyn/A 35587-2023 tillsynsbegäran.docx", "A 35587-2023")</f>
        <v/>
      </c>
      <c r="Y248">
        <f>HYPERLINK("https://klasma.github.io/Logging_2283/tillsynsmail/A 35587-2023 tillsynsbegäran mail.docx", "A 35587-2023")</f>
        <v/>
      </c>
    </row>
    <row r="249" ht="15" customHeight="1">
      <c r="A249" t="inlineStr">
        <is>
          <t>A 40419-2023</t>
        </is>
      </c>
      <c r="B249" s="1" t="n">
        <v>45169</v>
      </c>
      <c r="C249" s="1" t="n">
        <v>45576</v>
      </c>
      <c r="D249" t="inlineStr">
        <is>
          <t>VÄSTERNORRLANDS LÄN</t>
        </is>
      </c>
      <c r="E249" t="inlineStr">
        <is>
          <t>SOLLEFTEÅ</t>
        </is>
      </c>
      <c r="F249" t="inlineStr">
        <is>
          <t>SCA</t>
        </is>
      </c>
      <c r="G249" t="n">
        <v>7.9</v>
      </c>
      <c r="H249" t="n">
        <v>1</v>
      </c>
      <c r="I249" t="n">
        <v>0</v>
      </c>
      <c r="J249" t="n">
        <v>1</v>
      </c>
      <c r="K249" t="n">
        <v>1</v>
      </c>
      <c r="L249" t="n">
        <v>0</v>
      </c>
      <c r="M249" t="n">
        <v>0</v>
      </c>
      <c r="N249" t="n">
        <v>0</v>
      </c>
      <c r="O249" t="n">
        <v>2</v>
      </c>
      <c r="P249" t="n">
        <v>1</v>
      </c>
      <c r="Q249" t="n">
        <v>2</v>
      </c>
      <c r="R249" s="2" t="inlineStr">
        <is>
          <t>Knärot
Lunglav</t>
        </is>
      </c>
      <c r="S249">
        <f>HYPERLINK("https://klasma.github.io/Logging_2283/artfynd/A 40419-2023 artfynd.xlsx", "A 40419-2023")</f>
        <v/>
      </c>
      <c r="T249">
        <f>HYPERLINK("https://klasma.github.io/Logging_2283/kartor/A 40419-2023 karta.png", "A 40419-2023")</f>
        <v/>
      </c>
      <c r="U249">
        <f>HYPERLINK("https://klasma.github.io/Logging_2283/knärot/A 40419-2023 karta knärot.png", "A 40419-2023")</f>
        <v/>
      </c>
      <c r="V249">
        <f>HYPERLINK("https://klasma.github.io/Logging_2283/klagomål/A 40419-2023 FSC-klagomål.docx", "A 40419-2023")</f>
        <v/>
      </c>
      <c r="W249">
        <f>HYPERLINK("https://klasma.github.io/Logging_2283/klagomålsmail/A 40419-2023 FSC-klagomål mail.docx", "A 40419-2023")</f>
        <v/>
      </c>
      <c r="X249">
        <f>HYPERLINK("https://klasma.github.io/Logging_2283/tillsyn/A 40419-2023 tillsynsbegäran.docx", "A 40419-2023")</f>
        <v/>
      </c>
      <c r="Y249">
        <f>HYPERLINK("https://klasma.github.io/Logging_2283/tillsynsmail/A 40419-2023 tillsynsbegäran mail.docx", "A 40419-2023")</f>
        <v/>
      </c>
    </row>
    <row r="250" ht="15" customHeight="1">
      <c r="A250" t="inlineStr">
        <is>
          <t>A 40866-2023</t>
        </is>
      </c>
      <c r="B250" s="1" t="n">
        <v>45173</v>
      </c>
      <c r="C250" s="1" t="n">
        <v>45576</v>
      </c>
      <c r="D250" t="inlineStr">
        <is>
          <t>VÄSTERNORRLANDS LÄN</t>
        </is>
      </c>
      <c r="E250" t="inlineStr">
        <is>
          <t>SOLLEFTEÅ</t>
        </is>
      </c>
      <c r="G250" t="n">
        <v>1.7</v>
      </c>
      <c r="H250" t="n">
        <v>1</v>
      </c>
      <c r="I250" t="n">
        <v>1</v>
      </c>
      <c r="J250" t="n">
        <v>0</v>
      </c>
      <c r="K250" t="n">
        <v>0</v>
      </c>
      <c r="L250" t="n">
        <v>0</v>
      </c>
      <c r="M250" t="n">
        <v>0</v>
      </c>
      <c r="N250" t="n">
        <v>0</v>
      </c>
      <c r="O250" t="n">
        <v>0</v>
      </c>
      <c r="P250" t="n">
        <v>0</v>
      </c>
      <c r="Q250" t="n">
        <v>2</v>
      </c>
      <c r="R250" s="2" t="inlineStr">
        <is>
          <t>Tibast
Skogsödla</t>
        </is>
      </c>
      <c r="S250">
        <f>HYPERLINK("https://klasma.github.io/Logging_2283/artfynd/A 40866-2023 artfynd.xlsx", "A 40866-2023")</f>
        <v/>
      </c>
      <c r="T250">
        <f>HYPERLINK("https://klasma.github.io/Logging_2283/kartor/A 40866-2023 karta.png", "A 40866-2023")</f>
        <v/>
      </c>
      <c r="V250">
        <f>HYPERLINK("https://klasma.github.io/Logging_2283/klagomål/A 40866-2023 FSC-klagomål.docx", "A 40866-2023")</f>
        <v/>
      </c>
      <c r="W250">
        <f>HYPERLINK("https://klasma.github.io/Logging_2283/klagomålsmail/A 40866-2023 FSC-klagomål mail.docx", "A 40866-2023")</f>
        <v/>
      </c>
      <c r="X250">
        <f>HYPERLINK("https://klasma.github.io/Logging_2283/tillsyn/A 40866-2023 tillsynsbegäran.docx", "A 40866-2023")</f>
        <v/>
      </c>
      <c r="Y250">
        <f>HYPERLINK("https://klasma.github.io/Logging_2283/tillsynsmail/A 40866-2023 tillsynsbegäran mail.docx", "A 40866-2023")</f>
        <v/>
      </c>
    </row>
    <row r="251" ht="15" customHeight="1">
      <c r="A251" t="inlineStr">
        <is>
          <t>A 48489-2023</t>
        </is>
      </c>
      <c r="B251" s="1" t="n">
        <v>45206</v>
      </c>
      <c r="C251" s="1" t="n">
        <v>45576</v>
      </c>
      <c r="D251" t="inlineStr">
        <is>
          <t>VÄSTERNORRLANDS LÄN</t>
        </is>
      </c>
      <c r="E251" t="inlineStr">
        <is>
          <t>SOLLEFTEÅ</t>
        </is>
      </c>
      <c r="F251" t="inlineStr">
        <is>
          <t>SCA</t>
        </is>
      </c>
      <c r="G251" t="n">
        <v>51.8</v>
      </c>
      <c r="H251" t="n">
        <v>2</v>
      </c>
      <c r="I251" t="n">
        <v>0</v>
      </c>
      <c r="J251" t="n">
        <v>2</v>
      </c>
      <c r="K251" t="n">
        <v>0</v>
      </c>
      <c r="L251" t="n">
        <v>0</v>
      </c>
      <c r="M251" t="n">
        <v>0</v>
      </c>
      <c r="N251" t="n">
        <v>0</v>
      </c>
      <c r="O251" t="n">
        <v>2</v>
      </c>
      <c r="P251" t="n">
        <v>0</v>
      </c>
      <c r="Q251" t="n">
        <v>2</v>
      </c>
      <c r="R251" s="2" t="inlineStr">
        <is>
          <t>Spillkråka
Talltita</t>
        </is>
      </c>
      <c r="S251">
        <f>HYPERLINK("https://klasma.github.io/Logging_2283/artfynd/A 48489-2023 artfynd.xlsx", "A 48489-2023")</f>
        <v/>
      </c>
      <c r="T251">
        <f>HYPERLINK("https://klasma.github.io/Logging_2283/kartor/A 48489-2023 karta.png", "A 48489-2023")</f>
        <v/>
      </c>
      <c r="V251">
        <f>HYPERLINK("https://klasma.github.io/Logging_2283/klagomål/A 48489-2023 FSC-klagomål.docx", "A 48489-2023")</f>
        <v/>
      </c>
      <c r="W251">
        <f>HYPERLINK("https://klasma.github.io/Logging_2283/klagomålsmail/A 48489-2023 FSC-klagomål mail.docx", "A 48489-2023")</f>
        <v/>
      </c>
      <c r="X251">
        <f>HYPERLINK("https://klasma.github.io/Logging_2283/tillsyn/A 48489-2023 tillsynsbegäran.docx", "A 48489-2023")</f>
        <v/>
      </c>
      <c r="Y251">
        <f>HYPERLINK("https://klasma.github.io/Logging_2283/tillsynsmail/A 48489-2023 tillsynsbegäran mail.docx", "A 48489-2023")</f>
        <v/>
      </c>
      <c r="Z251">
        <f>HYPERLINK("https://klasma.github.io/Logging_2283/fåglar/A 48489-2023 prioriterade fågelarter.docx", "A 48489-2023")</f>
        <v/>
      </c>
    </row>
    <row r="252" ht="15" customHeight="1">
      <c r="A252" t="inlineStr">
        <is>
          <t>A 53949-2023</t>
        </is>
      </c>
      <c r="B252" s="1" t="n">
        <v>45224</v>
      </c>
      <c r="C252" s="1" t="n">
        <v>45576</v>
      </c>
      <c r="D252" t="inlineStr">
        <is>
          <t>VÄSTERNORRLANDS LÄN</t>
        </is>
      </c>
      <c r="E252" t="inlineStr">
        <is>
          <t>SOLLEFTEÅ</t>
        </is>
      </c>
      <c r="G252" t="n">
        <v>4</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53949-2023 artfynd.xlsx", "A 53949-2023")</f>
        <v/>
      </c>
      <c r="T252">
        <f>HYPERLINK("https://klasma.github.io/Logging_2283/kartor/A 53949-2023 karta.png", "A 53949-2023")</f>
        <v/>
      </c>
      <c r="V252">
        <f>HYPERLINK("https://klasma.github.io/Logging_2283/klagomål/A 53949-2023 FSC-klagomål.docx", "A 53949-2023")</f>
        <v/>
      </c>
      <c r="W252">
        <f>HYPERLINK("https://klasma.github.io/Logging_2283/klagomålsmail/A 53949-2023 FSC-klagomål mail.docx", "A 53949-2023")</f>
        <v/>
      </c>
      <c r="X252">
        <f>HYPERLINK("https://klasma.github.io/Logging_2283/tillsyn/A 53949-2023 tillsynsbegäran.docx", "A 53949-2023")</f>
        <v/>
      </c>
      <c r="Y252">
        <f>HYPERLINK("https://klasma.github.io/Logging_2283/tillsynsmail/A 53949-2023 tillsynsbegäran mail.docx", "A 53949-2023")</f>
        <v/>
      </c>
    </row>
    <row r="253" ht="15" customHeight="1">
      <c r="A253" t="inlineStr">
        <is>
          <t>A 58827-2023</t>
        </is>
      </c>
      <c r="B253" s="1" t="n">
        <v>45247</v>
      </c>
      <c r="C253" s="1" t="n">
        <v>45576</v>
      </c>
      <c r="D253" t="inlineStr">
        <is>
          <t>VÄSTERNORRLANDS LÄN</t>
        </is>
      </c>
      <c r="E253" t="inlineStr">
        <is>
          <t>SOLLEFTEÅ</t>
        </is>
      </c>
      <c r="G253" t="n">
        <v>2.2</v>
      </c>
      <c r="H253" t="n">
        <v>1</v>
      </c>
      <c r="I253" t="n">
        <v>0</v>
      </c>
      <c r="J253" t="n">
        <v>1</v>
      </c>
      <c r="K253" t="n">
        <v>0</v>
      </c>
      <c r="L253" t="n">
        <v>0</v>
      </c>
      <c r="M253" t="n">
        <v>0</v>
      </c>
      <c r="N253" t="n">
        <v>0</v>
      </c>
      <c r="O253" t="n">
        <v>1</v>
      </c>
      <c r="P253" t="n">
        <v>0</v>
      </c>
      <c r="Q253" t="n">
        <v>2</v>
      </c>
      <c r="R253" s="2" t="inlineStr">
        <is>
          <t>Garnlav
Mattlummer</t>
        </is>
      </c>
      <c r="S253">
        <f>HYPERLINK("https://klasma.github.io/Logging_2283/artfynd/A 58827-2023 artfynd.xlsx", "A 58827-2023")</f>
        <v/>
      </c>
      <c r="T253">
        <f>HYPERLINK("https://klasma.github.io/Logging_2283/kartor/A 58827-2023 karta.png", "A 58827-2023")</f>
        <v/>
      </c>
      <c r="V253">
        <f>HYPERLINK("https://klasma.github.io/Logging_2283/klagomål/A 58827-2023 FSC-klagomål.docx", "A 58827-2023")</f>
        <v/>
      </c>
      <c r="W253">
        <f>HYPERLINK("https://klasma.github.io/Logging_2283/klagomålsmail/A 58827-2023 FSC-klagomål mail.docx", "A 58827-2023")</f>
        <v/>
      </c>
      <c r="X253">
        <f>HYPERLINK("https://klasma.github.io/Logging_2283/tillsyn/A 58827-2023 tillsynsbegäran.docx", "A 58827-2023")</f>
        <v/>
      </c>
      <c r="Y253">
        <f>HYPERLINK("https://klasma.github.io/Logging_2283/tillsynsmail/A 58827-2023 tillsynsbegäran mail.docx", "A 58827-2023")</f>
        <v/>
      </c>
    </row>
    <row r="254" ht="15" customHeight="1">
      <c r="A254" t="inlineStr">
        <is>
          <t>A 2515-2024</t>
        </is>
      </c>
      <c r="B254" s="1" t="n">
        <v>45313</v>
      </c>
      <c r="C254" s="1" t="n">
        <v>45576</v>
      </c>
      <c r="D254" t="inlineStr">
        <is>
          <t>VÄSTERNORRLANDS LÄN</t>
        </is>
      </c>
      <c r="E254" t="inlineStr">
        <is>
          <t>SOLLEFTEÅ</t>
        </is>
      </c>
      <c r="F254" t="inlineStr">
        <is>
          <t>Kommuner</t>
        </is>
      </c>
      <c r="G254" t="n">
        <v>8.699999999999999</v>
      </c>
      <c r="H254" t="n">
        <v>1</v>
      </c>
      <c r="I254" t="n">
        <v>0</v>
      </c>
      <c r="J254" t="n">
        <v>2</v>
      </c>
      <c r="K254" t="n">
        <v>0</v>
      </c>
      <c r="L254" t="n">
        <v>0</v>
      </c>
      <c r="M254" t="n">
        <v>0</v>
      </c>
      <c r="N254" t="n">
        <v>0</v>
      </c>
      <c r="O254" t="n">
        <v>2</v>
      </c>
      <c r="P254" t="n">
        <v>0</v>
      </c>
      <c r="Q254" t="n">
        <v>2</v>
      </c>
      <c r="R254" s="2" t="inlineStr">
        <is>
          <t>Granticka
Talltita</t>
        </is>
      </c>
      <c r="S254">
        <f>HYPERLINK("https://klasma.github.io/Logging_2283/artfynd/A 2515-2024 artfynd.xlsx", "A 2515-2024")</f>
        <v/>
      </c>
      <c r="T254">
        <f>HYPERLINK("https://klasma.github.io/Logging_2283/kartor/A 2515-2024 karta.png", "A 2515-2024")</f>
        <v/>
      </c>
      <c r="V254">
        <f>HYPERLINK("https://klasma.github.io/Logging_2283/klagomål/A 2515-2024 FSC-klagomål.docx", "A 2515-2024")</f>
        <v/>
      </c>
      <c r="W254">
        <f>HYPERLINK("https://klasma.github.io/Logging_2283/klagomålsmail/A 2515-2024 FSC-klagomål mail.docx", "A 2515-2024")</f>
        <v/>
      </c>
      <c r="X254">
        <f>HYPERLINK("https://klasma.github.io/Logging_2283/tillsyn/A 2515-2024 tillsynsbegäran.docx", "A 2515-2024")</f>
        <v/>
      </c>
      <c r="Y254">
        <f>HYPERLINK("https://klasma.github.io/Logging_2283/tillsynsmail/A 2515-2024 tillsynsbegäran mail.docx", "A 2515-2024")</f>
        <v/>
      </c>
      <c r="Z254">
        <f>HYPERLINK("https://klasma.github.io/Logging_2283/fåglar/A 2515-2024 prioriterade fågelarter.docx", "A 2515-2024")</f>
        <v/>
      </c>
    </row>
    <row r="255" ht="15" customHeight="1">
      <c r="A255" t="inlineStr">
        <is>
          <t>A 6698-2024</t>
        </is>
      </c>
      <c r="B255" s="1" t="n">
        <v>45341</v>
      </c>
      <c r="C255" s="1" t="n">
        <v>45576</v>
      </c>
      <c r="D255" t="inlineStr">
        <is>
          <t>VÄSTERNORRLANDS LÄN</t>
        </is>
      </c>
      <c r="E255" t="inlineStr">
        <is>
          <t>SOLLEFTEÅ</t>
        </is>
      </c>
      <c r="F255" t="inlineStr">
        <is>
          <t>SCA</t>
        </is>
      </c>
      <c r="G255" t="n">
        <v>3</v>
      </c>
      <c r="H255" t="n">
        <v>0</v>
      </c>
      <c r="I255" t="n">
        <v>0</v>
      </c>
      <c r="J255" t="n">
        <v>2</v>
      </c>
      <c r="K255" t="n">
        <v>0</v>
      </c>
      <c r="L255" t="n">
        <v>0</v>
      </c>
      <c r="M255" t="n">
        <v>0</v>
      </c>
      <c r="N255" t="n">
        <v>0</v>
      </c>
      <c r="O255" t="n">
        <v>2</v>
      </c>
      <c r="P255" t="n">
        <v>0</v>
      </c>
      <c r="Q255" t="n">
        <v>2</v>
      </c>
      <c r="R255" s="2" t="inlineStr">
        <is>
          <t>Granticka
Harticka</t>
        </is>
      </c>
      <c r="S255">
        <f>HYPERLINK("https://klasma.github.io/Logging_2283/artfynd/A 6698-2024 artfynd.xlsx", "A 6698-2024")</f>
        <v/>
      </c>
      <c r="T255">
        <f>HYPERLINK("https://klasma.github.io/Logging_2283/kartor/A 6698-2024 karta.png", "A 6698-2024")</f>
        <v/>
      </c>
      <c r="V255">
        <f>HYPERLINK("https://klasma.github.io/Logging_2283/klagomål/A 6698-2024 FSC-klagomål.docx", "A 6698-2024")</f>
        <v/>
      </c>
      <c r="W255">
        <f>HYPERLINK("https://klasma.github.io/Logging_2283/klagomålsmail/A 6698-2024 FSC-klagomål mail.docx", "A 6698-2024")</f>
        <v/>
      </c>
      <c r="X255">
        <f>HYPERLINK("https://klasma.github.io/Logging_2283/tillsyn/A 6698-2024 tillsynsbegäran.docx", "A 6698-2024")</f>
        <v/>
      </c>
      <c r="Y255">
        <f>HYPERLINK("https://klasma.github.io/Logging_2283/tillsynsmail/A 6698-2024 tillsynsbegäran mail.docx", "A 6698-2024")</f>
        <v/>
      </c>
    </row>
    <row r="256" ht="15" customHeight="1">
      <c r="A256" t="inlineStr">
        <is>
          <t>A 7108-2024</t>
        </is>
      </c>
      <c r="B256" s="1" t="n">
        <v>45343</v>
      </c>
      <c r="C256" s="1" t="n">
        <v>45576</v>
      </c>
      <c r="D256" t="inlineStr">
        <is>
          <t>VÄSTERNORRLANDS LÄN</t>
        </is>
      </c>
      <c r="E256" t="inlineStr">
        <is>
          <t>SOLLEFTEÅ</t>
        </is>
      </c>
      <c r="F256" t="inlineStr">
        <is>
          <t>SCA</t>
        </is>
      </c>
      <c r="G256" t="n">
        <v>3.8</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7108-2024 artfynd.xlsx", "A 7108-2024")</f>
        <v/>
      </c>
      <c r="T256">
        <f>HYPERLINK("https://klasma.github.io/Logging_2283/kartor/A 7108-2024 karta.png", "A 7108-2024")</f>
        <v/>
      </c>
      <c r="V256">
        <f>HYPERLINK("https://klasma.github.io/Logging_2283/klagomål/A 7108-2024 FSC-klagomål.docx", "A 7108-2024")</f>
        <v/>
      </c>
      <c r="W256">
        <f>HYPERLINK("https://klasma.github.io/Logging_2283/klagomålsmail/A 7108-2024 FSC-klagomål mail.docx", "A 7108-2024")</f>
        <v/>
      </c>
      <c r="X256">
        <f>HYPERLINK("https://klasma.github.io/Logging_2283/tillsyn/A 7108-2024 tillsynsbegäran.docx", "A 7108-2024")</f>
        <v/>
      </c>
      <c r="Y256">
        <f>HYPERLINK("https://klasma.github.io/Logging_2283/tillsynsmail/A 7108-2024 tillsynsbegäran mail.docx", "A 7108-2024")</f>
        <v/>
      </c>
    </row>
    <row r="257" ht="15" customHeight="1">
      <c r="A257" t="inlineStr">
        <is>
          <t>A 7109-2024</t>
        </is>
      </c>
      <c r="B257" s="1" t="n">
        <v>45343</v>
      </c>
      <c r="C257" s="1" t="n">
        <v>45576</v>
      </c>
      <c r="D257" t="inlineStr">
        <is>
          <t>VÄSTERNORRLANDS LÄN</t>
        </is>
      </c>
      <c r="E257" t="inlineStr">
        <is>
          <t>SOLLEFTEÅ</t>
        </is>
      </c>
      <c r="F257" t="inlineStr">
        <is>
          <t>SCA</t>
        </is>
      </c>
      <c r="G257" t="n">
        <v>11</v>
      </c>
      <c r="H257" t="n">
        <v>1</v>
      </c>
      <c r="I257" t="n">
        <v>0</v>
      </c>
      <c r="J257" t="n">
        <v>2</v>
      </c>
      <c r="K257" t="n">
        <v>0</v>
      </c>
      <c r="L257" t="n">
        <v>0</v>
      </c>
      <c r="M257" t="n">
        <v>0</v>
      </c>
      <c r="N257" t="n">
        <v>0</v>
      </c>
      <c r="O257" t="n">
        <v>2</v>
      </c>
      <c r="P257" t="n">
        <v>0</v>
      </c>
      <c r="Q257" t="n">
        <v>2</v>
      </c>
      <c r="R257" s="2" t="inlineStr">
        <is>
          <t>Garnlav
Tretåig hackspett</t>
        </is>
      </c>
      <c r="S257">
        <f>HYPERLINK("https://klasma.github.io/Logging_2283/artfynd/A 7109-2024 artfynd.xlsx", "A 7109-2024")</f>
        <v/>
      </c>
      <c r="T257">
        <f>HYPERLINK("https://klasma.github.io/Logging_2283/kartor/A 7109-2024 karta.png", "A 7109-2024")</f>
        <v/>
      </c>
      <c r="V257">
        <f>HYPERLINK("https://klasma.github.io/Logging_2283/klagomål/A 7109-2024 FSC-klagomål.docx", "A 7109-2024")</f>
        <v/>
      </c>
      <c r="W257">
        <f>HYPERLINK("https://klasma.github.io/Logging_2283/klagomålsmail/A 7109-2024 FSC-klagomål mail.docx", "A 7109-2024")</f>
        <v/>
      </c>
      <c r="X257">
        <f>HYPERLINK("https://klasma.github.io/Logging_2283/tillsyn/A 7109-2024 tillsynsbegäran.docx", "A 7109-2024")</f>
        <v/>
      </c>
      <c r="Y257">
        <f>HYPERLINK("https://klasma.github.io/Logging_2283/tillsynsmail/A 7109-2024 tillsynsbegäran mail.docx", "A 7109-2024")</f>
        <v/>
      </c>
      <c r="Z257">
        <f>HYPERLINK("https://klasma.github.io/Logging_2283/fåglar/A 7109-2024 prioriterade fågelarter.docx", "A 7109-2024")</f>
        <v/>
      </c>
    </row>
    <row r="258" ht="15" customHeight="1">
      <c r="A258" t="inlineStr">
        <is>
          <t>A 9554-2024</t>
        </is>
      </c>
      <c r="B258" s="1" t="n">
        <v>45360</v>
      </c>
      <c r="C258" s="1" t="n">
        <v>45576</v>
      </c>
      <c r="D258" t="inlineStr">
        <is>
          <t>VÄSTERNORRLANDS LÄN</t>
        </is>
      </c>
      <c r="E258" t="inlineStr">
        <is>
          <t>SOLLEFTEÅ</t>
        </is>
      </c>
      <c r="F258" t="inlineStr">
        <is>
          <t>SCA</t>
        </is>
      </c>
      <c r="G258" t="n">
        <v>7.3</v>
      </c>
      <c r="H258" t="n">
        <v>2</v>
      </c>
      <c r="I258" t="n">
        <v>0</v>
      </c>
      <c r="J258" t="n">
        <v>0</v>
      </c>
      <c r="K258" t="n">
        <v>1</v>
      </c>
      <c r="L258" t="n">
        <v>0</v>
      </c>
      <c r="M258" t="n">
        <v>0</v>
      </c>
      <c r="N258" t="n">
        <v>0</v>
      </c>
      <c r="O258" t="n">
        <v>1</v>
      </c>
      <c r="P258" t="n">
        <v>1</v>
      </c>
      <c r="Q258" t="n">
        <v>2</v>
      </c>
      <c r="R258" s="2" t="inlineStr">
        <is>
          <t>Knärot
Revlummer</t>
        </is>
      </c>
      <c r="S258">
        <f>HYPERLINK("https://klasma.github.io/Logging_2283/artfynd/A 9554-2024 artfynd.xlsx", "A 9554-2024")</f>
        <v/>
      </c>
      <c r="T258">
        <f>HYPERLINK("https://klasma.github.io/Logging_2283/kartor/A 9554-2024 karta.png", "A 9554-2024")</f>
        <v/>
      </c>
      <c r="U258">
        <f>HYPERLINK("https://klasma.github.io/Logging_2283/knärot/A 9554-2024 karta knärot.png", "A 9554-2024")</f>
        <v/>
      </c>
      <c r="V258">
        <f>HYPERLINK("https://klasma.github.io/Logging_2283/klagomål/A 9554-2024 FSC-klagomål.docx", "A 9554-2024")</f>
        <v/>
      </c>
      <c r="W258">
        <f>HYPERLINK("https://klasma.github.io/Logging_2283/klagomålsmail/A 9554-2024 FSC-klagomål mail.docx", "A 9554-2024")</f>
        <v/>
      </c>
      <c r="X258">
        <f>HYPERLINK("https://klasma.github.io/Logging_2283/tillsyn/A 9554-2024 tillsynsbegäran.docx", "A 9554-2024")</f>
        <v/>
      </c>
      <c r="Y258">
        <f>HYPERLINK("https://klasma.github.io/Logging_2283/tillsynsmail/A 9554-2024 tillsynsbegäran mail.docx", "A 9554-2024")</f>
        <v/>
      </c>
    </row>
    <row r="259" ht="15" customHeight="1">
      <c r="A259" t="inlineStr">
        <is>
          <t>A 19080-2024</t>
        </is>
      </c>
      <c r="B259" s="1" t="n">
        <v>45428</v>
      </c>
      <c r="C259" s="1" t="n">
        <v>45576</v>
      </c>
      <c r="D259" t="inlineStr">
        <is>
          <t>VÄSTERNORRLANDS LÄN</t>
        </is>
      </c>
      <c r="E259" t="inlineStr">
        <is>
          <t>SOLLEFTEÅ</t>
        </is>
      </c>
      <c r="F259" t="inlineStr">
        <is>
          <t>SCA</t>
        </is>
      </c>
      <c r="G259" t="n">
        <v>1.2</v>
      </c>
      <c r="H259" t="n">
        <v>0</v>
      </c>
      <c r="I259" t="n">
        <v>1</v>
      </c>
      <c r="J259" t="n">
        <v>1</v>
      </c>
      <c r="K259" t="n">
        <v>0</v>
      </c>
      <c r="L259" t="n">
        <v>0</v>
      </c>
      <c r="M259" t="n">
        <v>0</v>
      </c>
      <c r="N259" t="n">
        <v>0</v>
      </c>
      <c r="O259" t="n">
        <v>1</v>
      </c>
      <c r="P259" t="n">
        <v>0</v>
      </c>
      <c r="Q259" t="n">
        <v>2</v>
      </c>
      <c r="R259" s="2" t="inlineStr">
        <is>
          <t>Garnlav
Stor aspticka</t>
        </is>
      </c>
      <c r="S259">
        <f>HYPERLINK("https://klasma.github.io/Logging_2283/artfynd/A 19080-2024 artfynd.xlsx", "A 19080-2024")</f>
        <v/>
      </c>
      <c r="T259">
        <f>HYPERLINK("https://klasma.github.io/Logging_2283/kartor/A 19080-2024 karta.png", "A 19080-2024")</f>
        <v/>
      </c>
      <c r="V259">
        <f>HYPERLINK("https://klasma.github.io/Logging_2283/klagomål/A 19080-2024 FSC-klagomål.docx", "A 19080-2024")</f>
        <v/>
      </c>
      <c r="W259">
        <f>HYPERLINK("https://klasma.github.io/Logging_2283/klagomålsmail/A 19080-2024 FSC-klagomål mail.docx", "A 19080-2024")</f>
        <v/>
      </c>
      <c r="X259">
        <f>HYPERLINK("https://klasma.github.io/Logging_2283/tillsyn/A 19080-2024 tillsynsbegäran.docx", "A 19080-2024")</f>
        <v/>
      </c>
      <c r="Y259">
        <f>HYPERLINK("https://klasma.github.io/Logging_2283/tillsynsmail/A 19080-2024 tillsynsbegäran mail.docx", "A 19080-2024")</f>
        <v/>
      </c>
    </row>
    <row r="260" ht="15" customHeight="1">
      <c r="A260" t="inlineStr">
        <is>
          <t>A 27644-2024</t>
        </is>
      </c>
      <c r="B260" s="1" t="n">
        <v>45474</v>
      </c>
      <c r="C260" s="1" t="n">
        <v>45576</v>
      </c>
      <c r="D260" t="inlineStr">
        <is>
          <t>VÄSTERNORRLANDS LÄN</t>
        </is>
      </c>
      <c r="E260" t="inlineStr">
        <is>
          <t>SOLLEFTEÅ</t>
        </is>
      </c>
      <c r="F260" t="inlineStr">
        <is>
          <t>SCA</t>
        </is>
      </c>
      <c r="G260" t="n">
        <v>2.8</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27644-2024 artfynd.xlsx", "A 27644-2024")</f>
        <v/>
      </c>
      <c r="T260">
        <f>HYPERLINK("https://klasma.github.io/Logging_2283/kartor/A 27644-2024 karta.png", "A 27644-2024")</f>
        <v/>
      </c>
      <c r="V260">
        <f>HYPERLINK("https://klasma.github.io/Logging_2283/klagomål/A 27644-2024 FSC-klagomål.docx", "A 27644-2024")</f>
        <v/>
      </c>
      <c r="W260">
        <f>HYPERLINK("https://klasma.github.io/Logging_2283/klagomålsmail/A 27644-2024 FSC-klagomål mail.docx", "A 27644-2024")</f>
        <v/>
      </c>
      <c r="X260">
        <f>HYPERLINK("https://klasma.github.io/Logging_2283/tillsyn/A 27644-2024 tillsynsbegäran.docx", "A 27644-2024")</f>
        <v/>
      </c>
      <c r="Y260">
        <f>HYPERLINK("https://klasma.github.io/Logging_2283/tillsynsmail/A 27644-2024 tillsynsbegäran mail.docx", "A 27644-2024")</f>
        <v/>
      </c>
    </row>
    <row r="261" ht="15" customHeight="1">
      <c r="A261" t="inlineStr">
        <is>
          <t>A 29264-2024</t>
        </is>
      </c>
      <c r="B261" s="1" t="n">
        <v>45482</v>
      </c>
      <c r="C261" s="1" t="n">
        <v>45576</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29919-2024</t>
        </is>
      </c>
      <c r="B262" s="1" t="n">
        <v>45488</v>
      </c>
      <c r="C262" s="1" t="n">
        <v>45576</v>
      </c>
      <c r="D262" t="inlineStr">
        <is>
          <t>VÄSTERNORRLANDS LÄN</t>
        </is>
      </c>
      <c r="E262" t="inlineStr">
        <is>
          <t>SOLLEFTEÅ</t>
        </is>
      </c>
      <c r="G262" t="n">
        <v>8.1</v>
      </c>
      <c r="H262" t="n">
        <v>0</v>
      </c>
      <c r="I262" t="n">
        <v>0</v>
      </c>
      <c r="J262" t="n">
        <v>2</v>
      </c>
      <c r="K262" t="n">
        <v>0</v>
      </c>
      <c r="L262" t="n">
        <v>0</v>
      </c>
      <c r="M262" t="n">
        <v>0</v>
      </c>
      <c r="N262" t="n">
        <v>0</v>
      </c>
      <c r="O262" t="n">
        <v>2</v>
      </c>
      <c r="P262" t="n">
        <v>0</v>
      </c>
      <c r="Q262" t="n">
        <v>2</v>
      </c>
      <c r="R262" s="2" t="inlineStr">
        <is>
          <t>Garnlav
Rosenticka</t>
        </is>
      </c>
      <c r="S262">
        <f>HYPERLINK("https://klasma.github.io/Logging_2283/artfynd/A 29919-2024 artfynd.xlsx", "A 29919-2024")</f>
        <v/>
      </c>
      <c r="T262">
        <f>HYPERLINK("https://klasma.github.io/Logging_2283/kartor/A 29919-2024 karta.png", "A 29919-2024")</f>
        <v/>
      </c>
      <c r="V262">
        <f>HYPERLINK("https://klasma.github.io/Logging_2283/klagomål/A 29919-2024 FSC-klagomål.docx", "A 29919-2024")</f>
        <v/>
      </c>
      <c r="W262">
        <f>HYPERLINK("https://klasma.github.io/Logging_2283/klagomålsmail/A 29919-2024 FSC-klagomål mail.docx", "A 29919-2024")</f>
        <v/>
      </c>
      <c r="X262">
        <f>HYPERLINK("https://klasma.github.io/Logging_2283/tillsyn/A 29919-2024 tillsynsbegäran.docx", "A 29919-2024")</f>
        <v/>
      </c>
      <c r="Y262">
        <f>HYPERLINK("https://klasma.github.io/Logging_2283/tillsynsmail/A 29919-2024 tillsynsbegäran mail.docx", "A 29919-2024")</f>
        <v/>
      </c>
    </row>
    <row r="263" ht="15" customHeight="1">
      <c r="A263" t="inlineStr">
        <is>
          <t>A 29917-2024</t>
        </is>
      </c>
      <c r="B263" s="1" t="n">
        <v>45487</v>
      </c>
      <c r="C263" s="1" t="n">
        <v>45576</v>
      </c>
      <c r="D263" t="inlineStr">
        <is>
          <t>VÄSTERNORRLANDS LÄN</t>
        </is>
      </c>
      <c r="E263" t="inlineStr">
        <is>
          <t>SOLLEFTEÅ</t>
        </is>
      </c>
      <c r="G263" t="n">
        <v>1.1</v>
      </c>
      <c r="H263" t="n">
        <v>0</v>
      </c>
      <c r="I263" t="n">
        <v>0</v>
      </c>
      <c r="J263" t="n">
        <v>2</v>
      </c>
      <c r="K263" t="n">
        <v>0</v>
      </c>
      <c r="L263" t="n">
        <v>0</v>
      </c>
      <c r="M263" t="n">
        <v>0</v>
      </c>
      <c r="N263" t="n">
        <v>0</v>
      </c>
      <c r="O263" t="n">
        <v>2</v>
      </c>
      <c r="P263" t="n">
        <v>0</v>
      </c>
      <c r="Q263" t="n">
        <v>2</v>
      </c>
      <c r="R263" s="2" t="inlineStr">
        <is>
          <t>Garnlav
Mörk kolflarnlav</t>
        </is>
      </c>
      <c r="S263">
        <f>HYPERLINK("https://klasma.github.io/Logging_2283/artfynd/A 29917-2024 artfynd.xlsx", "A 29917-2024")</f>
        <v/>
      </c>
      <c r="T263">
        <f>HYPERLINK("https://klasma.github.io/Logging_2283/kartor/A 29917-2024 karta.png", "A 29917-2024")</f>
        <v/>
      </c>
      <c r="V263">
        <f>HYPERLINK("https://klasma.github.io/Logging_2283/klagomål/A 29917-2024 FSC-klagomål.docx", "A 29917-2024")</f>
        <v/>
      </c>
      <c r="W263">
        <f>HYPERLINK("https://klasma.github.io/Logging_2283/klagomålsmail/A 29917-2024 FSC-klagomål mail.docx", "A 29917-2024")</f>
        <v/>
      </c>
      <c r="X263">
        <f>HYPERLINK("https://klasma.github.io/Logging_2283/tillsyn/A 29917-2024 tillsynsbegäran.docx", "A 29917-2024")</f>
        <v/>
      </c>
      <c r="Y263">
        <f>HYPERLINK("https://klasma.github.io/Logging_2283/tillsynsmail/A 29917-2024 tillsynsbegäran mail.docx", "A 29917-2024")</f>
        <v/>
      </c>
    </row>
    <row r="264" ht="15" customHeight="1">
      <c r="A264" t="inlineStr">
        <is>
          <t>A 31491-2024</t>
        </is>
      </c>
      <c r="B264" s="1" t="n">
        <v>45505</v>
      </c>
      <c r="C264" s="1" t="n">
        <v>45576</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34812-2024</t>
        </is>
      </c>
      <c r="B265" s="1" t="n">
        <v>45526</v>
      </c>
      <c r="C265" s="1" t="n">
        <v>45576</v>
      </c>
      <c r="D265" t="inlineStr">
        <is>
          <t>VÄSTERNORRLANDS LÄN</t>
        </is>
      </c>
      <c r="E265" t="inlineStr">
        <is>
          <t>SOLLEFTEÅ</t>
        </is>
      </c>
      <c r="G265" t="n">
        <v>8.1</v>
      </c>
      <c r="H265" t="n">
        <v>0</v>
      </c>
      <c r="I265" t="n">
        <v>1</v>
      </c>
      <c r="J265" t="n">
        <v>1</v>
      </c>
      <c r="K265" t="n">
        <v>0</v>
      </c>
      <c r="L265" t="n">
        <v>0</v>
      </c>
      <c r="M265" t="n">
        <v>0</v>
      </c>
      <c r="N265" t="n">
        <v>0</v>
      </c>
      <c r="O265" t="n">
        <v>1</v>
      </c>
      <c r="P265" t="n">
        <v>0</v>
      </c>
      <c r="Q265" t="n">
        <v>2</v>
      </c>
      <c r="R265" s="2" t="inlineStr">
        <is>
          <t>Garnlav
Dropptaggsvamp</t>
        </is>
      </c>
      <c r="S265">
        <f>HYPERLINK("https://klasma.github.io/Logging_2283/artfynd/A 34812-2024 artfynd.xlsx", "A 34812-2024")</f>
        <v/>
      </c>
      <c r="T265">
        <f>HYPERLINK("https://klasma.github.io/Logging_2283/kartor/A 34812-2024 karta.png", "A 34812-2024")</f>
        <v/>
      </c>
      <c r="V265">
        <f>HYPERLINK("https://klasma.github.io/Logging_2283/klagomål/A 34812-2024 FSC-klagomål.docx", "A 34812-2024")</f>
        <v/>
      </c>
      <c r="W265">
        <f>HYPERLINK("https://klasma.github.io/Logging_2283/klagomålsmail/A 34812-2024 FSC-klagomål mail.docx", "A 34812-2024")</f>
        <v/>
      </c>
      <c r="X265">
        <f>HYPERLINK("https://klasma.github.io/Logging_2283/tillsyn/A 34812-2024 tillsynsbegäran.docx", "A 34812-2024")</f>
        <v/>
      </c>
      <c r="Y265">
        <f>HYPERLINK("https://klasma.github.io/Logging_2283/tillsynsmail/A 34812-2024 tillsynsbegäran mail.docx", "A 34812-2024")</f>
        <v/>
      </c>
    </row>
    <row r="266" ht="15" customHeight="1">
      <c r="A266" t="inlineStr">
        <is>
          <t>A 34814-2024</t>
        </is>
      </c>
      <c r="B266" s="1" t="n">
        <v>45526</v>
      </c>
      <c r="C266" s="1" t="n">
        <v>45576</v>
      </c>
      <c r="D266" t="inlineStr">
        <is>
          <t>VÄSTERNORRLANDS LÄN</t>
        </is>
      </c>
      <c r="E266" t="inlineStr">
        <is>
          <t>SOLLEFTEÅ</t>
        </is>
      </c>
      <c r="F266" t="inlineStr">
        <is>
          <t>SCA</t>
        </is>
      </c>
      <c r="G266" t="n">
        <v>6.9</v>
      </c>
      <c r="H266" t="n">
        <v>0</v>
      </c>
      <c r="I266" t="n">
        <v>0</v>
      </c>
      <c r="J266" t="n">
        <v>2</v>
      </c>
      <c r="K266" t="n">
        <v>0</v>
      </c>
      <c r="L266" t="n">
        <v>0</v>
      </c>
      <c r="M266" t="n">
        <v>0</v>
      </c>
      <c r="N266" t="n">
        <v>0</v>
      </c>
      <c r="O266" t="n">
        <v>2</v>
      </c>
      <c r="P266" t="n">
        <v>0</v>
      </c>
      <c r="Q266" t="n">
        <v>2</v>
      </c>
      <c r="R266" s="2" t="inlineStr">
        <is>
          <t>Kolflarnlav
Lunglav</t>
        </is>
      </c>
      <c r="S266">
        <f>HYPERLINK("https://klasma.github.io/Logging_2283/artfynd/A 34814-2024 artfynd.xlsx", "A 34814-2024")</f>
        <v/>
      </c>
      <c r="T266">
        <f>HYPERLINK("https://klasma.github.io/Logging_2283/kartor/A 34814-2024 karta.png", "A 34814-2024")</f>
        <v/>
      </c>
      <c r="V266">
        <f>HYPERLINK("https://klasma.github.io/Logging_2283/klagomål/A 34814-2024 FSC-klagomål.docx", "A 34814-2024")</f>
        <v/>
      </c>
      <c r="W266">
        <f>HYPERLINK("https://klasma.github.io/Logging_2283/klagomålsmail/A 34814-2024 FSC-klagomål mail.docx", "A 34814-2024")</f>
        <v/>
      </c>
      <c r="X266">
        <f>HYPERLINK("https://klasma.github.io/Logging_2283/tillsyn/A 34814-2024 tillsynsbegäran.docx", "A 34814-2024")</f>
        <v/>
      </c>
      <c r="Y266">
        <f>HYPERLINK("https://klasma.github.io/Logging_2283/tillsynsmail/A 34814-2024 tillsynsbegäran mail.docx", "A 34814-2024")</f>
        <v/>
      </c>
    </row>
    <row r="267" ht="15" customHeight="1">
      <c r="A267" t="inlineStr">
        <is>
          <t>A 36912-2024</t>
        </is>
      </c>
      <c r="B267" s="1" t="n">
        <v>45538</v>
      </c>
      <c r="C267" s="1" t="n">
        <v>45576</v>
      </c>
      <c r="D267" t="inlineStr">
        <is>
          <t>VÄSTERNORRLANDS LÄN</t>
        </is>
      </c>
      <c r="E267" t="inlineStr">
        <is>
          <t>SOLLEFTEÅ</t>
        </is>
      </c>
      <c r="F267" t="inlineStr">
        <is>
          <t>SCA</t>
        </is>
      </c>
      <c r="G267" t="n">
        <v>2</v>
      </c>
      <c r="H267" t="n">
        <v>1</v>
      </c>
      <c r="I267" t="n">
        <v>0</v>
      </c>
      <c r="J267" t="n">
        <v>2</v>
      </c>
      <c r="K267" t="n">
        <v>0</v>
      </c>
      <c r="L267" t="n">
        <v>0</v>
      </c>
      <c r="M267" t="n">
        <v>0</v>
      </c>
      <c r="N267" t="n">
        <v>0</v>
      </c>
      <c r="O267" t="n">
        <v>2</v>
      </c>
      <c r="P267" t="n">
        <v>0</v>
      </c>
      <c r="Q267" t="n">
        <v>2</v>
      </c>
      <c r="R267" s="2" t="inlineStr">
        <is>
          <t>Talltita
Ullticka</t>
        </is>
      </c>
      <c r="S267">
        <f>HYPERLINK("https://klasma.github.io/Logging_2283/artfynd/A 36912-2024 artfynd.xlsx", "A 36912-2024")</f>
        <v/>
      </c>
      <c r="T267">
        <f>HYPERLINK("https://klasma.github.io/Logging_2283/kartor/A 36912-2024 karta.png", "A 36912-2024")</f>
        <v/>
      </c>
      <c r="V267">
        <f>HYPERLINK("https://klasma.github.io/Logging_2283/klagomål/A 36912-2024 FSC-klagomål.docx", "A 36912-2024")</f>
        <v/>
      </c>
      <c r="W267">
        <f>HYPERLINK("https://klasma.github.io/Logging_2283/klagomålsmail/A 36912-2024 FSC-klagomål mail.docx", "A 36912-2024")</f>
        <v/>
      </c>
      <c r="X267">
        <f>HYPERLINK("https://klasma.github.io/Logging_2283/tillsyn/A 36912-2024 tillsynsbegäran.docx", "A 36912-2024")</f>
        <v/>
      </c>
      <c r="Y267">
        <f>HYPERLINK("https://klasma.github.io/Logging_2283/tillsynsmail/A 36912-2024 tillsynsbegäran mail.docx", "A 36912-2024")</f>
        <v/>
      </c>
      <c r="Z267">
        <f>HYPERLINK("https://klasma.github.io/Logging_2283/fåglar/A 36912-2024 prioriterade fågelarter.docx", "A 36912-2024")</f>
        <v/>
      </c>
    </row>
    <row r="268" ht="15" customHeight="1">
      <c r="A268" t="inlineStr">
        <is>
          <t>A 38017-2024</t>
        </is>
      </c>
      <c r="B268" s="1" t="n">
        <v>45544</v>
      </c>
      <c r="C268" s="1" t="n">
        <v>45576</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40576-2024</t>
        </is>
      </c>
      <c r="B269" s="1" t="n">
        <v>45555</v>
      </c>
      <c r="C269" s="1" t="n">
        <v>45576</v>
      </c>
      <c r="D269" t="inlineStr">
        <is>
          <t>VÄSTERNORRLANDS LÄN</t>
        </is>
      </c>
      <c r="E269" t="inlineStr">
        <is>
          <t>SOLLEFTEÅ</t>
        </is>
      </c>
      <c r="F269" t="inlineStr">
        <is>
          <t>SCA</t>
        </is>
      </c>
      <c r="G269" t="n">
        <v>11.7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HYPERLINK("https://klasma.github.io/Logging_2283/artfynd/A 40576-2024 artfynd.xlsx", "A 40576-2024")</f>
        <v/>
      </c>
      <c r="T269">
        <f>HYPERLINK("https://klasma.github.io/Logging_2283/kartor/A 40576-2024 karta.png", "A 40576-2024")</f>
        <v/>
      </c>
      <c r="V269">
        <f>HYPERLINK("https://klasma.github.io/Logging_2283/klagomål/A 40576-2024 FSC-klagomål.docx", "A 40576-2024")</f>
        <v/>
      </c>
      <c r="W269">
        <f>HYPERLINK("https://klasma.github.io/Logging_2283/klagomålsmail/A 40576-2024 FSC-klagomål mail.docx", "A 40576-2024")</f>
        <v/>
      </c>
      <c r="X269">
        <f>HYPERLINK("https://klasma.github.io/Logging_2283/tillsyn/A 40576-2024 tillsynsbegäran.docx", "A 40576-2024")</f>
        <v/>
      </c>
      <c r="Y269">
        <f>HYPERLINK("https://klasma.github.io/Logging_2283/tillsynsmail/A 40576-2024 tillsynsbegäran mail.docx", "A 40576-2024")</f>
        <v/>
      </c>
      <c r="Z269">
        <f>HYPERLINK("https://klasma.github.io/Logging_2283/fåglar/A 40576-2024 prioriterade fågelarter.docx", "A 40576-2024")</f>
        <v/>
      </c>
    </row>
    <row r="270" ht="15" customHeight="1">
      <c r="A270" t="inlineStr">
        <is>
          <t>A 21120-2019</t>
        </is>
      </c>
      <c r="B270" s="1" t="n">
        <v>43578</v>
      </c>
      <c r="C270" s="1" t="n">
        <v>45576</v>
      </c>
      <c r="D270" t="inlineStr">
        <is>
          <t>VÄSTERNORRLANDS LÄN</t>
        </is>
      </c>
      <c r="E270" t="inlineStr">
        <is>
          <t>SOLLEFTEÅ</t>
        </is>
      </c>
      <c r="F270" t="inlineStr">
        <is>
          <t>SCA</t>
        </is>
      </c>
      <c r="G270" t="n">
        <v>54.4</v>
      </c>
      <c r="H270" t="n">
        <v>1</v>
      </c>
      <c r="I270" t="n">
        <v>0</v>
      </c>
      <c r="J270" t="n">
        <v>0</v>
      </c>
      <c r="K270" t="n">
        <v>0</v>
      </c>
      <c r="L270" t="n">
        <v>0</v>
      </c>
      <c r="M270" t="n">
        <v>0</v>
      </c>
      <c r="N270" t="n">
        <v>0</v>
      </c>
      <c r="O270" t="n">
        <v>0</v>
      </c>
      <c r="P270" t="n">
        <v>0</v>
      </c>
      <c r="Q270" t="n">
        <v>1</v>
      </c>
      <c r="R270" s="2" t="inlineStr">
        <is>
          <t>Revlummer</t>
        </is>
      </c>
      <c r="S270">
        <f>HYPERLINK("https://klasma.github.io/Logging_2283/artfynd/A 21120-2019 artfynd.xlsx", "A 21120-2019")</f>
        <v/>
      </c>
      <c r="T270">
        <f>HYPERLINK("https://klasma.github.io/Logging_2283/kartor/A 21120-2019 karta.png", "A 21120-2019")</f>
        <v/>
      </c>
      <c r="V270">
        <f>HYPERLINK("https://klasma.github.io/Logging_2283/klagomål/A 21120-2019 FSC-klagomål.docx", "A 21120-2019")</f>
        <v/>
      </c>
      <c r="W270">
        <f>HYPERLINK("https://klasma.github.io/Logging_2283/klagomålsmail/A 21120-2019 FSC-klagomål mail.docx", "A 21120-2019")</f>
        <v/>
      </c>
      <c r="X270">
        <f>HYPERLINK("https://klasma.github.io/Logging_2283/tillsyn/A 21120-2019 tillsynsbegäran.docx", "A 21120-2019")</f>
        <v/>
      </c>
      <c r="Y270">
        <f>HYPERLINK("https://klasma.github.io/Logging_2283/tillsynsmail/A 21120-2019 tillsynsbegäran mail.docx", "A 21120-2019")</f>
        <v/>
      </c>
    </row>
    <row r="271" ht="15" customHeight="1">
      <c r="A271" t="inlineStr">
        <is>
          <t>A 28600-2019</t>
        </is>
      </c>
      <c r="B271" s="1" t="n">
        <v>43626</v>
      </c>
      <c r="C271" s="1" t="n">
        <v>45576</v>
      </c>
      <c r="D271" t="inlineStr">
        <is>
          <t>VÄSTERNORRLANDS LÄN</t>
        </is>
      </c>
      <c r="E271" t="inlineStr">
        <is>
          <t>SOLLEFTEÅ</t>
        </is>
      </c>
      <c r="F271" t="inlineStr">
        <is>
          <t>SCA</t>
        </is>
      </c>
      <c r="G271" t="n">
        <v>5.9</v>
      </c>
      <c r="H271" t="n">
        <v>0</v>
      </c>
      <c r="I271" t="n">
        <v>0</v>
      </c>
      <c r="J271" t="n">
        <v>1</v>
      </c>
      <c r="K271" t="n">
        <v>0</v>
      </c>
      <c r="L271" t="n">
        <v>0</v>
      </c>
      <c r="M271" t="n">
        <v>0</v>
      </c>
      <c r="N271" t="n">
        <v>0</v>
      </c>
      <c r="O271" t="n">
        <v>1</v>
      </c>
      <c r="P271" t="n">
        <v>0</v>
      </c>
      <c r="Q271" t="n">
        <v>1</v>
      </c>
      <c r="R271" s="2" t="inlineStr">
        <is>
          <t>Tallriska</t>
        </is>
      </c>
      <c r="S271">
        <f>HYPERLINK("https://klasma.github.io/Logging_2283/artfynd/A 28600-2019 artfynd.xlsx", "A 28600-2019")</f>
        <v/>
      </c>
      <c r="T271">
        <f>HYPERLINK("https://klasma.github.io/Logging_2283/kartor/A 28600-2019 karta.png", "A 28600-2019")</f>
        <v/>
      </c>
      <c r="V271">
        <f>HYPERLINK("https://klasma.github.io/Logging_2283/klagomål/A 28600-2019 FSC-klagomål.docx", "A 28600-2019")</f>
        <v/>
      </c>
      <c r="W271">
        <f>HYPERLINK("https://klasma.github.io/Logging_2283/klagomålsmail/A 28600-2019 FSC-klagomål mail.docx", "A 28600-2019")</f>
        <v/>
      </c>
      <c r="X271">
        <f>HYPERLINK("https://klasma.github.io/Logging_2283/tillsyn/A 28600-2019 tillsynsbegäran.docx", "A 28600-2019")</f>
        <v/>
      </c>
      <c r="Y271">
        <f>HYPERLINK("https://klasma.github.io/Logging_2283/tillsynsmail/A 28600-2019 tillsynsbegäran mail.docx", "A 28600-2019")</f>
        <v/>
      </c>
    </row>
    <row r="272" ht="15" customHeight="1">
      <c r="A272" t="inlineStr">
        <is>
          <t>A 36982-2019</t>
        </is>
      </c>
      <c r="B272" s="1" t="n">
        <v>43676</v>
      </c>
      <c r="C272" s="1" t="n">
        <v>45576</v>
      </c>
      <c r="D272" t="inlineStr">
        <is>
          <t>VÄSTERNORRLANDS LÄN</t>
        </is>
      </c>
      <c r="E272" t="inlineStr">
        <is>
          <t>SOLLEFTEÅ</t>
        </is>
      </c>
      <c r="G272" t="n">
        <v>1.2</v>
      </c>
      <c r="H272" t="n">
        <v>0</v>
      </c>
      <c r="I272" t="n">
        <v>1</v>
      </c>
      <c r="J272" t="n">
        <v>0</v>
      </c>
      <c r="K272" t="n">
        <v>0</v>
      </c>
      <c r="L272" t="n">
        <v>0</v>
      </c>
      <c r="M272" t="n">
        <v>0</v>
      </c>
      <c r="N272" t="n">
        <v>0</v>
      </c>
      <c r="O272" t="n">
        <v>0</v>
      </c>
      <c r="P272" t="n">
        <v>0</v>
      </c>
      <c r="Q272" t="n">
        <v>1</v>
      </c>
      <c r="R272" s="2" t="inlineStr">
        <is>
          <t>Trådticka</t>
        </is>
      </c>
      <c r="S272">
        <f>HYPERLINK("https://klasma.github.io/Logging_2283/artfynd/A 36982-2019 artfynd.xlsx", "A 36982-2019")</f>
        <v/>
      </c>
      <c r="T272">
        <f>HYPERLINK("https://klasma.github.io/Logging_2283/kartor/A 36982-2019 karta.png", "A 36982-2019")</f>
        <v/>
      </c>
      <c r="V272">
        <f>HYPERLINK("https://klasma.github.io/Logging_2283/klagomål/A 36982-2019 FSC-klagomål.docx", "A 36982-2019")</f>
        <v/>
      </c>
      <c r="W272">
        <f>HYPERLINK("https://klasma.github.io/Logging_2283/klagomålsmail/A 36982-2019 FSC-klagomål mail.docx", "A 36982-2019")</f>
        <v/>
      </c>
      <c r="X272">
        <f>HYPERLINK("https://klasma.github.io/Logging_2283/tillsyn/A 36982-2019 tillsynsbegäran.docx", "A 36982-2019")</f>
        <v/>
      </c>
      <c r="Y272">
        <f>HYPERLINK("https://klasma.github.io/Logging_2283/tillsynsmail/A 36982-2019 tillsynsbegäran mail.docx", "A 36982-2019")</f>
        <v/>
      </c>
    </row>
    <row r="273" ht="15" customHeight="1">
      <c r="A273" t="inlineStr">
        <is>
          <t>A 38091-2019</t>
        </is>
      </c>
      <c r="B273" s="1" t="n">
        <v>43682</v>
      </c>
      <c r="C273" s="1" t="n">
        <v>45576</v>
      </c>
      <c r="D273" t="inlineStr">
        <is>
          <t>VÄSTERNORRLANDS LÄN</t>
        </is>
      </c>
      <c r="E273" t="inlineStr">
        <is>
          <t>SOLLEFTEÅ</t>
        </is>
      </c>
      <c r="F273" t="inlineStr">
        <is>
          <t>Holmen skog AB</t>
        </is>
      </c>
      <c r="G273" t="n">
        <v>4.7</v>
      </c>
      <c r="H273" t="n">
        <v>1</v>
      </c>
      <c r="I273" t="n">
        <v>0</v>
      </c>
      <c r="J273" t="n">
        <v>1</v>
      </c>
      <c r="K273" t="n">
        <v>0</v>
      </c>
      <c r="L273" t="n">
        <v>0</v>
      </c>
      <c r="M273" t="n">
        <v>0</v>
      </c>
      <c r="N273" t="n">
        <v>0</v>
      </c>
      <c r="O273" t="n">
        <v>1</v>
      </c>
      <c r="P273" t="n">
        <v>0</v>
      </c>
      <c r="Q273" t="n">
        <v>1</v>
      </c>
      <c r="R273" s="2" t="inlineStr">
        <is>
          <t>Tretåig hackspett</t>
        </is>
      </c>
      <c r="S273">
        <f>HYPERLINK("https://klasma.github.io/Logging_2283/artfynd/A 38091-2019 artfynd.xlsx", "A 38091-2019")</f>
        <v/>
      </c>
      <c r="T273">
        <f>HYPERLINK("https://klasma.github.io/Logging_2283/kartor/A 38091-2019 karta.png", "A 38091-2019")</f>
        <v/>
      </c>
      <c r="V273">
        <f>HYPERLINK("https://klasma.github.io/Logging_2283/klagomål/A 38091-2019 FSC-klagomål.docx", "A 38091-2019")</f>
        <v/>
      </c>
      <c r="W273">
        <f>HYPERLINK("https://klasma.github.io/Logging_2283/klagomålsmail/A 38091-2019 FSC-klagomål mail.docx", "A 38091-2019")</f>
        <v/>
      </c>
      <c r="X273">
        <f>HYPERLINK("https://klasma.github.io/Logging_2283/tillsyn/A 38091-2019 tillsynsbegäran.docx", "A 38091-2019")</f>
        <v/>
      </c>
      <c r="Y273">
        <f>HYPERLINK("https://klasma.github.io/Logging_2283/tillsynsmail/A 38091-2019 tillsynsbegäran mail.docx", "A 38091-2019")</f>
        <v/>
      </c>
      <c r="Z273">
        <f>HYPERLINK("https://klasma.github.io/Logging_2283/fåglar/A 38091-2019 prioriterade fågelarter.docx", "A 38091-2019")</f>
        <v/>
      </c>
    </row>
    <row r="274" ht="15" customHeight="1">
      <c r="A274" t="inlineStr">
        <is>
          <t>A 51669-2019</t>
        </is>
      </c>
      <c r="B274" s="1" t="n">
        <v>43740</v>
      </c>
      <c r="C274" s="1" t="n">
        <v>45576</v>
      </c>
      <c r="D274" t="inlineStr">
        <is>
          <t>VÄSTERNORRLANDS LÄN</t>
        </is>
      </c>
      <c r="E274" t="inlineStr">
        <is>
          <t>SOLLEFTEÅ</t>
        </is>
      </c>
      <c r="F274" t="inlineStr">
        <is>
          <t>SCA</t>
        </is>
      </c>
      <c r="G274" t="n">
        <v>3.6</v>
      </c>
      <c r="H274" t="n">
        <v>0</v>
      </c>
      <c r="I274" t="n">
        <v>0</v>
      </c>
      <c r="J274" t="n">
        <v>1</v>
      </c>
      <c r="K274" t="n">
        <v>0</v>
      </c>
      <c r="L274" t="n">
        <v>0</v>
      </c>
      <c r="M274" t="n">
        <v>0</v>
      </c>
      <c r="N274" t="n">
        <v>0</v>
      </c>
      <c r="O274" t="n">
        <v>1</v>
      </c>
      <c r="P274" t="n">
        <v>0</v>
      </c>
      <c r="Q274" t="n">
        <v>1</v>
      </c>
      <c r="R274" s="2" t="inlineStr">
        <is>
          <t>Rosenticka</t>
        </is>
      </c>
      <c r="S274">
        <f>HYPERLINK("https://klasma.github.io/Logging_2283/artfynd/A 51669-2019 artfynd.xlsx", "A 51669-2019")</f>
        <v/>
      </c>
      <c r="T274">
        <f>HYPERLINK("https://klasma.github.io/Logging_2283/kartor/A 51669-2019 karta.png", "A 51669-2019")</f>
        <v/>
      </c>
      <c r="V274">
        <f>HYPERLINK("https://klasma.github.io/Logging_2283/klagomål/A 51669-2019 FSC-klagomål.docx", "A 51669-2019")</f>
        <v/>
      </c>
      <c r="W274">
        <f>HYPERLINK("https://klasma.github.io/Logging_2283/klagomålsmail/A 51669-2019 FSC-klagomål mail.docx", "A 51669-2019")</f>
        <v/>
      </c>
      <c r="X274">
        <f>HYPERLINK("https://klasma.github.io/Logging_2283/tillsyn/A 51669-2019 tillsynsbegäran.docx", "A 51669-2019")</f>
        <v/>
      </c>
      <c r="Y274">
        <f>HYPERLINK("https://klasma.github.io/Logging_2283/tillsynsmail/A 51669-2019 tillsynsbegäran mail.docx", "A 51669-2019")</f>
        <v/>
      </c>
    </row>
    <row r="275" ht="15" customHeight="1">
      <c r="A275" t="inlineStr">
        <is>
          <t>A 59511-2019</t>
        </is>
      </c>
      <c r="B275" s="1" t="n">
        <v>43773</v>
      </c>
      <c r="C275" s="1" t="n">
        <v>45576</v>
      </c>
      <c r="D275" t="inlineStr">
        <is>
          <t>VÄSTERNORRLANDS LÄN</t>
        </is>
      </c>
      <c r="E275" t="inlineStr">
        <is>
          <t>SOLLEFTEÅ</t>
        </is>
      </c>
      <c r="F275" t="inlineStr">
        <is>
          <t>Holmen skog AB</t>
        </is>
      </c>
      <c r="G275" t="n">
        <v>4.8</v>
      </c>
      <c r="H275" t="n">
        <v>0</v>
      </c>
      <c r="I275" t="n">
        <v>0</v>
      </c>
      <c r="J275" t="n">
        <v>1</v>
      </c>
      <c r="K275" t="n">
        <v>0</v>
      </c>
      <c r="L275" t="n">
        <v>0</v>
      </c>
      <c r="M275" t="n">
        <v>0</v>
      </c>
      <c r="N275" t="n">
        <v>0</v>
      </c>
      <c r="O275" t="n">
        <v>1</v>
      </c>
      <c r="P275" t="n">
        <v>0</v>
      </c>
      <c r="Q275" t="n">
        <v>1</v>
      </c>
      <c r="R275" s="2" t="inlineStr">
        <is>
          <t>Lunglav</t>
        </is>
      </c>
      <c r="S275">
        <f>HYPERLINK("https://klasma.github.io/Logging_2283/artfynd/A 59511-2019 artfynd.xlsx", "A 59511-2019")</f>
        <v/>
      </c>
      <c r="T275">
        <f>HYPERLINK("https://klasma.github.io/Logging_2283/kartor/A 59511-2019 karta.png", "A 59511-2019")</f>
        <v/>
      </c>
      <c r="V275">
        <f>HYPERLINK("https://klasma.github.io/Logging_2283/klagomål/A 59511-2019 FSC-klagomål.docx", "A 59511-2019")</f>
        <v/>
      </c>
      <c r="W275">
        <f>HYPERLINK("https://klasma.github.io/Logging_2283/klagomålsmail/A 59511-2019 FSC-klagomål mail.docx", "A 59511-2019")</f>
        <v/>
      </c>
      <c r="X275">
        <f>HYPERLINK("https://klasma.github.io/Logging_2283/tillsyn/A 59511-2019 tillsynsbegäran.docx", "A 59511-2019")</f>
        <v/>
      </c>
      <c r="Y275">
        <f>HYPERLINK("https://klasma.github.io/Logging_2283/tillsynsmail/A 59511-2019 tillsynsbegäran mail.docx", "A 59511-2019")</f>
        <v/>
      </c>
    </row>
    <row r="276" ht="15" customHeight="1">
      <c r="A276" t="inlineStr">
        <is>
          <t>A 9178-2020</t>
        </is>
      </c>
      <c r="B276" s="1" t="n">
        <v>43879</v>
      </c>
      <c r="C276" s="1" t="n">
        <v>45576</v>
      </c>
      <c r="D276" t="inlineStr">
        <is>
          <t>VÄSTERNORRLANDS LÄN</t>
        </is>
      </c>
      <c r="E276" t="inlineStr">
        <is>
          <t>SOLLEFTEÅ</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HYPERLINK("https://klasma.github.io/Logging_2283/artfynd/A 9178-2020 artfynd.xlsx", "A 9178-2020")</f>
        <v/>
      </c>
      <c r="T276">
        <f>HYPERLINK("https://klasma.github.io/Logging_2283/kartor/A 9178-2020 karta.png", "A 9178-2020")</f>
        <v/>
      </c>
      <c r="V276">
        <f>HYPERLINK("https://klasma.github.io/Logging_2283/klagomål/A 9178-2020 FSC-klagomål.docx", "A 9178-2020")</f>
        <v/>
      </c>
      <c r="W276">
        <f>HYPERLINK("https://klasma.github.io/Logging_2283/klagomålsmail/A 9178-2020 FSC-klagomål mail.docx", "A 9178-2020")</f>
        <v/>
      </c>
      <c r="X276">
        <f>HYPERLINK("https://klasma.github.io/Logging_2283/tillsyn/A 9178-2020 tillsynsbegäran.docx", "A 9178-2020")</f>
        <v/>
      </c>
      <c r="Y276">
        <f>HYPERLINK("https://klasma.github.io/Logging_2283/tillsynsmail/A 9178-2020 tillsynsbegäran mail.docx", "A 9178-2020")</f>
        <v/>
      </c>
    </row>
    <row r="277" ht="15" customHeight="1">
      <c r="A277" t="inlineStr">
        <is>
          <t>A 12526-2020</t>
        </is>
      </c>
      <c r="B277" s="1" t="n">
        <v>43896</v>
      </c>
      <c r="C277" s="1" t="n">
        <v>45576</v>
      </c>
      <c r="D277" t="inlineStr">
        <is>
          <t>VÄSTERNORRLANDS LÄN</t>
        </is>
      </c>
      <c r="E277" t="inlineStr">
        <is>
          <t>SOLLEFTEÅ</t>
        </is>
      </c>
      <c r="F277" t="inlineStr">
        <is>
          <t>SCA</t>
        </is>
      </c>
      <c r="G277" t="n">
        <v>14.7</v>
      </c>
      <c r="H277" t="n">
        <v>1</v>
      </c>
      <c r="I277" t="n">
        <v>0</v>
      </c>
      <c r="J277" t="n">
        <v>1</v>
      </c>
      <c r="K277" t="n">
        <v>0</v>
      </c>
      <c r="L277" t="n">
        <v>0</v>
      </c>
      <c r="M277" t="n">
        <v>0</v>
      </c>
      <c r="N277" t="n">
        <v>0</v>
      </c>
      <c r="O277" t="n">
        <v>1</v>
      </c>
      <c r="P277" t="n">
        <v>0</v>
      </c>
      <c r="Q277" t="n">
        <v>1</v>
      </c>
      <c r="R277" s="2" t="inlineStr">
        <is>
          <t>Talltita</t>
        </is>
      </c>
      <c r="S277">
        <f>HYPERLINK("https://klasma.github.io/Logging_2283/artfynd/A 12526-2020 artfynd.xlsx", "A 12526-2020")</f>
        <v/>
      </c>
      <c r="T277">
        <f>HYPERLINK("https://klasma.github.io/Logging_2283/kartor/A 12526-2020 karta.png", "A 12526-2020")</f>
        <v/>
      </c>
      <c r="V277">
        <f>HYPERLINK("https://klasma.github.io/Logging_2283/klagomål/A 12526-2020 FSC-klagomål.docx", "A 12526-2020")</f>
        <v/>
      </c>
      <c r="W277">
        <f>HYPERLINK("https://klasma.github.io/Logging_2283/klagomålsmail/A 12526-2020 FSC-klagomål mail.docx", "A 12526-2020")</f>
        <v/>
      </c>
      <c r="X277">
        <f>HYPERLINK("https://klasma.github.io/Logging_2283/tillsyn/A 12526-2020 tillsynsbegäran.docx", "A 12526-2020")</f>
        <v/>
      </c>
      <c r="Y277">
        <f>HYPERLINK("https://klasma.github.io/Logging_2283/tillsynsmail/A 12526-2020 tillsynsbegäran mail.docx", "A 12526-2020")</f>
        <v/>
      </c>
      <c r="Z277">
        <f>HYPERLINK("https://klasma.github.io/Logging_2283/fåglar/A 12526-2020 prioriterade fågelarter.docx", "A 12526-2020")</f>
        <v/>
      </c>
    </row>
    <row r="278" ht="15" customHeight="1">
      <c r="A278" t="inlineStr">
        <is>
          <t>A 19166-2020</t>
        </is>
      </c>
      <c r="B278" s="1" t="n">
        <v>43936</v>
      </c>
      <c r="C278" s="1" t="n">
        <v>45576</v>
      </c>
      <c r="D278" t="inlineStr">
        <is>
          <t>VÄSTERNORRLANDS LÄN</t>
        </is>
      </c>
      <c r="E278" t="inlineStr">
        <is>
          <t>SOLLEFTEÅ</t>
        </is>
      </c>
      <c r="G278" t="n">
        <v>3</v>
      </c>
      <c r="H278" t="n">
        <v>0</v>
      </c>
      <c r="I278" t="n">
        <v>0</v>
      </c>
      <c r="J278" t="n">
        <v>1</v>
      </c>
      <c r="K278" t="n">
        <v>0</v>
      </c>
      <c r="L278" t="n">
        <v>0</v>
      </c>
      <c r="M278" t="n">
        <v>0</v>
      </c>
      <c r="N278" t="n">
        <v>0</v>
      </c>
      <c r="O278" t="n">
        <v>1</v>
      </c>
      <c r="P278" t="n">
        <v>0</v>
      </c>
      <c r="Q278" t="n">
        <v>1</v>
      </c>
      <c r="R278" s="2" t="inlineStr">
        <is>
          <t>Garnlav</t>
        </is>
      </c>
      <c r="S278">
        <f>HYPERLINK("https://klasma.github.io/Logging_2283/artfynd/A 19166-2020 artfynd.xlsx", "A 19166-2020")</f>
        <v/>
      </c>
      <c r="T278">
        <f>HYPERLINK("https://klasma.github.io/Logging_2283/kartor/A 19166-2020 karta.png", "A 19166-2020")</f>
        <v/>
      </c>
      <c r="V278">
        <f>HYPERLINK("https://klasma.github.io/Logging_2283/klagomål/A 19166-2020 FSC-klagomål.docx", "A 19166-2020")</f>
        <v/>
      </c>
      <c r="W278">
        <f>HYPERLINK("https://klasma.github.io/Logging_2283/klagomålsmail/A 19166-2020 FSC-klagomål mail.docx", "A 19166-2020")</f>
        <v/>
      </c>
      <c r="X278">
        <f>HYPERLINK("https://klasma.github.io/Logging_2283/tillsyn/A 19166-2020 tillsynsbegäran.docx", "A 19166-2020")</f>
        <v/>
      </c>
      <c r="Y278">
        <f>HYPERLINK("https://klasma.github.io/Logging_2283/tillsynsmail/A 19166-2020 tillsynsbegäran mail.docx", "A 19166-2020")</f>
        <v/>
      </c>
    </row>
    <row r="279" ht="15" customHeight="1">
      <c r="A279" t="inlineStr">
        <is>
          <t>A 24641-2020</t>
        </is>
      </c>
      <c r="B279" s="1" t="n">
        <v>43977</v>
      </c>
      <c r="C279" s="1" t="n">
        <v>45576</v>
      </c>
      <c r="D279" t="inlineStr">
        <is>
          <t>VÄSTERNORRLANDS LÄN</t>
        </is>
      </c>
      <c r="E279" t="inlineStr">
        <is>
          <t>SOLLEFTEÅ</t>
        </is>
      </c>
      <c r="F279" t="inlineStr">
        <is>
          <t>SCA</t>
        </is>
      </c>
      <c r="G279" t="n">
        <v>3.9</v>
      </c>
      <c r="H279" t="n">
        <v>1</v>
      </c>
      <c r="I279" t="n">
        <v>0</v>
      </c>
      <c r="J279" t="n">
        <v>0</v>
      </c>
      <c r="K279" t="n">
        <v>1</v>
      </c>
      <c r="L279" t="n">
        <v>0</v>
      </c>
      <c r="M279" t="n">
        <v>0</v>
      </c>
      <c r="N279" t="n">
        <v>0</v>
      </c>
      <c r="O279" t="n">
        <v>1</v>
      </c>
      <c r="P279" t="n">
        <v>1</v>
      </c>
      <c r="Q279" t="n">
        <v>1</v>
      </c>
      <c r="R279" s="2" t="inlineStr">
        <is>
          <t>Knärot</t>
        </is>
      </c>
      <c r="S279">
        <f>HYPERLINK("https://klasma.github.io/Logging_2283/artfynd/A 24641-2020 artfynd.xlsx", "A 24641-2020")</f>
        <v/>
      </c>
      <c r="T279">
        <f>HYPERLINK("https://klasma.github.io/Logging_2283/kartor/A 24641-2020 karta.png", "A 24641-2020")</f>
        <v/>
      </c>
      <c r="U279">
        <f>HYPERLINK("https://klasma.github.io/Logging_2283/knärot/A 24641-2020 karta knärot.png", "A 24641-2020")</f>
        <v/>
      </c>
      <c r="V279">
        <f>HYPERLINK("https://klasma.github.io/Logging_2283/klagomål/A 24641-2020 FSC-klagomål.docx", "A 24641-2020")</f>
        <v/>
      </c>
      <c r="W279">
        <f>HYPERLINK("https://klasma.github.io/Logging_2283/klagomålsmail/A 24641-2020 FSC-klagomål mail.docx", "A 24641-2020")</f>
        <v/>
      </c>
      <c r="X279">
        <f>HYPERLINK("https://klasma.github.io/Logging_2283/tillsyn/A 24641-2020 tillsynsbegäran.docx", "A 24641-2020")</f>
        <v/>
      </c>
      <c r="Y279">
        <f>HYPERLINK("https://klasma.github.io/Logging_2283/tillsynsmail/A 24641-2020 tillsynsbegäran mail.docx", "A 24641-2020")</f>
        <v/>
      </c>
    </row>
    <row r="280" ht="15" customHeight="1">
      <c r="A280" t="inlineStr">
        <is>
          <t>A 27177-2020</t>
        </is>
      </c>
      <c r="B280" s="1" t="n">
        <v>43991</v>
      </c>
      <c r="C280" s="1" t="n">
        <v>45576</v>
      </c>
      <c r="D280" t="inlineStr">
        <is>
          <t>VÄSTERNORRLANDS LÄN</t>
        </is>
      </c>
      <c r="E280" t="inlineStr">
        <is>
          <t>SOLLEFTEÅ</t>
        </is>
      </c>
      <c r="F280" t="inlineStr">
        <is>
          <t>Holmen skog AB</t>
        </is>
      </c>
      <c r="G280" t="n">
        <v>0.8</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27177-2020 artfynd.xlsx", "A 27177-2020")</f>
        <v/>
      </c>
      <c r="T280">
        <f>HYPERLINK("https://klasma.github.io/Logging_2283/kartor/A 27177-2020 karta.png", "A 27177-2020")</f>
        <v/>
      </c>
      <c r="U280">
        <f>HYPERLINK("https://klasma.github.io/Logging_2283/knärot/A 27177-2020 karta knärot.png", "A 27177-2020")</f>
        <v/>
      </c>
      <c r="V280">
        <f>HYPERLINK("https://klasma.github.io/Logging_2283/klagomål/A 27177-2020 FSC-klagomål.docx", "A 27177-2020")</f>
        <v/>
      </c>
      <c r="W280">
        <f>HYPERLINK("https://klasma.github.io/Logging_2283/klagomålsmail/A 27177-2020 FSC-klagomål mail.docx", "A 27177-2020")</f>
        <v/>
      </c>
      <c r="X280">
        <f>HYPERLINK("https://klasma.github.io/Logging_2283/tillsyn/A 27177-2020 tillsynsbegäran.docx", "A 27177-2020")</f>
        <v/>
      </c>
      <c r="Y280">
        <f>HYPERLINK("https://klasma.github.io/Logging_2283/tillsynsmail/A 27177-2020 tillsynsbegäran mail.docx", "A 27177-2020")</f>
        <v/>
      </c>
      <c r="Z280">
        <f>HYPERLINK("https://klasma.github.io/Logging_2283/fåglar/A 27177-2020 prioriterade fågelarter.docx", "A 27177-2020")</f>
        <v/>
      </c>
    </row>
    <row r="281" ht="15" customHeight="1">
      <c r="A281" t="inlineStr">
        <is>
          <t>A 47840-2020</t>
        </is>
      </c>
      <c r="B281" s="1" t="n">
        <v>44098</v>
      </c>
      <c r="C281" s="1" t="n">
        <v>45576</v>
      </c>
      <c r="D281" t="inlineStr">
        <is>
          <t>VÄSTERNORRLANDS LÄN</t>
        </is>
      </c>
      <c r="E281" t="inlineStr">
        <is>
          <t>SOLLEFTEÅ</t>
        </is>
      </c>
      <c r="F281" t="inlineStr">
        <is>
          <t>SCA</t>
        </is>
      </c>
      <c r="G281" t="n">
        <v>9.699999999999999</v>
      </c>
      <c r="H281" t="n">
        <v>1</v>
      </c>
      <c r="I281" t="n">
        <v>0</v>
      </c>
      <c r="J281" t="n">
        <v>0</v>
      </c>
      <c r="K281" t="n">
        <v>1</v>
      </c>
      <c r="L281" t="n">
        <v>0</v>
      </c>
      <c r="M281" t="n">
        <v>0</v>
      </c>
      <c r="N281" t="n">
        <v>0</v>
      </c>
      <c r="O281" t="n">
        <v>1</v>
      </c>
      <c r="P281" t="n">
        <v>1</v>
      </c>
      <c r="Q281" t="n">
        <v>1</v>
      </c>
      <c r="R281" s="2" t="inlineStr">
        <is>
          <t>Knärot</t>
        </is>
      </c>
      <c r="S281">
        <f>HYPERLINK("https://klasma.github.io/Logging_2283/artfynd/A 47840-2020 artfynd.xlsx", "A 47840-2020")</f>
        <v/>
      </c>
      <c r="T281">
        <f>HYPERLINK("https://klasma.github.io/Logging_2283/kartor/A 47840-2020 karta.png", "A 47840-2020")</f>
        <v/>
      </c>
      <c r="U281">
        <f>HYPERLINK("https://klasma.github.io/Logging_2283/knärot/A 47840-2020 karta knärot.png", "A 47840-2020")</f>
        <v/>
      </c>
      <c r="V281">
        <f>HYPERLINK("https://klasma.github.io/Logging_2283/klagomål/A 47840-2020 FSC-klagomål.docx", "A 47840-2020")</f>
        <v/>
      </c>
      <c r="W281">
        <f>HYPERLINK("https://klasma.github.io/Logging_2283/klagomålsmail/A 47840-2020 FSC-klagomål mail.docx", "A 47840-2020")</f>
        <v/>
      </c>
      <c r="X281">
        <f>HYPERLINK("https://klasma.github.io/Logging_2283/tillsyn/A 47840-2020 tillsynsbegäran.docx", "A 47840-2020")</f>
        <v/>
      </c>
      <c r="Y281">
        <f>HYPERLINK("https://klasma.github.io/Logging_2283/tillsynsmail/A 47840-2020 tillsynsbegäran mail.docx", "A 47840-2020")</f>
        <v/>
      </c>
    </row>
    <row r="282" ht="15" customHeight="1">
      <c r="A282" t="inlineStr">
        <is>
          <t>A 68651-2020</t>
        </is>
      </c>
      <c r="B282" s="1" t="n">
        <v>44186</v>
      </c>
      <c r="C282" s="1" t="n">
        <v>45576</v>
      </c>
      <c r="D282" t="inlineStr">
        <is>
          <t>VÄSTERNORRLANDS LÄN</t>
        </is>
      </c>
      <c r="E282" t="inlineStr">
        <is>
          <t>SOLLEFTEÅ</t>
        </is>
      </c>
      <c r="F282" t="inlineStr">
        <is>
          <t>SCA</t>
        </is>
      </c>
      <c r="G282" t="n">
        <v>1.5</v>
      </c>
      <c r="H282" t="n">
        <v>0</v>
      </c>
      <c r="I282" t="n">
        <v>0</v>
      </c>
      <c r="J282" t="n">
        <v>1</v>
      </c>
      <c r="K282" t="n">
        <v>0</v>
      </c>
      <c r="L282" t="n">
        <v>0</v>
      </c>
      <c r="M282" t="n">
        <v>0</v>
      </c>
      <c r="N282" t="n">
        <v>0</v>
      </c>
      <c r="O282" t="n">
        <v>1</v>
      </c>
      <c r="P282" t="n">
        <v>0</v>
      </c>
      <c r="Q282" t="n">
        <v>1</v>
      </c>
      <c r="R282" s="2" t="inlineStr">
        <is>
          <t>Harticka</t>
        </is>
      </c>
      <c r="S282">
        <f>HYPERLINK("https://klasma.github.io/Logging_2283/artfynd/A 68651-2020 artfynd.xlsx", "A 68651-2020")</f>
        <v/>
      </c>
      <c r="T282">
        <f>HYPERLINK("https://klasma.github.io/Logging_2283/kartor/A 68651-2020 karta.png", "A 68651-2020")</f>
        <v/>
      </c>
      <c r="V282">
        <f>HYPERLINK("https://klasma.github.io/Logging_2283/klagomål/A 68651-2020 FSC-klagomål.docx", "A 68651-2020")</f>
        <v/>
      </c>
      <c r="W282">
        <f>HYPERLINK("https://klasma.github.io/Logging_2283/klagomålsmail/A 68651-2020 FSC-klagomål mail.docx", "A 68651-2020")</f>
        <v/>
      </c>
      <c r="X282">
        <f>HYPERLINK("https://klasma.github.io/Logging_2283/tillsyn/A 68651-2020 tillsynsbegäran.docx", "A 68651-2020")</f>
        <v/>
      </c>
      <c r="Y282">
        <f>HYPERLINK("https://klasma.github.io/Logging_2283/tillsynsmail/A 68651-2020 tillsynsbegäran mail.docx", "A 68651-2020")</f>
        <v/>
      </c>
    </row>
    <row r="283" ht="15" customHeight="1">
      <c r="A283" t="inlineStr">
        <is>
          <t>A 68789-2020</t>
        </is>
      </c>
      <c r="B283" s="1" t="n">
        <v>44186</v>
      </c>
      <c r="C283" s="1" t="n">
        <v>45576</v>
      </c>
      <c r="D283" t="inlineStr">
        <is>
          <t>VÄSTERNORRLANDS LÄN</t>
        </is>
      </c>
      <c r="E283" t="inlineStr">
        <is>
          <t>SOLLEFTEÅ</t>
        </is>
      </c>
      <c r="G283" t="n">
        <v>2.1</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68789-2020 artfynd.xlsx", "A 68789-2020")</f>
        <v/>
      </c>
      <c r="T283">
        <f>HYPERLINK("https://klasma.github.io/Logging_2283/kartor/A 68789-2020 karta.png", "A 68789-2020")</f>
        <v/>
      </c>
      <c r="U283">
        <f>HYPERLINK("https://klasma.github.io/Logging_2283/knärot/A 68789-2020 karta knärot.png", "A 68789-2020")</f>
        <v/>
      </c>
      <c r="V283">
        <f>HYPERLINK("https://klasma.github.io/Logging_2283/klagomål/A 68789-2020 FSC-klagomål.docx", "A 68789-2020")</f>
        <v/>
      </c>
      <c r="W283">
        <f>HYPERLINK("https://klasma.github.io/Logging_2283/klagomålsmail/A 68789-2020 FSC-klagomål mail.docx", "A 68789-2020")</f>
        <v/>
      </c>
      <c r="X283">
        <f>HYPERLINK("https://klasma.github.io/Logging_2283/tillsyn/A 68789-2020 tillsynsbegäran.docx", "A 68789-2020")</f>
        <v/>
      </c>
      <c r="Y283">
        <f>HYPERLINK("https://klasma.github.io/Logging_2283/tillsynsmail/A 68789-2020 tillsynsbegäran mail.docx", "A 68789-2020")</f>
        <v/>
      </c>
    </row>
    <row r="284" ht="15" customHeight="1">
      <c r="A284" t="inlineStr">
        <is>
          <t>A 17377-2021</t>
        </is>
      </c>
      <c r="B284" s="1" t="n">
        <v>44298</v>
      </c>
      <c r="C284" s="1" t="n">
        <v>45576</v>
      </c>
      <c r="D284" t="inlineStr">
        <is>
          <t>VÄSTERNORRLANDS LÄN</t>
        </is>
      </c>
      <c r="E284" t="inlineStr">
        <is>
          <t>SOLLEFTEÅ</t>
        </is>
      </c>
      <c r="G284" t="n">
        <v>5.1</v>
      </c>
      <c r="H284" t="n">
        <v>0</v>
      </c>
      <c r="I284" t="n">
        <v>0</v>
      </c>
      <c r="J284" t="n">
        <v>1</v>
      </c>
      <c r="K284" t="n">
        <v>0</v>
      </c>
      <c r="L284" t="n">
        <v>0</v>
      </c>
      <c r="M284" t="n">
        <v>0</v>
      </c>
      <c r="N284" t="n">
        <v>0</v>
      </c>
      <c r="O284" t="n">
        <v>1</v>
      </c>
      <c r="P284" t="n">
        <v>0</v>
      </c>
      <c r="Q284" t="n">
        <v>1</v>
      </c>
      <c r="R284" s="2" t="inlineStr">
        <is>
          <t>Ullticka</t>
        </is>
      </c>
      <c r="S284">
        <f>HYPERLINK("https://klasma.github.io/Logging_2283/artfynd/A 17377-2021 artfynd.xlsx", "A 17377-2021")</f>
        <v/>
      </c>
      <c r="T284">
        <f>HYPERLINK("https://klasma.github.io/Logging_2283/kartor/A 17377-2021 karta.png", "A 17377-2021")</f>
        <v/>
      </c>
      <c r="V284">
        <f>HYPERLINK("https://klasma.github.io/Logging_2283/klagomål/A 17377-2021 FSC-klagomål.docx", "A 17377-2021")</f>
        <v/>
      </c>
      <c r="W284">
        <f>HYPERLINK("https://klasma.github.io/Logging_2283/klagomålsmail/A 17377-2021 FSC-klagomål mail.docx", "A 17377-2021")</f>
        <v/>
      </c>
      <c r="X284">
        <f>HYPERLINK("https://klasma.github.io/Logging_2283/tillsyn/A 17377-2021 tillsynsbegäran.docx", "A 17377-2021")</f>
        <v/>
      </c>
      <c r="Y284">
        <f>HYPERLINK("https://klasma.github.io/Logging_2283/tillsynsmail/A 17377-2021 tillsynsbegäran mail.docx", "A 17377-2021")</f>
        <v/>
      </c>
    </row>
    <row r="285" ht="15" customHeight="1">
      <c r="A285" t="inlineStr">
        <is>
          <t>A 18461-2021</t>
        </is>
      </c>
      <c r="B285" s="1" t="n">
        <v>44305</v>
      </c>
      <c r="C285" s="1" t="n">
        <v>45576</v>
      </c>
      <c r="D285" t="inlineStr">
        <is>
          <t>VÄSTERNORRLANDS LÄN</t>
        </is>
      </c>
      <c r="E285" t="inlineStr">
        <is>
          <t>SOLLEFTEÅ</t>
        </is>
      </c>
      <c r="F285" t="inlineStr">
        <is>
          <t>SCA</t>
        </is>
      </c>
      <c r="G285" t="n">
        <v>1.7</v>
      </c>
      <c r="H285" t="n">
        <v>1</v>
      </c>
      <c r="I285" t="n">
        <v>0</v>
      </c>
      <c r="J285" t="n">
        <v>1</v>
      </c>
      <c r="K285" t="n">
        <v>0</v>
      </c>
      <c r="L285" t="n">
        <v>0</v>
      </c>
      <c r="M285" t="n">
        <v>0</v>
      </c>
      <c r="N285" t="n">
        <v>0</v>
      </c>
      <c r="O285" t="n">
        <v>1</v>
      </c>
      <c r="P285" t="n">
        <v>0</v>
      </c>
      <c r="Q285" t="n">
        <v>1</v>
      </c>
      <c r="R285" s="2" t="inlineStr">
        <is>
          <t>Nordfladdermus</t>
        </is>
      </c>
      <c r="S285">
        <f>HYPERLINK("https://klasma.github.io/Logging_2283/artfynd/A 18461-2021 artfynd.xlsx", "A 18461-2021")</f>
        <v/>
      </c>
      <c r="T285">
        <f>HYPERLINK("https://klasma.github.io/Logging_2283/kartor/A 18461-2021 karta.png", "A 18461-2021")</f>
        <v/>
      </c>
      <c r="V285">
        <f>HYPERLINK("https://klasma.github.io/Logging_2283/klagomål/A 18461-2021 FSC-klagomål.docx", "A 18461-2021")</f>
        <v/>
      </c>
      <c r="W285">
        <f>HYPERLINK("https://klasma.github.io/Logging_2283/klagomålsmail/A 18461-2021 FSC-klagomål mail.docx", "A 18461-2021")</f>
        <v/>
      </c>
      <c r="X285">
        <f>HYPERLINK("https://klasma.github.io/Logging_2283/tillsyn/A 18461-2021 tillsynsbegäran.docx", "A 18461-2021")</f>
        <v/>
      </c>
      <c r="Y285">
        <f>HYPERLINK("https://klasma.github.io/Logging_2283/tillsynsmail/A 18461-2021 tillsynsbegäran mail.docx", "A 18461-2021")</f>
        <v/>
      </c>
    </row>
    <row r="286" ht="15" customHeight="1">
      <c r="A286" t="inlineStr">
        <is>
          <t>A 21360-2021</t>
        </is>
      </c>
      <c r="B286" s="1" t="n">
        <v>44320</v>
      </c>
      <c r="C286" s="1" t="n">
        <v>45576</v>
      </c>
      <c r="D286" t="inlineStr">
        <is>
          <t>VÄSTERNORRLANDS LÄN</t>
        </is>
      </c>
      <c r="E286" t="inlineStr">
        <is>
          <t>SOLLEFTEÅ</t>
        </is>
      </c>
      <c r="G286" t="n">
        <v>6.8</v>
      </c>
      <c r="H286" t="n">
        <v>1</v>
      </c>
      <c r="I286" t="n">
        <v>0</v>
      </c>
      <c r="J286" t="n">
        <v>0</v>
      </c>
      <c r="K286" t="n">
        <v>1</v>
      </c>
      <c r="L286" t="n">
        <v>0</v>
      </c>
      <c r="M286" t="n">
        <v>0</v>
      </c>
      <c r="N286" t="n">
        <v>0</v>
      </c>
      <c r="O286" t="n">
        <v>1</v>
      </c>
      <c r="P286" t="n">
        <v>1</v>
      </c>
      <c r="Q286" t="n">
        <v>1</v>
      </c>
      <c r="R286" s="2" t="inlineStr">
        <is>
          <t>Knärot</t>
        </is>
      </c>
      <c r="S286">
        <f>HYPERLINK("https://klasma.github.io/Logging_2283/artfynd/A 21360-2021 artfynd.xlsx", "A 21360-2021")</f>
        <v/>
      </c>
      <c r="T286">
        <f>HYPERLINK("https://klasma.github.io/Logging_2283/kartor/A 21360-2021 karta.png", "A 21360-2021")</f>
        <v/>
      </c>
      <c r="U286">
        <f>HYPERLINK("https://klasma.github.io/Logging_2283/knärot/A 21360-2021 karta knärot.png", "A 21360-2021")</f>
        <v/>
      </c>
      <c r="V286">
        <f>HYPERLINK("https://klasma.github.io/Logging_2283/klagomål/A 21360-2021 FSC-klagomål.docx", "A 21360-2021")</f>
        <v/>
      </c>
      <c r="W286">
        <f>HYPERLINK("https://klasma.github.io/Logging_2283/klagomålsmail/A 21360-2021 FSC-klagomål mail.docx", "A 21360-2021")</f>
        <v/>
      </c>
      <c r="X286">
        <f>HYPERLINK("https://klasma.github.io/Logging_2283/tillsyn/A 21360-2021 tillsynsbegäran.docx", "A 21360-2021")</f>
        <v/>
      </c>
      <c r="Y286">
        <f>HYPERLINK("https://klasma.github.io/Logging_2283/tillsynsmail/A 21360-2021 tillsynsbegäran mail.docx", "A 21360-2021")</f>
        <v/>
      </c>
    </row>
    <row r="287" ht="15" customHeight="1">
      <c r="A287" t="inlineStr">
        <is>
          <t>A 22862-2021</t>
        </is>
      </c>
      <c r="B287" s="1" t="n">
        <v>44326</v>
      </c>
      <c r="C287" s="1" t="n">
        <v>45576</v>
      </c>
      <c r="D287" t="inlineStr">
        <is>
          <t>VÄSTERNORRLANDS LÄN</t>
        </is>
      </c>
      <c r="E287" t="inlineStr">
        <is>
          <t>SOLLEFTEÅ</t>
        </is>
      </c>
      <c r="F287" t="inlineStr">
        <is>
          <t>Kommuner</t>
        </is>
      </c>
      <c r="G287" t="n">
        <v>2</v>
      </c>
      <c r="H287" t="n">
        <v>1</v>
      </c>
      <c r="I287" t="n">
        <v>0</v>
      </c>
      <c r="J287" t="n">
        <v>0</v>
      </c>
      <c r="K287" t="n">
        <v>1</v>
      </c>
      <c r="L287" t="n">
        <v>0</v>
      </c>
      <c r="M287" t="n">
        <v>0</v>
      </c>
      <c r="N287" t="n">
        <v>0</v>
      </c>
      <c r="O287" t="n">
        <v>1</v>
      </c>
      <c r="P287" t="n">
        <v>1</v>
      </c>
      <c r="Q287" t="n">
        <v>1</v>
      </c>
      <c r="R287" s="2" t="inlineStr">
        <is>
          <t>Lappuggla</t>
        </is>
      </c>
      <c r="S287">
        <f>HYPERLINK("https://klasma.github.io/Logging_2283/artfynd/A 22862-2021 artfynd.xlsx", "A 22862-2021")</f>
        <v/>
      </c>
      <c r="T287">
        <f>HYPERLINK("https://klasma.github.io/Logging_2283/kartor/A 22862-2021 karta.png", "A 22862-2021")</f>
        <v/>
      </c>
      <c r="V287">
        <f>HYPERLINK("https://klasma.github.io/Logging_2283/klagomål/A 22862-2021 FSC-klagomål.docx", "A 22862-2021")</f>
        <v/>
      </c>
      <c r="W287">
        <f>HYPERLINK("https://klasma.github.io/Logging_2283/klagomålsmail/A 22862-2021 FSC-klagomål mail.docx", "A 22862-2021")</f>
        <v/>
      </c>
      <c r="X287">
        <f>HYPERLINK("https://klasma.github.io/Logging_2283/tillsyn/A 22862-2021 tillsynsbegäran.docx", "A 22862-2021")</f>
        <v/>
      </c>
      <c r="Y287">
        <f>HYPERLINK("https://klasma.github.io/Logging_2283/tillsynsmail/A 22862-2021 tillsynsbegäran mail.docx", "A 22862-2021")</f>
        <v/>
      </c>
      <c r="Z287">
        <f>HYPERLINK("https://klasma.github.io/Logging_2283/fåglar/A 22862-2021 prioriterade fågelarter.docx", "A 22862-2021")</f>
        <v/>
      </c>
    </row>
    <row r="288" ht="15" customHeight="1">
      <c r="A288" t="inlineStr">
        <is>
          <t>A 37043-2021</t>
        </is>
      </c>
      <c r="B288" s="1" t="n">
        <v>44393</v>
      </c>
      <c r="C288" s="1" t="n">
        <v>45576</v>
      </c>
      <c r="D288" t="inlineStr">
        <is>
          <t>VÄSTERNORRLANDS LÄN</t>
        </is>
      </c>
      <c r="E288" t="inlineStr">
        <is>
          <t>SOLLEFTEÅ</t>
        </is>
      </c>
      <c r="F288" t="inlineStr">
        <is>
          <t>SCA</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HYPERLINK("https://klasma.github.io/Logging_2283/artfynd/A 37043-2021 artfynd.xlsx", "A 37043-2021")</f>
        <v/>
      </c>
      <c r="T288">
        <f>HYPERLINK("https://klasma.github.io/Logging_2283/kartor/A 37043-2021 karta.png", "A 37043-2021")</f>
        <v/>
      </c>
      <c r="V288">
        <f>HYPERLINK("https://klasma.github.io/Logging_2283/klagomål/A 37043-2021 FSC-klagomål.docx", "A 37043-2021")</f>
        <v/>
      </c>
      <c r="W288">
        <f>HYPERLINK("https://klasma.github.io/Logging_2283/klagomålsmail/A 37043-2021 FSC-klagomål mail.docx", "A 37043-2021")</f>
        <v/>
      </c>
      <c r="X288">
        <f>HYPERLINK("https://klasma.github.io/Logging_2283/tillsyn/A 37043-2021 tillsynsbegäran.docx", "A 37043-2021")</f>
        <v/>
      </c>
      <c r="Y288">
        <f>HYPERLINK("https://klasma.github.io/Logging_2283/tillsynsmail/A 37043-2021 tillsynsbegäran mail.docx", "A 37043-2021")</f>
        <v/>
      </c>
    </row>
    <row r="289" ht="15" customHeight="1">
      <c r="A289" t="inlineStr">
        <is>
          <t>A 42224-2021</t>
        </is>
      </c>
      <c r="B289" s="1" t="n">
        <v>44426</v>
      </c>
      <c r="C289" s="1" t="n">
        <v>45576</v>
      </c>
      <c r="D289" t="inlineStr">
        <is>
          <t>VÄSTERNORRLANDS LÄN</t>
        </is>
      </c>
      <c r="E289" t="inlineStr">
        <is>
          <t>SOLLEFTEÅ</t>
        </is>
      </c>
      <c r="G289" t="n">
        <v>0.6</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42224-2021 artfynd.xlsx", "A 42224-2021")</f>
        <v/>
      </c>
      <c r="T289">
        <f>HYPERLINK("https://klasma.github.io/Logging_2283/kartor/A 42224-2021 karta.png", "A 42224-2021")</f>
        <v/>
      </c>
      <c r="V289">
        <f>HYPERLINK("https://klasma.github.io/Logging_2283/klagomål/A 42224-2021 FSC-klagomål.docx", "A 42224-2021")</f>
        <v/>
      </c>
      <c r="W289">
        <f>HYPERLINK("https://klasma.github.io/Logging_2283/klagomålsmail/A 42224-2021 FSC-klagomål mail.docx", "A 42224-2021")</f>
        <v/>
      </c>
      <c r="X289">
        <f>HYPERLINK("https://klasma.github.io/Logging_2283/tillsyn/A 42224-2021 tillsynsbegäran.docx", "A 42224-2021")</f>
        <v/>
      </c>
      <c r="Y289">
        <f>HYPERLINK("https://klasma.github.io/Logging_2283/tillsynsmail/A 42224-2021 tillsynsbegäran mail.docx", "A 42224-2021")</f>
        <v/>
      </c>
    </row>
    <row r="290" ht="15" customHeight="1">
      <c r="A290" t="inlineStr">
        <is>
          <t>A 51019-2021</t>
        </is>
      </c>
      <c r="B290" s="1" t="n">
        <v>44460</v>
      </c>
      <c r="C290" s="1" t="n">
        <v>45576</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58572-2021</t>
        </is>
      </c>
      <c r="B291" s="1" t="n">
        <v>44488</v>
      </c>
      <c r="C291" s="1" t="n">
        <v>45576</v>
      </c>
      <c r="D291" t="inlineStr">
        <is>
          <t>VÄSTERNORRLANDS LÄN</t>
        </is>
      </c>
      <c r="E291" t="inlineStr">
        <is>
          <t>SOLLEFTEÅ</t>
        </is>
      </c>
      <c r="G291" t="n">
        <v>0.1</v>
      </c>
      <c r="H291" t="n">
        <v>0</v>
      </c>
      <c r="I291" t="n">
        <v>0</v>
      </c>
      <c r="J291" t="n">
        <v>1</v>
      </c>
      <c r="K291" t="n">
        <v>0</v>
      </c>
      <c r="L291" t="n">
        <v>0</v>
      </c>
      <c r="M291" t="n">
        <v>0</v>
      </c>
      <c r="N291" t="n">
        <v>0</v>
      </c>
      <c r="O291" t="n">
        <v>1</v>
      </c>
      <c r="P291" t="n">
        <v>0</v>
      </c>
      <c r="Q291" t="n">
        <v>1</v>
      </c>
      <c r="R291" s="2" t="inlineStr">
        <is>
          <t>Brunklöver</t>
        </is>
      </c>
      <c r="S291">
        <f>HYPERLINK("https://klasma.github.io/Logging_2283/artfynd/A 58572-2021 artfynd.xlsx", "A 58572-2021")</f>
        <v/>
      </c>
      <c r="T291">
        <f>HYPERLINK("https://klasma.github.io/Logging_2283/kartor/A 58572-2021 karta.png", "A 58572-2021")</f>
        <v/>
      </c>
      <c r="V291">
        <f>HYPERLINK("https://klasma.github.io/Logging_2283/klagomål/A 58572-2021 FSC-klagomål.docx", "A 58572-2021")</f>
        <v/>
      </c>
      <c r="W291">
        <f>HYPERLINK("https://klasma.github.io/Logging_2283/klagomålsmail/A 58572-2021 FSC-klagomål mail.docx", "A 58572-2021")</f>
        <v/>
      </c>
      <c r="X291">
        <f>HYPERLINK("https://klasma.github.io/Logging_2283/tillsyn/A 58572-2021 tillsynsbegäran.docx", "A 58572-2021")</f>
        <v/>
      </c>
      <c r="Y291">
        <f>HYPERLINK("https://klasma.github.io/Logging_2283/tillsynsmail/A 58572-2021 tillsynsbegäran mail.docx", "A 58572-2021")</f>
        <v/>
      </c>
    </row>
    <row r="292" ht="15" customHeight="1">
      <c r="A292" t="inlineStr">
        <is>
          <t>A 67402-2021</t>
        </is>
      </c>
      <c r="B292" s="1" t="n">
        <v>44523</v>
      </c>
      <c r="C292" s="1" t="n">
        <v>45576</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68781-2021</t>
        </is>
      </c>
      <c r="B293" s="1" t="n">
        <v>44529</v>
      </c>
      <c r="C293" s="1" t="n">
        <v>45576</v>
      </c>
      <c r="D293" t="inlineStr">
        <is>
          <t>VÄSTERNORRLANDS LÄN</t>
        </is>
      </c>
      <c r="E293" t="inlineStr">
        <is>
          <t>SOLLEFTEÅ</t>
        </is>
      </c>
      <c r="F293" t="inlineStr">
        <is>
          <t>SCA</t>
        </is>
      </c>
      <c r="G293" t="n">
        <v>1.9</v>
      </c>
      <c r="H293" t="n">
        <v>1</v>
      </c>
      <c r="I293" t="n">
        <v>0</v>
      </c>
      <c r="J293" t="n">
        <v>0</v>
      </c>
      <c r="K293" t="n">
        <v>1</v>
      </c>
      <c r="L293" t="n">
        <v>0</v>
      </c>
      <c r="M293" t="n">
        <v>0</v>
      </c>
      <c r="N293" t="n">
        <v>0</v>
      </c>
      <c r="O293" t="n">
        <v>1</v>
      </c>
      <c r="P293" t="n">
        <v>1</v>
      </c>
      <c r="Q293" t="n">
        <v>1</v>
      </c>
      <c r="R293" s="2" t="inlineStr">
        <is>
          <t>Doftticka</t>
        </is>
      </c>
      <c r="S293">
        <f>HYPERLINK("https://klasma.github.io/Logging_2283/artfynd/A 68781-2021 artfynd.xlsx", "A 68781-2021")</f>
        <v/>
      </c>
      <c r="T293">
        <f>HYPERLINK("https://klasma.github.io/Logging_2283/kartor/A 68781-2021 karta.png", "A 68781-2021")</f>
        <v/>
      </c>
      <c r="V293">
        <f>HYPERLINK("https://klasma.github.io/Logging_2283/klagomål/A 68781-2021 FSC-klagomål.docx", "A 68781-2021")</f>
        <v/>
      </c>
      <c r="W293">
        <f>HYPERLINK("https://klasma.github.io/Logging_2283/klagomålsmail/A 68781-2021 FSC-klagomål mail.docx", "A 68781-2021")</f>
        <v/>
      </c>
      <c r="X293">
        <f>HYPERLINK("https://klasma.github.io/Logging_2283/tillsyn/A 68781-2021 tillsynsbegäran.docx", "A 68781-2021")</f>
        <v/>
      </c>
      <c r="Y293">
        <f>HYPERLINK("https://klasma.github.io/Logging_2283/tillsynsmail/A 68781-2021 tillsynsbegäran mail.docx", "A 68781-2021")</f>
        <v/>
      </c>
    </row>
    <row r="294" ht="15" customHeight="1">
      <c r="A294" t="inlineStr">
        <is>
          <t>A 71349-2021</t>
        </is>
      </c>
      <c r="B294" s="1" t="n">
        <v>44539</v>
      </c>
      <c r="C294" s="1" t="n">
        <v>45576</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15669-2022</t>
        </is>
      </c>
      <c r="B295" s="1" t="n">
        <v>44662</v>
      </c>
      <c r="C295" s="1" t="n">
        <v>45576</v>
      </c>
      <c r="D295" t="inlineStr">
        <is>
          <t>VÄSTERNORRLANDS LÄN</t>
        </is>
      </c>
      <c r="E295" t="inlineStr">
        <is>
          <t>SOLLEFTEÅ</t>
        </is>
      </c>
      <c r="G295" t="n">
        <v>12.1</v>
      </c>
      <c r="H295" t="n">
        <v>0</v>
      </c>
      <c r="I295" t="n">
        <v>1</v>
      </c>
      <c r="J295" t="n">
        <v>0</v>
      </c>
      <c r="K295" t="n">
        <v>0</v>
      </c>
      <c r="L295" t="n">
        <v>0</v>
      </c>
      <c r="M295" t="n">
        <v>0</v>
      </c>
      <c r="N295" t="n">
        <v>0</v>
      </c>
      <c r="O295" t="n">
        <v>0</v>
      </c>
      <c r="P295" t="n">
        <v>0</v>
      </c>
      <c r="Q295" t="n">
        <v>1</v>
      </c>
      <c r="R295" s="2" t="inlineStr">
        <is>
          <t>Skinnlav</t>
        </is>
      </c>
      <c r="S295">
        <f>HYPERLINK("https://klasma.github.io/Logging_2283/artfynd/A 15669-2022 artfynd.xlsx", "A 15669-2022")</f>
        <v/>
      </c>
      <c r="T295">
        <f>HYPERLINK("https://klasma.github.io/Logging_2283/kartor/A 15669-2022 karta.png", "A 15669-2022")</f>
        <v/>
      </c>
      <c r="V295">
        <f>HYPERLINK("https://klasma.github.io/Logging_2283/klagomål/A 15669-2022 FSC-klagomål.docx", "A 15669-2022")</f>
        <v/>
      </c>
      <c r="W295">
        <f>HYPERLINK("https://klasma.github.io/Logging_2283/klagomålsmail/A 15669-2022 FSC-klagomål mail.docx", "A 15669-2022")</f>
        <v/>
      </c>
      <c r="X295">
        <f>HYPERLINK("https://klasma.github.io/Logging_2283/tillsyn/A 15669-2022 tillsynsbegäran.docx", "A 15669-2022")</f>
        <v/>
      </c>
      <c r="Y295">
        <f>HYPERLINK("https://klasma.github.io/Logging_2283/tillsynsmail/A 15669-2022 tillsynsbegäran mail.docx", "A 15669-2022")</f>
        <v/>
      </c>
    </row>
    <row r="296" ht="15" customHeight="1">
      <c r="A296" t="inlineStr">
        <is>
          <t>A 16269-2022</t>
        </is>
      </c>
      <c r="B296" s="1" t="n">
        <v>44670</v>
      </c>
      <c r="C296" s="1" t="n">
        <v>45576</v>
      </c>
      <c r="D296" t="inlineStr">
        <is>
          <t>VÄSTERNORRLANDS LÄN</t>
        </is>
      </c>
      <c r="E296" t="inlineStr">
        <is>
          <t>SOLLEFTEÅ</t>
        </is>
      </c>
      <c r="F296" t="inlineStr">
        <is>
          <t>Holmen skog AB</t>
        </is>
      </c>
      <c r="G296" t="n">
        <v>4.6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16269-2022 artfynd.xlsx", "A 16269-2022")</f>
        <v/>
      </c>
      <c r="T296">
        <f>HYPERLINK("https://klasma.github.io/Logging_2283/kartor/A 16269-2022 karta.png", "A 16269-2022")</f>
        <v/>
      </c>
      <c r="V296">
        <f>HYPERLINK("https://klasma.github.io/Logging_2283/klagomål/A 16269-2022 FSC-klagomål.docx", "A 16269-2022")</f>
        <v/>
      </c>
      <c r="W296">
        <f>HYPERLINK("https://klasma.github.io/Logging_2283/klagomålsmail/A 16269-2022 FSC-klagomål mail.docx", "A 16269-2022")</f>
        <v/>
      </c>
      <c r="X296">
        <f>HYPERLINK("https://klasma.github.io/Logging_2283/tillsyn/A 16269-2022 tillsynsbegäran.docx", "A 16269-2022")</f>
        <v/>
      </c>
      <c r="Y296">
        <f>HYPERLINK("https://klasma.github.io/Logging_2283/tillsynsmail/A 16269-2022 tillsynsbegäran mail.docx", "A 16269-2022")</f>
        <v/>
      </c>
      <c r="Z296">
        <f>HYPERLINK("https://klasma.github.io/Logging_2283/fåglar/A 16269-2022 prioriterade fågelarter.docx", "A 16269-2022")</f>
        <v/>
      </c>
    </row>
    <row r="297" ht="15" customHeight="1">
      <c r="A297" t="inlineStr">
        <is>
          <t>A 21708-2022</t>
        </is>
      </c>
      <c r="B297" s="1" t="n">
        <v>44707</v>
      </c>
      <c r="C297" s="1" t="n">
        <v>45576</v>
      </c>
      <c r="D297" t="inlineStr">
        <is>
          <t>VÄSTERNORRLANDS LÄN</t>
        </is>
      </c>
      <c r="E297" t="inlineStr">
        <is>
          <t>SOLLEFTEÅ</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HYPERLINK("https://klasma.github.io/Logging_2283/artfynd/A 21708-2022 artfynd.xlsx", "A 21708-2022")</f>
        <v/>
      </c>
      <c r="T297">
        <f>HYPERLINK("https://klasma.github.io/Logging_2283/kartor/A 21708-2022 karta.png", "A 21708-2022")</f>
        <v/>
      </c>
      <c r="V297">
        <f>HYPERLINK("https://klasma.github.io/Logging_2283/klagomål/A 21708-2022 FSC-klagomål.docx", "A 21708-2022")</f>
        <v/>
      </c>
      <c r="W297">
        <f>HYPERLINK("https://klasma.github.io/Logging_2283/klagomålsmail/A 21708-2022 FSC-klagomål mail.docx", "A 21708-2022")</f>
        <v/>
      </c>
      <c r="X297">
        <f>HYPERLINK("https://klasma.github.io/Logging_2283/tillsyn/A 21708-2022 tillsynsbegäran.docx", "A 21708-2022")</f>
        <v/>
      </c>
      <c r="Y297">
        <f>HYPERLINK("https://klasma.github.io/Logging_2283/tillsynsmail/A 21708-2022 tillsynsbegäran mail.docx", "A 21708-2022")</f>
        <v/>
      </c>
    </row>
    <row r="298" ht="15" customHeight="1">
      <c r="A298" t="inlineStr">
        <is>
          <t>A 22323-2022</t>
        </is>
      </c>
      <c r="B298" s="1" t="n">
        <v>44713</v>
      </c>
      <c r="C298" s="1" t="n">
        <v>45576</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26121-2022</t>
        </is>
      </c>
      <c r="B299" s="1" t="n">
        <v>44734</v>
      </c>
      <c r="C299" s="1" t="n">
        <v>45576</v>
      </c>
      <c r="D299" t="inlineStr">
        <is>
          <t>VÄSTERNORRLANDS LÄN</t>
        </is>
      </c>
      <c r="E299" t="inlineStr">
        <is>
          <t>SOLLEFTEÅ</t>
        </is>
      </c>
      <c r="F299" t="inlineStr">
        <is>
          <t>SCA</t>
        </is>
      </c>
      <c r="G299" t="n">
        <v>6.3</v>
      </c>
      <c r="H299" t="n">
        <v>0</v>
      </c>
      <c r="I299" t="n">
        <v>0</v>
      </c>
      <c r="J299" t="n">
        <v>1</v>
      </c>
      <c r="K299" t="n">
        <v>0</v>
      </c>
      <c r="L299" t="n">
        <v>0</v>
      </c>
      <c r="M299" t="n">
        <v>0</v>
      </c>
      <c r="N299" t="n">
        <v>0</v>
      </c>
      <c r="O299" t="n">
        <v>1</v>
      </c>
      <c r="P299" t="n">
        <v>0</v>
      </c>
      <c r="Q299" t="n">
        <v>1</v>
      </c>
      <c r="R299" s="2" t="inlineStr">
        <is>
          <t>Veckticka</t>
        </is>
      </c>
      <c r="S299">
        <f>HYPERLINK("https://klasma.github.io/Logging_2283/artfynd/A 26121-2022 artfynd.xlsx", "A 26121-2022")</f>
        <v/>
      </c>
      <c r="T299">
        <f>HYPERLINK("https://klasma.github.io/Logging_2283/kartor/A 26121-2022 karta.png", "A 26121-2022")</f>
        <v/>
      </c>
      <c r="V299">
        <f>HYPERLINK("https://klasma.github.io/Logging_2283/klagomål/A 26121-2022 FSC-klagomål.docx", "A 26121-2022")</f>
        <v/>
      </c>
      <c r="W299">
        <f>HYPERLINK("https://klasma.github.io/Logging_2283/klagomålsmail/A 26121-2022 FSC-klagomål mail.docx", "A 26121-2022")</f>
        <v/>
      </c>
      <c r="X299">
        <f>HYPERLINK("https://klasma.github.io/Logging_2283/tillsyn/A 26121-2022 tillsynsbegäran.docx", "A 26121-2022")</f>
        <v/>
      </c>
      <c r="Y299">
        <f>HYPERLINK("https://klasma.github.io/Logging_2283/tillsynsmail/A 26121-2022 tillsynsbegäran mail.docx", "A 26121-2022")</f>
        <v/>
      </c>
    </row>
    <row r="300" ht="15" customHeight="1">
      <c r="A300" t="inlineStr">
        <is>
          <t>A 27106-2022</t>
        </is>
      </c>
      <c r="B300" s="1" t="n">
        <v>44741</v>
      </c>
      <c r="C300" s="1" t="n">
        <v>45576</v>
      </c>
      <c r="D300" t="inlineStr">
        <is>
          <t>VÄSTERNORRLANDS LÄN</t>
        </is>
      </c>
      <c r="E300" t="inlineStr">
        <is>
          <t>SOLLEFTEÅ</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HYPERLINK("https://klasma.github.io/Logging_2283/artfynd/A 27106-2022 artfynd.xlsx", "A 27106-2022")</f>
        <v/>
      </c>
      <c r="T300">
        <f>HYPERLINK("https://klasma.github.io/Logging_2283/kartor/A 27106-2022 karta.png", "A 27106-2022")</f>
        <v/>
      </c>
      <c r="V300">
        <f>HYPERLINK("https://klasma.github.io/Logging_2283/klagomål/A 27106-2022 FSC-klagomål.docx", "A 27106-2022")</f>
        <v/>
      </c>
      <c r="W300">
        <f>HYPERLINK("https://klasma.github.io/Logging_2283/klagomålsmail/A 27106-2022 FSC-klagomål mail.docx", "A 27106-2022")</f>
        <v/>
      </c>
      <c r="X300">
        <f>HYPERLINK("https://klasma.github.io/Logging_2283/tillsyn/A 27106-2022 tillsynsbegäran.docx", "A 27106-2022")</f>
        <v/>
      </c>
      <c r="Y300">
        <f>HYPERLINK("https://klasma.github.io/Logging_2283/tillsynsmail/A 27106-2022 tillsynsbegäran mail.docx", "A 27106-2022")</f>
        <v/>
      </c>
    </row>
    <row r="301" ht="15" customHeight="1">
      <c r="A301" t="inlineStr">
        <is>
          <t>A 29037-2022</t>
        </is>
      </c>
      <c r="B301" s="1" t="n">
        <v>44749</v>
      </c>
      <c r="C301" s="1" t="n">
        <v>45576</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30047-2022</t>
        </is>
      </c>
      <c r="B302" s="1" t="n">
        <v>44757</v>
      </c>
      <c r="C302" s="1" t="n">
        <v>45576</v>
      </c>
      <c r="D302" t="inlineStr">
        <is>
          <t>VÄSTERNORRLANDS LÄN</t>
        </is>
      </c>
      <c r="E302" t="inlineStr">
        <is>
          <t>SOLLEFTEÅ</t>
        </is>
      </c>
      <c r="F302" t="inlineStr">
        <is>
          <t>SCA</t>
        </is>
      </c>
      <c r="G302" t="n">
        <v>2.5</v>
      </c>
      <c r="H302" t="n">
        <v>0</v>
      </c>
      <c r="I302" t="n">
        <v>0</v>
      </c>
      <c r="J302" t="n">
        <v>1</v>
      </c>
      <c r="K302" t="n">
        <v>0</v>
      </c>
      <c r="L302" t="n">
        <v>0</v>
      </c>
      <c r="M302" t="n">
        <v>0</v>
      </c>
      <c r="N302" t="n">
        <v>0</v>
      </c>
      <c r="O302" t="n">
        <v>1</v>
      </c>
      <c r="P302" t="n">
        <v>0</v>
      </c>
      <c r="Q302" t="n">
        <v>1</v>
      </c>
      <c r="R302" s="2" t="inlineStr">
        <is>
          <t>Garnlav</t>
        </is>
      </c>
      <c r="S302">
        <f>HYPERLINK("https://klasma.github.io/Logging_2283/artfynd/A 30047-2022 artfynd.xlsx", "A 30047-2022")</f>
        <v/>
      </c>
      <c r="T302">
        <f>HYPERLINK("https://klasma.github.io/Logging_2283/kartor/A 30047-2022 karta.png", "A 30047-2022")</f>
        <v/>
      </c>
      <c r="V302">
        <f>HYPERLINK("https://klasma.github.io/Logging_2283/klagomål/A 30047-2022 FSC-klagomål.docx", "A 30047-2022")</f>
        <v/>
      </c>
      <c r="W302">
        <f>HYPERLINK("https://klasma.github.io/Logging_2283/klagomålsmail/A 30047-2022 FSC-klagomål mail.docx", "A 30047-2022")</f>
        <v/>
      </c>
      <c r="X302">
        <f>HYPERLINK("https://klasma.github.io/Logging_2283/tillsyn/A 30047-2022 tillsynsbegäran.docx", "A 30047-2022")</f>
        <v/>
      </c>
      <c r="Y302">
        <f>HYPERLINK("https://klasma.github.io/Logging_2283/tillsynsmail/A 30047-2022 tillsynsbegäran mail.docx", "A 30047-2022")</f>
        <v/>
      </c>
    </row>
    <row r="303" ht="15" customHeight="1">
      <c r="A303" t="inlineStr">
        <is>
          <t>A 33216-2022</t>
        </is>
      </c>
      <c r="B303" s="1" t="n">
        <v>44785</v>
      </c>
      <c r="C303" s="1" t="n">
        <v>45576</v>
      </c>
      <c r="D303" t="inlineStr">
        <is>
          <t>VÄSTERNORRLANDS LÄN</t>
        </is>
      </c>
      <c r="E303" t="inlineStr">
        <is>
          <t>SOLLEFTEÅ</t>
        </is>
      </c>
      <c r="F303" t="inlineStr">
        <is>
          <t>SCA</t>
        </is>
      </c>
      <c r="G303" t="n">
        <v>4.4</v>
      </c>
      <c r="H303" t="n">
        <v>0</v>
      </c>
      <c r="I303" t="n">
        <v>0</v>
      </c>
      <c r="J303" t="n">
        <v>0</v>
      </c>
      <c r="K303" t="n">
        <v>1</v>
      </c>
      <c r="L303" t="n">
        <v>0</v>
      </c>
      <c r="M303" t="n">
        <v>0</v>
      </c>
      <c r="N303" t="n">
        <v>0</v>
      </c>
      <c r="O303" t="n">
        <v>1</v>
      </c>
      <c r="P303" t="n">
        <v>1</v>
      </c>
      <c r="Q303" t="n">
        <v>1</v>
      </c>
      <c r="R303" s="2" t="inlineStr">
        <is>
          <t>Rynkskinn</t>
        </is>
      </c>
      <c r="S303">
        <f>HYPERLINK("https://klasma.github.io/Logging_2283/artfynd/A 33216-2022 artfynd.xlsx", "A 33216-2022")</f>
        <v/>
      </c>
      <c r="T303">
        <f>HYPERLINK("https://klasma.github.io/Logging_2283/kartor/A 33216-2022 karta.png", "A 33216-2022")</f>
        <v/>
      </c>
      <c r="V303">
        <f>HYPERLINK("https://klasma.github.io/Logging_2283/klagomål/A 33216-2022 FSC-klagomål.docx", "A 33216-2022")</f>
        <v/>
      </c>
      <c r="W303">
        <f>HYPERLINK("https://klasma.github.io/Logging_2283/klagomålsmail/A 33216-2022 FSC-klagomål mail.docx", "A 33216-2022")</f>
        <v/>
      </c>
      <c r="X303">
        <f>HYPERLINK("https://klasma.github.io/Logging_2283/tillsyn/A 33216-2022 tillsynsbegäran.docx", "A 33216-2022")</f>
        <v/>
      </c>
      <c r="Y303">
        <f>HYPERLINK("https://klasma.github.io/Logging_2283/tillsynsmail/A 33216-2022 tillsynsbegäran mail.docx", "A 33216-2022")</f>
        <v/>
      </c>
    </row>
    <row r="304" ht="15" customHeight="1">
      <c r="A304" t="inlineStr">
        <is>
          <t>A 33504-2022</t>
        </is>
      </c>
      <c r="B304" s="1" t="n">
        <v>44788</v>
      </c>
      <c r="C304" s="1" t="n">
        <v>45576</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Knärot</t>
        </is>
      </c>
      <c r="S304">
        <f>HYPERLINK("https://klasma.github.io/Logging_2283/artfynd/A 33504-2022 artfynd.xlsx", "A 33504-2022")</f>
        <v/>
      </c>
      <c r="T304">
        <f>HYPERLINK("https://klasma.github.io/Logging_2283/kartor/A 33504-2022 karta.png", "A 33504-2022")</f>
        <v/>
      </c>
      <c r="U304">
        <f>HYPERLINK("https://klasma.github.io/Logging_2283/knärot/A 33504-2022 karta knärot.png", "A 33504-2022")</f>
        <v/>
      </c>
      <c r="V304">
        <f>HYPERLINK("https://klasma.github.io/Logging_2283/klagomål/A 33504-2022 FSC-klagomål.docx", "A 33504-2022")</f>
        <v/>
      </c>
      <c r="W304">
        <f>HYPERLINK("https://klasma.github.io/Logging_2283/klagomålsmail/A 33504-2022 FSC-klagomål mail.docx", "A 33504-2022")</f>
        <v/>
      </c>
      <c r="X304">
        <f>HYPERLINK("https://klasma.github.io/Logging_2283/tillsyn/A 33504-2022 tillsynsbegäran.docx", "A 33504-2022")</f>
        <v/>
      </c>
      <c r="Y304">
        <f>HYPERLINK("https://klasma.github.io/Logging_2283/tillsynsmail/A 33504-2022 tillsynsbegäran mail.docx", "A 33504-2022")</f>
        <v/>
      </c>
    </row>
    <row r="305" ht="15" customHeight="1">
      <c r="A305" t="inlineStr">
        <is>
          <t>A 35013-2022</t>
        </is>
      </c>
      <c r="B305" s="1" t="n">
        <v>44796</v>
      </c>
      <c r="C305" s="1" t="n">
        <v>45576</v>
      </c>
      <c r="D305" t="inlineStr">
        <is>
          <t>VÄSTERNORRLANDS LÄN</t>
        </is>
      </c>
      <c r="E305" t="inlineStr">
        <is>
          <t>SOLLEFTEÅ</t>
        </is>
      </c>
      <c r="F305" t="inlineStr">
        <is>
          <t>SCA</t>
        </is>
      </c>
      <c r="G305" t="n">
        <v>2.1</v>
      </c>
      <c r="H305" t="n">
        <v>0</v>
      </c>
      <c r="I305" t="n">
        <v>0</v>
      </c>
      <c r="J305" t="n">
        <v>1</v>
      </c>
      <c r="K305" t="n">
        <v>0</v>
      </c>
      <c r="L305" t="n">
        <v>0</v>
      </c>
      <c r="M305" t="n">
        <v>0</v>
      </c>
      <c r="N305" t="n">
        <v>0</v>
      </c>
      <c r="O305" t="n">
        <v>1</v>
      </c>
      <c r="P305" t="n">
        <v>0</v>
      </c>
      <c r="Q305" t="n">
        <v>1</v>
      </c>
      <c r="R305" s="2" t="inlineStr">
        <is>
          <t>Rosenticka</t>
        </is>
      </c>
      <c r="S305">
        <f>HYPERLINK("https://klasma.github.io/Logging_2283/artfynd/A 35013-2022 artfynd.xlsx", "A 35013-2022")</f>
        <v/>
      </c>
      <c r="T305">
        <f>HYPERLINK("https://klasma.github.io/Logging_2283/kartor/A 35013-2022 karta.png", "A 35013-2022")</f>
        <v/>
      </c>
      <c r="V305">
        <f>HYPERLINK("https://klasma.github.io/Logging_2283/klagomål/A 35013-2022 FSC-klagomål.docx", "A 35013-2022")</f>
        <v/>
      </c>
      <c r="W305">
        <f>HYPERLINK("https://klasma.github.io/Logging_2283/klagomålsmail/A 35013-2022 FSC-klagomål mail.docx", "A 35013-2022")</f>
        <v/>
      </c>
      <c r="X305">
        <f>HYPERLINK("https://klasma.github.io/Logging_2283/tillsyn/A 35013-2022 tillsynsbegäran.docx", "A 35013-2022")</f>
        <v/>
      </c>
      <c r="Y305">
        <f>HYPERLINK("https://klasma.github.io/Logging_2283/tillsynsmail/A 35013-2022 tillsynsbegäran mail.docx", "A 35013-2022")</f>
        <v/>
      </c>
    </row>
    <row r="306" ht="15" customHeight="1">
      <c r="A306" t="inlineStr">
        <is>
          <t>A 38367-2022</t>
        </is>
      </c>
      <c r="B306" s="1" t="n">
        <v>44812</v>
      </c>
      <c r="C306" s="1" t="n">
        <v>45576</v>
      </c>
      <c r="D306" t="inlineStr">
        <is>
          <t>VÄSTERNORRLANDS LÄN</t>
        </is>
      </c>
      <c r="E306" t="inlineStr">
        <is>
          <t>SOLLEFTEÅ</t>
        </is>
      </c>
      <c r="F306" t="inlineStr">
        <is>
          <t>Kommuner</t>
        </is>
      </c>
      <c r="G306" t="n">
        <v>19.6</v>
      </c>
      <c r="H306" t="n">
        <v>0</v>
      </c>
      <c r="I306" t="n">
        <v>0</v>
      </c>
      <c r="J306" t="n">
        <v>1</v>
      </c>
      <c r="K306" t="n">
        <v>0</v>
      </c>
      <c r="L306" t="n">
        <v>0</v>
      </c>
      <c r="M306" t="n">
        <v>0</v>
      </c>
      <c r="N306" t="n">
        <v>0</v>
      </c>
      <c r="O306" t="n">
        <v>1</v>
      </c>
      <c r="P306" t="n">
        <v>0</v>
      </c>
      <c r="Q306" t="n">
        <v>1</v>
      </c>
      <c r="R306" s="2" t="inlineStr">
        <is>
          <t>Garnlav</t>
        </is>
      </c>
      <c r="S306">
        <f>HYPERLINK("https://klasma.github.io/Logging_2283/artfynd/A 38367-2022 artfynd.xlsx", "A 38367-2022")</f>
        <v/>
      </c>
      <c r="T306">
        <f>HYPERLINK("https://klasma.github.io/Logging_2283/kartor/A 38367-2022 karta.png", "A 38367-2022")</f>
        <v/>
      </c>
      <c r="V306">
        <f>HYPERLINK("https://klasma.github.io/Logging_2283/klagomål/A 38367-2022 FSC-klagomål.docx", "A 38367-2022")</f>
        <v/>
      </c>
      <c r="W306">
        <f>HYPERLINK("https://klasma.github.io/Logging_2283/klagomålsmail/A 38367-2022 FSC-klagomål mail.docx", "A 38367-2022")</f>
        <v/>
      </c>
      <c r="X306">
        <f>HYPERLINK("https://klasma.github.io/Logging_2283/tillsyn/A 38367-2022 tillsynsbegäran.docx", "A 38367-2022")</f>
        <v/>
      </c>
      <c r="Y306">
        <f>HYPERLINK("https://klasma.github.io/Logging_2283/tillsynsmail/A 38367-2022 tillsynsbegäran mail.docx", "A 38367-2022")</f>
        <v/>
      </c>
    </row>
    <row r="307" ht="15" customHeight="1">
      <c r="A307" t="inlineStr">
        <is>
          <t>A 38363-2022</t>
        </is>
      </c>
      <c r="B307" s="1" t="n">
        <v>44812</v>
      </c>
      <c r="C307" s="1" t="n">
        <v>45576</v>
      </c>
      <c r="D307" t="inlineStr">
        <is>
          <t>VÄSTERNORRLANDS LÄN</t>
        </is>
      </c>
      <c r="E307" t="inlineStr">
        <is>
          <t>SOLLEFTEÅ</t>
        </is>
      </c>
      <c r="F307" t="inlineStr">
        <is>
          <t>Kommuner</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HYPERLINK("https://klasma.github.io/Logging_2283/artfynd/A 38363-2022 artfynd.xlsx", "A 38363-2022")</f>
        <v/>
      </c>
      <c r="T307">
        <f>HYPERLINK("https://klasma.github.io/Logging_2283/kartor/A 38363-2022 karta.png", "A 38363-2022")</f>
        <v/>
      </c>
      <c r="V307">
        <f>HYPERLINK("https://klasma.github.io/Logging_2283/klagomål/A 38363-2022 FSC-klagomål.docx", "A 38363-2022")</f>
        <v/>
      </c>
      <c r="W307">
        <f>HYPERLINK("https://klasma.github.io/Logging_2283/klagomålsmail/A 38363-2022 FSC-klagomål mail.docx", "A 38363-2022")</f>
        <v/>
      </c>
      <c r="X307">
        <f>HYPERLINK("https://klasma.github.io/Logging_2283/tillsyn/A 38363-2022 tillsynsbegäran.docx", "A 38363-2022")</f>
        <v/>
      </c>
      <c r="Y307">
        <f>HYPERLINK("https://klasma.github.io/Logging_2283/tillsynsmail/A 38363-2022 tillsynsbegäran mail.docx", "A 38363-2022")</f>
        <v/>
      </c>
    </row>
    <row r="308" ht="15" customHeight="1">
      <c r="A308" t="inlineStr">
        <is>
          <t>A 40626-2022</t>
        </is>
      </c>
      <c r="B308" s="1" t="n">
        <v>44824</v>
      </c>
      <c r="C308" s="1" t="n">
        <v>45576</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45576</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46041-2022</t>
        </is>
      </c>
      <c r="B310" s="1" t="n">
        <v>44846</v>
      </c>
      <c r="C310" s="1" t="n">
        <v>45576</v>
      </c>
      <c r="D310" t="inlineStr">
        <is>
          <t>VÄSTERNORRLANDS LÄN</t>
        </is>
      </c>
      <c r="E310" t="inlineStr">
        <is>
          <t>SOLLEFTEÅ</t>
        </is>
      </c>
      <c r="F310" t="inlineStr">
        <is>
          <t>SCA</t>
        </is>
      </c>
      <c r="G310" t="n">
        <v>21.1</v>
      </c>
      <c r="H310" t="n">
        <v>0</v>
      </c>
      <c r="I310" t="n">
        <v>0</v>
      </c>
      <c r="J310" t="n">
        <v>1</v>
      </c>
      <c r="K310" t="n">
        <v>0</v>
      </c>
      <c r="L310" t="n">
        <v>0</v>
      </c>
      <c r="M310" t="n">
        <v>0</v>
      </c>
      <c r="N310" t="n">
        <v>0</v>
      </c>
      <c r="O310" t="n">
        <v>1</v>
      </c>
      <c r="P310" t="n">
        <v>0</v>
      </c>
      <c r="Q310" t="n">
        <v>1</v>
      </c>
      <c r="R310" s="2" t="inlineStr">
        <is>
          <t>Lunglav</t>
        </is>
      </c>
      <c r="S310">
        <f>HYPERLINK("https://klasma.github.io/Logging_2283/artfynd/A 46041-2022 artfynd.xlsx", "A 46041-2022")</f>
        <v/>
      </c>
      <c r="T310">
        <f>HYPERLINK("https://klasma.github.io/Logging_2283/kartor/A 46041-2022 karta.png", "A 46041-2022")</f>
        <v/>
      </c>
      <c r="V310">
        <f>HYPERLINK("https://klasma.github.io/Logging_2283/klagomål/A 46041-2022 FSC-klagomål.docx", "A 46041-2022")</f>
        <v/>
      </c>
      <c r="W310">
        <f>HYPERLINK("https://klasma.github.io/Logging_2283/klagomålsmail/A 46041-2022 FSC-klagomål mail.docx", "A 46041-2022")</f>
        <v/>
      </c>
      <c r="X310">
        <f>HYPERLINK("https://klasma.github.io/Logging_2283/tillsyn/A 46041-2022 tillsynsbegäran.docx", "A 46041-2022")</f>
        <v/>
      </c>
      <c r="Y310">
        <f>HYPERLINK("https://klasma.github.io/Logging_2283/tillsynsmail/A 46041-2022 tillsynsbegäran mail.docx", "A 46041-2022")</f>
        <v/>
      </c>
    </row>
    <row r="311" ht="15" customHeight="1">
      <c r="A311" t="inlineStr">
        <is>
          <t>A 46376-2022</t>
        </is>
      </c>
      <c r="B311" s="1" t="n">
        <v>44848</v>
      </c>
      <c r="C311" s="1" t="n">
        <v>45576</v>
      </c>
      <c r="D311" t="inlineStr">
        <is>
          <t>VÄSTERNORRLANDS LÄN</t>
        </is>
      </c>
      <c r="E311" t="inlineStr">
        <is>
          <t>SOLLEFTEÅ</t>
        </is>
      </c>
      <c r="F311" t="inlineStr">
        <is>
          <t>Holmen skog AB</t>
        </is>
      </c>
      <c r="G311" t="n">
        <v>23.9</v>
      </c>
      <c r="H311" t="n">
        <v>0</v>
      </c>
      <c r="I311" t="n">
        <v>1</v>
      </c>
      <c r="J311" t="n">
        <v>0</v>
      </c>
      <c r="K311" t="n">
        <v>0</v>
      </c>
      <c r="L311" t="n">
        <v>0</v>
      </c>
      <c r="M311" t="n">
        <v>0</v>
      </c>
      <c r="N311" t="n">
        <v>0</v>
      </c>
      <c r="O311" t="n">
        <v>0</v>
      </c>
      <c r="P311" t="n">
        <v>0</v>
      </c>
      <c r="Q311" t="n">
        <v>1</v>
      </c>
      <c r="R311" s="2" t="inlineStr">
        <is>
          <t>Skarp dropptaggsvamp</t>
        </is>
      </c>
      <c r="S311">
        <f>HYPERLINK("https://klasma.github.io/Logging_2283/artfynd/A 46376-2022 artfynd.xlsx", "A 46376-2022")</f>
        <v/>
      </c>
      <c r="T311">
        <f>HYPERLINK("https://klasma.github.io/Logging_2283/kartor/A 46376-2022 karta.png", "A 46376-2022")</f>
        <v/>
      </c>
      <c r="V311">
        <f>HYPERLINK("https://klasma.github.io/Logging_2283/klagomål/A 46376-2022 FSC-klagomål.docx", "A 46376-2022")</f>
        <v/>
      </c>
      <c r="W311">
        <f>HYPERLINK("https://klasma.github.io/Logging_2283/klagomålsmail/A 46376-2022 FSC-klagomål mail.docx", "A 46376-2022")</f>
        <v/>
      </c>
      <c r="X311">
        <f>HYPERLINK("https://klasma.github.io/Logging_2283/tillsyn/A 46376-2022 tillsynsbegäran.docx", "A 46376-2022")</f>
        <v/>
      </c>
      <c r="Y311">
        <f>HYPERLINK("https://klasma.github.io/Logging_2283/tillsynsmail/A 46376-2022 tillsynsbegäran mail.docx", "A 46376-2022")</f>
        <v/>
      </c>
    </row>
    <row r="312" ht="15" customHeight="1">
      <c r="A312" t="inlineStr">
        <is>
          <t>A 46629-2022</t>
        </is>
      </c>
      <c r="B312" s="1" t="n">
        <v>44848</v>
      </c>
      <c r="C312" s="1" t="n">
        <v>45576</v>
      </c>
      <c r="D312" t="inlineStr">
        <is>
          <t>VÄSTERNORRLANDS LÄN</t>
        </is>
      </c>
      <c r="E312" t="inlineStr">
        <is>
          <t>SOLLEFTEÅ</t>
        </is>
      </c>
      <c r="F312" t="inlineStr">
        <is>
          <t>SCA</t>
        </is>
      </c>
      <c r="G312" t="n">
        <v>4.5</v>
      </c>
      <c r="H312" t="n">
        <v>1</v>
      </c>
      <c r="I312" t="n">
        <v>0</v>
      </c>
      <c r="J312" t="n">
        <v>0</v>
      </c>
      <c r="K312" t="n">
        <v>1</v>
      </c>
      <c r="L312" t="n">
        <v>0</v>
      </c>
      <c r="M312" t="n">
        <v>0</v>
      </c>
      <c r="N312" t="n">
        <v>0</v>
      </c>
      <c r="O312" t="n">
        <v>1</v>
      </c>
      <c r="P312" t="n">
        <v>1</v>
      </c>
      <c r="Q312" t="n">
        <v>1</v>
      </c>
      <c r="R312" s="2" t="inlineStr">
        <is>
          <t>Knärot</t>
        </is>
      </c>
      <c r="S312">
        <f>HYPERLINK("https://klasma.github.io/Logging_2283/artfynd/A 46629-2022 artfynd.xlsx", "A 46629-2022")</f>
        <v/>
      </c>
      <c r="T312">
        <f>HYPERLINK("https://klasma.github.io/Logging_2283/kartor/A 46629-2022 karta.png", "A 46629-2022")</f>
        <v/>
      </c>
      <c r="U312">
        <f>HYPERLINK("https://klasma.github.io/Logging_2283/knärot/A 46629-2022 karta knärot.png", "A 46629-2022")</f>
        <v/>
      </c>
      <c r="V312">
        <f>HYPERLINK("https://klasma.github.io/Logging_2283/klagomål/A 46629-2022 FSC-klagomål.docx", "A 46629-2022")</f>
        <v/>
      </c>
      <c r="W312">
        <f>HYPERLINK("https://klasma.github.io/Logging_2283/klagomålsmail/A 46629-2022 FSC-klagomål mail.docx", "A 46629-2022")</f>
        <v/>
      </c>
      <c r="X312">
        <f>HYPERLINK("https://klasma.github.io/Logging_2283/tillsyn/A 46629-2022 tillsynsbegäran.docx", "A 46629-2022")</f>
        <v/>
      </c>
      <c r="Y312">
        <f>HYPERLINK("https://klasma.github.io/Logging_2283/tillsynsmail/A 46629-2022 tillsynsbegäran mail.docx", "A 46629-2022")</f>
        <v/>
      </c>
    </row>
    <row r="313" ht="15" customHeight="1">
      <c r="A313" t="inlineStr">
        <is>
          <t>A 46630-2022</t>
        </is>
      </c>
      <c r="B313" s="1" t="n">
        <v>44848</v>
      </c>
      <c r="C313" s="1" t="n">
        <v>45576</v>
      </c>
      <c r="D313" t="inlineStr">
        <is>
          <t>VÄSTERNORRLANDS LÄN</t>
        </is>
      </c>
      <c r="E313" t="inlineStr">
        <is>
          <t>SOLLEFTEÅ</t>
        </is>
      </c>
      <c r="F313" t="inlineStr">
        <is>
          <t>SCA</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HYPERLINK("https://klasma.github.io/Logging_2283/artfynd/A 46630-2022 artfynd.xlsx", "A 46630-2022")</f>
        <v/>
      </c>
      <c r="T313">
        <f>HYPERLINK("https://klasma.github.io/Logging_2283/kartor/A 46630-2022 karta.png", "A 46630-2022")</f>
        <v/>
      </c>
      <c r="U313">
        <f>HYPERLINK("https://klasma.github.io/Logging_2283/knärot/A 46630-2022 karta knärot.png", "A 46630-2022")</f>
        <v/>
      </c>
      <c r="V313">
        <f>HYPERLINK("https://klasma.github.io/Logging_2283/klagomål/A 46630-2022 FSC-klagomål.docx", "A 46630-2022")</f>
        <v/>
      </c>
      <c r="W313">
        <f>HYPERLINK("https://klasma.github.io/Logging_2283/klagomålsmail/A 46630-2022 FSC-klagomål mail.docx", "A 46630-2022")</f>
        <v/>
      </c>
      <c r="X313">
        <f>HYPERLINK("https://klasma.github.io/Logging_2283/tillsyn/A 46630-2022 tillsynsbegäran.docx", "A 46630-2022")</f>
        <v/>
      </c>
      <c r="Y313">
        <f>HYPERLINK("https://klasma.github.io/Logging_2283/tillsynsmail/A 46630-2022 tillsynsbegäran mail.docx", "A 46630-2022")</f>
        <v/>
      </c>
    </row>
    <row r="314" ht="15" customHeight="1">
      <c r="A314" t="inlineStr">
        <is>
          <t>A 52736-2022</t>
        </is>
      </c>
      <c r="B314" s="1" t="n">
        <v>44874</v>
      </c>
      <c r="C314" s="1" t="n">
        <v>45576</v>
      </c>
      <c r="D314" t="inlineStr">
        <is>
          <t>VÄSTERNORRLANDS LÄN</t>
        </is>
      </c>
      <c r="E314" t="inlineStr">
        <is>
          <t>SOLLEFTEÅ</t>
        </is>
      </c>
      <c r="F314" t="inlineStr">
        <is>
          <t>SCA</t>
        </is>
      </c>
      <c r="G314" t="n">
        <v>15.1</v>
      </c>
      <c r="H314" t="n">
        <v>0</v>
      </c>
      <c r="I314" t="n">
        <v>0</v>
      </c>
      <c r="J314" t="n">
        <v>1</v>
      </c>
      <c r="K314" t="n">
        <v>0</v>
      </c>
      <c r="L314" t="n">
        <v>0</v>
      </c>
      <c r="M314" t="n">
        <v>0</v>
      </c>
      <c r="N314" t="n">
        <v>0</v>
      </c>
      <c r="O314" t="n">
        <v>1</v>
      </c>
      <c r="P314" t="n">
        <v>0</v>
      </c>
      <c r="Q314" t="n">
        <v>1</v>
      </c>
      <c r="R314" s="2" t="inlineStr">
        <is>
          <t>Orange taggsvamp</t>
        </is>
      </c>
      <c r="S314">
        <f>HYPERLINK("https://klasma.github.io/Logging_2283/artfynd/A 52736-2022 artfynd.xlsx", "A 52736-2022")</f>
        <v/>
      </c>
      <c r="T314">
        <f>HYPERLINK("https://klasma.github.io/Logging_2283/kartor/A 52736-2022 karta.png", "A 52736-2022")</f>
        <v/>
      </c>
      <c r="V314">
        <f>HYPERLINK("https://klasma.github.io/Logging_2283/klagomål/A 52736-2022 FSC-klagomål.docx", "A 52736-2022")</f>
        <v/>
      </c>
      <c r="W314">
        <f>HYPERLINK("https://klasma.github.io/Logging_2283/klagomålsmail/A 52736-2022 FSC-klagomål mail.docx", "A 52736-2022")</f>
        <v/>
      </c>
      <c r="X314">
        <f>HYPERLINK("https://klasma.github.io/Logging_2283/tillsyn/A 52736-2022 tillsynsbegäran.docx", "A 52736-2022")</f>
        <v/>
      </c>
      <c r="Y314">
        <f>HYPERLINK("https://klasma.github.io/Logging_2283/tillsynsmail/A 52736-2022 tillsynsbegäran mail.docx", "A 52736-2022")</f>
        <v/>
      </c>
    </row>
    <row r="315" ht="15" customHeight="1">
      <c r="A315" t="inlineStr">
        <is>
          <t>A 54558-2022</t>
        </is>
      </c>
      <c r="B315" s="1" t="n">
        <v>44882</v>
      </c>
      <c r="C315" s="1" t="n">
        <v>45576</v>
      </c>
      <c r="D315" t="inlineStr">
        <is>
          <t>VÄSTERNORRLANDS LÄN</t>
        </is>
      </c>
      <c r="E315" t="inlineStr">
        <is>
          <t>SOLLEFTEÅ</t>
        </is>
      </c>
      <c r="G315" t="n">
        <v>5.8</v>
      </c>
      <c r="H315" t="n">
        <v>0</v>
      </c>
      <c r="I315" t="n">
        <v>1</v>
      </c>
      <c r="J315" t="n">
        <v>0</v>
      </c>
      <c r="K315" t="n">
        <v>0</v>
      </c>
      <c r="L315" t="n">
        <v>0</v>
      </c>
      <c r="M315" t="n">
        <v>0</v>
      </c>
      <c r="N315" t="n">
        <v>0</v>
      </c>
      <c r="O315" t="n">
        <v>0</v>
      </c>
      <c r="P315" t="n">
        <v>0</v>
      </c>
      <c r="Q315" t="n">
        <v>1</v>
      </c>
      <c r="R315" s="2" t="inlineStr">
        <is>
          <t>Strutbräken</t>
        </is>
      </c>
      <c r="S315">
        <f>HYPERLINK("https://klasma.github.io/Logging_2283/artfynd/A 54558-2022 artfynd.xlsx", "A 54558-2022")</f>
        <v/>
      </c>
      <c r="T315">
        <f>HYPERLINK("https://klasma.github.io/Logging_2283/kartor/A 54558-2022 karta.png", "A 54558-2022")</f>
        <v/>
      </c>
      <c r="V315">
        <f>HYPERLINK("https://klasma.github.io/Logging_2283/klagomål/A 54558-2022 FSC-klagomål.docx", "A 54558-2022")</f>
        <v/>
      </c>
      <c r="W315">
        <f>HYPERLINK("https://klasma.github.io/Logging_2283/klagomålsmail/A 54558-2022 FSC-klagomål mail.docx", "A 54558-2022")</f>
        <v/>
      </c>
      <c r="X315">
        <f>HYPERLINK("https://klasma.github.io/Logging_2283/tillsyn/A 54558-2022 tillsynsbegäran.docx", "A 54558-2022")</f>
        <v/>
      </c>
      <c r="Y315">
        <f>HYPERLINK("https://klasma.github.io/Logging_2283/tillsynsmail/A 54558-2022 tillsynsbegäran mail.docx", "A 54558-2022")</f>
        <v/>
      </c>
    </row>
    <row r="316" ht="15" customHeight="1">
      <c r="A316" t="inlineStr">
        <is>
          <t>A 56932-2022</t>
        </is>
      </c>
      <c r="B316" s="1" t="n">
        <v>44894</v>
      </c>
      <c r="C316" s="1" t="n">
        <v>45576</v>
      </c>
      <c r="D316" t="inlineStr">
        <is>
          <t>VÄSTERNORRLANDS LÄN</t>
        </is>
      </c>
      <c r="E316" t="inlineStr">
        <is>
          <t>SOLLEFTEÅ</t>
        </is>
      </c>
      <c r="F316" t="inlineStr">
        <is>
          <t>Holmen skog AB</t>
        </is>
      </c>
      <c r="G316" t="n">
        <v>1.9</v>
      </c>
      <c r="H316" t="n">
        <v>0</v>
      </c>
      <c r="I316" t="n">
        <v>0</v>
      </c>
      <c r="J316" t="n">
        <v>1</v>
      </c>
      <c r="K316" t="n">
        <v>0</v>
      </c>
      <c r="L316" t="n">
        <v>0</v>
      </c>
      <c r="M316" t="n">
        <v>0</v>
      </c>
      <c r="N316" t="n">
        <v>0</v>
      </c>
      <c r="O316" t="n">
        <v>1</v>
      </c>
      <c r="P316" t="n">
        <v>0</v>
      </c>
      <c r="Q316" t="n">
        <v>1</v>
      </c>
      <c r="R316" s="2" t="inlineStr">
        <is>
          <t>Koralltaggsvamp</t>
        </is>
      </c>
      <c r="S316">
        <f>HYPERLINK("https://klasma.github.io/Logging_2283/artfynd/A 56932-2022 artfynd.xlsx", "A 56932-2022")</f>
        <v/>
      </c>
      <c r="T316">
        <f>HYPERLINK("https://klasma.github.io/Logging_2283/kartor/A 56932-2022 karta.png", "A 56932-2022")</f>
        <v/>
      </c>
      <c r="V316">
        <f>HYPERLINK("https://klasma.github.io/Logging_2283/klagomål/A 56932-2022 FSC-klagomål.docx", "A 56932-2022")</f>
        <v/>
      </c>
      <c r="W316">
        <f>HYPERLINK("https://klasma.github.io/Logging_2283/klagomålsmail/A 56932-2022 FSC-klagomål mail.docx", "A 56932-2022")</f>
        <v/>
      </c>
      <c r="X316">
        <f>HYPERLINK("https://klasma.github.io/Logging_2283/tillsyn/A 56932-2022 tillsynsbegäran.docx", "A 56932-2022")</f>
        <v/>
      </c>
      <c r="Y316">
        <f>HYPERLINK("https://klasma.github.io/Logging_2283/tillsynsmail/A 56932-2022 tillsynsbegäran mail.docx", "A 56932-2022")</f>
        <v/>
      </c>
    </row>
    <row r="317" ht="15" customHeight="1">
      <c r="A317" t="inlineStr">
        <is>
          <t>A 60833-2022</t>
        </is>
      </c>
      <c r="B317" s="1" t="n">
        <v>44907</v>
      </c>
      <c r="C317" s="1" t="n">
        <v>45576</v>
      </c>
      <c r="D317" t="inlineStr">
        <is>
          <t>VÄSTERNORRLANDS LÄN</t>
        </is>
      </c>
      <c r="E317" t="inlineStr">
        <is>
          <t>SOLLEFTEÅ</t>
        </is>
      </c>
      <c r="G317" t="n">
        <v>4.4</v>
      </c>
      <c r="H317" t="n">
        <v>0</v>
      </c>
      <c r="I317" t="n">
        <v>0</v>
      </c>
      <c r="J317" t="n">
        <v>1</v>
      </c>
      <c r="K317" t="n">
        <v>0</v>
      </c>
      <c r="L317" t="n">
        <v>0</v>
      </c>
      <c r="M317" t="n">
        <v>0</v>
      </c>
      <c r="N317" t="n">
        <v>0</v>
      </c>
      <c r="O317" t="n">
        <v>1</v>
      </c>
      <c r="P317" t="n">
        <v>0</v>
      </c>
      <c r="Q317" t="n">
        <v>1</v>
      </c>
      <c r="R317" s="2" t="inlineStr">
        <is>
          <t>Kolflarnlav</t>
        </is>
      </c>
      <c r="S317">
        <f>HYPERLINK("https://klasma.github.io/Logging_2283/artfynd/A 60833-2022 artfynd.xlsx", "A 60833-2022")</f>
        <v/>
      </c>
      <c r="T317">
        <f>HYPERLINK("https://klasma.github.io/Logging_2283/kartor/A 60833-2022 karta.png", "A 60833-2022")</f>
        <v/>
      </c>
      <c r="V317">
        <f>HYPERLINK("https://klasma.github.io/Logging_2283/klagomål/A 60833-2022 FSC-klagomål.docx", "A 60833-2022")</f>
        <v/>
      </c>
      <c r="W317">
        <f>HYPERLINK("https://klasma.github.io/Logging_2283/klagomålsmail/A 60833-2022 FSC-klagomål mail.docx", "A 60833-2022")</f>
        <v/>
      </c>
      <c r="X317">
        <f>HYPERLINK("https://klasma.github.io/Logging_2283/tillsyn/A 60833-2022 tillsynsbegäran.docx", "A 60833-2022")</f>
        <v/>
      </c>
      <c r="Y317">
        <f>HYPERLINK("https://klasma.github.io/Logging_2283/tillsynsmail/A 60833-2022 tillsynsbegäran mail.docx", "A 60833-2022")</f>
        <v/>
      </c>
    </row>
    <row r="318" ht="15" customHeight="1">
      <c r="A318" t="inlineStr">
        <is>
          <t>A 60939-2022</t>
        </is>
      </c>
      <c r="B318" s="1" t="n">
        <v>44908</v>
      </c>
      <c r="C318" s="1" t="n">
        <v>45576</v>
      </c>
      <c r="D318" t="inlineStr">
        <is>
          <t>VÄSTERNORRLANDS LÄN</t>
        </is>
      </c>
      <c r="E318" t="inlineStr">
        <is>
          <t>SOLLEFTEÅ</t>
        </is>
      </c>
      <c r="G318" t="n">
        <v>4.4</v>
      </c>
      <c r="H318" t="n">
        <v>0</v>
      </c>
      <c r="I318" t="n">
        <v>0</v>
      </c>
      <c r="J318" t="n">
        <v>1</v>
      </c>
      <c r="K318" t="n">
        <v>0</v>
      </c>
      <c r="L318" t="n">
        <v>0</v>
      </c>
      <c r="M318" t="n">
        <v>0</v>
      </c>
      <c r="N318" t="n">
        <v>0</v>
      </c>
      <c r="O318" t="n">
        <v>1</v>
      </c>
      <c r="P318" t="n">
        <v>0</v>
      </c>
      <c r="Q318" t="n">
        <v>1</v>
      </c>
      <c r="R318" s="2" t="inlineStr">
        <is>
          <t>Garnlav</t>
        </is>
      </c>
      <c r="S318">
        <f>HYPERLINK("https://klasma.github.io/Logging_2283/artfynd/A 60939-2022 artfynd.xlsx", "A 60939-2022")</f>
        <v/>
      </c>
      <c r="T318">
        <f>HYPERLINK("https://klasma.github.io/Logging_2283/kartor/A 60939-2022 karta.png", "A 60939-2022")</f>
        <v/>
      </c>
      <c r="V318">
        <f>HYPERLINK("https://klasma.github.io/Logging_2283/klagomål/A 60939-2022 FSC-klagomål.docx", "A 60939-2022")</f>
        <v/>
      </c>
      <c r="W318">
        <f>HYPERLINK("https://klasma.github.io/Logging_2283/klagomålsmail/A 60939-2022 FSC-klagomål mail.docx", "A 60939-2022")</f>
        <v/>
      </c>
      <c r="X318">
        <f>HYPERLINK("https://klasma.github.io/Logging_2283/tillsyn/A 60939-2022 tillsynsbegäran.docx", "A 60939-2022")</f>
        <v/>
      </c>
      <c r="Y318">
        <f>HYPERLINK("https://klasma.github.io/Logging_2283/tillsynsmail/A 60939-2022 tillsynsbegäran mail.docx", "A 60939-2022")</f>
        <v/>
      </c>
    </row>
    <row r="319" ht="15" customHeight="1">
      <c r="A319" t="inlineStr">
        <is>
          <t>A 61660-2022</t>
        </is>
      </c>
      <c r="B319" s="1" t="n">
        <v>44917</v>
      </c>
      <c r="C319" s="1" t="n">
        <v>45576</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Backruta</t>
        </is>
      </c>
      <c r="S319">
        <f>HYPERLINK("https://klasma.github.io/Logging_2283/artfynd/A 61660-2022 artfynd.xlsx", "A 61660-2022")</f>
        <v/>
      </c>
      <c r="T319">
        <f>HYPERLINK("https://klasma.github.io/Logging_2283/kartor/A 61660-2022 karta.png", "A 61660-2022")</f>
        <v/>
      </c>
      <c r="V319">
        <f>HYPERLINK("https://klasma.github.io/Logging_2283/klagomål/A 61660-2022 FSC-klagomål.docx", "A 61660-2022")</f>
        <v/>
      </c>
      <c r="W319">
        <f>HYPERLINK("https://klasma.github.io/Logging_2283/klagomålsmail/A 61660-2022 FSC-klagomål mail.docx", "A 61660-2022")</f>
        <v/>
      </c>
      <c r="X319">
        <f>HYPERLINK("https://klasma.github.io/Logging_2283/tillsyn/A 61660-2022 tillsynsbegäran.docx", "A 61660-2022")</f>
        <v/>
      </c>
      <c r="Y319">
        <f>HYPERLINK("https://klasma.github.io/Logging_2283/tillsynsmail/A 61660-2022 tillsynsbegäran mail.docx", "A 61660-2022")</f>
        <v/>
      </c>
    </row>
    <row r="320" ht="15" customHeight="1">
      <c r="A320" t="inlineStr">
        <is>
          <t>A 986-2023</t>
        </is>
      </c>
      <c r="B320" s="1" t="n">
        <v>44935</v>
      </c>
      <c r="C320" s="1" t="n">
        <v>45576</v>
      </c>
      <c r="D320" t="inlineStr">
        <is>
          <t>VÄSTERNORRLANDS LÄN</t>
        </is>
      </c>
      <c r="E320" t="inlineStr">
        <is>
          <t>SOLLEFTEÅ</t>
        </is>
      </c>
      <c r="G320" t="n">
        <v>2.6</v>
      </c>
      <c r="H320" t="n">
        <v>1</v>
      </c>
      <c r="I320" t="n">
        <v>0</v>
      </c>
      <c r="J320" t="n">
        <v>0</v>
      </c>
      <c r="K320" t="n">
        <v>0</v>
      </c>
      <c r="L320" t="n">
        <v>0</v>
      </c>
      <c r="M320" t="n">
        <v>0</v>
      </c>
      <c r="N320" t="n">
        <v>0</v>
      </c>
      <c r="O320" t="n">
        <v>0</v>
      </c>
      <c r="P320" t="n">
        <v>0</v>
      </c>
      <c r="Q320" t="n">
        <v>1</v>
      </c>
      <c r="R320" s="2" t="inlineStr">
        <is>
          <t>Revlummer</t>
        </is>
      </c>
      <c r="S320">
        <f>HYPERLINK("https://klasma.github.io/Logging_2283/artfynd/A 986-2023 artfynd.xlsx", "A 986-2023")</f>
        <v/>
      </c>
      <c r="T320">
        <f>HYPERLINK("https://klasma.github.io/Logging_2283/kartor/A 986-2023 karta.png", "A 986-2023")</f>
        <v/>
      </c>
      <c r="V320">
        <f>HYPERLINK("https://klasma.github.io/Logging_2283/klagomål/A 986-2023 FSC-klagomål.docx", "A 986-2023")</f>
        <v/>
      </c>
      <c r="W320">
        <f>HYPERLINK("https://klasma.github.io/Logging_2283/klagomålsmail/A 986-2023 FSC-klagomål mail.docx", "A 986-2023")</f>
        <v/>
      </c>
      <c r="X320">
        <f>HYPERLINK("https://klasma.github.io/Logging_2283/tillsyn/A 986-2023 tillsynsbegäran.docx", "A 986-2023")</f>
        <v/>
      </c>
      <c r="Y320">
        <f>HYPERLINK("https://klasma.github.io/Logging_2283/tillsynsmail/A 986-2023 tillsynsbegäran mail.docx", "A 986-2023")</f>
        <v/>
      </c>
    </row>
    <row r="321" ht="15" customHeight="1">
      <c r="A321" t="inlineStr">
        <is>
          <t>A 12862-2023</t>
        </is>
      </c>
      <c r="B321" s="1" t="n">
        <v>45001</v>
      </c>
      <c r="C321" s="1" t="n">
        <v>45576</v>
      </c>
      <c r="D321" t="inlineStr">
        <is>
          <t>VÄSTERNORRLANDS LÄN</t>
        </is>
      </c>
      <c r="E321" t="inlineStr">
        <is>
          <t>SOLLEFTEÅ</t>
        </is>
      </c>
      <c r="F321" t="inlineStr">
        <is>
          <t>Övriga Aktiebolag</t>
        </is>
      </c>
      <c r="G321" t="n">
        <v>10.4</v>
      </c>
      <c r="H321" t="n">
        <v>0</v>
      </c>
      <c r="I321" t="n">
        <v>1</v>
      </c>
      <c r="J321" t="n">
        <v>0</v>
      </c>
      <c r="K321" t="n">
        <v>0</v>
      </c>
      <c r="L321" t="n">
        <v>0</v>
      </c>
      <c r="M321" t="n">
        <v>0</v>
      </c>
      <c r="N321" t="n">
        <v>0</v>
      </c>
      <c r="O321" t="n">
        <v>0</v>
      </c>
      <c r="P321" t="n">
        <v>0</v>
      </c>
      <c r="Q321" t="n">
        <v>1</v>
      </c>
      <c r="R321" s="2" t="inlineStr">
        <is>
          <t>Korallblylav</t>
        </is>
      </c>
      <c r="S321">
        <f>HYPERLINK("https://klasma.github.io/Logging_2283/artfynd/A 12862-2023 artfynd.xlsx", "A 12862-2023")</f>
        <v/>
      </c>
      <c r="T321">
        <f>HYPERLINK("https://klasma.github.io/Logging_2283/kartor/A 12862-2023 karta.png", "A 12862-2023")</f>
        <v/>
      </c>
      <c r="V321">
        <f>HYPERLINK("https://klasma.github.io/Logging_2283/klagomål/A 12862-2023 FSC-klagomål.docx", "A 12862-2023")</f>
        <v/>
      </c>
      <c r="W321">
        <f>HYPERLINK("https://klasma.github.io/Logging_2283/klagomålsmail/A 12862-2023 FSC-klagomål mail.docx", "A 12862-2023")</f>
        <v/>
      </c>
      <c r="X321">
        <f>HYPERLINK("https://klasma.github.io/Logging_2283/tillsyn/A 12862-2023 tillsynsbegäran.docx", "A 12862-2023")</f>
        <v/>
      </c>
      <c r="Y321">
        <f>HYPERLINK("https://klasma.github.io/Logging_2283/tillsynsmail/A 12862-2023 tillsynsbegäran mail.docx", "A 12862-2023")</f>
        <v/>
      </c>
    </row>
    <row r="322" ht="15" customHeight="1">
      <c r="A322" t="inlineStr">
        <is>
          <t>A 14674-2023</t>
        </is>
      </c>
      <c r="B322" s="1" t="n">
        <v>45013</v>
      </c>
      <c r="C322" s="1" t="n">
        <v>45576</v>
      </c>
      <c r="D322" t="inlineStr">
        <is>
          <t>VÄSTERNORRLANDS LÄN</t>
        </is>
      </c>
      <c r="E322" t="inlineStr">
        <is>
          <t>SOLLEFTEÅ</t>
        </is>
      </c>
      <c r="F322" t="inlineStr">
        <is>
          <t>Övriga statliga verk och myndigheter</t>
        </is>
      </c>
      <c r="G322" t="n">
        <v>11.7</v>
      </c>
      <c r="H322" t="n">
        <v>0</v>
      </c>
      <c r="I322" t="n">
        <v>0</v>
      </c>
      <c r="J322" t="n">
        <v>0</v>
      </c>
      <c r="K322" t="n">
        <v>1</v>
      </c>
      <c r="L322" t="n">
        <v>0</v>
      </c>
      <c r="M322" t="n">
        <v>0</v>
      </c>
      <c r="N322" t="n">
        <v>0</v>
      </c>
      <c r="O322" t="n">
        <v>1</v>
      </c>
      <c r="P322" t="n">
        <v>1</v>
      </c>
      <c r="Q322" t="n">
        <v>1</v>
      </c>
      <c r="R322" s="2" t="inlineStr">
        <is>
          <t>Rynkskinn</t>
        </is>
      </c>
      <c r="S322">
        <f>HYPERLINK("https://klasma.github.io/Logging_2283/artfynd/A 14674-2023 artfynd.xlsx", "A 14674-2023")</f>
        <v/>
      </c>
      <c r="T322">
        <f>HYPERLINK("https://klasma.github.io/Logging_2283/kartor/A 14674-2023 karta.png", "A 14674-2023")</f>
        <v/>
      </c>
      <c r="V322">
        <f>HYPERLINK("https://klasma.github.io/Logging_2283/klagomål/A 14674-2023 FSC-klagomål.docx", "A 14674-2023")</f>
        <v/>
      </c>
      <c r="W322">
        <f>HYPERLINK("https://klasma.github.io/Logging_2283/klagomålsmail/A 14674-2023 FSC-klagomål mail.docx", "A 14674-2023")</f>
        <v/>
      </c>
      <c r="X322">
        <f>HYPERLINK("https://klasma.github.io/Logging_2283/tillsyn/A 14674-2023 tillsynsbegäran.docx", "A 14674-2023")</f>
        <v/>
      </c>
      <c r="Y322">
        <f>HYPERLINK("https://klasma.github.io/Logging_2283/tillsynsmail/A 14674-2023 tillsynsbegäran mail.docx", "A 14674-2023")</f>
        <v/>
      </c>
    </row>
    <row r="323" ht="15" customHeight="1">
      <c r="A323" t="inlineStr">
        <is>
          <t>A 24548-2023</t>
        </is>
      </c>
      <c r="B323" s="1" t="n">
        <v>45082</v>
      </c>
      <c r="C323" s="1" t="n">
        <v>45576</v>
      </c>
      <c r="D323" t="inlineStr">
        <is>
          <t>VÄSTERNORRLANDS LÄN</t>
        </is>
      </c>
      <c r="E323" t="inlineStr">
        <is>
          <t>SOLLEFTEÅ</t>
        </is>
      </c>
      <c r="F323" t="inlineStr">
        <is>
          <t>SCA</t>
        </is>
      </c>
      <c r="G323" t="n">
        <v>3</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24548-2023 artfynd.xlsx", "A 24548-2023")</f>
        <v/>
      </c>
      <c r="T323">
        <f>HYPERLINK("https://klasma.github.io/Logging_2283/kartor/A 24548-2023 karta.png", "A 24548-2023")</f>
        <v/>
      </c>
      <c r="U323">
        <f>HYPERLINK("https://klasma.github.io/Logging_2283/knärot/A 24548-2023 karta knärot.png", "A 24548-2023")</f>
        <v/>
      </c>
      <c r="V323">
        <f>HYPERLINK("https://klasma.github.io/Logging_2283/klagomål/A 24548-2023 FSC-klagomål.docx", "A 24548-2023")</f>
        <v/>
      </c>
      <c r="W323">
        <f>HYPERLINK("https://klasma.github.io/Logging_2283/klagomålsmail/A 24548-2023 FSC-klagomål mail.docx", "A 24548-2023")</f>
        <v/>
      </c>
      <c r="X323">
        <f>HYPERLINK("https://klasma.github.io/Logging_2283/tillsyn/A 24548-2023 tillsynsbegäran.docx", "A 24548-2023")</f>
        <v/>
      </c>
      <c r="Y323">
        <f>HYPERLINK("https://klasma.github.io/Logging_2283/tillsynsmail/A 24548-2023 tillsynsbegäran mail.docx", "A 24548-2023")</f>
        <v/>
      </c>
      <c r="Z323">
        <f>HYPERLINK("https://klasma.github.io/Logging_2283/fåglar/A 24548-2023 prioriterade fågelarter.docx", "A 24548-2023")</f>
        <v/>
      </c>
    </row>
    <row r="324" ht="15" customHeight="1">
      <c r="A324" t="inlineStr">
        <is>
          <t>A 25310-2023</t>
        </is>
      </c>
      <c r="B324" s="1" t="n">
        <v>45087</v>
      </c>
      <c r="C324" s="1" t="n">
        <v>45576</v>
      </c>
      <c r="D324" t="inlineStr">
        <is>
          <t>VÄSTERNORRLANDS LÄN</t>
        </is>
      </c>
      <c r="E324" t="inlineStr">
        <is>
          <t>SOLLEFTEÅ</t>
        </is>
      </c>
      <c r="F324" t="inlineStr">
        <is>
          <t>SCA</t>
        </is>
      </c>
      <c r="G324" t="n">
        <v>1.1</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25310-2023 artfynd.xlsx", "A 25310-2023")</f>
        <v/>
      </c>
      <c r="T324">
        <f>HYPERLINK("https://klasma.github.io/Logging_2283/kartor/A 25310-2023 karta.png", "A 25310-2023")</f>
        <v/>
      </c>
      <c r="V324">
        <f>HYPERLINK("https://klasma.github.io/Logging_2283/klagomål/A 25310-2023 FSC-klagomål.docx", "A 25310-2023")</f>
        <v/>
      </c>
      <c r="W324">
        <f>HYPERLINK("https://klasma.github.io/Logging_2283/klagomålsmail/A 25310-2023 FSC-klagomål mail.docx", "A 25310-2023")</f>
        <v/>
      </c>
      <c r="X324">
        <f>HYPERLINK("https://klasma.github.io/Logging_2283/tillsyn/A 25310-2023 tillsynsbegäran.docx", "A 25310-2023")</f>
        <v/>
      </c>
      <c r="Y324">
        <f>HYPERLINK("https://klasma.github.io/Logging_2283/tillsynsmail/A 25310-2023 tillsynsbegäran mail.docx", "A 25310-2023")</f>
        <v/>
      </c>
      <c r="Z324">
        <f>HYPERLINK("https://klasma.github.io/Logging_2283/fåglar/A 25310-2023 prioriterade fågelarter.docx", "A 25310-2023")</f>
        <v/>
      </c>
    </row>
    <row r="325" ht="15" customHeight="1">
      <c r="A325" t="inlineStr">
        <is>
          <t>A 29958-2023</t>
        </is>
      </c>
      <c r="B325" s="1" t="n">
        <v>45107</v>
      </c>
      <c r="C325" s="1" t="n">
        <v>45576</v>
      </c>
      <c r="D325" t="inlineStr">
        <is>
          <t>VÄSTERNORRLANDS LÄN</t>
        </is>
      </c>
      <c r="E325" t="inlineStr">
        <is>
          <t>SOLLEFTEÅ</t>
        </is>
      </c>
      <c r="F325" t="inlineStr">
        <is>
          <t>SCA</t>
        </is>
      </c>
      <c r="G325" t="n">
        <v>7.5</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29958-2023 artfynd.xlsx", "A 29958-2023")</f>
        <v/>
      </c>
      <c r="T325">
        <f>HYPERLINK("https://klasma.github.io/Logging_2283/kartor/A 29958-2023 karta.png", "A 29958-2023")</f>
        <v/>
      </c>
      <c r="V325">
        <f>HYPERLINK("https://klasma.github.io/Logging_2283/klagomål/A 29958-2023 FSC-klagomål.docx", "A 29958-2023")</f>
        <v/>
      </c>
      <c r="W325">
        <f>HYPERLINK("https://klasma.github.io/Logging_2283/klagomålsmail/A 29958-2023 FSC-klagomål mail.docx", "A 29958-2023")</f>
        <v/>
      </c>
      <c r="X325">
        <f>HYPERLINK("https://klasma.github.io/Logging_2283/tillsyn/A 29958-2023 tillsynsbegäran.docx", "A 29958-2023")</f>
        <v/>
      </c>
      <c r="Y325">
        <f>HYPERLINK("https://klasma.github.io/Logging_2283/tillsynsmail/A 29958-2023 tillsynsbegäran mail.docx", "A 29958-2023")</f>
        <v/>
      </c>
      <c r="Z325">
        <f>HYPERLINK("https://klasma.github.io/Logging_2283/fåglar/A 29958-2023 prioriterade fågelarter.docx", "A 29958-2023")</f>
        <v/>
      </c>
    </row>
    <row r="326" ht="15" customHeight="1">
      <c r="A326" t="inlineStr">
        <is>
          <t>A 31912-2023</t>
        </is>
      </c>
      <c r="B326" s="1" t="n">
        <v>45118</v>
      </c>
      <c r="C326" s="1" t="n">
        <v>45576</v>
      </c>
      <c r="D326" t="inlineStr">
        <is>
          <t>VÄSTERNORRLANDS LÄN</t>
        </is>
      </c>
      <c r="E326" t="inlineStr">
        <is>
          <t>SOLLEFTEÅ</t>
        </is>
      </c>
      <c r="G326" t="n">
        <v>5.4</v>
      </c>
      <c r="H326" t="n">
        <v>0</v>
      </c>
      <c r="I326" t="n">
        <v>0</v>
      </c>
      <c r="J326" t="n">
        <v>1</v>
      </c>
      <c r="K326" t="n">
        <v>0</v>
      </c>
      <c r="L326" t="n">
        <v>0</v>
      </c>
      <c r="M326" t="n">
        <v>0</v>
      </c>
      <c r="N326" t="n">
        <v>0</v>
      </c>
      <c r="O326" t="n">
        <v>1</v>
      </c>
      <c r="P326" t="n">
        <v>0</v>
      </c>
      <c r="Q326" t="n">
        <v>1</v>
      </c>
      <c r="R326" s="2" t="inlineStr">
        <is>
          <t>Granticka</t>
        </is>
      </c>
      <c r="S326">
        <f>HYPERLINK("https://klasma.github.io/Logging_2283/artfynd/A 31912-2023 artfynd.xlsx", "A 31912-2023")</f>
        <v/>
      </c>
      <c r="T326">
        <f>HYPERLINK("https://klasma.github.io/Logging_2283/kartor/A 31912-2023 karta.png", "A 31912-2023")</f>
        <v/>
      </c>
      <c r="V326">
        <f>HYPERLINK("https://klasma.github.io/Logging_2283/klagomål/A 31912-2023 FSC-klagomål.docx", "A 31912-2023")</f>
        <v/>
      </c>
      <c r="W326">
        <f>HYPERLINK("https://klasma.github.io/Logging_2283/klagomålsmail/A 31912-2023 FSC-klagomål mail.docx", "A 31912-2023")</f>
        <v/>
      </c>
      <c r="X326">
        <f>HYPERLINK("https://klasma.github.io/Logging_2283/tillsyn/A 31912-2023 tillsynsbegäran.docx", "A 31912-2023")</f>
        <v/>
      </c>
      <c r="Y326">
        <f>HYPERLINK("https://klasma.github.io/Logging_2283/tillsynsmail/A 31912-2023 tillsynsbegäran mail.docx", "A 31912-2023")</f>
        <v/>
      </c>
    </row>
    <row r="327" ht="15" customHeight="1">
      <c r="A327" t="inlineStr">
        <is>
          <t>A 31920-2023</t>
        </is>
      </c>
      <c r="B327" s="1" t="n">
        <v>45118</v>
      </c>
      <c r="C327" s="1" t="n">
        <v>45576</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32734-2023</t>
        </is>
      </c>
      <c r="B328" s="1" t="n">
        <v>45121</v>
      </c>
      <c r="C328" s="1" t="n">
        <v>45576</v>
      </c>
      <c r="D328" t="inlineStr">
        <is>
          <t>VÄSTERNORRLANDS LÄN</t>
        </is>
      </c>
      <c r="E328" t="inlineStr">
        <is>
          <t>SOLLEFTEÅ</t>
        </is>
      </c>
      <c r="G328" t="n">
        <v>1.8</v>
      </c>
      <c r="H328" t="n">
        <v>0</v>
      </c>
      <c r="I328" t="n">
        <v>0</v>
      </c>
      <c r="J328" t="n">
        <v>1</v>
      </c>
      <c r="K328" t="n">
        <v>0</v>
      </c>
      <c r="L328" t="n">
        <v>0</v>
      </c>
      <c r="M328" t="n">
        <v>0</v>
      </c>
      <c r="N328" t="n">
        <v>0</v>
      </c>
      <c r="O328" t="n">
        <v>1</v>
      </c>
      <c r="P328" t="n">
        <v>0</v>
      </c>
      <c r="Q328" t="n">
        <v>1</v>
      </c>
      <c r="R328" s="2" t="inlineStr">
        <is>
          <t>Garnlav</t>
        </is>
      </c>
      <c r="S328">
        <f>HYPERLINK("https://klasma.github.io/Logging_2283/artfynd/A 32734-2023 artfynd.xlsx", "A 32734-2023")</f>
        <v/>
      </c>
      <c r="T328">
        <f>HYPERLINK("https://klasma.github.io/Logging_2283/kartor/A 32734-2023 karta.png", "A 32734-2023")</f>
        <v/>
      </c>
      <c r="V328">
        <f>HYPERLINK("https://klasma.github.io/Logging_2283/klagomål/A 32734-2023 FSC-klagomål.docx", "A 32734-2023")</f>
        <v/>
      </c>
      <c r="W328">
        <f>HYPERLINK("https://klasma.github.io/Logging_2283/klagomålsmail/A 32734-2023 FSC-klagomål mail.docx", "A 32734-2023")</f>
        <v/>
      </c>
      <c r="X328">
        <f>HYPERLINK("https://klasma.github.io/Logging_2283/tillsyn/A 32734-2023 tillsynsbegäran.docx", "A 32734-2023")</f>
        <v/>
      </c>
      <c r="Y328">
        <f>HYPERLINK("https://klasma.github.io/Logging_2283/tillsynsmail/A 32734-2023 tillsynsbegäran mail.docx", "A 32734-2023")</f>
        <v/>
      </c>
    </row>
    <row r="329" ht="15" customHeight="1">
      <c r="A329" t="inlineStr">
        <is>
          <t>A 34699-2023</t>
        </is>
      </c>
      <c r="B329" s="1" t="n">
        <v>45141</v>
      </c>
      <c r="C329" s="1" t="n">
        <v>45576</v>
      </c>
      <c r="D329" t="inlineStr">
        <is>
          <t>VÄSTERNORRLANDS LÄN</t>
        </is>
      </c>
      <c r="E329" t="inlineStr">
        <is>
          <t>SOLLEFTEÅ</t>
        </is>
      </c>
      <c r="F329" t="inlineStr">
        <is>
          <t>SCA</t>
        </is>
      </c>
      <c r="G329" t="n">
        <v>3</v>
      </c>
      <c r="H329" t="n">
        <v>1</v>
      </c>
      <c r="I329" t="n">
        <v>0</v>
      </c>
      <c r="J329" t="n">
        <v>0</v>
      </c>
      <c r="K329" t="n">
        <v>1</v>
      </c>
      <c r="L329" t="n">
        <v>0</v>
      </c>
      <c r="M329" t="n">
        <v>0</v>
      </c>
      <c r="N329" t="n">
        <v>0</v>
      </c>
      <c r="O329" t="n">
        <v>1</v>
      </c>
      <c r="P329" t="n">
        <v>1</v>
      </c>
      <c r="Q329" t="n">
        <v>1</v>
      </c>
      <c r="R329" s="2" t="inlineStr">
        <is>
          <t>Knärot</t>
        </is>
      </c>
      <c r="S329">
        <f>HYPERLINK("https://klasma.github.io/Logging_2283/artfynd/A 34699-2023 artfynd.xlsx", "A 34699-2023")</f>
        <v/>
      </c>
      <c r="T329">
        <f>HYPERLINK("https://klasma.github.io/Logging_2283/kartor/A 34699-2023 karta.png", "A 34699-2023")</f>
        <v/>
      </c>
      <c r="U329">
        <f>HYPERLINK("https://klasma.github.io/Logging_2283/knärot/A 34699-2023 karta knärot.png", "A 34699-2023")</f>
        <v/>
      </c>
      <c r="V329">
        <f>HYPERLINK("https://klasma.github.io/Logging_2283/klagomål/A 34699-2023 FSC-klagomål.docx", "A 34699-2023")</f>
        <v/>
      </c>
      <c r="W329">
        <f>HYPERLINK("https://klasma.github.io/Logging_2283/klagomålsmail/A 34699-2023 FSC-klagomål mail.docx", "A 34699-2023")</f>
        <v/>
      </c>
      <c r="X329">
        <f>HYPERLINK("https://klasma.github.io/Logging_2283/tillsyn/A 34699-2023 tillsynsbegäran.docx", "A 34699-2023")</f>
        <v/>
      </c>
      <c r="Y329">
        <f>HYPERLINK("https://klasma.github.io/Logging_2283/tillsynsmail/A 34699-2023 tillsynsbegäran mail.docx", "A 34699-2023")</f>
        <v/>
      </c>
    </row>
    <row r="330" ht="15" customHeight="1">
      <c r="A330" t="inlineStr">
        <is>
          <t>A 38089-2023</t>
        </is>
      </c>
      <c r="B330" s="1" t="n">
        <v>45160</v>
      </c>
      <c r="C330" s="1" t="n">
        <v>45576</v>
      </c>
      <c r="D330" t="inlineStr">
        <is>
          <t>VÄSTERNORRLANDS LÄN</t>
        </is>
      </c>
      <c r="E330" t="inlineStr">
        <is>
          <t>SOLLEFTEÅ</t>
        </is>
      </c>
      <c r="F330" t="inlineStr">
        <is>
          <t>SCA</t>
        </is>
      </c>
      <c r="G330" t="n">
        <v>4.3</v>
      </c>
      <c r="H330" t="n">
        <v>0</v>
      </c>
      <c r="I330" t="n">
        <v>0</v>
      </c>
      <c r="J330" t="n">
        <v>1</v>
      </c>
      <c r="K330" t="n">
        <v>0</v>
      </c>
      <c r="L330" t="n">
        <v>0</v>
      </c>
      <c r="M330" t="n">
        <v>0</v>
      </c>
      <c r="N330" t="n">
        <v>0</v>
      </c>
      <c r="O330" t="n">
        <v>1</v>
      </c>
      <c r="P330" t="n">
        <v>0</v>
      </c>
      <c r="Q330" t="n">
        <v>1</v>
      </c>
      <c r="R330" s="2" t="inlineStr">
        <is>
          <t>Garnlav</t>
        </is>
      </c>
      <c r="S330">
        <f>HYPERLINK("https://klasma.github.io/Logging_2283/artfynd/A 38089-2023 artfynd.xlsx", "A 38089-2023")</f>
        <v/>
      </c>
      <c r="T330">
        <f>HYPERLINK("https://klasma.github.io/Logging_2283/kartor/A 38089-2023 karta.png", "A 38089-2023")</f>
        <v/>
      </c>
      <c r="V330">
        <f>HYPERLINK("https://klasma.github.io/Logging_2283/klagomål/A 38089-2023 FSC-klagomål.docx", "A 38089-2023")</f>
        <v/>
      </c>
      <c r="W330">
        <f>HYPERLINK("https://klasma.github.io/Logging_2283/klagomålsmail/A 38089-2023 FSC-klagomål mail.docx", "A 38089-2023")</f>
        <v/>
      </c>
      <c r="X330">
        <f>HYPERLINK("https://klasma.github.io/Logging_2283/tillsyn/A 38089-2023 tillsynsbegäran.docx", "A 38089-2023")</f>
        <v/>
      </c>
      <c r="Y330">
        <f>HYPERLINK("https://klasma.github.io/Logging_2283/tillsynsmail/A 38089-2023 tillsynsbegäran mail.docx", "A 38089-2023")</f>
        <v/>
      </c>
    </row>
    <row r="331" ht="15" customHeight="1">
      <c r="A331" t="inlineStr">
        <is>
          <t>A 38375-2023</t>
        </is>
      </c>
      <c r="B331" s="1" t="n">
        <v>45161</v>
      </c>
      <c r="C331" s="1" t="n">
        <v>45576</v>
      </c>
      <c r="D331" t="inlineStr">
        <is>
          <t>VÄSTERNORRLANDS LÄN</t>
        </is>
      </c>
      <c r="E331" t="inlineStr">
        <is>
          <t>SOLLEFTEÅ</t>
        </is>
      </c>
      <c r="F331" t="inlineStr">
        <is>
          <t>SCA</t>
        </is>
      </c>
      <c r="G331" t="n">
        <v>5.6</v>
      </c>
      <c r="H331" t="n">
        <v>0</v>
      </c>
      <c r="I331" t="n">
        <v>0</v>
      </c>
      <c r="J331" t="n">
        <v>1</v>
      </c>
      <c r="K331" t="n">
        <v>0</v>
      </c>
      <c r="L331" t="n">
        <v>0</v>
      </c>
      <c r="M331" t="n">
        <v>0</v>
      </c>
      <c r="N331" t="n">
        <v>0</v>
      </c>
      <c r="O331" t="n">
        <v>1</v>
      </c>
      <c r="P331" t="n">
        <v>0</v>
      </c>
      <c r="Q331" t="n">
        <v>1</v>
      </c>
      <c r="R331" s="2" t="inlineStr">
        <is>
          <t>Garnlav</t>
        </is>
      </c>
      <c r="S331">
        <f>HYPERLINK("https://klasma.github.io/Logging_2283/artfynd/A 38375-2023 artfynd.xlsx", "A 38375-2023")</f>
        <v/>
      </c>
      <c r="T331">
        <f>HYPERLINK("https://klasma.github.io/Logging_2283/kartor/A 38375-2023 karta.png", "A 38375-2023")</f>
        <v/>
      </c>
      <c r="V331">
        <f>HYPERLINK("https://klasma.github.io/Logging_2283/klagomål/A 38375-2023 FSC-klagomål.docx", "A 38375-2023")</f>
        <v/>
      </c>
      <c r="W331">
        <f>HYPERLINK("https://klasma.github.io/Logging_2283/klagomålsmail/A 38375-2023 FSC-klagomål mail.docx", "A 38375-2023")</f>
        <v/>
      </c>
      <c r="X331">
        <f>HYPERLINK("https://klasma.github.io/Logging_2283/tillsyn/A 38375-2023 tillsynsbegäran.docx", "A 38375-2023")</f>
        <v/>
      </c>
      <c r="Y331">
        <f>HYPERLINK("https://klasma.github.io/Logging_2283/tillsynsmail/A 38375-2023 tillsynsbegäran mail.docx", "A 38375-2023")</f>
        <v/>
      </c>
    </row>
    <row r="332" ht="15" customHeight="1">
      <c r="A332" t="inlineStr">
        <is>
          <t>A 39565-2023</t>
        </is>
      </c>
      <c r="B332" s="1" t="n">
        <v>45167</v>
      </c>
      <c r="C332" s="1" t="n">
        <v>45576</v>
      </c>
      <c r="D332" t="inlineStr">
        <is>
          <t>VÄSTERNORRLANDS LÄN</t>
        </is>
      </c>
      <c r="E332" t="inlineStr">
        <is>
          <t>SOLLEFTEÅ</t>
        </is>
      </c>
      <c r="G332" t="n">
        <v>3.2</v>
      </c>
      <c r="H332" t="n">
        <v>0</v>
      </c>
      <c r="I332" t="n">
        <v>0</v>
      </c>
      <c r="J332" t="n">
        <v>1</v>
      </c>
      <c r="K332" t="n">
        <v>0</v>
      </c>
      <c r="L332" t="n">
        <v>0</v>
      </c>
      <c r="M332" t="n">
        <v>0</v>
      </c>
      <c r="N332" t="n">
        <v>0</v>
      </c>
      <c r="O332" t="n">
        <v>1</v>
      </c>
      <c r="P332" t="n">
        <v>0</v>
      </c>
      <c r="Q332" t="n">
        <v>1</v>
      </c>
      <c r="R332" s="2" t="inlineStr">
        <is>
          <t>Ullticka</t>
        </is>
      </c>
      <c r="S332">
        <f>HYPERLINK("https://klasma.github.io/Logging_2283/artfynd/A 39565-2023 artfynd.xlsx", "A 39565-2023")</f>
        <v/>
      </c>
      <c r="T332">
        <f>HYPERLINK("https://klasma.github.io/Logging_2283/kartor/A 39565-2023 karta.png", "A 39565-2023")</f>
        <v/>
      </c>
      <c r="V332">
        <f>HYPERLINK("https://klasma.github.io/Logging_2283/klagomål/A 39565-2023 FSC-klagomål.docx", "A 39565-2023")</f>
        <v/>
      </c>
      <c r="W332">
        <f>HYPERLINK("https://klasma.github.io/Logging_2283/klagomålsmail/A 39565-2023 FSC-klagomål mail.docx", "A 39565-2023")</f>
        <v/>
      </c>
      <c r="X332">
        <f>HYPERLINK("https://klasma.github.io/Logging_2283/tillsyn/A 39565-2023 tillsynsbegäran.docx", "A 39565-2023")</f>
        <v/>
      </c>
      <c r="Y332">
        <f>HYPERLINK("https://klasma.github.io/Logging_2283/tillsynsmail/A 39565-2023 tillsynsbegäran mail.docx", "A 39565-2023")</f>
        <v/>
      </c>
    </row>
    <row r="333" ht="15" customHeight="1">
      <c r="A333" t="inlineStr">
        <is>
          <t>A 46203-2023</t>
        </is>
      </c>
      <c r="B333" s="1" t="n">
        <v>45190</v>
      </c>
      <c r="C333" s="1" t="n">
        <v>45576</v>
      </c>
      <c r="D333" t="inlineStr">
        <is>
          <t>VÄSTERNORRLANDS LÄN</t>
        </is>
      </c>
      <c r="E333" t="inlineStr">
        <is>
          <t>SOLLEFTEÅ</t>
        </is>
      </c>
      <c r="G333" t="n">
        <v>13</v>
      </c>
      <c r="H333" t="n">
        <v>0</v>
      </c>
      <c r="I333" t="n">
        <v>0</v>
      </c>
      <c r="J333" t="n">
        <v>1</v>
      </c>
      <c r="K333" t="n">
        <v>0</v>
      </c>
      <c r="L333" t="n">
        <v>0</v>
      </c>
      <c r="M333" t="n">
        <v>0</v>
      </c>
      <c r="N333" t="n">
        <v>0</v>
      </c>
      <c r="O333" t="n">
        <v>1</v>
      </c>
      <c r="P333" t="n">
        <v>0</v>
      </c>
      <c r="Q333" t="n">
        <v>1</v>
      </c>
      <c r="R333" s="2" t="inlineStr">
        <is>
          <t>Garnlav</t>
        </is>
      </c>
      <c r="S333">
        <f>HYPERLINK("https://klasma.github.io/Logging_2283/artfynd/A 46203-2023 artfynd.xlsx", "A 46203-2023")</f>
        <v/>
      </c>
      <c r="T333">
        <f>HYPERLINK("https://klasma.github.io/Logging_2283/kartor/A 46203-2023 karta.png", "A 46203-2023")</f>
        <v/>
      </c>
      <c r="V333">
        <f>HYPERLINK("https://klasma.github.io/Logging_2283/klagomål/A 46203-2023 FSC-klagomål.docx", "A 46203-2023")</f>
        <v/>
      </c>
      <c r="W333">
        <f>HYPERLINK("https://klasma.github.io/Logging_2283/klagomålsmail/A 46203-2023 FSC-klagomål mail.docx", "A 46203-2023")</f>
        <v/>
      </c>
      <c r="X333">
        <f>HYPERLINK("https://klasma.github.io/Logging_2283/tillsyn/A 46203-2023 tillsynsbegäran.docx", "A 46203-2023")</f>
        <v/>
      </c>
      <c r="Y333">
        <f>HYPERLINK("https://klasma.github.io/Logging_2283/tillsynsmail/A 46203-2023 tillsynsbegäran mail.docx", "A 46203-2023")</f>
        <v/>
      </c>
    </row>
    <row r="334" ht="15" customHeight="1">
      <c r="A334" t="inlineStr">
        <is>
          <t>A 48087-2023</t>
        </is>
      </c>
      <c r="B334" s="1" t="n">
        <v>45204</v>
      </c>
      <c r="C334" s="1" t="n">
        <v>45576</v>
      </c>
      <c r="D334" t="inlineStr">
        <is>
          <t>VÄSTERNORRLANDS LÄN</t>
        </is>
      </c>
      <c r="E334" t="inlineStr">
        <is>
          <t>SOLLEFTEÅ</t>
        </is>
      </c>
      <c r="F334" t="inlineStr">
        <is>
          <t>SCA</t>
        </is>
      </c>
      <c r="G334" t="n">
        <v>0.6</v>
      </c>
      <c r="H334" t="n">
        <v>0</v>
      </c>
      <c r="I334" t="n">
        <v>0</v>
      </c>
      <c r="J334" t="n">
        <v>1</v>
      </c>
      <c r="K334" t="n">
        <v>0</v>
      </c>
      <c r="L334" t="n">
        <v>0</v>
      </c>
      <c r="M334" t="n">
        <v>0</v>
      </c>
      <c r="N334" t="n">
        <v>0</v>
      </c>
      <c r="O334" t="n">
        <v>1</v>
      </c>
      <c r="P334" t="n">
        <v>0</v>
      </c>
      <c r="Q334" t="n">
        <v>1</v>
      </c>
      <c r="R334" s="2" t="inlineStr">
        <is>
          <t>Doftskinn</t>
        </is>
      </c>
      <c r="S334">
        <f>HYPERLINK("https://klasma.github.io/Logging_2283/artfynd/A 48087-2023 artfynd.xlsx", "A 48087-2023")</f>
        <v/>
      </c>
      <c r="T334">
        <f>HYPERLINK("https://klasma.github.io/Logging_2283/kartor/A 48087-2023 karta.png", "A 48087-2023")</f>
        <v/>
      </c>
      <c r="V334">
        <f>HYPERLINK("https://klasma.github.io/Logging_2283/klagomål/A 48087-2023 FSC-klagomål.docx", "A 48087-2023")</f>
        <v/>
      </c>
      <c r="W334">
        <f>HYPERLINK("https://klasma.github.io/Logging_2283/klagomålsmail/A 48087-2023 FSC-klagomål mail.docx", "A 48087-2023")</f>
        <v/>
      </c>
      <c r="X334">
        <f>HYPERLINK("https://klasma.github.io/Logging_2283/tillsyn/A 48087-2023 tillsynsbegäran.docx", "A 48087-2023")</f>
        <v/>
      </c>
      <c r="Y334">
        <f>HYPERLINK("https://klasma.github.io/Logging_2283/tillsynsmail/A 48087-2023 tillsynsbegäran mail.docx", "A 48087-2023")</f>
        <v/>
      </c>
    </row>
    <row r="335" ht="15" customHeight="1">
      <c r="A335" t="inlineStr">
        <is>
          <t>A 53059-2023</t>
        </is>
      </c>
      <c r="B335" s="1" t="n">
        <v>45226</v>
      </c>
      <c r="C335" s="1" t="n">
        <v>45576</v>
      </c>
      <c r="D335" t="inlineStr">
        <is>
          <t>VÄSTERNORRLANDS LÄN</t>
        </is>
      </c>
      <c r="E335" t="inlineStr">
        <is>
          <t>SOLLEFTEÅ</t>
        </is>
      </c>
      <c r="F335" t="inlineStr">
        <is>
          <t>SCA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HYPERLINK("https://klasma.github.io/Logging_2283/artfynd/A 53059-2023 artfynd.xlsx", "A 53059-2023")</f>
        <v/>
      </c>
      <c r="T335">
        <f>HYPERLINK("https://klasma.github.io/Logging_2283/kartor/A 53059-2023 karta.png", "A 53059-2023")</f>
        <v/>
      </c>
      <c r="U335">
        <f>HYPERLINK("https://klasma.github.io/Logging_2283/knärot/A 53059-2023 karta knärot.png", "A 53059-2023")</f>
        <v/>
      </c>
      <c r="V335">
        <f>HYPERLINK("https://klasma.github.io/Logging_2283/klagomål/A 53059-2023 FSC-klagomål.docx", "A 53059-2023")</f>
        <v/>
      </c>
      <c r="W335">
        <f>HYPERLINK("https://klasma.github.io/Logging_2283/klagomålsmail/A 53059-2023 FSC-klagomål mail.docx", "A 53059-2023")</f>
        <v/>
      </c>
      <c r="X335">
        <f>HYPERLINK("https://klasma.github.io/Logging_2283/tillsyn/A 53059-2023 tillsynsbegäran.docx", "A 53059-2023")</f>
        <v/>
      </c>
      <c r="Y335">
        <f>HYPERLINK("https://klasma.github.io/Logging_2283/tillsynsmail/A 53059-2023 tillsynsbegäran mail.docx", "A 53059-2023")</f>
        <v/>
      </c>
    </row>
    <row r="336" ht="15" customHeight="1">
      <c r="A336" t="inlineStr">
        <is>
          <t>A 53039-2023</t>
        </is>
      </c>
      <c r="B336" s="1" t="n">
        <v>45226</v>
      </c>
      <c r="C336" s="1" t="n">
        <v>45576</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53446-2023</t>
        </is>
      </c>
      <c r="B337" s="1" t="n">
        <v>45229</v>
      </c>
      <c r="C337" s="1" t="n">
        <v>45576</v>
      </c>
      <c r="D337" t="inlineStr">
        <is>
          <t>VÄSTERNORRLANDS LÄN</t>
        </is>
      </c>
      <c r="E337" t="inlineStr">
        <is>
          <t>SOLLEFTEÅ</t>
        </is>
      </c>
      <c r="F337" t="inlineStr">
        <is>
          <t>SCA</t>
        </is>
      </c>
      <c r="G337" t="n">
        <v>2.2</v>
      </c>
      <c r="H337" t="n">
        <v>0</v>
      </c>
      <c r="I337" t="n">
        <v>0</v>
      </c>
      <c r="J337" t="n">
        <v>1</v>
      </c>
      <c r="K337" t="n">
        <v>0</v>
      </c>
      <c r="L337" t="n">
        <v>0</v>
      </c>
      <c r="M337" t="n">
        <v>0</v>
      </c>
      <c r="N337" t="n">
        <v>0</v>
      </c>
      <c r="O337" t="n">
        <v>1</v>
      </c>
      <c r="P337" t="n">
        <v>0</v>
      </c>
      <c r="Q337" t="n">
        <v>1</v>
      </c>
      <c r="R337" s="2" t="inlineStr">
        <is>
          <t>Kolflarnlav</t>
        </is>
      </c>
      <c r="S337">
        <f>HYPERLINK("https://klasma.github.io/Logging_2283/artfynd/A 53446-2023 artfynd.xlsx", "A 53446-2023")</f>
        <v/>
      </c>
      <c r="T337">
        <f>HYPERLINK("https://klasma.github.io/Logging_2283/kartor/A 53446-2023 karta.png", "A 53446-2023")</f>
        <v/>
      </c>
      <c r="V337">
        <f>HYPERLINK("https://klasma.github.io/Logging_2283/klagomål/A 53446-2023 FSC-klagomål.docx", "A 53446-2023")</f>
        <v/>
      </c>
      <c r="W337">
        <f>HYPERLINK("https://klasma.github.io/Logging_2283/klagomålsmail/A 53446-2023 FSC-klagomål mail.docx", "A 53446-2023")</f>
        <v/>
      </c>
      <c r="X337">
        <f>HYPERLINK("https://klasma.github.io/Logging_2283/tillsyn/A 53446-2023 tillsynsbegäran.docx", "A 53446-2023")</f>
        <v/>
      </c>
      <c r="Y337">
        <f>HYPERLINK("https://klasma.github.io/Logging_2283/tillsynsmail/A 53446-2023 tillsynsbegäran mail.docx", "A 53446-2023")</f>
        <v/>
      </c>
    </row>
    <row r="338" ht="15" customHeight="1">
      <c r="A338" t="inlineStr">
        <is>
          <t>A 56257-2023</t>
        </is>
      </c>
      <c r="B338" s="1" t="n">
        <v>45240</v>
      </c>
      <c r="C338" s="1" t="n">
        <v>45576</v>
      </c>
      <c r="D338" t="inlineStr">
        <is>
          <t>VÄSTERNORRLANDS LÄN</t>
        </is>
      </c>
      <c r="E338" t="inlineStr">
        <is>
          <t>SOLLEFTEÅ</t>
        </is>
      </c>
      <c r="F338" t="inlineStr">
        <is>
          <t>SCA</t>
        </is>
      </c>
      <c r="G338" t="n">
        <v>2.9</v>
      </c>
      <c r="H338" t="n">
        <v>0</v>
      </c>
      <c r="I338" t="n">
        <v>1</v>
      </c>
      <c r="J338" t="n">
        <v>0</v>
      </c>
      <c r="K338" t="n">
        <v>0</v>
      </c>
      <c r="L338" t="n">
        <v>0</v>
      </c>
      <c r="M338" t="n">
        <v>0</v>
      </c>
      <c r="N338" t="n">
        <v>0</v>
      </c>
      <c r="O338" t="n">
        <v>0</v>
      </c>
      <c r="P338" t="n">
        <v>0</v>
      </c>
      <c r="Q338" t="n">
        <v>1</v>
      </c>
      <c r="R338" s="2" t="inlineStr">
        <is>
          <t>Tibast</t>
        </is>
      </c>
      <c r="S338">
        <f>HYPERLINK("https://klasma.github.io/Logging_2283/artfynd/A 56257-2023 artfynd.xlsx", "A 56257-2023")</f>
        <v/>
      </c>
      <c r="T338">
        <f>HYPERLINK("https://klasma.github.io/Logging_2283/kartor/A 56257-2023 karta.png", "A 56257-2023")</f>
        <v/>
      </c>
      <c r="V338">
        <f>HYPERLINK("https://klasma.github.io/Logging_2283/klagomål/A 56257-2023 FSC-klagomål.docx", "A 56257-2023")</f>
        <v/>
      </c>
      <c r="W338">
        <f>HYPERLINK("https://klasma.github.io/Logging_2283/klagomålsmail/A 56257-2023 FSC-klagomål mail.docx", "A 56257-2023")</f>
        <v/>
      </c>
      <c r="X338">
        <f>HYPERLINK("https://klasma.github.io/Logging_2283/tillsyn/A 56257-2023 tillsynsbegäran.docx", "A 56257-2023")</f>
        <v/>
      </c>
      <c r="Y338">
        <f>HYPERLINK("https://klasma.github.io/Logging_2283/tillsynsmail/A 56257-2023 tillsynsbegäran mail.docx", "A 56257-2023")</f>
        <v/>
      </c>
    </row>
    <row r="339" ht="15" customHeight="1">
      <c r="A339" t="inlineStr">
        <is>
          <t>A 59100-2023</t>
        </is>
      </c>
      <c r="B339" s="1" t="n">
        <v>45252</v>
      </c>
      <c r="C339" s="1" t="n">
        <v>45576</v>
      </c>
      <c r="D339" t="inlineStr">
        <is>
          <t>VÄSTERNORRLANDS LÄN</t>
        </is>
      </c>
      <c r="E339" t="inlineStr">
        <is>
          <t>SOLLEFTEÅ</t>
        </is>
      </c>
      <c r="F339" t="inlineStr">
        <is>
          <t>SCA</t>
        </is>
      </c>
      <c r="G339" t="n">
        <v>4.2</v>
      </c>
      <c r="H339" t="n">
        <v>0</v>
      </c>
      <c r="I339" t="n">
        <v>0</v>
      </c>
      <c r="J339" t="n">
        <v>1</v>
      </c>
      <c r="K339" t="n">
        <v>0</v>
      </c>
      <c r="L339" t="n">
        <v>0</v>
      </c>
      <c r="M339" t="n">
        <v>0</v>
      </c>
      <c r="N339" t="n">
        <v>0</v>
      </c>
      <c r="O339" t="n">
        <v>1</v>
      </c>
      <c r="P339" t="n">
        <v>0</v>
      </c>
      <c r="Q339" t="n">
        <v>1</v>
      </c>
      <c r="R339" s="2" t="inlineStr">
        <is>
          <t>Skrovlig taggsvamp</t>
        </is>
      </c>
      <c r="S339">
        <f>HYPERLINK("https://klasma.github.io/Logging_2283/artfynd/A 59100-2023 artfynd.xlsx", "A 59100-2023")</f>
        <v/>
      </c>
      <c r="T339">
        <f>HYPERLINK("https://klasma.github.io/Logging_2283/kartor/A 59100-2023 karta.png", "A 59100-2023")</f>
        <v/>
      </c>
      <c r="V339">
        <f>HYPERLINK("https://klasma.github.io/Logging_2283/klagomål/A 59100-2023 FSC-klagomål.docx", "A 59100-2023")</f>
        <v/>
      </c>
      <c r="W339">
        <f>HYPERLINK("https://klasma.github.io/Logging_2283/klagomålsmail/A 59100-2023 FSC-klagomål mail.docx", "A 59100-2023")</f>
        <v/>
      </c>
      <c r="X339">
        <f>HYPERLINK("https://klasma.github.io/Logging_2283/tillsyn/A 59100-2023 tillsynsbegäran.docx", "A 59100-2023")</f>
        <v/>
      </c>
      <c r="Y339">
        <f>HYPERLINK("https://klasma.github.io/Logging_2283/tillsynsmail/A 59100-2023 tillsynsbegäran mail.docx", "A 59100-2023")</f>
        <v/>
      </c>
    </row>
    <row r="340" ht="15" customHeight="1">
      <c r="A340" t="inlineStr">
        <is>
          <t>A 386-2024</t>
        </is>
      </c>
      <c r="B340" s="1" t="n">
        <v>45296</v>
      </c>
      <c r="C340" s="1" t="n">
        <v>45576</v>
      </c>
      <c r="D340" t="inlineStr">
        <is>
          <t>VÄSTERNORRLANDS LÄN</t>
        </is>
      </c>
      <c r="E340" t="inlineStr">
        <is>
          <t>SOLLEFTEÅ</t>
        </is>
      </c>
      <c r="G340" t="n">
        <v>3.7</v>
      </c>
      <c r="H340" t="n">
        <v>0</v>
      </c>
      <c r="I340" t="n">
        <v>0</v>
      </c>
      <c r="J340" t="n">
        <v>1</v>
      </c>
      <c r="K340" t="n">
        <v>0</v>
      </c>
      <c r="L340" t="n">
        <v>0</v>
      </c>
      <c r="M340" t="n">
        <v>0</v>
      </c>
      <c r="N340" t="n">
        <v>0</v>
      </c>
      <c r="O340" t="n">
        <v>1</v>
      </c>
      <c r="P340" t="n">
        <v>0</v>
      </c>
      <c r="Q340" t="n">
        <v>1</v>
      </c>
      <c r="R340" s="2" t="inlineStr">
        <is>
          <t>Kolflarnlav</t>
        </is>
      </c>
      <c r="S340">
        <f>HYPERLINK("https://klasma.github.io/Logging_2283/artfynd/A 386-2024 artfynd.xlsx", "A 386-2024")</f>
        <v/>
      </c>
      <c r="T340">
        <f>HYPERLINK("https://klasma.github.io/Logging_2283/kartor/A 386-2024 karta.png", "A 386-2024")</f>
        <v/>
      </c>
      <c r="V340">
        <f>HYPERLINK("https://klasma.github.io/Logging_2283/klagomål/A 386-2024 FSC-klagomål.docx", "A 386-2024")</f>
        <v/>
      </c>
      <c r="W340">
        <f>HYPERLINK("https://klasma.github.io/Logging_2283/klagomålsmail/A 386-2024 FSC-klagomål mail.docx", "A 386-2024")</f>
        <v/>
      </c>
      <c r="X340">
        <f>HYPERLINK("https://klasma.github.io/Logging_2283/tillsyn/A 386-2024 tillsynsbegäran.docx", "A 386-2024")</f>
        <v/>
      </c>
      <c r="Y340">
        <f>HYPERLINK("https://klasma.github.io/Logging_2283/tillsynsmail/A 386-2024 tillsynsbegäran mail.docx", "A 386-2024")</f>
        <v/>
      </c>
    </row>
    <row r="341" ht="15" customHeight="1">
      <c r="A341" t="inlineStr">
        <is>
          <t>A 2423-2024</t>
        </is>
      </c>
      <c r="B341" s="1" t="n">
        <v>45310</v>
      </c>
      <c r="C341" s="1" t="n">
        <v>45576</v>
      </c>
      <c r="D341" t="inlineStr">
        <is>
          <t>VÄSTERNORRLANDS LÄN</t>
        </is>
      </c>
      <c r="E341" t="inlineStr">
        <is>
          <t>SOLLEFTEÅ</t>
        </is>
      </c>
      <c r="F341" t="inlineStr">
        <is>
          <t>SCA</t>
        </is>
      </c>
      <c r="G341" t="n">
        <v>3.2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2423-2024 artfynd.xlsx", "A 2423-2024")</f>
        <v/>
      </c>
      <c r="T341">
        <f>HYPERLINK("https://klasma.github.io/Logging_2283/kartor/A 2423-2024 karta.png", "A 2423-2024")</f>
        <v/>
      </c>
      <c r="V341">
        <f>HYPERLINK("https://klasma.github.io/Logging_2283/klagomål/A 2423-2024 FSC-klagomål.docx", "A 2423-2024")</f>
        <v/>
      </c>
      <c r="W341">
        <f>HYPERLINK("https://klasma.github.io/Logging_2283/klagomålsmail/A 2423-2024 FSC-klagomål mail.docx", "A 2423-2024")</f>
        <v/>
      </c>
      <c r="X341">
        <f>HYPERLINK("https://klasma.github.io/Logging_2283/tillsyn/A 2423-2024 tillsynsbegäran.docx", "A 2423-2024")</f>
        <v/>
      </c>
      <c r="Y341">
        <f>HYPERLINK("https://klasma.github.io/Logging_2283/tillsynsmail/A 2423-2024 tillsynsbegäran mail.docx", "A 2423-2024")</f>
        <v/>
      </c>
      <c r="Z341">
        <f>HYPERLINK("https://klasma.github.io/Logging_2283/fåglar/A 2423-2024 prioriterade fågelarter.docx", "A 2423-2024")</f>
        <v/>
      </c>
    </row>
    <row r="342" ht="15" customHeight="1">
      <c r="A342" t="inlineStr">
        <is>
          <t>A 2570-2024</t>
        </is>
      </c>
      <c r="B342" s="1" t="n">
        <v>45313</v>
      </c>
      <c r="C342" s="1" t="n">
        <v>45576</v>
      </c>
      <c r="D342" t="inlineStr">
        <is>
          <t>VÄSTERNORRLANDS LÄN</t>
        </is>
      </c>
      <c r="E342" t="inlineStr">
        <is>
          <t>SOLLEFTEÅ</t>
        </is>
      </c>
      <c r="F342" t="inlineStr">
        <is>
          <t>Kommuner</t>
        </is>
      </c>
      <c r="G342" t="n">
        <v>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2570-2024 artfynd.xlsx", "A 2570-2024")</f>
        <v/>
      </c>
      <c r="T342">
        <f>HYPERLINK("https://klasma.github.io/Logging_2283/kartor/A 2570-2024 karta.png", "A 2570-2024")</f>
        <v/>
      </c>
      <c r="V342">
        <f>HYPERLINK("https://klasma.github.io/Logging_2283/klagomål/A 2570-2024 FSC-klagomål.docx", "A 2570-2024")</f>
        <v/>
      </c>
      <c r="W342">
        <f>HYPERLINK("https://klasma.github.io/Logging_2283/klagomålsmail/A 2570-2024 FSC-klagomål mail.docx", "A 2570-2024")</f>
        <v/>
      </c>
      <c r="X342">
        <f>HYPERLINK("https://klasma.github.io/Logging_2283/tillsyn/A 2570-2024 tillsynsbegäran.docx", "A 2570-2024")</f>
        <v/>
      </c>
      <c r="Y342">
        <f>HYPERLINK("https://klasma.github.io/Logging_2283/tillsynsmail/A 2570-2024 tillsynsbegäran mail.docx", "A 2570-2024")</f>
        <v/>
      </c>
      <c r="Z342">
        <f>HYPERLINK("https://klasma.github.io/Logging_2283/fåglar/A 2570-2024 prioriterade fågelarter.docx", "A 2570-2024")</f>
        <v/>
      </c>
    </row>
    <row r="343" ht="15" customHeight="1">
      <c r="A343" t="inlineStr">
        <is>
          <t>A 3959-2024</t>
        </is>
      </c>
      <c r="B343" s="1" t="n">
        <v>45322</v>
      </c>
      <c r="C343" s="1" t="n">
        <v>45576</v>
      </c>
      <c r="D343" t="inlineStr">
        <is>
          <t>VÄSTERNORRLANDS LÄN</t>
        </is>
      </c>
      <c r="E343" t="inlineStr">
        <is>
          <t>SOLLEFTEÅ</t>
        </is>
      </c>
      <c r="F343" t="inlineStr">
        <is>
          <t>Kommuner</t>
        </is>
      </c>
      <c r="G343" t="n">
        <v>1</v>
      </c>
      <c r="H343" t="n">
        <v>0</v>
      </c>
      <c r="I343" t="n">
        <v>0</v>
      </c>
      <c r="J343" t="n">
        <v>1</v>
      </c>
      <c r="K343" t="n">
        <v>0</v>
      </c>
      <c r="L343" t="n">
        <v>0</v>
      </c>
      <c r="M343" t="n">
        <v>0</v>
      </c>
      <c r="N343" t="n">
        <v>0</v>
      </c>
      <c r="O343" t="n">
        <v>1</v>
      </c>
      <c r="P343" t="n">
        <v>0</v>
      </c>
      <c r="Q343" t="n">
        <v>1</v>
      </c>
      <c r="R343" s="2" t="inlineStr">
        <is>
          <t>Garnlav</t>
        </is>
      </c>
      <c r="S343">
        <f>HYPERLINK("https://klasma.github.io/Logging_2283/artfynd/A 3959-2024 artfynd.xlsx", "A 3959-2024")</f>
        <v/>
      </c>
      <c r="T343">
        <f>HYPERLINK("https://klasma.github.io/Logging_2283/kartor/A 3959-2024 karta.png", "A 3959-2024")</f>
        <v/>
      </c>
      <c r="V343">
        <f>HYPERLINK("https://klasma.github.io/Logging_2283/klagomål/A 3959-2024 FSC-klagomål.docx", "A 3959-2024")</f>
        <v/>
      </c>
      <c r="W343">
        <f>HYPERLINK("https://klasma.github.io/Logging_2283/klagomålsmail/A 3959-2024 FSC-klagomål mail.docx", "A 3959-2024")</f>
        <v/>
      </c>
      <c r="X343">
        <f>HYPERLINK("https://klasma.github.io/Logging_2283/tillsyn/A 3959-2024 tillsynsbegäran.docx", "A 3959-2024")</f>
        <v/>
      </c>
      <c r="Y343">
        <f>HYPERLINK("https://klasma.github.io/Logging_2283/tillsynsmail/A 3959-2024 tillsynsbegäran mail.docx", "A 3959-2024")</f>
        <v/>
      </c>
    </row>
    <row r="344" ht="15" customHeight="1">
      <c r="A344" t="inlineStr">
        <is>
          <t>A 5033-2024</t>
        </is>
      </c>
      <c r="B344" s="1" t="n">
        <v>45329</v>
      </c>
      <c r="C344" s="1" t="n">
        <v>45576</v>
      </c>
      <c r="D344" t="inlineStr">
        <is>
          <t>VÄSTERNORRLANDS LÄN</t>
        </is>
      </c>
      <c r="E344" t="inlineStr">
        <is>
          <t>SOLLEFTEÅ</t>
        </is>
      </c>
      <c r="F344" t="inlineStr">
        <is>
          <t>Övriga Aktiebolag</t>
        </is>
      </c>
      <c r="G344" t="n">
        <v>3.2</v>
      </c>
      <c r="H344" t="n">
        <v>0</v>
      </c>
      <c r="I344" t="n">
        <v>1</v>
      </c>
      <c r="J344" t="n">
        <v>0</v>
      </c>
      <c r="K344" t="n">
        <v>0</v>
      </c>
      <c r="L344" t="n">
        <v>0</v>
      </c>
      <c r="M344" t="n">
        <v>0</v>
      </c>
      <c r="N344" t="n">
        <v>0</v>
      </c>
      <c r="O344" t="n">
        <v>0</v>
      </c>
      <c r="P344" t="n">
        <v>0</v>
      </c>
      <c r="Q344" t="n">
        <v>1</v>
      </c>
      <c r="R344" s="2" t="inlineStr">
        <is>
          <t>Kransrams</t>
        </is>
      </c>
      <c r="S344">
        <f>HYPERLINK("https://klasma.github.io/Logging_2283/artfynd/A 5033-2024 artfynd.xlsx", "A 5033-2024")</f>
        <v/>
      </c>
      <c r="T344">
        <f>HYPERLINK("https://klasma.github.io/Logging_2283/kartor/A 5033-2024 karta.png", "A 5033-2024")</f>
        <v/>
      </c>
      <c r="V344">
        <f>HYPERLINK("https://klasma.github.io/Logging_2283/klagomål/A 5033-2024 FSC-klagomål.docx", "A 5033-2024")</f>
        <v/>
      </c>
      <c r="W344">
        <f>HYPERLINK("https://klasma.github.io/Logging_2283/klagomålsmail/A 5033-2024 FSC-klagomål mail.docx", "A 5033-2024")</f>
        <v/>
      </c>
      <c r="X344">
        <f>HYPERLINK("https://klasma.github.io/Logging_2283/tillsyn/A 5033-2024 tillsynsbegäran.docx", "A 5033-2024")</f>
        <v/>
      </c>
      <c r="Y344">
        <f>HYPERLINK("https://klasma.github.io/Logging_2283/tillsynsmail/A 5033-2024 tillsynsbegäran mail.docx", "A 5033-2024")</f>
        <v/>
      </c>
    </row>
    <row r="345" ht="15" customHeight="1">
      <c r="A345" t="inlineStr">
        <is>
          <t>A 6889-2024</t>
        </is>
      </c>
      <c r="B345" s="1" t="n">
        <v>45342</v>
      </c>
      <c r="C345" s="1" t="n">
        <v>45576</v>
      </c>
      <c r="D345" t="inlineStr">
        <is>
          <t>VÄSTERNORRLANDS LÄN</t>
        </is>
      </c>
      <c r="E345" t="inlineStr">
        <is>
          <t>SOLLEFTEÅ</t>
        </is>
      </c>
      <c r="G345" t="n">
        <v>2.8</v>
      </c>
      <c r="H345" t="n">
        <v>0</v>
      </c>
      <c r="I345" t="n">
        <v>0</v>
      </c>
      <c r="J345" t="n">
        <v>1</v>
      </c>
      <c r="K345" t="n">
        <v>0</v>
      </c>
      <c r="L345" t="n">
        <v>0</v>
      </c>
      <c r="M345" t="n">
        <v>0</v>
      </c>
      <c r="N345" t="n">
        <v>0</v>
      </c>
      <c r="O345" t="n">
        <v>1</v>
      </c>
      <c r="P345" t="n">
        <v>0</v>
      </c>
      <c r="Q345" t="n">
        <v>1</v>
      </c>
      <c r="R345" s="2" t="inlineStr">
        <is>
          <t>Granticka</t>
        </is>
      </c>
      <c r="S345">
        <f>HYPERLINK("https://klasma.github.io/Logging_2283/artfynd/A 6889-2024 artfynd.xlsx", "A 6889-2024")</f>
        <v/>
      </c>
      <c r="T345">
        <f>HYPERLINK("https://klasma.github.io/Logging_2283/kartor/A 6889-2024 karta.png", "A 6889-2024")</f>
        <v/>
      </c>
      <c r="V345">
        <f>HYPERLINK("https://klasma.github.io/Logging_2283/klagomål/A 6889-2024 FSC-klagomål.docx", "A 6889-2024")</f>
        <v/>
      </c>
      <c r="W345">
        <f>HYPERLINK("https://klasma.github.io/Logging_2283/klagomålsmail/A 6889-2024 FSC-klagomål mail.docx", "A 6889-2024")</f>
        <v/>
      </c>
      <c r="X345">
        <f>HYPERLINK("https://klasma.github.io/Logging_2283/tillsyn/A 6889-2024 tillsynsbegäran.docx", "A 6889-2024")</f>
        <v/>
      </c>
      <c r="Y345">
        <f>HYPERLINK("https://klasma.github.io/Logging_2283/tillsynsmail/A 6889-2024 tillsynsbegäran mail.docx", "A 6889-2024")</f>
        <v/>
      </c>
    </row>
    <row r="346" ht="15" customHeight="1">
      <c r="A346" t="inlineStr">
        <is>
          <t>A 7468-2024</t>
        </is>
      </c>
      <c r="B346" s="1" t="n">
        <v>45345</v>
      </c>
      <c r="C346" s="1" t="n">
        <v>45576</v>
      </c>
      <c r="D346" t="inlineStr">
        <is>
          <t>VÄSTERNORRLANDS LÄN</t>
        </is>
      </c>
      <c r="E346" t="inlineStr">
        <is>
          <t>SOLLEFTEÅ</t>
        </is>
      </c>
      <c r="F346" t="inlineStr">
        <is>
          <t>SCA</t>
        </is>
      </c>
      <c r="G346" t="n">
        <v>55.2</v>
      </c>
      <c r="H346" t="n">
        <v>0</v>
      </c>
      <c r="I346" t="n">
        <v>0</v>
      </c>
      <c r="J346" t="n">
        <v>1</v>
      </c>
      <c r="K346" t="n">
        <v>0</v>
      </c>
      <c r="L346" t="n">
        <v>0</v>
      </c>
      <c r="M346" t="n">
        <v>0</v>
      </c>
      <c r="N346" t="n">
        <v>0</v>
      </c>
      <c r="O346" t="n">
        <v>1</v>
      </c>
      <c r="P346" t="n">
        <v>0</v>
      </c>
      <c r="Q346" t="n">
        <v>1</v>
      </c>
      <c r="R346" s="2" t="inlineStr">
        <is>
          <t>Granticka</t>
        </is>
      </c>
      <c r="S346">
        <f>HYPERLINK("https://klasma.github.io/Logging_2283/artfynd/A 7468-2024 artfynd.xlsx", "A 7468-2024")</f>
        <v/>
      </c>
      <c r="T346">
        <f>HYPERLINK("https://klasma.github.io/Logging_2283/kartor/A 7468-2024 karta.png", "A 7468-2024")</f>
        <v/>
      </c>
      <c r="V346">
        <f>HYPERLINK("https://klasma.github.io/Logging_2283/klagomål/A 7468-2024 FSC-klagomål.docx", "A 7468-2024")</f>
        <v/>
      </c>
      <c r="W346">
        <f>HYPERLINK("https://klasma.github.io/Logging_2283/klagomålsmail/A 7468-2024 FSC-klagomål mail.docx", "A 7468-2024")</f>
        <v/>
      </c>
      <c r="X346">
        <f>HYPERLINK("https://klasma.github.io/Logging_2283/tillsyn/A 7468-2024 tillsynsbegäran.docx", "A 7468-2024")</f>
        <v/>
      </c>
      <c r="Y346">
        <f>HYPERLINK("https://klasma.github.io/Logging_2283/tillsynsmail/A 7468-2024 tillsynsbegäran mail.docx", "A 7468-2024")</f>
        <v/>
      </c>
    </row>
    <row r="347" ht="15" customHeight="1">
      <c r="A347" t="inlineStr">
        <is>
          <t>A 7909-2024</t>
        </is>
      </c>
      <c r="B347" s="1" t="n">
        <v>45350</v>
      </c>
      <c r="C347" s="1" t="n">
        <v>45576</v>
      </c>
      <c r="D347" t="inlineStr">
        <is>
          <t>VÄSTERNORRLANDS LÄN</t>
        </is>
      </c>
      <c r="E347" t="inlineStr">
        <is>
          <t>SOLLEFTEÅ</t>
        </is>
      </c>
      <c r="G347" t="n">
        <v>7.2</v>
      </c>
      <c r="H347" t="n">
        <v>0</v>
      </c>
      <c r="I347" t="n">
        <v>0</v>
      </c>
      <c r="J347" t="n">
        <v>1</v>
      </c>
      <c r="K347" t="n">
        <v>0</v>
      </c>
      <c r="L347" t="n">
        <v>0</v>
      </c>
      <c r="M347" t="n">
        <v>0</v>
      </c>
      <c r="N347" t="n">
        <v>0</v>
      </c>
      <c r="O347" t="n">
        <v>1</v>
      </c>
      <c r="P347" t="n">
        <v>0</v>
      </c>
      <c r="Q347" t="n">
        <v>1</v>
      </c>
      <c r="R347" s="2" t="inlineStr">
        <is>
          <t>Lunglav</t>
        </is>
      </c>
      <c r="S347">
        <f>HYPERLINK("https://klasma.github.io/Logging_2283/artfynd/A 7909-2024 artfynd.xlsx", "A 7909-2024")</f>
        <v/>
      </c>
      <c r="T347">
        <f>HYPERLINK("https://klasma.github.io/Logging_2283/kartor/A 7909-2024 karta.png", "A 7909-2024")</f>
        <v/>
      </c>
      <c r="V347">
        <f>HYPERLINK("https://klasma.github.io/Logging_2283/klagomål/A 7909-2024 FSC-klagomål.docx", "A 7909-2024")</f>
        <v/>
      </c>
      <c r="W347">
        <f>HYPERLINK("https://klasma.github.io/Logging_2283/klagomålsmail/A 7909-2024 FSC-klagomål mail.docx", "A 7909-2024")</f>
        <v/>
      </c>
      <c r="X347">
        <f>HYPERLINK("https://klasma.github.io/Logging_2283/tillsyn/A 7909-2024 tillsynsbegäran.docx", "A 7909-2024")</f>
        <v/>
      </c>
      <c r="Y347">
        <f>HYPERLINK("https://klasma.github.io/Logging_2283/tillsynsmail/A 7909-2024 tillsynsbegäran mail.docx", "A 7909-2024")</f>
        <v/>
      </c>
    </row>
    <row r="348" ht="15" customHeight="1">
      <c r="A348" t="inlineStr">
        <is>
          <t>A 8541-2024</t>
        </is>
      </c>
      <c r="B348" s="1" t="n">
        <v>45351</v>
      </c>
      <c r="C348" s="1" t="n">
        <v>45576</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8903-2024</t>
        </is>
      </c>
      <c r="B349" s="1" t="n">
        <v>45355</v>
      </c>
      <c r="C349" s="1" t="n">
        <v>45576</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9818-2024</t>
        </is>
      </c>
      <c r="B350" s="1" t="n">
        <v>45363</v>
      </c>
      <c r="C350" s="1" t="n">
        <v>45576</v>
      </c>
      <c r="D350" t="inlineStr">
        <is>
          <t>VÄSTERNORRLANDS LÄN</t>
        </is>
      </c>
      <c r="E350" t="inlineStr">
        <is>
          <t>SOLLEFTEÅ</t>
        </is>
      </c>
      <c r="F350" t="inlineStr">
        <is>
          <t>SCA</t>
        </is>
      </c>
      <c r="G350" t="n">
        <v>3.8</v>
      </c>
      <c r="H350" t="n">
        <v>0</v>
      </c>
      <c r="I350" t="n">
        <v>0</v>
      </c>
      <c r="J350" t="n">
        <v>1</v>
      </c>
      <c r="K350" t="n">
        <v>0</v>
      </c>
      <c r="L350" t="n">
        <v>0</v>
      </c>
      <c r="M350" t="n">
        <v>0</v>
      </c>
      <c r="N350" t="n">
        <v>0</v>
      </c>
      <c r="O350" t="n">
        <v>1</v>
      </c>
      <c r="P350" t="n">
        <v>0</v>
      </c>
      <c r="Q350" t="n">
        <v>1</v>
      </c>
      <c r="R350" s="2" t="inlineStr">
        <is>
          <t>Motaggsvamp</t>
        </is>
      </c>
      <c r="S350">
        <f>HYPERLINK("https://klasma.github.io/Logging_2283/artfynd/A 9818-2024 artfynd.xlsx", "A 9818-2024")</f>
        <v/>
      </c>
      <c r="T350">
        <f>HYPERLINK("https://klasma.github.io/Logging_2283/kartor/A 9818-2024 karta.png", "A 9818-2024")</f>
        <v/>
      </c>
      <c r="U350">
        <f>HYPERLINK("https://klasma.github.io/Logging_2283/knärot/A 9818-2024 karta knärot.png", "A 9818-2024")</f>
        <v/>
      </c>
      <c r="V350">
        <f>HYPERLINK("https://klasma.github.io/Logging_2283/klagomål/A 9818-2024 FSC-klagomål.docx", "A 9818-2024")</f>
        <v/>
      </c>
      <c r="W350">
        <f>HYPERLINK("https://klasma.github.io/Logging_2283/klagomålsmail/A 9818-2024 FSC-klagomål mail.docx", "A 9818-2024")</f>
        <v/>
      </c>
      <c r="X350">
        <f>HYPERLINK("https://klasma.github.io/Logging_2283/tillsyn/A 9818-2024 tillsynsbegäran.docx", "A 9818-2024")</f>
        <v/>
      </c>
      <c r="Y350">
        <f>HYPERLINK("https://klasma.github.io/Logging_2283/tillsynsmail/A 9818-2024 tillsynsbegäran mail.docx", "A 9818-2024")</f>
        <v/>
      </c>
    </row>
    <row r="351" ht="15" customHeight="1">
      <c r="A351" t="inlineStr">
        <is>
          <t>A 10854-2024</t>
        </is>
      </c>
      <c r="B351" s="1" t="n">
        <v>45370</v>
      </c>
      <c r="C351" s="1" t="n">
        <v>45576</v>
      </c>
      <c r="D351" t="inlineStr">
        <is>
          <t>VÄSTERNORRLANDS LÄN</t>
        </is>
      </c>
      <c r="E351" t="inlineStr">
        <is>
          <t>SOLLEFTEÅ</t>
        </is>
      </c>
      <c r="F351" t="inlineStr">
        <is>
          <t>SCA</t>
        </is>
      </c>
      <c r="G351" t="n">
        <v>2.8</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10854-2024 artfynd.xlsx", "A 10854-2024")</f>
        <v/>
      </c>
      <c r="T351">
        <f>HYPERLINK("https://klasma.github.io/Logging_2283/kartor/A 10854-2024 karta.png", "A 10854-2024")</f>
        <v/>
      </c>
      <c r="V351">
        <f>HYPERLINK("https://klasma.github.io/Logging_2283/klagomål/A 10854-2024 FSC-klagomål.docx", "A 10854-2024")</f>
        <v/>
      </c>
      <c r="W351">
        <f>HYPERLINK("https://klasma.github.io/Logging_2283/klagomålsmail/A 10854-2024 FSC-klagomål mail.docx", "A 10854-2024")</f>
        <v/>
      </c>
      <c r="X351">
        <f>HYPERLINK("https://klasma.github.io/Logging_2283/tillsyn/A 10854-2024 tillsynsbegäran.docx", "A 10854-2024")</f>
        <v/>
      </c>
      <c r="Y351">
        <f>HYPERLINK("https://klasma.github.io/Logging_2283/tillsynsmail/A 10854-2024 tillsynsbegäran mail.docx", "A 10854-2024")</f>
        <v/>
      </c>
      <c r="Z351">
        <f>HYPERLINK("https://klasma.github.io/Logging_2283/fåglar/A 10854-2024 prioriterade fågelarter.docx", "A 10854-2024")</f>
        <v/>
      </c>
    </row>
    <row r="352" ht="15" customHeight="1">
      <c r="A352" t="inlineStr">
        <is>
          <t>A 12371-2024</t>
        </is>
      </c>
      <c r="B352" s="1" t="n">
        <v>45378</v>
      </c>
      <c r="C352" s="1" t="n">
        <v>45576</v>
      </c>
      <c r="D352" t="inlineStr">
        <is>
          <t>VÄSTERNORRLANDS LÄN</t>
        </is>
      </c>
      <c r="E352" t="inlineStr">
        <is>
          <t>SOLLEFTEÅ</t>
        </is>
      </c>
      <c r="F352" t="inlineStr">
        <is>
          <t>SCA</t>
        </is>
      </c>
      <c r="G352" t="n">
        <v>1.2</v>
      </c>
      <c r="H352" t="n">
        <v>0</v>
      </c>
      <c r="I352" t="n">
        <v>0</v>
      </c>
      <c r="J352" t="n">
        <v>1</v>
      </c>
      <c r="K352" t="n">
        <v>0</v>
      </c>
      <c r="L352" t="n">
        <v>0</v>
      </c>
      <c r="M352" t="n">
        <v>0</v>
      </c>
      <c r="N352" t="n">
        <v>0</v>
      </c>
      <c r="O352" t="n">
        <v>1</v>
      </c>
      <c r="P352" t="n">
        <v>0</v>
      </c>
      <c r="Q352" t="n">
        <v>1</v>
      </c>
      <c r="R352" s="2" t="inlineStr">
        <is>
          <t>Rosenticka</t>
        </is>
      </c>
      <c r="S352">
        <f>HYPERLINK("https://klasma.github.io/Logging_2283/artfynd/A 12371-2024 artfynd.xlsx", "A 12371-2024")</f>
        <v/>
      </c>
      <c r="T352">
        <f>HYPERLINK("https://klasma.github.io/Logging_2283/kartor/A 12371-2024 karta.png", "A 12371-2024")</f>
        <v/>
      </c>
      <c r="V352">
        <f>HYPERLINK("https://klasma.github.io/Logging_2283/klagomål/A 12371-2024 FSC-klagomål.docx", "A 12371-2024")</f>
        <v/>
      </c>
      <c r="W352">
        <f>HYPERLINK("https://klasma.github.io/Logging_2283/klagomålsmail/A 12371-2024 FSC-klagomål mail.docx", "A 12371-2024")</f>
        <v/>
      </c>
      <c r="X352">
        <f>HYPERLINK("https://klasma.github.io/Logging_2283/tillsyn/A 12371-2024 tillsynsbegäran.docx", "A 12371-2024")</f>
        <v/>
      </c>
      <c r="Y352">
        <f>HYPERLINK("https://klasma.github.io/Logging_2283/tillsynsmail/A 12371-2024 tillsynsbegäran mail.docx", "A 12371-2024")</f>
        <v/>
      </c>
    </row>
    <row r="353" ht="15" customHeight="1">
      <c r="A353" t="inlineStr">
        <is>
          <t>A 14367-2024</t>
        </is>
      </c>
      <c r="B353" s="1" t="n">
        <v>45393</v>
      </c>
      <c r="C353" s="1" t="n">
        <v>45576</v>
      </c>
      <c r="D353" t="inlineStr">
        <is>
          <t>VÄSTERNORRLANDS LÄN</t>
        </is>
      </c>
      <c r="E353" t="inlineStr">
        <is>
          <t>SOLLEFTEÅ</t>
        </is>
      </c>
      <c r="F353" t="inlineStr">
        <is>
          <t>SCA</t>
        </is>
      </c>
      <c r="G353" t="n">
        <v>2</v>
      </c>
      <c r="H353" t="n">
        <v>0</v>
      </c>
      <c r="I353" t="n">
        <v>0</v>
      </c>
      <c r="J353" t="n">
        <v>1</v>
      </c>
      <c r="K353" t="n">
        <v>0</v>
      </c>
      <c r="L353" t="n">
        <v>0</v>
      </c>
      <c r="M353" t="n">
        <v>0</v>
      </c>
      <c r="N353" t="n">
        <v>0</v>
      </c>
      <c r="O353" t="n">
        <v>1</v>
      </c>
      <c r="P353" t="n">
        <v>0</v>
      </c>
      <c r="Q353" t="n">
        <v>1</v>
      </c>
      <c r="R353" s="2" t="inlineStr">
        <is>
          <t>Garnlav</t>
        </is>
      </c>
      <c r="S353">
        <f>HYPERLINK("https://klasma.github.io/Logging_2283/artfynd/A 14367-2024 artfynd.xlsx", "A 14367-2024")</f>
        <v/>
      </c>
      <c r="T353">
        <f>HYPERLINK("https://klasma.github.io/Logging_2283/kartor/A 14367-2024 karta.png", "A 14367-2024")</f>
        <v/>
      </c>
      <c r="V353">
        <f>HYPERLINK("https://klasma.github.io/Logging_2283/klagomål/A 14367-2024 FSC-klagomål.docx", "A 14367-2024")</f>
        <v/>
      </c>
      <c r="W353">
        <f>HYPERLINK("https://klasma.github.io/Logging_2283/klagomålsmail/A 14367-2024 FSC-klagomål mail.docx", "A 14367-2024")</f>
        <v/>
      </c>
      <c r="X353">
        <f>HYPERLINK("https://klasma.github.io/Logging_2283/tillsyn/A 14367-2024 tillsynsbegäran.docx", "A 14367-2024")</f>
        <v/>
      </c>
      <c r="Y353">
        <f>HYPERLINK("https://klasma.github.io/Logging_2283/tillsynsmail/A 14367-2024 tillsynsbegäran mail.docx", "A 14367-2024")</f>
        <v/>
      </c>
    </row>
    <row r="354" ht="15" customHeight="1">
      <c r="A354" t="inlineStr">
        <is>
          <t>A 14805-2024</t>
        </is>
      </c>
      <c r="B354" s="1" t="n">
        <v>45397</v>
      </c>
      <c r="C354" s="1" t="n">
        <v>45576</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Dvärgbägarlav</t>
        </is>
      </c>
      <c r="S354">
        <f>HYPERLINK("https://klasma.github.io/Logging_2283/artfynd/A 14805-2024 artfynd.xlsx", "A 14805-2024")</f>
        <v/>
      </c>
      <c r="T354">
        <f>HYPERLINK("https://klasma.github.io/Logging_2283/kartor/A 14805-2024 karta.png", "A 14805-2024")</f>
        <v/>
      </c>
      <c r="V354">
        <f>HYPERLINK("https://klasma.github.io/Logging_2283/klagomål/A 14805-2024 FSC-klagomål.docx", "A 14805-2024")</f>
        <v/>
      </c>
      <c r="W354">
        <f>HYPERLINK("https://klasma.github.io/Logging_2283/klagomålsmail/A 14805-2024 FSC-klagomål mail.docx", "A 14805-2024")</f>
        <v/>
      </c>
      <c r="X354">
        <f>HYPERLINK("https://klasma.github.io/Logging_2283/tillsyn/A 14805-2024 tillsynsbegäran.docx", "A 14805-2024")</f>
        <v/>
      </c>
      <c r="Y354">
        <f>HYPERLINK("https://klasma.github.io/Logging_2283/tillsynsmail/A 14805-2024 tillsynsbegäran mail.docx", "A 14805-2024")</f>
        <v/>
      </c>
    </row>
    <row r="355" ht="15" customHeight="1">
      <c r="A355" t="inlineStr">
        <is>
          <t>A 14885-2024</t>
        </is>
      </c>
      <c r="B355" s="1" t="n">
        <v>45398</v>
      </c>
      <c r="C355" s="1" t="n">
        <v>45576</v>
      </c>
      <c r="D355" t="inlineStr">
        <is>
          <t>VÄSTERNORRLANDS LÄN</t>
        </is>
      </c>
      <c r="E355" t="inlineStr">
        <is>
          <t>SOLLEFTEÅ</t>
        </is>
      </c>
      <c r="G355" t="n">
        <v>5.8</v>
      </c>
      <c r="H355" t="n">
        <v>1</v>
      </c>
      <c r="I355" t="n">
        <v>0</v>
      </c>
      <c r="J355" t="n">
        <v>0</v>
      </c>
      <c r="K355" t="n">
        <v>0</v>
      </c>
      <c r="L355" t="n">
        <v>0</v>
      </c>
      <c r="M355" t="n">
        <v>0</v>
      </c>
      <c r="N355" t="n">
        <v>0</v>
      </c>
      <c r="O355" t="n">
        <v>0</v>
      </c>
      <c r="P355" t="n">
        <v>0</v>
      </c>
      <c r="Q355" t="n">
        <v>1</v>
      </c>
      <c r="R355" s="2" t="inlineStr">
        <is>
          <t>Pärluggla</t>
        </is>
      </c>
      <c r="S355">
        <f>HYPERLINK("https://klasma.github.io/Logging_2283/artfynd/A 14885-2024 artfynd.xlsx", "A 14885-2024")</f>
        <v/>
      </c>
      <c r="T355">
        <f>HYPERLINK("https://klasma.github.io/Logging_2283/kartor/A 14885-2024 karta.png", "A 14885-2024")</f>
        <v/>
      </c>
      <c r="V355">
        <f>HYPERLINK("https://klasma.github.io/Logging_2283/klagomål/A 14885-2024 FSC-klagomål.docx", "A 14885-2024")</f>
        <v/>
      </c>
      <c r="W355">
        <f>HYPERLINK("https://klasma.github.io/Logging_2283/klagomålsmail/A 14885-2024 FSC-klagomål mail.docx", "A 14885-2024")</f>
        <v/>
      </c>
      <c r="X355">
        <f>HYPERLINK("https://klasma.github.io/Logging_2283/tillsyn/A 14885-2024 tillsynsbegäran.docx", "A 14885-2024")</f>
        <v/>
      </c>
      <c r="Y355">
        <f>HYPERLINK("https://klasma.github.io/Logging_2283/tillsynsmail/A 14885-2024 tillsynsbegäran mail.docx", "A 14885-2024")</f>
        <v/>
      </c>
      <c r="Z355">
        <f>HYPERLINK("https://klasma.github.io/Logging_2283/fåglar/A 14885-2024 prioriterade fågelarter.docx", "A 14885-2024")</f>
        <v/>
      </c>
    </row>
    <row r="356" ht="15" customHeight="1">
      <c r="A356" t="inlineStr">
        <is>
          <t>A 15862-2024</t>
        </is>
      </c>
      <c r="B356" s="1" t="n">
        <v>45404</v>
      </c>
      <c r="C356" s="1" t="n">
        <v>45576</v>
      </c>
      <c r="D356" t="inlineStr">
        <is>
          <t>VÄSTERNORRLANDS LÄN</t>
        </is>
      </c>
      <c r="E356" t="inlineStr">
        <is>
          <t>SOLLEFTEÅ</t>
        </is>
      </c>
      <c r="F356" t="inlineStr">
        <is>
          <t>SCA</t>
        </is>
      </c>
      <c r="G356" t="n">
        <v>10.1</v>
      </c>
      <c r="H356" t="n">
        <v>0</v>
      </c>
      <c r="I356" t="n">
        <v>0</v>
      </c>
      <c r="J356" t="n">
        <v>1</v>
      </c>
      <c r="K356" t="n">
        <v>0</v>
      </c>
      <c r="L356" t="n">
        <v>0</v>
      </c>
      <c r="M356" t="n">
        <v>0</v>
      </c>
      <c r="N356" t="n">
        <v>0</v>
      </c>
      <c r="O356" t="n">
        <v>1</v>
      </c>
      <c r="P356" t="n">
        <v>0</v>
      </c>
      <c r="Q356" t="n">
        <v>1</v>
      </c>
      <c r="R356" s="2" t="inlineStr">
        <is>
          <t>Lunglav</t>
        </is>
      </c>
      <c r="S356">
        <f>HYPERLINK("https://klasma.github.io/Logging_2283/artfynd/A 15862-2024 artfynd.xlsx", "A 15862-2024")</f>
        <v/>
      </c>
      <c r="T356">
        <f>HYPERLINK("https://klasma.github.io/Logging_2283/kartor/A 15862-2024 karta.png", "A 15862-2024")</f>
        <v/>
      </c>
      <c r="V356">
        <f>HYPERLINK("https://klasma.github.io/Logging_2283/klagomål/A 15862-2024 FSC-klagomål.docx", "A 15862-2024")</f>
        <v/>
      </c>
      <c r="W356">
        <f>HYPERLINK("https://klasma.github.io/Logging_2283/klagomålsmail/A 15862-2024 FSC-klagomål mail.docx", "A 15862-2024")</f>
        <v/>
      </c>
      <c r="X356">
        <f>HYPERLINK("https://klasma.github.io/Logging_2283/tillsyn/A 15862-2024 tillsynsbegäran.docx", "A 15862-2024")</f>
        <v/>
      </c>
      <c r="Y356">
        <f>HYPERLINK("https://klasma.github.io/Logging_2283/tillsynsmail/A 15862-2024 tillsynsbegäran mail.docx", "A 15862-2024")</f>
        <v/>
      </c>
    </row>
    <row r="357" ht="15" customHeight="1">
      <c r="A357" t="inlineStr">
        <is>
          <t>A 18613-2024</t>
        </is>
      </c>
      <c r="B357" s="1" t="n">
        <v>45425</v>
      </c>
      <c r="C357" s="1" t="n">
        <v>45576</v>
      </c>
      <c r="D357" t="inlineStr">
        <is>
          <t>VÄSTERNORRLANDS LÄN</t>
        </is>
      </c>
      <c r="E357" t="inlineStr">
        <is>
          <t>SOLLEFTEÅ</t>
        </is>
      </c>
      <c r="F357" t="inlineStr">
        <is>
          <t>SCA</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HYPERLINK("https://klasma.github.io/Logging_2283/artfynd/A 18613-2024 artfynd.xlsx", "A 18613-2024")</f>
        <v/>
      </c>
      <c r="T357">
        <f>HYPERLINK("https://klasma.github.io/Logging_2283/kartor/A 18613-2024 karta.png", "A 18613-2024")</f>
        <v/>
      </c>
      <c r="V357">
        <f>HYPERLINK("https://klasma.github.io/Logging_2283/klagomål/A 18613-2024 FSC-klagomål.docx", "A 18613-2024")</f>
        <v/>
      </c>
      <c r="W357">
        <f>HYPERLINK("https://klasma.github.io/Logging_2283/klagomålsmail/A 18613-2024 FSC-klagomål mail.docx", "A 18613-2024")</f>
        <v/>
      </c>
      <c r="X357">
        <f>HYPERLINK("https://klasma.github.io/Logging_2283/tillsyn/A 18613-2024 tillsynsbegäran.docx", "A 18613-2024")</f>
        <v/>
      </c>
      <c r="Y357">
        <f>HYPERLINK("https://klasma.github.io/Logging_2283/tillsynsmail/A 18613-2024 tillsynsbegäran mail.docx", "A 18613-2024")</f>
        <v/>
      </c>
    </row>
    <row r="358" ht="15" customHeight="1">
      <c r="A358" t="inlineStr">
        <is>
          <t>A 22454-2024</t>
        </is>
      </c>
      <c r="B358" s="1" t="n">
        <v>45447</v>
      </c>
      <c r="C358" s="1" t="n">
        <v>45576</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Garnlav</t>
        </is>
      </c>
      <c r="S358">
        <f>HYPERLINK("https://klasma.github.io/Logging_2283/artfynd/A 22454-2024 artfynd.xlsx", "A 22454-2024")</f>
        <v/>
      </c>
      <c r="T358">
        <f>HYPERLINK("https://klasma.github.io/Logging_2283/kartor/A 22454-2024 karta.png", "A 22454-2024")</f>
        <v/>
      </c>
      <c r="V358">
        <f>HYPERLINK("https://klasma.github.io/Logging_2283/klagomål/A 22454-2024 FSC-klagomål.docx", "A 22454-2024")</f>
        <v/>
      </c>
      <c r="W358">
        <f>HYPERLINK("https://klasma.github.io/Logging_2283/klagomålsmail/A 22454-2024 FSC-klagomål mail.docx", "A 22454-2024")</f>
        <v/>
      </c>
      <c r="X358">
        <f>HYPERLINK("https://klasma.github.io/Logging_2283/tillsyn/A 22454-2024 tillsynsbegäran.docx", "A 22454-2024")</f>
        <v/>
      </c>
      <c r="Y358">
        <f>HYPERLINK("https://klasma.github.io/Logging_2283/tillsynsmail/A 22454-2024 tillsynsbegäran mail.docx", "A 22454-2024")</f>
        <v/>
      </c>
    </row>
    <row r="359" ht="15" customHeight="1">
      <c r="A359" t="inlineStr">
        <is>
          <t>A 23552-2024</t>
        </is>
      </c>
      <c r="B359" s="1" t="n">
        <v>45454</v>
      </c>
      <c r="C359" s="1" t="n">
        <v>45576</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HYPERLINK("https://klasma.github.io/Logging_2283/artfynd/A 23552-2024 artfynd.xlsx", "A 23552-2024")</f>
        <v/>
      </c>
      <c r="T359">
        <f>HYPERLINK("https://klasma.github.io/Logging_2283/kartor/A 23552-2024 karta.png", "A 23552-2024")</f>
        <v/>
      </c>
      <c r="V359">
        <f>HYPERLINK("https://klasma.github.io/Logging_2283/klagomål/A 23552-2024 FSC-klagomål.docx", "A 23552-2024")</f>
        <v/>
      </c>
      <c r="W359">
        <f>HYPERLINK("https://klasma.github.io/Logging_2283/klagomålsmail/A 23552-2024 FSC-klagomål mail.docx", "A 23552-2024")</f>
        <v/>
      </c>
      <c r="X359">
        <f>HYPERLINK("https://klasma.github.io/Logging_2283/tillsyn/A 23552-2024 tillsynsbegäran.docx", "A 23552-2024")</f>
        <v/>
      </c>
      <c r="Y359">
        <f>HYPERLINK("https://klasma.github.io/Logging_2283/tillsynsmail/A 23552-2024 tillsynsbegäran mail.docx", "A 23552-2024")</f>
        <v/>
      </c>
    </row>
    <row r="360" ht="15" customHeight="1">
      <c r="A360" t="inlineStr">
        <is>
          <t>A 23939-2024</t>
        </is>
      </c>
      <c r="B360" s="1" t="n">
        <v>45456</v>
      </c>
      <c r="C360" s="1" t="n">
        <v>45576</v>
      </c>
      <c r="D360" t="inlineStr">
        <is>
          <t>VÄSTERNORRLANDS LÄN</t>
        </is>
      </c>
      <c r="E360" t="inlineStr">
        <is>
          <t>SOLLEFTEÅ</t>
        </is>
      </c>
      <c r="F360" t="inlineStr">
        <is>
          <t>SCA</t>
        </is>
      </c>
      <c r="G360" t="n">
        <v>3</v>
      </c>
      <c r="H360" t="n">
        <v>1</v>
      </c>
      <c r="I360" t="n">
        <v>0</v>
      </c>
      <c r="J360" t="n">
        <v>1</v>
      </c>
      <c r="K360" t="n">
        <v>0</v>
      </c>
      <c r="L360" t="n">
        <v>0</v>
      </c>
      <c r="M360" t="n">
        <v>0</v>
      </c>
      <c r="N360" t="n">
        <v>0</v>
      </c>
      <c r="O360" t="n">
        <v>1</v>
      </c>
      <c r="P360" t="n">
        <v>0</v>
      </c>
      <c r="Q360" t="n">
        <v>1</v>
      </c>
      <c r="R360" s="2" t="inlineStr">
        <is>
          <t>Talltita</t>
        </is>
      </c>
      <c r="S360">
        <f>HYPERLINK("https://klasma.github.io/Logging_2283/artfynd/A 23939-2024 artfynd.xlsx", "A 23939-2024")</f>
        <v/>
      </c>
      <c r="T360">
        <f>HYPERLINK("https://klasma.github.io/Logging_2283/kartor/A 23939-2024 karta.png", "A 23939-2024")</f>
        <v/>
      </c>
      <c r="V360">
        <f>HYPERLINK("https://klasma.github.io/Logging_2283/klagomål/A 23939-2024 FSC-klagomål.docx", "A 23939-2024")</f>
        <v/>
      </c>
      <c r="W360">
        <f>HYPERLINK("https://klasma.github.io/Logging_2283/klagomålsmail/A 23939-2024 FSC-klagomål mail.docx", "A 23939-2024")</f>
        <v/>
      </c>
      <c r="X360">
        <f>HYPERLINK("https://klasma.github.io/Logging_2283/tillsyn/A 23939-2024 tillsynsbegäran.docx", "A 23939-2024")</f>
        <v/>
      </c>
      <c r="Y360">
        <f>HYPERLINK("https://klasma.github.io/Logging_2283/tillsynsmail/A 23939-2024 tillsynsbegäran mail.docx", "A 23939-2024")</f>
        <v/>
      </c>
      <c r="Z360">
        <f>HYPERLINK("https://klasma.github.io/Logging_2283/fåglar/A 23939-2024 prioriterade fågelarter.docx", "A 23939-2024")</f>
        <v/>
      </c>
    </row>
    <row r="361" ht="15" customHeight="1">
      <c r="A361" t="inlineStr">
        <is>
          <t>A 27309-2024</t>
        </is>
      </c>
      <c r="B361" s="1" t="n">
        <v>45471</v>
      </c>
      <c r="C361" s="1" t="n">
        <v>45576</v>
      </c>
      <c r="D361" t="inlineStr">
        <is>
          <t>VÄSTERNORRLANDS LÄN</t>
        </is>
      </c>
      <c r="E361" t="inlineStr">
        <is>
          <t>SOLLEFTEÅ</t>
        </is>
      </c>
      <c r="F361" t="inlineStr">
        <is>
          <t>SCA</t>
        </is>
      </c>
      <c r="G361" t="n">
        <v>39.2</v>
      </c>
      <c r="H361" t="n">
        <v>1</v>
      </c>
      <c r="I361" t="n">
        <v>0</v>
      </c>
      <c r="J361" t="n">
        <v>1</v>
      </c>
      <c r="K361" t="n">
        <v>0</v>
      </c>
      <c r="L361" t="n">
        <v>0</v>
      </c>
      <c r="M361" t="n">
        <v>0</v>
      </c>
      <c r="N361" t="n">
        <v>0</v>
      </c>
      <c r="O361" t="n">
        <v>1</v>
      </c>
      <c r="P361" t="n">
        <v>0</v>
      </c>
      <c r="Q361" t="n">
        <v>1</v>
      </c>
      <c r="R361" s="2" t="inlineStr">
        <is>
          <t>Nordfladdermus</t>
        </is>
      </c>
      <c r="S361">
        <f>HYPERLINK("https://klasma.github.io/Logging_2283/artfynd/A 27309-2024 artfynd.xlsx", "A 27309-2024")</f>
        <v/>
      </c>
      <c r="T361">
        <f>HYPERLINK("https://klasma.github.io/Logging_2283/kartor/A 27309-2024 karta.png", "A 27309-2024")</f>
        <v/>
      </c>
      <c r="V361">
        <f>HYPERLINK("https://klasma.github.io/Logging_2283/klagomål/A 27309-2024 FSC-klagomål.docx", "A 27309-2024")</f>
        <v/>
      </c>
      <c r="W361">
        <f>HYPERLINK("https://klasma.github.io/Logging_2283/klagomålsmail/A 27309-2024 FSC-klagomål mail.docx", "A 27309-2024")</f>
        <v/>
      </c>
      <c r="X361">
        <f>HYPERLINK("https://klasma.github.io/Logging_2283/tillsyn/A 27309-2024 tillsynsbegäran.docx", "A 27309-2024")</f>
        <v/>
      </c>
      <c r="Y361">
        <f>HYPERLINK("https://klasma.github.io/Logging_2283/tillsynsmail/A 27309-2024 tillsynsbegäran mail.docx", "A 27309-2024")</f>
        <v/>
      </c>
    </row>
    <row r="362" ht="15" customHeight="1">
      <c r="A362" t="inlineStr">
        <is>
          <t>A 29260-2024</t>
        </is>
      </c>
      <c r="B362" s="1" t="n">
        <v>45482</v>
      </c>
      <c r="C362" s="1" t="n">
        <v>45576</v>
      </c>
      <c r="D362" t="inlineStr">
        <is>
          <t>VÄSTERNORRLANDS LÄN</t>
        </is>
      </c>
      <c r="E362" t="inlineStr">
        <is>
          <t>SOLLEFTEÅ</t>
        </is>
      </c>
      <c r="F362" t="inlineStr">
        <is>
          <t>SCA</t>
        </is>
      </c>
      <c r="G362" t="n">
        <v>21.2</v>
      </c>
      <c r="H362" t="n">
        <v>0</v>
      </c>
      <c r="I362" t="n">
        <v>0</v>
      </c>
      <c r="J362" t="n">
        <v>1</v>
      </c>
      <c r="K362" t="n">
        <v>0</v>
      </c>
      <c r="L362" t="n">
        <v>0</v>
      </c>
      <c r="M362" t="n">
        <v>0</v>
      </c>
      <c r="N362" t="n">
        <v>0</v>
      </c>
      <c r="O362" t="n">
        <v>1</v>
      </c>
      <c r="P362" t="n">
        <v>0</v>
      </c>
      <c r="Q362" t="n">
        <v>1</v>
      </c>
      <c r="R362" s="2" t="inlineStr">
        <is>
          <t>Garnlav</t>
        </is>
      </c>
      <c r="S362">
        <f>HYPERLINK("https://klasma.github.io/Logging_2283/artfynd/A 29260-2024 artfynd.xlsx", "A 29260-2024")</f>
        <v/>
      </c>
      <c r="T362">
        <f>HYPERLINK("https://klasma.github.io/Logging_2283/kartor/A 29260-2024 karta.png", "A 29260-2024")</f>
        <v/>
      </c>
      <c r="V362">
        <f>HYPERLINK("https://klasma.github.io/Logging_2283/klagomål/A 29260-2024 FSC-klagomål.docx", "A 29260-2024")</f>
        <v/>
      </c>
      <c r="W362">
        <f>HYPERLINK("https://klasma.github.io/Logging_2283/klagomålsmail/A 29260-2024 FSC-klagomål mail.docx", "A 29260-2024")</f>
        <v/>
      </c>
      <c r="X362">
        <f>HYPERLINK("https://klasma.github.io/Logging_2283/tillsyn/A 29260-2024 tillsynsbegäran.docx", "A 29260-2024")</f>
        <v/>
      </c>
      <c r="Y362">
        <f>HYPERLINK("https://klasma.github.io/Logging_2283/tillsynsmail/A 29260-2024 tillsynsbegäran mail.docx", "A 29260-2024")</f>
        <v/>
      </c>
    </row>
    <row r="363" ht="15" customHeight="1">
      <c r="A363" t="inlineStr">
        <is>
          <t>A 29692-2024</t>
        </is>
      </c>
      <c r="B363" s="1" t="n">
        <v>45484</v>
      </c>
      <c r="C363" s="1" t="n">
        <v>45576</v>
      </c>
      <c r="D363" t="inlineStr">
        <is>
          <t>VÄSTERNORRLANDS LÄN</t>
        </is>
      </c>
      <c r="E363" t="inlineStr">
        <is>
          <t>SOLLEFTEÅ</t>
        </is>
      </c>
      <c r="F363" t="inlineStr">
        <is>
          <t>SCA</t>
        </is>
      </c>
      <c r="G363" t="n">
        <v>2.4</v>
      </c>
      <c r="H363" t="n">
        <v>0</v>
      </c>
      <c r="I363" t="n">
        <v>0</v>
      </c>
      <c r="J363" t="n">
        <v>1</v>
      </c>
      <c r="K363" t="n">
        <v>0</v>
      </c>
      <c r="L363" t="n">
        <v>0</v>
      </c>
      <c r="M363" t="n">
        <v>0</v>
      </c>
      <c r="N363" t="n">
        <v>0</v>
      </c>
      <c r="O363" t="n">
        <v>1</v>
      </c>
      <c r="P363" t="n">
        <v>0</v>
      </c>
      <c r="Q363" t="n">
        <v>1</v>
      </c>
      <c r="R363" s="2" t="inlineStr">
        <is>
          <t>Gammelgransskål</t>
        </is>
      </c>
      <c r="S363">
        <f>HYPERLINK("https://klasma.github.io/Logging_2283/artfynd/A 29692-2024 artfynd.xlsx", "A 29692-2024")</f>
        <v/>
      </c>
      <c r="T363">
        <f>HYPERLINK("https://klasma.github.io/Logging_2283/kartor/A 29692-2024 karta.png", "A 29692-2024")</f>
        <v/>
      </c>
      <c r="V363">
        <f>HYPERLINK("https://klasma.github.io/Logging_2283/klagomål/A 29692-2024 FSC-klagomål.docx", "A 29692-2024")</f>
        <v/>
      </c>
      <c r="W363">
        <f>HYPERLINK("https://klasma.github.io/Logging_2283/klagomålsmail/A 29692-2024 FSC-klagomål mail.docx", "A 29692-2024")</f>
        <v/>
      </c>
      <c r="X363">
        <f>HYPERLINK("https://klasma.github.io/Logging_2283/tillsyn/A 29692-2024 tillsynsbegäran.docx", "A 29692-2024")</f>
        <v/>
      </c>
      <c r="Y363">
        <f>HYPERLINK("https://klasma.github.io/Logging_2283/tillsynsmail/A 29692-2024 tillsynsbegäran mail.docx", "A 29692-2024")</f>
        <v/>
      </c>
    </row>
    <row r="364" ht="15" customHeight="1">
      <c r="A364" t="inlineStr">
        <is>
          <t>A 35876-2024</t>
        </is>
      </c>
      <c r="B364" s="1" t="n">
        <v>45533</v>
      </c>
      <c r="C364" s="1" t="n">
        <v>45576</v>
      </c>
      <c r="D364" t="inlineStr">
        <is>
          <t>VÄSTERNORRLANDS LÄN</t>
        </is>
      </c>
      <c r="E364" t="inlineStr">
        <is>
          <t>SOLLEFTEÅ</t>
        </is>
      </c>
      <c r="F364" t="inlineStr">
        <is>
          <t>SCA</t>
        </is>
      </c>
      <c r="G364" t="n">
        <v>5.8</v>
      </c>
      <c r="H364" t="n">
        <v>1</v>
      </c>
      <c r="I364" t="n">
        <v>0</v>
      </c>
      <c r="J364" t="n">
        <v>0</v>
      </c>
      <c r="K364" t="n">
        <v>0</v>
      </c>
      <c r="L364" t="n">
        <v>0</v>
      </c>
      <c r="M364" t="n">
        <v>0</v>
      </c>
      <c r="N364" t="n">
        <v>0</v>
      </c>
      <c r="O364" t="n">
        <v>0</v>
      </c>
      <c r="P364" t="n">
        <v>0</v>
      </c>
      <c r="Q364" t="n">
        <v>1</v>
      </c>
      <c r="R364" s="2" t="inlineStr">
        <is>
          <t>Tjäder</t>
        </is>
      </c>
      <c r="S364">
        <f>HYPERLINK("https://klasma.github.io/Logging_2283/artfynd/A 35876-2024 artfynd.xlsx", "A 35876-2024")</f>
        <v/>
      </c>
      <c r="T364">
        <f>HYPERLINK("https://klasma.github.io/Logging_2283/kartor/A 35876-2024 karta.png", "A 35876-2024")</f>
        <v/>
      </c>
      <c r="V364">
        <f>HYPERLINK("https://klasma.github.io/Logging_2283/klagomål/A 35876-2024 FSC-klagomål.docx", "A 35876-2024")</f>
        <v/>
      </c>
      <c r="W364">
        <f>HYPERLINK("https://klasma.github.io/Logging_2283/klagomålsmail/A 35876-2024 FSC-klagomål mail.docx", "A 35876-2024")</f>
        <v/>
      </c>
      <c r="X364">
        <f>HYPERLINK("https://klasma.github.io/Logging_2283/tillsyn/A 35876-2024 tillsynsbegäran.docx", "A 35876-2024")</f>
        <v/>
      </c>
      <c r="Y364">
        <f>HYPERLINK("https://klasma.github.io/Logging_2283/tillsynsmail/A 35876-2024 tillsynsbegäran mail.docx", "A 35876-2024")</f>
        <v/>
      </c>
      <c r="Z364">
        <f>HYPERLINK("https://klasma.github.io/Logging_2283/fåglar/A 35876-2024 prioriterade fågelarter.docx", "A 35876-2024")</f>
        <v/>
      </c>
    </row>
    <row r="365" ht="15" customHeight="1">
      <c r="A365" t="inlineStr">
        <is>
          <t>A 37206-2024</t>
        </is>
      </c>
      <c r="B365" s="1" t="n">
        <v>45539</v>
      </c>
      <c r="C365" s="1" t="n">
        <v>45576</v>
      </c>
      <c r="D365" t="inlineStr">
        <is>
          <t>VÄSTERNORRLANDS LÄN</t>
        </is>
      </c>
      <c r="E365" t="inlineStr">
        <is>
          <t>SOLLEFTEÅ</t>
        </is>
      </c>
      <c r="F365" t="inlineStr">
        <is>
          <t>SCA</t>
        </is>
      </c>
      <c r="G365" t="n">
        <v>3.6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37206-2024 artfynd.xlsx", "A 37206-2024")</f>
        <v/>
      </c>
      <c r="T365">
        <f>HYPERLINK("https://klasma.github.io/Logging_2283/kartor/A 37206-2024 karta.png", "A 37206-2024")</f>
        <v/>
      </c>
      <c r="V365">
        <f>HYPERLINK("https://klasma.github.io/Logging_2283/klagomål/A 37206-2024 FSC-klagomål.docx", "A 37206-2024")</f>
        <v/>
      </c>
      <c r="W365">
        <f>HYPERLINK("https://klasma.github.io/Logging_2283/klagomålsmail/A 37206-2024 FSC-klagomål mail.docx", "A 37206-2024")</f>
        <v/>
      </c>
      <c r="X365">
        <f>HYPERLINK("https://klasma.github.io/Logging_2283/tillsyn/A 37206-2024 tillsynsbegäran.docx", "A 37206-2024")</f>
        <v/>
      </c>
      <c r="Y365">
        <f>HYPERLINK("https://klasma.github.io/Logging_2283/tillsynsmail/A 37206-2024 tillsynsbegäran mail.docx", "A 37206-2024")</f>
        <v/>
      </c>
      <c r="Z365">
        <f>HYPERLINK("https://klasma.github.io/Logging_2283/fåglar/A 37206-2024 prioriterade fågelarter.docx", "A 37206-2024")</f>
        <v/>
      </c>
    </row>
    <row r="366" ht="15" customHeight="1">
      <c r="A366" t="inlineStr">
        <is>
          <t>A 39897-2024</t>
        </is>
      </c>
      <c r="B366" s="1" t="n">
        <v>45553</v>
      </c>
      <c r="C366" s="1" t="n">
        <v>45576</v>
      </c>
      <c r="D366" t="inlineStr">
        <is>
          <t>VÄSTERNORRLANDS LÄN</t>
        </is>
      </c>
      <c r="E366" t="inlineStr">
        <is>
          <t>SOLLEFTEÅ</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HYPERLINK("https://klasma.github.io/Logging_2283/artfynd/A 39897-2024 artfynd.xlsx", "A 39897-2024")</f>
        <v/>
      </c>
      <c r="T366">
        <f>HYPERLINK("https://klasma.github.io/Logging_2283/kartor/A 39897-2024 karta.png", "A 39897-2024")</f>
        <v/>
      </c>
      <c r="V366">
        <f>HYPERLINK("https://klasma.github.io/Logging_2283/klagomål/A 39897-2024 FSC-klagomål.docx", "A 39897-2024")</f>
        <v/>
      </c>
      <c r="W366">
        <f>HYPERLINK("https://klasma.github.io/Logging_2283/klagomålsmail/A 39897-2024 FSC-klagomål mail.docx", "A 39897-2024")</f>
        <v/>
      </c>
      <c r="X366">
        <f>HYPERLINK("https://klasma.github.io/Logging_2283/tillsyn/A 39897-2024 tillsynsbegäran.docx", "A 39897-2024")</f>
        <v/>
      </c>
      <c r="Y366">
        <f>HYPERLINK("https://klasma.github.io/Logging_2283/tillsynsmail/A 39897-2024 tillsynsbegäran mail.docx", "A 39897-2024")</f>
        <v/>
      </c>
    </row>
    <row r="367" ht="15" customHeight="1">
      <c r="A367" t="inlineStr">
        <is>
          <t>A 41506-2024</t>
        </is>
      </c>
      <c r="B367" s="1" t="n">
        <v>45560</v>
      </c>
      <c r="C367" s="1" t="n">
        <v>45576</v>
      </c>
      <c r="D367" t="inlineStr">
        <is>
          <t>VÄSTERNORRLANDS LÄN</t>
        </is>
      </c>
      <c r="E367" t="inlineStr">
        <is>
          <t>SOLLEFTEÅ</t>
        </is>
      </c>
      <c r="F367" t="inlineStr">
        <is>
          <t>SCA</t>
        </is>
      </c>
      <c r="G367" t="n">
        <v>8.1</v>
      </c>
      <c r="H367" t="n">
        <v>0</v>
      </c>
      <c r="I367" t="n">
        <v>0</v>
      </c>
      <c r="J367" t="n">
        <v>1</v>
      </c>
      <c r="K367" t="n">
        <v>0</v>
      </c>
      <c r="L367" t="n">
        <v>0</v>
      </c>
      <c r="M367" t="n">
        <v>0</v>
      </c>
      <c r="N367" t="n">
        <v>0</v>
      </c>
      <c r="O367" t="n">
        <v>1</v>
      </c>
      <c r="P367" t="n">
        <v>0</v>
      </c>
      <c r="Q367" t="n">
        <v>1</v>
      </c>
      <c r="R367" s="2" t="inlineStr">
        <is>
          <t>Ullticka</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row>
    <row r="368" ht="15" customHeight="1">
      <c r="A368" t="inlineStr">
        <is>
          <t>A 42972-2024</t>
        </is>
      </c>
      <c r="B368" s="1" t="n">
        <v>45567</v>
      </c>
      <c r="C368" s="1" t="n">
        <v>45576</v>
      </c>
      <c r="D368" t="inlineStr">
        <is>
          <t>VÄSTERNORRLANDS LÄN</t>
        </is>
      </c>
      <c r="E368" t="inlineStr">
        <is>
          <t>SOLLEFTEÅ</t>
        </is>
      </c>
      <c r="F368" t="inlineStr">
        <is>
          <t>SCA</t>
        </is>
      </c>
      <c r="G368" t="n">
        <v>4.1</v>
      </c>
      <c r="H368" t="n">
        <v>0</v>
      </c>
      <c r="I368" t="n">
        <v>0</v>
      </c>
      <c r="J368" t="n">
        <v>1</v>
      </c>
      <c r="K368" t="n">
        <v>0</v>
      </c>
      <c r="L368" t="n">
        <v>0</v>
      </c>
      <c r="M368" t="n">
        <v>0</v>
      </c>
      <c r="N368" t="n">
        <v>0</v>
      </c>
      <c r="O368" t="n">
        <v>1</v>
      </c>
      <c r="P368" t="n">
        <v>0</v>
      </c>
      <c r="Q368" t="n">
        <v>1</v>
      </c>
      <c r="R368" s="2" t="inlineStr">
        <is>
          <t>Rosenticka</t>
        </is>
      </c>
      <c r="S368">
        <f>HYPERLINK("https://klasma.github.io/Logging_2283/artfynd/A 42972-2024 artfynd.xlsx", "A 42972-2024")</f>
        <v/>
      </c>
      <c r="T368">
        <f>HYPERLINK("https://klasma.github.io/Logging_2283/kartor/A 42972-2024 karta.png", "A 42972-2024")</f>
        <v/>
      </c>
      <c r="U368">
        <f>HYPERLINK("https://klasma.github.io/Logging_2283/knärot/A 42972-2024 karta knärot.png", "A 42972-2024")</f>
        <v/>
      </c>
      <c r="V368">
        <f>HYPERLINK("https://klasma.github.io/Logging_2283/klagomål/A 42972-2024 FSC-klagomål.docx", "A 42972-2024")</f>
        <v/>
      </c>
      <c r="W368">
        <f>HYPERLINK("https://klasma.github.io/Logging_2283/klagomålsmail/A 42972-2024 FSC-klagomål mail.docx", "A 42972-2024")</f>
        <v/>
      </c>
      <c r="X368">
        <f>HYPERLINK("https://klasma.github.io/Logging_2283/tillsyn/A 42972-2024 tillsynsbegäran.docx", "A 42972-2024")</f>
        <v/>
      </c>
      <c r="Y368">
        <f>HYPERLINK("https://klasma.github.io/Logging_2283/tillsynsmail/A 42972-2024 tillsynsbegäran mail.docx", "A 42972-2024")</f>
        <v/>
      </c>
    </row>
    <row r="369" ht="15" customHeight="1">
      <c r="A369" t="inlineStr">
        <is>
          <t>A 44624-2024</t>
        </is>
      </c>
      <c r="B369" s="1" t="n">
        <v>45574</v>
      </c>
      <c r="C369" s="1" t="n">
        <v>45576</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Lunglav</t>
        </is>
      </c>
      <c r="S369">
        <f>HYPERLINK("https://klasma.github.io/Logging_2283/artfynd/A 44624-2024 artfynd.xlsx", "A 44624-2024")</f>
        <v/>
      </c>
      <c r="T369">
        <f>HYPERLINK("https://klasma.github.io/Logging_2283/kartor/A 44624-2024 karta.png", "A 44624-2024")</f>
        <v/>
      </c>
      <c r="V369">
        <f>HYPERLINK("https://klasma.github.io/Logging_2283/klagomål/A 44624-2024 FSC-klagomål.docx", "A 44624-2024")</f>
        <v/>
      </c>
      <c r="W369">
        <f>HYPERLINK("https://klasma.github.io/Logging_2283/klagomålsmail/A 44624-2024 FSC-klagomål mail.docx", "A 44624-2024")</f>
        <v/>
      </c>
      <c r="X369">
        <f>HYPERLINK("https://klasma.github.io/Logging_2283/tillsyn/A 44624-2024 tillsynsbegäran.docx", "A 44624-2024")</f>
        <v/>
      </c>
      <c r="Y369">
        <f>HYPERLINK("https://klasma.github.io/Logging_2283/tillsynsmail/A 44624-2024 tillsynsbegäran mail.docx", "A 44624-2024")</f>
        <v/>
      </c>
    </row>
    <row r="370" ht="15" customHeight="1">
      <c r="A370" t="inlineStr">
        <is>
          <t>A 44632-2024</t>
        </is>
      </c>
      <c r="B370" s="1" t="n">
        <v>45574</v>
      </c>
      <c r="C370" s="1" t="n">
        <v>45576</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18277-2019</t>
        </is>
      </c>
      <c r="B371" s="1" t="n">
        <v>43557</v>
      </c>
      <c r="C371" s="1" t="n">
        <v>45576</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18578-2019</t>
        </is>
      </c>
      <c r="B372" s="1" t="n">
        <v>43558</v>
      </c>
      <c r="C372" s="1" t="n">
        <v>45576</v>
      </c>
      <c r="D372" t="inlineStr">
        <is>
          <t>VÄSTERNORRLANDS LÄN</t>
        </is>
      </c>
      <c r="E372" t="inlineStr">
        <is>
          <t>SOLLEFTEÅ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45576</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45576</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45576</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45576</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45576</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45576</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45576</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45576</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45576</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45576</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45576</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45576</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45576</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45576</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45576</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45576</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45576</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45576</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45576</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45576</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45576</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45576</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45576</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45576</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45576</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45576</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45576</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45576</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45576</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45576</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45576</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45576</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45576</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45576</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45576</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45576</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45576</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45576</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45576</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45576</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45576</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45576</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45576</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45576</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45576</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45576</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45576</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45576</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45576</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45576</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45576</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45576</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45576</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45576</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45576</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45576</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45576</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45576</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45576</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45576</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45576</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45576</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45576</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45576</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45576</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45576</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45576</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45576</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45576</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45576</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45576</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45576</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45576</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45576</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45576</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45576</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45576</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45576</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45576</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45576</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45576</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45576</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45576</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45576</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45576</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45576</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45576</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45576</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45576</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45576</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45576</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40685-2019</t>
        </is>
      </c>
      <c r="B464" s="1" t="n">
        <v>43696</v>
      </c>
      <c r="C464" s="1" t="n">
        <v>45576</v>
      </c>
      <c r="D464" t="inlineStr">
        <is>
          <t>VÄSTERNORRLANDS LÄN</t>
        </is>
      </c>
      <c r="E464" t="inlineStr">
        <is>
          <t>SOLLEFTEÅ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40682-2019</t>
        </is>
      </c>
      <c r="B465" s="1" t="n">
        <v>43696</v>
      </c>
      <c r="C465" s="1" t="n">
        <v>45576</v>
      </c>
      <c r="D465" t="inlineStr">
        <is>
          <t>VÄSTERNORRLANDS LÄN</t>
        </is>
      </c>
      <c r="E465" t="inlineStr">
        <is>
          <t>SOLLEFTEÅ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40514-2019</t>
        </is>
      </c>
      <c r="B466" s="1" t="n">
        <v>43696</v>
      </c>
      <c r="C466" s="1" t="n">
        <v>45576</v>
      </c>
      <c r="D466" t="inlineStr">
        <is>
          <t>VÄSTERNORRLANDS LÄN</t>
        </is>
      </c>
      <c r="E466" t="inlineStr">
        <is>
          <t>SOLLEFTEÅ</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40679-2019</t>
        </is>
      </c>
      <c r="B467" s="1" t="n">
        <v>43696</v>
      </c>
      <c r="C467" s="1" t="n">
        <v>45576</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41786-2019</t>
        </is>
      </c>
      <c r="B468" s="1" t="n">
        <v>43699</v>
      </c>
      <c r="C468" s="1" t="n">
        <v>45576</v>
      </c>
      <c r="D468" t="inlineStr">
        <is>
          <t>VÄSTERNORRLANDS LÄN</t>
        </is>
      </c>
      <c r="E468" t="inlineStr">
        <is>
          <t>SOLLEFTEÅ</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42417-2019</t>
        </is>
      </c>
      <c r="B469" s="1" t="n">
        <v>43703</v>
      </c>
      <c r="C469" s="1" t="n">
        <v>45576</v>
      </c>
      <c r="D469" t="inlineStr">
        <is>
          <t>VÄSTERNORRLANDS LÄN</t>
        </is>
      </c>
      <c r="E469" t="inlineStr">
        <is>
          <t>SOLLEFTEÅ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42791-2019</t>
        </is>
      </c>
      <c r="B470" s="1" t="n">
        <v>43704</v>
      </c>
      <c r="C470" s="1" t="n">
        <v>45576</v>
      </c>
      <c r="D470" t="inlineStr">
        <is>
          <t>VÄSTERNORRLANDS LÄN</t>
        </is>
      </c>
      <c r="E470" t="inlineStr">
        <is>
          <t>SOLLEFTEÅ</t>
        </is>
      </c>
      <c r="G470" t="n">
        <v>4.1</v>
      </c>
      <c r="H470" t="n">
        <v>0</v>
      </c>
      <c r="I470" t="n">
        <v>0</v>
      </c>
      <c r="J470" t="n">
        <v>0</v>
      </c>
      <c r="K470" t="n">
        <v>0</v>
      </c>
      <c r="L470" t="n">
        <v>0</v>
      </c>
      <c r="M470" t="n">
        <v>0</v>
      </c>
      <c r="N470" t="n">
        <v>0</v>
      </c>
      <c r="O470" t="n">
        <v>0</v>
      </c>
      <c r="P470" t="n">
        <v>0</v>
      </c>
      <c r="Q470" t="n">
        <v>0</v>
      </c>
      <c r="R470" s="2" t="inlineStr"/>
    </row>
    <row r="471" ht="15" customHeight="1">
      <c r="A471" t="inlineStr">
        <is>
          <t>A 42792-2019</t>
        </is>
      </c>
      <c r="B471" s="1" t="n">
        <v>43704</v>
      </c>
      <c r="C471" s="1" t="n">
        <v>45576</v>
      </c>
      <c r="D471" t="inlineStr">
        <is>
          <t>VÄSTERNORRLANDS LÄN</t>
        </is>
      </c>
      <c r="E471" t="inlineStr">
        <is>
          <t>SOLLEFTEÅ</t>
        </is>
      </c>
      <c r="G471" t="n">
        <v>5.7</v>
      </c>
      <c r="H471" t="n">
        <v>0</v>
      </c>
      <c r="I471" t="n">
        <v>0</v>
      </c>
      <c r="J471" t="n">
        <v>0</v>
      </c>
      <c r="K471" t="n">
        <v>0</v>
      </c>
      <c r="L471" t="n">
        <v>0</v>
      </c>
      <c r="M471" t="n">
        <v>0</v>
      </c>
      <c r="N471" t="n">
        <v>0</v>
      </c>
      <c r="O471" t="n">
        <v>0</v>
      </c>
      <c r="P471" t="n">
        <v>0</v>
      </c>
      <c r="Q471" t="n">
        <v>0</v>
      </c>
      <c r="R471" s="2" t="inlineStr"/>
    </row>
    <row r="472" ht="15" customHeight="1">
      <c r="A472" t="inlineStr">
        <is>
          <t>A 43499-2019</t>
        </is>
      </c>
      <c r="B472" s="1" t="n">
        <v>43706</v>
      </c>
      <c r="C472" s="1" t="n">
        <v>45576</v>
      </c>
      <c r="D472" t="inlineStr">
        <is>
          <t>VÄSTERNORRLANDS LÄN</t>
        </is>
      </c>
      <c r="E472" t="inlineStr">
        <is>
          <t>SOLLEFTEÅ</t>
        </is>
      </c>
      <c r="G472" t="n">
        <v>19.3</v>
      </c>
      <c r="H472" t="n">
        <v>0</v>
      </c>
      <c r="I472" t="n">
        <v>0</v>
      </c>
      <c r="J472" t="n">
        <v>0</v>
      </c>
      <c r="K472" t="n">
        <v>0</v>
      </c>
      <c r="L472" t="n">
        <v>0</v>
      </c>
      <c r="M472" t="n">
        <v>0</v>
      </c>
      <c r="N472" t="n">
        <v>0</v>
      </c>
      <c r="O472" t="n">
        <v>0</v>
      </c>
      <c r="P472" t="n">
        <v>0</v>
      </c>
      <c r="Q472" t="n">
        <v>0</v>
      </c>
      <c r="R472" s="2" t="inlineStr"/>
    </row>
    <row r="473" ht="15" customHeight="1">
      <c r="A473" t="inlineStr">
        <is>
          <t>A 45032-2019</t>
        </is>
      </c>
      <c r="B473" s="1" t="n">
        <v>43707</v>
      </c>
      <c r="C473" s="1" t="n">
        <v>45576</v>
      </c>
      <c r="D473" t="inlineStr">
        <is>
          <t>VÄSTERNORRLANDS LÄN</t>
        </is>
      </c>
      <c r="E473" t="inlineStr">
        <is>
          <t>SOLLEFTEÅ</t>
        </is>
      </c>
      <c r="G473" t="n">
        <v>9.4</v>
      </c>
      <c r="H473" t="n">
        <v>0</v>
      </c>
      <c r="I473" t="n">
        <v>0</v>
      </c>
      <c r="J473" t="n">
        <v>0</v>
      </c>
      <c r="K473" t="n">
        <v>0</v>
      </c>
      <c r="L473" t="n">
        <v>0</v>
      </c>
      <c r="M473" t="n">
        <v>0</v>
      </c>
      <c r="N473" t="n">
        <v>0</v>
      </c>
      <c r="O473" t="n">
        <v>0</v>
      </c>
      <c r="P473" t="n">
        <v>0</v>
      </c>
      <c r="Q473" t="n">
        <v>0</v>
      </c>
      <c r="R473" s="2" t="inlineStr"/>
    </row>
    <row r="474" ht="15" customHeight="1">
      <c r="A474" t="inlineStr">
        <is>
          <t>A 44815-2019</t>
        </is>
      </c>
      <c r="B474" s="1" t="n">
        <v>43712</v>
      </c>
      <c r="C474" s="1" t="n">
        <v>45576</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45941-2019</t>
        </is>
      </c>
      <c r="B475" s="1" t="n">
        <v>43712</v>
      </c>
      <c r="C475" s="1" t="n">
        <v>45576</v>
      </c>
      <c r="D475" t="inlineStr">
        <is>
          <t>VÄSTERNORRLANDS LÄN</t>
        </is>
      </c>
      <c r="E475" t="inlineStr">
        <is>
          <t>SOLLEFTEÅ</t>
        </is>
      </c>
      <c r="G475" t="n">
        <v>25</v>
      </c>
      <c r="H475" t="n">
        <v>0</v>
      </c>
      <c r="I475" t="n">
        <v>0</v>
      </c>
      <c r="J475" t="n">
        <v>0</v>
      </c>
      <c r="K475" t="n">
        <v>0</v>
      </c>
      <c r="L475" t="n">
        <v>0</v>
      </c>
      <c r="M475" t="n">
        <v>0</v>
      </c>
      <c r="N475" t="n">
        <v>0</v>
      </c>
      <c r="O475" t="n">
        <v>0</v>
      </c>
      <c r="P475" t="n">
        <v>0</v>
      </c>
      <c r="Q475" t="n">
        <v>0</v>
      </c>
      <c r="R475" s="2" t="inlineStr"/>
    </row>
    <row r="476" ht="15" customHeight="1">
      <c r="A476" t="inlineStr">
        <is>
          <t>A 44888-2019</t>
        </is>
      </c>
      <c r="B476" s="1" t="n">
        <v>43712</v>
      </c>
      <c r="C476" s="1" t="n">
        <v>45576</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44960-2019</t>
        </is>
      </c>
      <c r="B477" s="1" t="n">
        <v>43713</v>
      </c>
      <c r="C477" s="1" t="n">
        <v>45576</v>
      </c>
      <c r="D477" t="inlineStr">
        <is>
          <t>VÄSTERNORRLANDS LÄN</t>
        </is>
      </c>
      <c r="E477" t="inlineStr">
        <is>
          <t>SOLLEFTEÅ</t>
        </is>
      </c>
      <c r="G477" t="n">
        <v>14.9</v>
      </c>
      <c r="H477" t="n">
        <v>0</v>
      </c>
      <c r="I477" t="n">
        <v>0</v>
      </c>
      <c r="J477" t="n">
        <v>0</v>
      </c>
      <c r="K477" t="n">
        <v>0</v>
      </c>
      <c r="L477" t="n">
        <v>0</v>
      </c>
      <c r="M477" t="n">
        <v>0</v>
      </c>
      <c r="N477" t="n">
        <v>0</v>
      </c>
      <c r="O477" t="n">
        <v>0</v>
      </c>
      <c r="P477" t="n">
        <v>0</v>
      </c>
      <c r="Q477" t="n">
        <v>0</v>
      </c>
      <c r="R477" s="2" t="inlineStr"/>
    </row>
    <row r="478" ht="15" customHeight="1">
      <c r="A478" t="inlineStr">
        <is>
          <t>A 45537-2019</t>
        </is>
      </c>
      <c r="B478" s="1" t="n">
        <v>43714</v>
      </c>
      <c r="C478" s="1" t="n">
        <v>45576</v>
      </c>
      <c r="D478" t="inlineStr">
        <is>
          <t>VÄSTERNORRLANDS LÄN</t>
        </is>
      </c>
      <c r="E478" t="inlineStr">
        <is>
          <t>SOLLEFTEÅ</t>
        </is>
      </c>
      <c r="F478" t="inlineStr">
        <is>
          <t>SCA</t>
        </is>
      </c>
      <c r="G478" t="n">
        <v>35.1</v>
      </c>
      <c r="H478" t="n">
        <v>0</v>
      </c>
      <c r="I478" t="n">
        <v>0</v>
      </c>
      <c r="J478" t="n">
        <v>0</v>
      </c>
      <c r="K478" t="n">
        <v>0</v>
      </c>
      <c r="L478" t="n">
        <v>0</v>
      </c>
      <c r="M478" t="n">
        <v>0</v>
      </c>
      <c r="N478" t="n">
        <v>0</v>
      </c>
      <c r="O478" t="n">
        <v>0</v>
      </c>
      <c r="P478" t="n">
        <v>0</v>
      </c>
      <c r="Q478" t="n">
        <v>0</v>
      </c>
      <c r="R478" s="2" t="inlineStr"/>
    </row>
    <row r="479" ht="15" customHeight="1">
      <c r="A479" t="inlineStr">
        <is>
          <t>A 46345-2019</t>
        </is>
      </c>
      <c r="B479" s="1" t="n">
        <v>43718</v>
      </c>
      <c r="C479" s="1" t="n">
        <v>45576</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46956-2019</t>
        </is>
      </c>
      <c r="B480" s="1" t="n">
        <v>43719</v>
      </c>
      <c r="C480" s="1" t="n">
        <v>45576</v>
      </c>
      <c r="D480" t="inlineStr">
        <is>
          <t>VÄSTERNORRLANDS LÄN</t>
        </is>
      </c>
      <c r="E480" t="inlineStr">
        <is>
          <t>SOLLEFTEÅ</t>
        </is>
      </c>
      <c r="G480" t="n">
        <v>18.1</v>
      </c>
      <c r="H480" t="n">
        <v>0</v>
      </c>
      <c r="I480" t="n">
        <v>0</v>
      </c>
      <c r="J480" t="n">
        <v>0</v>
      </c>
      <c r="K480" t="n">
        <v>0</v>
      </c>
      <c r="L480" t="n">
        <v>0</v>
      </c>
      <c r="M480" t="n">
        <v>0</v>
      </c>
      <c r="N480" t="n">
        <v>0</v>
      </c>
      <c r="O480" t="n">
        <v>0</v>
      </c>
      <c r="P480" t="n">
        <v>0</v>
      </c>
      <c r="Q480" t="n">
        <v>0</v>
      </c>
      <c r="R480" s="2" t="inlineStr"/>
    </row>
    <row r="481" ht="15" customHeight="1">
      <c r="A481" t="inlineStr">
        <is>
          <t>A 47366-2019</t>
        </is>
      </c>
      <c r="B481" s="1" t="n">
        <v>43721</v>
      </c>
      <c r="C481" s="1" t="n">
        <v>45576</v>
      </c>
      <c r="D481" t="inlineStr">
        <is>
          <t>VÄSTERNORRLANDS LÄN</t>
        </is>
      </c>
      <c r="E481" t="inlineStr">
        <is>
          <t>SOLLEFTEÅ</t>
        </is>
      </c>
      <c r="G481" t="n">
        <v>1.1</v>
      </c>
      <c r="H481" t="n">
        <v>0</v>
      </c>
      <c r="I481" t="n">
        <v>0</v>
      </c>
      <c r="J481" t="n">
        <v>0</v>
      </c>
      <c r="K481" t="n">
        <v>0</v>
      </c>
      <c r="L481" t="n">
        <v>0</v>
      </c>
      <c r="M481" t="n">
        <v>0</v>
      </c>
      <c r="N481" t="n">
        <v>0</v>
      </c>
      <c r="O481" t="n">
        <v>0</v>
      </c>
      <c r="P481" t="n">
        <v>0</v>
      </c>
      <c r="Q481" t="n">
        <v>0</v>
      </c>
      <c r="R481" s="2" t="inlineStr"/>
    </row>
    <row r="482" ht="15" customHeight="1">
      <c r="A482" t="inlineStr">
        <is>
          <t>A 47764-2019</t>
        </is>
      </c>
      <c r="B482" s="1" t="n">
        <v>43724</v>
      </c>
      <c r="C482" s="1" t="n">
        <v>45576</v>
      </c>
      <c r="D482" t="inlineStr">
        <is>
          <t>VÄSTERNORRLANDS LÄN</t>
        </is>
      </c>
      <c r="E482" t="inlineStr">
        <is>
          <t>SOLLEFTEÅ</t>
        </is>
      </c>
      <c r="F482" t="inlineStr">
        <is>
          <t>Kyrkan</t>
        </is>
      </c>
      <c r="G482" t="n">
        <v>4.1</v>
      </c>
      <c r="H482" t="n">
        <v>0</v>
      </c>
      <c r="I482" t="n">
        <v>0</v>
      </c>
      <c r="J482" t="n">
        <v>0</v>
      </c>
      <c r="K482" t="n">
        <v>0</v>
      </c>
      <c r="L482" t="n">
        <v>0</v>
      </c>
      <c r="M482" t="n">
        <v>0</v>
      </c>
      <c r="N482" t="n">
        <v>0</v>
      </c>
      <c r="O482" t="n">
        <v>0</v>
      </c>
      <c r="P482" t="n">
        <v>0</v>
      </c>
      <c r="Q482" t="n">
        <v>0</v>
      </c>
      <c r="R482" s="2" t="inlineStr"/>
    </row>
    <row r="483" ht="15" customHeight="1">
      <c r="A483" t="inlineStr">
        <is>
          <t>A 47768-2019</t>
        </is>
      </c>
      <c r="B483" s="1" t="n">
        <v>43724</v>
      </c>
      <c r="C483" s="1" t="n">
        <v>45576</v>
      </c>
      <c r="D483" t="inlineStr">
        <is>
          <t>VÄSTERNORRLANDS LÄN</t>
        </is>
      </c>
      <c r="E483" t="inlineStr">
        <is>
          <t>SOLLEFTEÅ</t>
        </is>
      </c>
      <c r="F483" t="inlineStr">
        <is>
          <t>Kyrkan</t>
        </is>
      </c>
      <c r="G483" t="n">
        <v>12.1</v>
      </c>
      <c r="H483" t="n">
        <v>0</v>
      </c>
      <c r="I483" t="n">
        <v>0</v>
      </c>
      <c r="J483" t="n">
        <v>0</v>
      </c>
      <c r="K483" t="n">
        <v>0</v>
      </c>
      <c r="L483" t="n">
        <v>0</v>
      </c>
      <c r="M483" t="n">
        <v>0</v>
      </c>
      <c r="N483" t="n">
        <v>0</v>
      </c>
      <c r="O483" t="n">
        <v>0</v>
      </c>
      <c r="P483" t="n">
        <v>0</v>
      </c>
      <c r="Q483" t="n">
        <v>0</v>
      </c>
      <c r="R483" s="2" t="inlineStr"/>
    </row>
    <row r="484" ht="15" customHeight="1">
      <c r="A484" t="inlineStr">
        <is>
          <t>A 49381-2019</t>
        </is>
      </c>
      <c r="B484" s="1" t="n">
        <v>43731</v>
      </c>
      <c r="C484" s="1" t="n">
        <v>45576</v>
      </c>
      <c r="D484" t="inlineStr">
        <is>
          <t>VÄSTERNORRLANDS LÄN</t>
        </is>
      </c>
      <c r="E484" t="inlineStr">
        <is>
          <t>SOLLEFTEÅ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49380-2019</t>
        </is>
      </c>
      <c r="B485" s="1" t="n">
        <v>43731</v>
      </c>
      <c r="C485" s="1" t="n">
        <v>45576</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49674-2019</t>
        </is>
      </c>
      <c r="B486" s="1" t="n">
        <v>43732</v>
      </c>
      <c r="C486" s="1" t="n">
        <v>45576</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50283-2019</t>
        </is>
      </c>
      <c r="B487" s="1" t="n">
        <v>43734</v>
      </c>
      <c r="C487" s="1" t="n">
        <v>45576</v>
      </c>
      <c r="D487" t="inlineStr">
        <is>
          <t>VÄSTERNORRLANDS LÄN</t>
        </is>
      </c>
      <c r="E487" t="inlineStr">
        <is>
          <t>SOLLEFTEÅ</t>
        </is>
      </c>
      <c r="F487" t="inlineStr">
        <is>
          <t>SCA</t>
        </is>
      </c>
      <c r="G487" t="n">
        <v>10.6</v>
      </c>
      <c r="H487" t="n">
        <v>0</v>
      </c>
      <c r="I487" t="n">
        <v>0</v>
      </c>
      <c r="J487" t="n">
        <v>0</v>
      </c>
      <c r="K487" t="n">
        <v>0</v>
      </c>
      <c r="L487" t="n">
        <v>0</v>
      </c>
      <c r="M487" t="n">
        <v>0</v>
      </c>
      <c r="N487" t="n">
        <v>0</v>
      </c>
      <c r="O487" t="n">
        <v>0</v>
      </c>
      <c r="P487" t="n">
        <v>0</v>
      </c>
      <c r="Q487" t="n">
        <v>0</v>
      </c>
      <c r="R487" s="2" t="inlineStr"/>
    </row>
    <row r="488" ht="15" customHeight="1">
      <c r="A488" t="inlineStr">
        <is>
          <t>A 50513-2019</t>
        </is>
      </c>
      <c r="B488" s="1" t="n">
        <v>43735</v>
      </c>
      <c r="C488" s="1" t="n">
        <v>45576</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50668-2019</t>
        </is>
      </c>
      <c r="B489" s="1" t="n">
        <v>43737</v>
      </c>
      <c r="C489" s="1" t="n">
        <v>45576</v>
      </c>
      <c r="D489" t="inlineStr">
        <is>
          <t>VÄSTERNORRLANDS LÄN</t>
        </is>
      </c>
      <c r="E489" t="inlineStr">
        <is>
          <t>SOLLEFTEÅ</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51002-2019</t>
        </is>
      </c>
      <c r="B490" s="1" t="n">
        <v>43738</v>
      </c>
      <c r="C490" s="1" t="n">
        <v>45576</v>
      </c>
      <c r="D490" t="inlineStr">
        <is>
          <t>VÄSTERNORRLANDS LÄN</t>
        </is>
      </c>
      <c r="E490" t="inlineStr">
        <is>
          <t>SOLLEFTEÅ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50999-2019</t>
        </is>
      </c>
      <c r="B491" s="1" t="n">
        <v>43738</v>
      </c>
      <c r="C491" s="1" t="n">
        <v>45576</v>
      </c>
      <c r="D491" t="inlineStr">
        <is>
          <t>VÄSTERNORRLANDS LÄN</t>
        </is>
      </c>
      <c r="E491" t="inlineStr">
        <is>
          <t>SOLLEFTEÅ</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51675-2019</t>
        </is>
      </c>
      <c r="B492" s="1" t="n">
        <v>43740</v>
      </c>
      <c r="C492" s="1" t="n">
        <v>45576</v>
      </c>
      <c r="D492" t="inlineStr">
        <is>
          <t>VÄSTERNORRLANDS LÄN</t>
        </is>
      </c>
      <c r="E492" t="inlineStr">
        <is>
          <t>SOLLEFTEÅ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51671-2019</t>
        </is>
      </c>
      <c r="B493" s="1" t="n">
        <v>43740</v>
      </c>
      <c r="C493" s="1" t="n">
        <v>45576</v>
      </c>
      <c r="D493" t="inlineStr">
        <is>
          <t>VÄSTERNORRLANDS LÄN</t>
        </is>
      </c>
      <c r="E493" t="inlineStr">
        <is>
          <t>SOLLEFTEÅ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51682-2019</t>
        </is>
      </c>
      <c r="B494" s="1" t="n">
        <v>43740</v>
      </c>
      <c r="C494" s="1" t="n">
        <v>45576</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53079-2019</t>
        </is>
      </c>
      <c r="B495" s="1" t="n">
        <v>43740</v>
      </c>
      <c r="C495" s="1" t="n">
        <v>45576</v>
      </c>
      <c r="D495" t="inlineStr">
        <is>
          <t>VÄSTERNORRLANDS LÄN</t>
        </is>
      </c>
      <c r="E495" t="inlineStr">
        <is>
          <t>SOLLEFTEÅ</t>
        </is>
      </c>
      <c r="G495" t="n">
        <v>7.9</v>
      </c>
      <c r="H495" t="n">
        <v>0</v>
      </c>
      <c r="I495" t="n">
        <v>0</v>
      </c>
      <c r="J495" t="n">
        <v>0</v>
      </c>
      <c r="K495" t="n">
        <v>0</v>
      </c>
      <c r="L495" t="n">
        <v>0</v>
      </c>
      <c r="M495" t="n">
        <v>0</v>
      </c>
      <c r="N495" t="n">
        <v>0</v>
      </c>
      <c r="O495" t="n">
        <v>0</v>
      </c>
      <c r="P495" t="n">
        <v>0</v>
      </c>
      <c r="Q495" t="n">
        <v>0</v>
      </c>
      <c r="R495" s="2" t="inlineStr"/>
    </row>
    <row r="496" ht="15" customHeight="1">
      <c r="A496" t="inlineStr">
        <is>
          <t>A 51673-2019</t>
        </is>
      </c>
      <c r="B496" s="1" t="n">
        <v>43740</v>
      </c>
      <c r="C496" s="1" t="n">
        <v>45576</v>
      </c>
      <c r="D496" t="inlineStr">
        <is>
          <t>VÄSTERNORRLANDS LÄN</t>
        </is>
      </c>
      <c r="E496" t="inlineStr">
        <is>
          <t>SOLLEFTEÅ</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53076-2019</t>
        </is>
      </c>
      <c r="B497" s="1" t="n">
        <v>43740</v>
      </c>
      <c r="C497" s="1" t="n">
        <v>45576</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53088-2019</t>
        </is>
      </c>
      <c r="B498" s="1" t="n">
        <v>43740</v>
      </c>
      <c r="C498" s="1" t="n">
        <v>45576</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51665-2019</t>
        </is>
      </c>
      <c r="B499" s="1" t="n">
        <v>43740</v>
      </c>
      <c r="C499" s="1" t="n">
        <v>45576</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51953-2019</t>
        </is>
      </c>
      <c r="B500" s="1" t="n">
        <v>43741</v>
      </c>
      <c r="C500" s="1" t="n">
        <v>45576</v>
      </c>
      <c r="D500" t="inlineStr">
        <is>
          <t>VÄSTERNORRLANDS LÄN</t>
        </is>
      </c>
      <c r="E500" t="inlineStr">
        <is>
          <t>SOLLEFTEÅ</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53677-2019</t>
        </is>
      </c>
      <c r="B501" s="1" t="n">
        <v>43741</v>
      </c>
      <c r="C501" s="1" t="n">
        <v>45576</v>
      </c>
      <c r="D501" t="inlineStr">
        <is>
          <t>VÄSTERNORRLANDS LÄN</t>
        </is>
      </c>
      <c r="E501" t="inlineStr">
        <is>
          <t>SOLLEFTEÅ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51952-2019</t>
        </is>
      </c>
      <c r="B502" s="1" t="n">
        <v>43741</v>
      </c>
      <c r="C502" s="1" t="n">
        <v>45576</v>
      </c>
      <c r="D502" t="inlineStr">
        <is>
          <t>VÄSTERNORRLANDS LÄN</t>
        </is>
      </c>
      <c r="E502" t="inlineStr">
        <is>
          <t>SOLLEFTEÅ</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52568-2019</t>
        </is>
      </c>
      <c r="B503" s="1" t="n">
        <v>43745</v>
      </c>
      <c r="C503" s="1" t="n">
        <v>45576</v>
      </c>
      <c r="D503" t="inlineStr">
        <is>
          <t>VÄSTERNORRLANDS LÄN</t>
        </is>
      </c>
      <c r="E503" t="inlineStr">
        <is>
          <t>SOLLEFTEÅ</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52569-2019</t>
        </is>
      </c>
      <c r="B504" s="1" t="n">
        <v>43745</v>
      </c>
      <c r="C504" s="1" t="n">
        <v>45576</v>
      </c>
      <c r="D504" t="inlineStr">
        <is>
          <t>VÄSTERNORRLANDS LÄN</t>
        </is>
      </c>
      <c r="E504" t="inlineStr">
        <is>
          <t>SOLLEFTEÅ</t>
        </is>
      </c>
      <c r="G504" t="n">
        <v>7.1</v>
      </c>
      <c r="H504" t="n">
        <v>0</v>
      </c>
      <c r="I504" t="n">
        <v>0</v>
      </c>
      <c r="J504" t="n">
        <v>0</v>
      </c>
      <c r="K504" t="n">
        <v>0</v>
      </c>
      <c r="L504" t="n">
        <v>0</v>
      </c>
      <c r="M504" t="n">
        <v>0</v>
      </c>
      <c r="N504" t="n">
        <v>0</v>
      </c>
      <c r="O504" t="n">
        <v>0</v>
      </c>
      <c r="P504" t="n">
        <v>0</v>
      </c>
      <c r="Q504" t="n">
        <v>0</v>
      </c>
      <c r="R504" s="2" t="inlineStr"/>
    </row>
    <row r="505" ht="15" customHeight="1">
      <c r="A505" t="inlineStr">
        <is>
          <t>A 52922-2019</t>
        </is>
      </c>
      <c r="B505" s="1" t="n">
        <v>43746</v>
      </c>
      <c r="C505" s="1" t="n">
        <v>45576</v>
      </c>
      <c r="D505" t="inlineStr">
        <is>
          <t>VÄSTERNORRLANDS LÄN</t>
        </is>
      </c>
      <c r="E505" t="inlineStr">
        <is>
          <t>SOLLEFTEÅ</t>
        </is>
      </c>
      <c r="G505" t="n">
        <v>6.5</v>
      </c>
      <c r="H505" t="n">
        <v>0</v>
      </c>
      <c r="I505" t="n">
        <v>0</v>
      </c>
      <c r="J505" t="n">
        <v>0</v>
      </c>
      <c r="K505" t="n">
        <v>0</v>
      </c>
      <c r="L505" t="n">
        <v>0</v>
      </c>
      <c r="M505" t="n">
        <v>0</v>
      </c>
      <c r="N505" t="n">
        <v>0</v>
      </c>
      <c r="O505" t="n">
        <v>0</v>
      </c>
      <c r="P505" t="n">
        <v>0</v>
      </c>
      <c r="Q505" t="n">
        <v>0</v>
      </c>
      <c r="R505" s="2" t="inlineStr"/>
    </row>
    <row r="506" ht="15" customHeight="1">
      <c r="A506" t="inlineStr">
        <is>
          <t>A 53161-2019</t>
        </is>
      </c>
      <c r="B506" s="1" t="n">
        <v>43747</v>
      </c>
      <c r="C506" s="1" t="n">
        <v>45576</v>
      </c>
      <c r="D506" t="inlineStr">
        <is>
          <t>VÄSTERNORRLANDS LÄN</t>
        </is>
      </c>
      <c r="E506" t="inlineStr">
        <is>
          <t>SOLLEFTEÅ</t>
        </is>
      </c>
      <c r="F506" t="inlineStr">
        <is>
          <t>Kommuner</t>
        </is>
      </c>
      <c r="G506" t="n">
        <v>0.4</v>
      </c>
      <c r="H506" t="n">
        <v>0</v>
      </c>
      <c r="I506" t="n">
        <v>0</v>
      </c>
      <c r="J506" t="n">
        <v>0</v>
      </c>
      <c r="K506" t="n">
        <v>0</v>
      </c>
      <c r="L506" t="n">
        <v>0</v>
      </c>
      <c r="M506" t="n">
        <v>0</v>
      </c>
      <c r="N506" t="n">
        <v>0</v>
      </c>
      <c r="O506" t="n">
        <v>0</v>
      </c>
      <c r="P506" t="n">
        <v>0</v>
      </c>
      <c r="Q506" t="n">
        <v>0</v>
      </c>
      <c r="R506" s="2" t="inlineStr"/>
    </row>
    <row r="507" ht="15" customHeight="1">
      <c r="A507" t="inlineStr">
        <is>
          <t>A 55623-2019</t>
        </is>
      </c>
      <c r="B507" s="1" t="n">
        <v>43755</v>
      </c>
      <c r="C507" s="1" t="n">
        <v>45576</v>
      </c>
      <c r="D507" t="inlineStr">
        <is>
          <t>VÄSTERNORRLANDS LÄN</t>
        </is>
      </c>
      <c r="E507" t="inlineStr">
        <is>
          <t>SOLLEFTEÅ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55925-2019</t>
        </is>
      </c>
      <c r="B508" s="1" t="n">
        <v>43755</v>
      </c>
      <c r="C508" s="1" t="n">
        <v>45576</v>
      </c>
      <c r="D508" t="inlineStr">
        <is>
          <t>VÄSTERNORRLANDS LÄN</t>
        </is>
      </c>
      <c r="E508" t="inlineStr">
        <is>
          <t>SOLLEFTEÅ</t>
        </is>
      </c>
      <c r="G508" t="n">
        <v>6.4</v>
      </c>
      <c r="H508" t="n">
        <v>0</v>
      </c>
      <c r="I508" t="n">
        <v>0</v>
      </c>
      <c r="J508" t="n">
        <v>0</v>
      </c>
      <c r="K508" t="n">
        <v>0</v>
      </c>
      <c r="L508" t="n">
        <v>0</v>
      </c>
      <c r="M508" t="n">
        <v>0</v>
      </c>
      <c r="N508" t="n">
        <v>0</v>
      </c>
      <c r="O508" t="n">
        <v>0</v>
      </c>
      <c r="P508" t="n">
        <v>0</v>
      </c>
      <c r="Q508" t="n">
        <v>0</v>
      </c>
      <c r="R508" s="2" t="inlineStr"/>
    </row>
    <row r="509" ht="15" customHeight="1">
      <c r="A509" t="inlineStr">
        <is>
          <t>A 55628-2019</t>
        </is>
      </c>
      <c r="B509" s="1" t="n">
        <v>43755</v>
      </c>
      <c r="C509" s="1" t="n">
        <v>45576</v>
      </c>
      <c r="D509" t="inlineStr">
        <is>
          <t>VÄSTERNORRLANDS LÄN</t>
        </is>
      </c>
      <c r="E509" t="inlineStr">
        <is>
          <t>SOLLEFTEÅ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55625-2019</t>
        </is>
      </c>
      <c r="B510" s="1" t="n">
        <v>43755</v>
      </c>
      <c r="C510" s="1" t="n">
        <v>45576</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57365-2019</t>
        </is>
      </c>
      <c r="B511" s="1" t="n">
        <v>43760</v>
      </c>
      <c r="C511" s="1" t="n">
        <v>45576</v>
      </c>
      <c r="D511" t="inlineStr">
        <is>
          <t>VÄSTERNORRLANDS LÄN</t>
        </is>
      </c>
      <c r="E511" t="inlineStr">
        <is>
          <t>SOLLEFTEÅ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57575-2019</t>
        </is>
      </c>
      <c r="B512" s="1" t="n">
        <v>43761</v>
      </c>
      <c r="C512" s="1" t="n">
        <v>45576</v>
      </c>
      <c r="D512" t="inlineStr">
        <is>
          <t>VÄSTERNORRLANDS LÄN</t>
        </is>
      </c>
      <c r="E512" t="inlineStr">
        <is>
          <t>SOLLEFTEÅ</t>
        </is>
      </c>
      <c r="G512" t="n">
        <v>14.4</v>
      </c>
      <c r="H512" t="n">
        <v>0</v>
      </c>
      <c r="I512" t="n">
        <v>0</v>
      </c>
      <c r="J512" t="n">
        <v>0</v>
      </c>
      <c r="K512" t="n">
        <v>0</v>
      </c>
      <c r="L512" t="n">
        <v>0</v>
      </c>
      <c r="M512" t="n">
        <v>0</v>
      </c>
      <c r="N512" t="n">
        <v>0</v>
      </c>
      <c r="O512" t="n">
        <v>0</v>
      </c>
      <c r="P512" t="n">
        <v>0</v>
      </c>
      <c r="Q512" t="n">
        <v>0</v>
      </c>
      <c r="R512" s="2" t="inlineStr"/>
    </row>
    <row r="513" ht="15" customHeight="1">
      <c r="A513" t="inlineStr">
        <is>
          <t>A 56252-2019</t>
        </is>
      </c>
      <c r="B513" s="1" t="n">
        <v>43762</v>
      </c>
      <c r="C513" s="1" t="n">
        <v>45576</v>
      </c>
      <c r="D513" t="inlineStr">
        <is>
          <t>VÄSTERNORRLANDS LÄN</t>
        </is>
      </c>
      <c r="E513" t="inlineStr">
        <is>
          <t>SOLLEFTEÅ</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56493-2019</t>
        </is>
      </c>
      <c r="B514" s="1" t="n">
        <v>43762</v>
      </c>
      <c r="C514" s="1" t="n">
        <v>45576</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56492-2019</t>
        </is>
      </c>
      <c r="B515" s="1" t="n">
        <v>43762</v>
      </c>
      <c r="C515" s="1" t="n">
        <v>45576</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56803-2019</t>
        </is>
      </c>
      <c r="B516" s="1" t="n">
        <v>43763</v>
      </c>
      <c r="C516" s="1" t="n">
        <v>45576</v>
      </c>
      <c r="D516" t="inlineStr">
        <is>
          <t>VÄSTERNORRLANDS LÄN</t>
        </is>
      </c>
      <c r="E516" t="inlineStr">
        <is>
          <t>SOLLEFTEÅ</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56874-2019</t>
        </is>
      </c>
      <c r="B517" s="1" t="n">
        <v>43766</v>
      </c>
      <c r="C517" s="1" t="n">
        <v>45576</v>
      </c>
      <c r="D517" t="inlineStr">
        <is>
          <t>VÄSTERNORRLANDS LÄN</t>
        </is>
      </c>
      <c r="E517" t="inlineStr">
        <is>
          <t>SOLLEFTEÅ</t>
        </is>
      </c>
      <c r="G517" t="n">
        <v>6.1</v>
      </c>
      <c r="H517" t="n">
        <v>0</v>
      </c>
      <c r="I517" t="n">
        <v>0</v>
      </c>
      <c r="J517" t="n">
        <v>0</v>
      </c>
      <c r="K517" t="n">
        <v>0</v>
      </c>
      <c r="L517" t="n">
        <v>0</v>
      </c>
      <c r="M517" t="n">
        <v>0</v>
      </c>
      <c r="N517" t="n">
        <v>0</v>
      </c>
      <c r="O517" t="n">
        <v>0</v>
      </c>
      <c r="P517" t="n">
        <v>0</v>
      </c>
      <c r="Q517" t="n">
        <v>0</v>
      </c>
      <c r="R517" s="2" t="inlineStr"/>
    </row>
    <row r="518" ht="15" customHeight="1">
      <c r="A518" t="inlineStr">
        <is>
          <t>A 56985-2019</t>
        </is>
      </c>
      <c r="B518" s="1" t="n">
        <v>43766</v>
      </c>
      <c r="C518" s="1" t="n">
        <v>45576</v>
      </c>
      <c r="D518" t="inlineStr">
        <is>
          <t>VÄSTERNORRLANDS LÄN</t>
        </is>
      </c>
      <c r="E518" t="inlineStr">
        <is>
          <t>SOLLEFTEÅ</t>
        </is>
      </c>
      <c r="G518" t="n">
        <v>4.9</v>
      </c>
      <c r="H518" t="n">
        <v>0</v>
      </c>
      <c r="I518" t="n">
        <v>0</v>
      </c>
      <c r="J518" t="n">
        <v>0</v>
      </c>
      <c r="K518" t="n">
        <v>0</v>
      </c>
      <c r="L518" t="n">
        <v>0</v>
      </c>
      <c r="M518" t="n">
        <v>0</v>
      </c>
      <c r="N518" t="n">
        <v>0</v>
      </c>
      <c r="O518" t="n">
        <v>0</v>
      </c>
      <c r="P518" t="n">
        <v>0</v>
      </c>
      <c r="Q518" t="n">
        <v>0</v>
      </c>
      <c r="R518" s="2" t="inlineStr"/>
    </row>
    <row r="519" ht="15" customHeight="1">
      <c r="A519" t="inlineStr">
        <is>
          <t>A 57041-2019</t>
        </is>
      </c>
      <c r="B519" s="1" t="n">
        <v>43766</v>
      </c>
      <c r="C519" s="1" t="n">
        <v>45576</v>
      </c>
      <c r="D519" t="inlineStr">
        <is>
          <t>VÄSTERNORRLANDS LÄN</t>
        </is>
      </c>
      <c r="E519" t="inlineStr">
        <is>
          <t>SOLLEFTEÅ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57188-2019</t>
        </is>
      </c>
      <c r="B520" s="1" t="n">
        <v>43766</v>
      </c>
      <c r="C520" s="1" t="n">
        <v>45576</v>
      </c>
      <c r="D520" t="inlineStr">
        <is>
          <t>VÄSTERNORRLANDS LÄN</t>
        </is>
      </c>
      <c r="E520" t="inlineStr">
        <is>
          <t>SOLLEFTEÅ</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57882-2019</t>
        </is>
      </c>
      <c r="B521" s="1" t="n">
        <v>43768</v>
      </c>
      <c r="C521" s="1" t="n">
        <v>45576</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57884-2019</t>
        </is>
      </c>
      <c r="B522" s="1" t="n">
        <v>43768</v>
      </c>
      <c r="C522" s="1" t="n">
        <v>45576</v>
      </c>
      <c r="D522" t="inlineStr">
        <is>
          <t>VÄSTERNORRLANDS LÄN</t>
        </is>
      </c>
      <c r="E522" t="inlineStr">
        <is>
          <t>SOLLEFTEÅ</t>
        </is>
      </c>
      <c r="F522" t="inlineStr">
        <is>
          <t>SCA</t>
        </is>
      </c>
      <c r="G522" t="n">
        <v>14.7</v>
      </c>
      <c r="H522" t="n">
        <v>0</v>
      </c>
      <c r="I522" t="n">
        <v>0</v>
      </c>
      <c r="J522" t="n">
        <v>0</v>
      </c>
      <c r="K522" t="n">
        <v>0</v>
      </c>
      <c r="L522" t="n">
        <v>0</v>
      </c>
      <c r="M522" t="n">
        <v>0</v>
      </c>
      <c r="N522" t="n">
        <v>0</v>
      </c>
      <c r="O522" t="n">
        <v>0</v>
      </c>
      <c r="P522" t="n">
        <v>0</v>
      </c>
      <c r="Q522" t="n">
        <v>0</v>
      </c>
      <c r="R522" s="2" t="inlineStr"/>
    </row>
    <row r="523" ht="15" customHeight="1">
      <c r="A523" t="inlineStr">
        <is>
          <t>A 57883-2019</t>
        </is>
      </c>
      <c r="B523" s="1" t="n">
        <v>43768</v>
      </c>
      <c r="C523" s="1" t="n">
        <v>45576</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58170-2019</t>
        </is>
      </c>
      <c r="B524" s="1" t="n">
        <v>43769</v>
      </c>
      <c r="C524" s="1" t="n">
        <v>45576</v>
      </c>
      <c r="D524" t="inlineStr">
        <is>
          <t>VÄSTERNORRLANDS LÄN</t>
        </is>
      </c>
      <c r="E524" t="inlineStr">
        <is>
          <t>SOLLEFTEÅ</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58267-2019</t>
        </is>
      </c>
      <c r="B525" s="1" t="n">
        <v>43770</v>
      </c>
      <c r="C525" s="1" t="n">
        <v>45576</v>
      </c>
      <c r="D525" t="inlineStr">
        <is>
          <t>VÄSTERNORRLANDS LÄN</t>
        </is>
      </c>
      <c r="E525" t="inlineStr">
        <is>
          <t>SOLLEFTEÅ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59460-2019</t>
        </is>
      </c>
      <c r="B526" s="1" t="n">
        <v>43776</v>
      </c>
      <c r="C526" s="1" t="n">
        <v>45576</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60491-2019</t>
        </is>
      </c>
      <c r="B527" s="1" t="n">
        <v>43780</v>
      </c>
      <c r="C527" s="1" t="n">
        <v>45576</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61428-2019</t>
        </is>
      </c>
      <c r="B528" s="1" t="n">
        <v>43780</v>
      </c>
      <c r="C528" s="1" t="n">
        <v>45576</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60531-2019</t>
        </is>
      </c>
      <c r="B529" s="1" t="n">
        <v>43781</v>
      </c>
      <c r="C529" s="1" t="n">
        <v>45576</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60538-2019</t>
        </is>
      </c>
      <c r="B530" s="1" t="n">
        <v>43781</v>
      </c>
      <c r="C530" s="1" t="n">
        <v>45576</v>
      </c>
      <c r="D530" t="inlineStr">
        <is>
          <t>VÄSTERNORRLANDS LÄN</t>
        </is>
      </c>
      <c r="E530" t="inlineStr">
        <is>
          <t>SOLLEFTEÅ</t>
        </is>
      </c>
      <c r="G530" t="n">
        <v>4.6</v>
      </c>
      <c r="H530" t="n">
        <v>0</v>
      </c>
      <c r="I530" t="n">
        <v>0</v>
      </c>
      <c r="J530" t="n">
        <v>0</v>
      </c>
      <c r="K530" t="n">
        <v>0</v>
      </c>
      <c r="L530" t="n">
        <v>0</v>
      </c>
      <c r="M530" t="n">
        <v>0</v>
      </c>
      <c r="N530" t="n">
        <v>0</v>
      </c>
      <c r="O530" t="n">
        <v>0</v>
      </c>
      <c r="P530" t="n">
        <v>0</v>
      </c>
      <c r="Q530" t="n">
        <v>0</v>
      </c>
      <c r="R530" s="2" t="inlineStr"/>
    </row>
    <row r="531" ht="15" customHeight="1">
      <c r="A531" t="inlineStr">
        <is>
          <t>A 60905-2019</t>
        </is>
      </c>
      <c r="B531" s="1" t="n">
        <v>43781</v>
      </c>
      <c r="C531" s="1" t="n">
        <v>45576</v>
      </c>
      <c r="D531" t="inlineStr">
        <is>
          <t>VÄSTERNORRLANDS LÄN</t>
        </is>
      </c>
      <c r="E531" t="inlineStr">
        <is>
          <t>SOLLEFTEÅ</t>
        </is>
      </c>
      <c r="G531" t="n">
        <v>0.4</v>
      </c>
      <c r="H531" t="n">
        <v>0</v>
      </c>
      <c r="I531" t="n">
        <v>0</v>
      </c>
      <c r="J531" t="n">
        <v>0</v>
      </c>
      <c r="K531" t="n">
        <v>0</v>
      </c>
      <c r="L531" t="n">
        <v>0</v>
      </c>
      <c r="M531" t="n">
        <v>0</v>
      </c>
      <c r="N531" t="n">
        <v>0</v>
      </c>
      <c r="O531" t="n">
        <v>0</v>
      </c>
      <c r="P531" t="n">
        <v>0</v>
      </c>
      <c r="Q531" t="n">
        <v>0</v>
      </c>
      <c r="R531" s="2" t="inlineStr"/>
    </row>
    <row r="532" ht="15" customHeight="1">
      <c r="A532" t="inlineStr">
        <is>
          <t>A 61978-2019</t>
        </is>
      </c>
      <c r="B532" s="1" t="n">
        <v>43781</v>
      </c>
      <c r="C532" s="1" t="n">
        <v>45576</v>
      </c>
      <c r="D532" t="inlineStr">
        <is>
          <t>VÄSTERNORRLANDS LÄN</t>
        </is>
      </c>
      <c r="E532" t="inlineStr">
        <is>
          <t>SOLLEFTEÅ</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63450-2019</t>
        </is>
      </c>
      <c r="B533" s="1" t="n">
        <v>43788</v>
      </c>
      <c r="C533" s="1" t="n">
        <v>45576</v>
      </c>
      <c r="D533" t="inlineStr">
        <is>
          <t>VÄSTERNORRLANDS LÄN</t>
        </is>
      </c>
      <c r="E533" t="inlineStr">
        <is>
          <t>SOLLEFTEÅ</t>
        </is>
      </c>
      <c r="G533" t="n">
        <v>8.6</v>
      </c>
      <c r="H533" t="n">
        <v>0</v>
      </c>
      <c r="I533" t="n">
        <v>0</v>
      </c>
      <c r="J533" t="n">
        <v>0</v>
      </c>
      <c r="K533" t="n">
        <v>0</v>
      </c>
      <c r="L533" t="n">
        <v>0</v>
      </c>
      <c r="M533" t="n">
        <v>0</v>
      </c>
      <c r="N533" t="n">
        <v>0</v>
      </c>
      <c r="O533" t="n">
        <v>0</v>
      </c>
      <c r="P533" t="n">
        <v>0</v>
      </c>
      <c r="Q533" t="n">
        <v>0</v>
      </c>
      <c r="R533" s="2" t="inlineStr"/>
    </row>
    <row r="534" ht="15" customHeight="1">
      <c r="A534" t="inlineStr">
        <is>
          <t>A 62500-2019</t>
        </is>
      </c>
      <c r="B534" s="1" t="n">
        <v>43788</v>
      </c>
      <c r="C534" s="1" t="n">
        <v>45576</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64197-2019</t>
        </is>
      </c>
      <c r="B535" s="1" t="n">
        <v>43791</v>
      </c>
      <c r="C535" s="1" t="n">
        <v>45576</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63552-2019</t>
        </is>
      </c>
      <c r="B536" s="1" t="n">
        <v>43794</v>
      </c>
      <c r="C536" s="1" t="n">
        <v>45576</v>
      </c>
      <c r="D536" t="inlineStr">
        <is>
          <t>VÄSTERNORRLANDS LÄN</t>
        </is>
      </c>
      <c r="E536" t="inlineStr">
        <is>
          <t>SOLLEFTEÅ</t>
        </is>
      </c>
      <c r="G536" t="n">
        <v>7.2</v>
      </c>
      <c r="H536" t="n">
        <v>0</v>
      </c>
      <c r="I536" t="n">
        <v>0</v>
      </c>
      <c r="J536" t="n">
        <v>0</v>
      </c>
      <c r="K536" t="n">
        <v>0</v>
      </c>
      <c r="L536" t="n">
        <v>0</v>
      </c>
      <c r="M536" t="n">
        <v>0</v>
      </c>
      <c r="N536" t="n">
        <v>0</v>
      </c>
      <c r="O536" t="n">
        <v>0</v>
      </c>
      <c r="P536" t="n">
        <v>0</v>
      </c>
      <c r="Q536" t="n">
        <v>0</v>
      </c>
      <c r="R536" s="2" t="inlineStr"/>
    </row>
    <row r="537" ht="15" customHeight="1">
      <c r="A537" t="inlineStr">
        <is>
          <t>A 63752-2019</t>
        </is>
      </c>
      <c r="B537" s="1" t="n">
        <v>43795</v>
      </c>
      <c r="C537" s="1" t="n">
        <v>45576</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65218-2019</t>
        </is>
      </c>
      <c r="B538" s="1" t="n">
        <v>43797</v>
      </c>
      <c r="C538" s="1" t="n">
        <v>45576</v>
      </c>
      <c r="D538" t="inlineStr">
        <is>
          <t>VÄSTERNORRLANDS LÄN</t>
        </is>
      </c>
      <c r="E538" t="inlineStr">
        <is>
          <t>SOLLEFTEÅ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65029-2019</t>
        </is>
      </c>
      <c r="B539" s="1" t="n">
        <v>43801</v>
      </c>
      <c r="C539" s="1" t="n">
        <v>45576</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65332-2019</t>
        </is>
      </c>
      <c r="B540" s="1" t="n">
        <v>43802</v>
      </c>
      <c r="C540" s="1" t="n">
        <v>45576</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66321-2019</t>
        </is>
      </c>
      <c r="B541" s="1" t="n">
        <v>43802</v>
      </c>
      <c r="C541" s="1" t="n">
        <v>45576</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65319-2019</t>
        </is>
      </c>
      <c r="B542" s="1" t="n">
        <v>43802</v>
      </c>
      <c r="C542" s="1" t="n">
        <v>45576</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65327-2019</t>
        </is>
      </c>
      <c r="B543" s="1" t="n">
        <v>43802</v>
      </c>
      <c r="C543" s="1" t="n">
        <v>45576</v>
      </c>
      <c r="D543" t="inlineStr">
        <is>
          <t>VÄSTERNORRLANDS LÄN</t>
        </is>
      </c>
      <c r="E543" t="inlineStr">
        <is>
          <t>SOLLEFTEÅ</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66391-2019</t>
        </is>
      </c>
      <c r="B544" s="1" t="n">
        <v>43808</v>
      </c>
      <c r="C544" s="1" t="n">
        <v>45576</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67805-2019</t>
        </is>
      </c>
      <c r="B545" s="1" t="n">
        <v>43815</v>
      </c>
      <c r="C545" s="1" t="n">
        <v>45576</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67815-2019</t>
        </is>
      </c>
      <c r="B546" s="1" t="n">
        <v>43815</v>
      </c>
      <c r="C546" s="1" t="n">
        <v>45576</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1627-2020</t>
        </is>
      </c>
      <c r="B547" s="1" t="n">
        <v>43829</v>
      </c>
      <c r="C547" s="1" t="n">
        <v>45576</v>
      </c>
      <c r="D547" t="inlineStr">
        <is>
          <t>VÄSTERNORRLANDS LÄN</t>
        </is>
      </c>
      <c r="E547" t="inlineStr">
        <is>
          <t>SOLLEFTEÅ</t>
        </is>
      </c>
      <c r="G547" t="n">
        <v>9</v>
      </c>
      <c r="H547" t="n">
        <v>0</v>
      </c>
      <c r="I547" t="n">
        <v>0</v>
      </c>
      <c r="J547" t="n">
        <v>0</v>
      </c>
      <c r="K547" t="n">
        <v>0</v>
      </c>
      <c r="L547" t="n">
        <v>0</v>
      </c>
      <c r="M547" t="n">
        <v>0</v>
      </c>
      <c r="N547" t="n">
        <v>0</v>
      </c>
      <c r="O547" t="n">
        <v>0</v>
      </c>
      <c r="P547" t="n">
        <v>0</v>
      </c>
      <c r="Q547" t="n">
        <v>0</v>
      </c>
      <c r="R547" s="2" t="inlineStr"/>
    </row>
    <row r="548" ht="15" customHeight="1">
      <c r="A548" t="inlineStr">
        <is>
          <t>A 127-2020</t>
        </is>
      </c>
      <c r="B548" s="1" t="n">
        <v>43832</v>
      </c>
      <c r="C548" s="1" t="n">
        <v>45576</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125-2020</t>
        </is>
      </c>
      <c r="B549" s="1" t="n">
        <v>43832</v>
      </c>
      <c r="C549" s="1" t="n">
        <v>45576</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126-2020</t>
        </is>
      </c>
      <c r="B550" s="1" t="n">
        <v>43832</v>
      </c>
      <c r="C550" s="1" t="n">
        <v>45576</v>
      </c>
      <c r="D550" t="inlineStr">
        <is>
          <t>VÄSTERNORRLANDS LÄN</t>
        </is>
      </c>
      <c r="E550" t="inlineStr">
        <is>
          <t>SOLLEFTEÅ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538-2020</t>
        </is>
      </c>
      <c r="B551" s="1" t="n">
        <v>43837</v>
      </c>
      <c r="C551" s="1" t="n">
        <v>45576</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1263-2020</t>
        </is>
      </c>
      <c r="B552" s="1" t="n">
        <v>43840</v>
      </c>
      <c r="C552" s="1" t="n">
        <v>45576</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1262-2020</t>
        </is>
      </c>
      <c r="B553" s="1" t="n">
        <v>43840</v>
      </c>
      <c r="C553" s="1" t="n">
        <v>45576</v>
      </c>
      <c r="D553" t="inlineStr">
        <is>
          <t>VÄSTERNORRLANDS LÄN</t>
        </is>
      </c>
      <c r="E553" t="inlineStr">
        <is>
          <t>SOLLEFTEÅ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1213-2020</t>
        </is>
      </c>
      <c r="B554" s="1" t="n">
        <v>43840</v>
      </c>
      <c r="C554" s="1" t="n">
        <v>45576</v>
      </c>
      <c r="D554" t="inlineStr">
        <is>
          <t>VÄSTERNORRLANDS LÄN</t>
        </is>
      </c>
      <c r="E554" t="inlineStr">
        <is>
          <t>SOLLEFTEÅ</t>
        </is>
      </c>
      <c r="F554" t="inlineStr">
        <is>
          <t>Kyrkan</t>
        </is>
      </c>
      <c r="G554" t="n">
        <v>13.9</v>
      </c>
      <c r="H554" t="n">
        <v>0</v>
      </c>
      <c r="I554" t="n">
        <v>0</v>
      </c>
      <c r="J554" t="n">
        <v>0</v>
      </c>
      <c r="K554" t="n">
        <v>0</v>
      </c>
      <c r="L554" t="n">
        <v>0</v>
      </c>
      <c r="M554" t="n">
        <v>0</v>
      </c>
      <c r="N554" t="n">
        <v>0</v>
      </c>
      <c r="O554" t="n">
        <v>0</v>
      </c>
      <c r="P554" t="n">
        <v>0</v>
      </c>
      <c r="Q554" t="n">
        <v>0</v>
      </c>
      <c r="R554" s="2" t="inlineStr"/>
    </row>
    <row r="555" ht="15" customHeight="1">
      <c r="A555" t="inlineStr">
        <is>
          <t>A 1568-2020</t>
        </is>
      </c>
      <c r="B555" s="1" t="n">
        <v>43844</v>
      </c>
      <c r="C555" s="1" t="n">
        <v>45576</v>
      </c>
      <c r="D555" t="inlineStr">
        <is>
          <t>VÄSTERNORRLANDS LÄN</t>
        </is>
      </c>
      <c r="E555" t="inlineStr">
        <is>
          <t>SOLLEFTEÅ</t>
        </is>
      </c>
      <c r="G555" t="n">
        <v>3.4</v>
      </c>
      <c r="H555" t="n">
        <v>0</v>
      </c>
      <c r="I555" t="n">
        <v>0</v>
      </c>
      <c r="J555" t="n">
        <v>0</v>
      </c>
      <c r="K555" t="n">
        <v>0</v>
      </c>
      <c r="L555" t="n">
        <v>0</v>
      </c>
      <c r="M555" t="n">
        <v>0</v>
      </c>
      <c r="N555" t="n">
        <v>0</v>
      </c>
      <c r="O555" t="n">
        <v>0</v>
      </c>
      <c r="P555" t="n">
        <v>0</v>
      </c>
      <c r="Q555" t="n">
        <v>0</v>
      </c>
      <c r="R555" s="2" t="inlineStr"/>
    </row>
    <row r="556" ht="15" customHeight="1">
      <c r="A556" t="inlineStr">
        <is>
          <t>A 2897-2020</t>
        </is>
      </c>
      <c r="B556" s="1" t="n">
        <v>43850</v>
      </c>
      <c r="C556" s="1" t="n">
        <v>45576</v>
      </c>
      <c r="D556" t="inlineStr">
        <is>
          <t>VÄSTERNORRLANDS LÄN</t>
        </is>
      </c>
      <c r="E556" t="inlineStr">
        <is>
          <t>SOLLEFTEÅ</t>
        </is>
      </c>
      <c r="G556" t="n">
        <v>7.6</v>
      </c>
      <c r="H556" t="n">
        <v>0</v>
      </c>
      <c r="I556" t="n">
        <v>0</v>
      </c>
      <c r="J556" t="n">
        <v>0</v>
      </c>
      <c r="K556" t="n">
        <v>0</v>
      </c>
      <c r="L556" t="n">
        <v>0</v>
      </c>
      <c r="M556" t="n">
        <v>0</v>
      </c>
      <c r="N556" t="n">
        <v>0</v>
      </c>
      <c r="O556" t="n">
        <v>0</v>
      </c>
      <c r="P556" t="n">
        <v>0</v>
      </c>
      <c r="Q556" t="n">
        <v>0</v>
      </c>
      <c r="R556" s="2" t="inlineStr"/>
    </row>
    <row r="557" ht="15" customHeight="1">
      <c r="A557" t="inlineStr">
        <is>
          <t>A 3230-2020</t>
        </is>
      </c>
      <c r="B557" s="1" t="n">
        <v>43851</v>
      </c>
      <c r="C557" s="1" t="n">
        <v>45576</v>
      </c>
      <c r="D557" t="inlineStr">
        <is>
          <t>VÄSTERNORRLANDS LÄN</t>
        </is>
      </c>
      <c r="E557" t="inlineStr">
        <is>
          <t>SOLLEFTEÅ</t>
        </is>
      </c>
      <c r="F557" t="inlineStr">
        <is>
          <t>Övriga statliga verk och myndigheter</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4363-2020</t>
        </is>
      </c>
      <c r="B558" s="1" t="n">
        <v>43857</v>
      </c>
      <c r="C558" s="1" t="n">
        <v>45576</v>
      </c>
      <c r="D558" t="inlineStr">
        <is>
          <t>VÄSTERNORRLANDS LÄN</t>
        </is>
      </c>
      <c r="E558" t="inlineStr">
        <is>
          <t>SOLLEFTEÅ</t>
        </is>
      </c>
      <c r="G558" t="n">
        <v>6.4</v>
      </c>
      <c r="H558" t="n">
        <v>0</v>
      </c>
      <c r="I558" t="n">
        <v>0</v>
      </c>
      <c r="J558" t="n">
        <v>0</v>
      </c>
      <c r="K558" t="n">
        <v>0</v>
      </c>
      <c r="L558" t="n">
        <v>0</v>
      </c>
      <c r="M558" t="n">
        <v>0</v>
      </c>
      <c r="N558" t="n">
        <v>0</v>
      </c>
      <c r="O558" t="n">
        <v>0</v>
      </c>
      <c r="P558" t="n">
        <v>0</v>
      </c>
      <c r="Q558" t="n">
        <v>0</v>
      </c>
      <c r="R558" s="2" t="inlineStr"/>
    </row>
    <row r="559" ht="15" customHeight="1">
      <c r="A559" t="inlineStr">
        <is>
          <t>A 5248-2020</t>
        </is>
      </c>
      <c r="B559" s="1" t="n">
        <v>43857</v>
      </c>
      <c r="C559" s="1" t="n">
        <v>45576</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5635-2020</t>
        </is>
      </c>
      <c r="B560" s="1" t="n">
        <v>43860</v>
      </c>
      <c r="C560" s="1" t="n">
        <v>45576</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5662-2020</t>
        </is>
      </c>
      <c r="B561" s="1" t="n">
        <v>43861</v>
      </c>
      <c r="C561" s="1" t="n">
        <v>45576</v>
      </c>
      <c r="D561" t="inlineStr">
        <is>
          <t>VÄSTERNORRLANDS LÄN</t>
        </is>
      </c>
      <c r="E561" t="inlineStr">
        <is>
          <t>SOLLEFTEÅ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5714-2020</t>
        </is>
      </c>
      <c r="B562" s="1" t="n">
        <v>43861</v>
      </c>
      <c r="C562" s="1" t="n">
        <v>45576</v>
      </c>
      <c r="D562" t="inlineStr">
        <is>
          <t>VÄSTERNORRLANDS LÄN</t>
        </is>
      </c>
      <c r="E562" t="inlineStr">
        <is>
          <t>SOLLEFTEÅ</t>
        </is>
      </c>
      <c r="G562" t="n">
        <v>3</v>
      </c>
      <c r="H562" t="n">
        <v>0</v>
      </c>
      <c r="I562" t="n">
        <v>0</v>
      </c>
      <c r="J562" t="n">
        <v>0</v>
      </c>
      <c r="K562" t="n">
        <v>0</v>
      </c>
      <c r="L562" t="n">
        <v>0</v>
      </c>
      <c r="M562" t="n">
        <v>0</v>
      </c>
      <c r="N562" t="n">
        <v>0</v>
      </c>
      <c r="O562" t="n">
        <v>0</v>
      </c>
      <c r="P562" t="n">
        <v>0</v>
      </c>
      <c r="Q562" t="n">
        <v>0</v>
      </c>
      <c r="R562" s="2" t="inlineStr"/>
    </row>
    <row r="563" ht="15" customHeight="1">
      <c r="A563" t="inlineStr">
        <is>
          <t>A 5908-2020</t>
        </is>
      </c>
      <c r="B563" s="1" t="n">
        <v>43861</v>
      </c>
      <c r="C563" s="1" t="n">
        <v>45576</v>
      </c>
      <c r="D563" t="inlineStr">
        <is>
          <t>VÄSTERNORRLANDS LÄN</t>
        </is>
      </c>
      <c r="E563" t="inlineStr">
        <is>
          <t>SOLLEFTEÅ</t>
        </is>
      </c>
      <c r="G563" t="n">
        <v>4.6</v>
      </c>
      <c r="H563" t="n">
        <v>0</v>
      </c>
      <c r="I563" t="n">
        <v>0</v>
      </c>
      <c r="J563" t="n">
        <v>0</v>
      </c>
      <c r="K563" t="n">
        <v>0</v>
      </c>
      <c r="L563" t="n">
        <v>0</v>
      </c>
      <c r="M563" t="n">
        <v>0</v>
      </c>
      <c r="N563" t="n">
        <v>0</v>
      </c>
      <c r="O563" t="n">
        <v>0</v>
      </c>
      <c r="P563" t="n">
        <v>0</v>
      </c>
      <c r="Q563" t="n">
        <v>0</v>
      </c>
      <c r="R563" s="2" t="inlineStr"/>
    </row>
    <row r="564" ht="15" customHeight="1">
      <c r="A564" t="inlineStr">
        <is>
          <t>A 8363-2020</t>
        </is>
      </c>
      <c r="B564" s="1" t="n">
        <v>43875</v>
      </c>
      <c r="C564" s="1" t="n">
        <v>45576</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8935-2020</t>
        </is>
      </c>
      <c r="B565" s="1" t="n">
        <v>43878</v>
      </c>
      <c r="C565" s="1" t="n">
        <v>45576</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10631-2020</t>
        </is>
      </c>
      <c r="B566" s="1" t="n">
        <v>43887</v>
      </c>
      <c r="C566" s="1" t="n">
        <v>45576</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10846-2020</t>
        </is>
      </c>
      <c r="B567" s="1" t="n">
        <v>43888</v>
      </c>
      <c r="C567" s="1" t="n">
        <v>45576</v>
      </c>
      <c r="D567" t="inlineStr">
        <is>
          <t>VÄSTERNORRLANDS LÄN</t>
        </is>
      </c>
      <c r="E567" t="inlineStr">
        <is>
          <t>SOLLEFTEÅ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11685-2020</t>
        </is>
      </c>
      <c r="B568" s="1" t="n">
        <v>43893</v>
      </c>
      <c r="C568" s="1" t="n">
        <v>45576</v>
      </c>
      <c r="D568" t="inlineStr">
        <is>
          <t>VÄSTERNORRLANDS LÄN</t>
        </is>
      </c>
      <c r="E568" t="inlineStr">
        <is>
          <t>SOLLEFTEÅ</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12819-2020</t>
        </is>
      </c>
      <c r="B569" s="1" t="n">
        <v>43893</v>
      </c>
      <c r="C569" s="1" t="n">
        <v>45576</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12525-2020</t>
        </is>
      </c>
      <c r="B570" s="1" t="n">
        <v>43896</v>
      </c>
      <c r="C570" s="1" t="n">
        <v>45576</v>
      </c>
      <c r="D570" t="inlineStr">
        <is>
          <t>VÄSTERNORRLANDS LÄN</t>
        </is>
      </c>
      <c r="E570" t="inlineStr">
        <is>
          <t>SOLLEFTEÅ</t>
        </is>
      </c>
      <c r="F570" t="inlineStr">
        <is>
          <t>SCA</t>
        </is>
      </c>
      <c r="G570" t="n">
        <v>28.7</v>
      </c>
      <c r="H570" t="n">
        <v>0</v>
      </c>
      <c r="I570" t="n">
        <v>0</v>
      </c>
      <c r="J570" t="n">
        <v>0</v>
      </c>
      <c r="K570" t="n">
        <v>0</v>
      </c>
      <c r="L570" t="n">
        <v>0</v>
      </c>
      <c r="M570" t="n">
        <v>0</v>
      </c>
      <c r="N570" t="n">
        <v>0</v>
      </c>
      <c r="O570" t="n">
        <v>0</v>
      </c>
      <c r="P570" t="n">
        <v>0</v>
      </c>
      <c r="Q570" t="n">
        <v>0</v>
      </c>
      <c r="R570" s="2" t="inlineStr"/>
    </row>
    <row r="571" ht="15" customHeight="1">
      <c r="A571" t="inlineStr">
        <is>
          <t>A 13023-2020</t>
        </is>
      </c>
      <c r="B571" s="1" t="n">
        <v>43900</v>
      </c>
      <c r="C571" s="1" t="n">
        <v>45576</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13567-2020</t>
        </is>
      </c>
      <c r="B572" s="1" t="n">
        <v>43902</v>
      </c>
      <c r="C572" s="1" t="n">
        <v>45576</v>
      </c>
      <c r="D572" t="inlineStr">
        <is>
          <t>VÄSTERNORRLANDS LÄN</t>
        </is>
      </c>
      <c r="E572" t="inlineStr">
        <is>
          <t>SOLLEFTEÅ</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13577-2020</t>
        </is>
      </c>
      <c r="B573" s="1" t="n">
        <v>43902</v>
      </c>
      <c r="C573" s="1" t="n">
        <v>45576</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13565-2020</t>
        </is>
      </c>
      <c r="B574" s="1" t="n">
        <v>43902</v>
      </c>
      <c r="C574" s="1" t="n">
        <v>45576</v>
      </c>
      <c r="D574" t="inlineStr">
        <is>
          <t>VÄSTERNORRLANDS LÄN</t>
        </is>
      </c>
      <c r="E574" t="inlineStr">
        <is>
          <t>SOLLEFTEÅ</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13575-2020</t>
        </is>
      </c>
      <c r="B575" s="1" t="n">
        <v>43902</v>
      </c>
      <c r="C575" s="1" t="n">
        <v>45576</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13561-2020</t>
        </is>
      </c>
      <c r="B576" s="1" t="n">
        <v>43902</v>
      </c>
      <c r="C576" s="1" t="n">
        <v>45576</v>
      </c>
      <c r="D576" t="inlineStr">
        <is>
          <t>VÄSTERNORRLANDS LÄN</t>
        </is>
      </c>
      <c r="E576" t="inlineStr">
        <is>
          <t>SOLLEFTEÅ</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13564-2020</t>
        </is>
      </c>
      <c r="B577" s="1" t="n">
        <v>43902</v>
      </c>
      <c r="C577" s="1" t="n">
        <v>45576</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13798-2020</t>
        </is>
      </c>
      <c r="B578" s="1" t="n">
        <v>43903</v>
      </c>
      <c r="C578" s="1" t="n">
        <v>45576</v>
      </c>
      <c r="D578" t="inlineStr">
        <is>
          <t>VÄSTERNORRLANDS LÄN</t>
        </is>
      </c>
      <c r="E578" t="inlineStr">
        <is>
          <t>SOLLEFTEÅ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13864-2020</t>
        </is>
      </c>
      <c r="B579" s="1" t="n">
        <v>43906</v>
      </c>
      <c r="C579" s="1" t="n">
        <v>45576</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14859-2020</t>
        </is>
      </c>
      <c r="B580" s="1" t="n">
        <v>43909</v>
      </c>
      <c r="C580" s="1" t="n">
        <v>45576</v>
      </c>
      <c r="D580" t="inlineStr">
        <is>
          <t>VÄSTERNORRLANDS LÄN</t>
        </is>
      </c>
      <c r="E580" t="inlineStr">
        <is>
          <t>SOLLEFTEÅ</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18515-2020</t>
        </is>
      </c>
      <c r="B581" s="1" t="n">
        <v>43927</v>
      </c>
      <c r="C581" s="1" t="n">
        <v>45576</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18402-2020</t>
        </is>
      </c>
      <c r="B582" s="1" t="n">
        <v>43928</v>
      </c>
      <c r="C582" s="1" t="n">
        <v>45576</v>
      </c>
      <c r="D582" t="inlineStr">
        <is>
          <t>VÄSTERNORRLANDS LÄN</t>
        </is>
      </c>
      <c r="E582" t="inlineStr">
        <is>
          <t>SOLLEFTEÅ</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20164-2020</t>
        </is>
      </c>
      <c r="B583" s="1" t="n">
        <v>43944</v>
      </c>
      <c r="C583" s="1" t="n">
        <v>45576</v>
      </c>
      <c r="D583" t="inlineStr">
        <is>
          <t>VÄSTERNORRLANDS LÄN</t>
        </is>
      </c>
      <c r="E583" t="inlineStr">
        <is>
          <t>SOLLEFTEÅ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20419-2020</t>
        </is>
      </c>
      <c r="B584" s="1" t="n">
        <v>43945</v>
      </c>
      <c r="C584" s="1" t="n">
        <v>45576</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20861-2020</t>
        </is>
      </c>
      <c r="B585" s="1" t="n">
        <v>43948</v>
      </c>
      <c r="C585" s="1" t="n">
        <v>45576</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21022-2020</t>
        </is>
      </c>
      <c r="B586" s="1" t="n">
        <v>43950</v>
      </c>
      <c r="C586" s="1" t="n">
        <v>45576</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21097-2020</t>
        </is>
      </c>
      <c r="B587" s="1" t="n">
        <v>43950</v>
      </c>
      <c r="C587" s="1" t="n">
        <v>45576</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21020-2020</t>
        </is>
      </c>
      <c r="B588" s="1" t="n">
        <v>43950</v>
      </c>
      <c r="C588" s="1" t="n">
        <v>45576</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22371-2020</t>
        </is>
      </c>
      <c r="B589" s="1" t="n">
        <v>43957</v>
      </c>
      <c r="C589" s="1" t="n">
        <v>45576</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22731-2020</t>
        </is>
      </c>
      <c r="B590" s="1" t="n">
        <v>43962</v>
      </c>
      <c r="C590" s="1" t="n">
        <v>45576</v>
      </c>
      <c r="D590" t="inlineStr">
        <is>
          <t>VÄSTERNORRLANDS LÄN</t>
        </is>
      </c>
      <c r="E590" t="inlineStr">
        <is>
          <t>SOLLEFTEÅ</t>
        </is>
      </c>
      <c r="G590" t="n">
        <v>16.8</v>
      </c>
      <c r="H590" t="n">
        <v>0</v>
      </c>
      <c r="I590" t="n">
        <v>0</v>
      </c>
      <c r="J590" t="n">
        <v>0</v>
      </c>
      <c r="K590" t="n">
        <v>0</v>
      </c>
      <c r="L590" t="n">
        <v>0</v>
      </c>
      <c r="M590" t="n">
        <v>0</v>
      </c>
      <c r="N590" t="n">
        <v>0</v>
      </c>
      <c r="O590" t="n">
        <v>0</v>
      </c>
      <c r="P590" t="n">
        <v>0</v>
      </c>
      <c r="Q590" t="n">
        <v>0</v>
      </c>
      <c r="R590" s="2" t="inlineStr"/>
    </row>
    <row r="591" ht="15" customHeight="1">
      <c r="A591" t="inlineStr">
        <is>
          <t>A 21607-2020</t>
        </is>
      </c>
      <c r="B591" s="1" t="n">
        <v>43963</v>
      </c>
      <c r="C591" s="1" t="n">
        <v>45576</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22561-2020</t>
        </is>
      </c>
      <c r="B592" s="1" t="n">
        <v>43963</v>
      </c>
      <c r="C592" s="1" t="n">
        <v>45576</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23231-2020</t>
        </is>
      </c>
      <c r="B593" s="1" t="n">
        <v>43966</v>
      </c>
      <c r="C593" s="1" t="n">
        <v>45576</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23638-2020</t>
        </is>
      </c>
      <c r="B594" s="1" t="n">
        <v>43969</v>
      </c>
      <c r="C594" s="1" t="n">
        <v>45576</v>
      </c>
      <c r="D594" t="inlineStr">
        <is>
          <t>VÄSTERNORRLANDS LÄN</t>
        </is>
      </c>
      <c r="E594" t="inlineStr">
        <is>
          <t>SOLLEFTEÅ</t>
        </is>
      </c>
      <c r="G594" t="n">
        <v>8.9</v>
      </c>
      <c r="H594" t="n">
        <v>0</v>
      </c>
      <c r="I594" t="n">
        <v>0</v>
      </c>
      <c r="J594" t="n">
        <v>0</v>
      </c>
      <c r="K594" t="n">
        <v>0</v>
      </c>
      <c r="L594" t="n">
        <v>0</v>
      </c>
      <c r="M594" t="n">
        <v>0</v>
      </c>
      <c r="N594" t="n">
        <v>0</v>
      </c>
      <c r="O594" t="n">
        <v>0</v>
      </c>
      <c r="P594" t="n">
        <v>0</v>
      </c>
      <c r="Q594" t="n">
        <v>0</v>
      </c>
      <c r="R594" s="2" t="inlineStr"/>
    </row>
    <row r="595" ht="15" customHeight="1">
      <c r="A595" t="inlineStr">
        <is>
          <t>A 24060-2020</t>
        </is>
      </c>
      <c r="B595" s="1" t="n">
        <v>43971</v>
      </c>
      <c r="C595" s="1" t="n">
        <v>45576</v>
      </c>
      <c r="D595" t="inlineStr">
        <is>
          <t>VÄSTERNORRLANDS LÄN</t>
        </is>
      </c>
      <c r="E595" t="inlineStr">
        <is>
          <t>SOLLEFTEÅ</t>
        </is>
      </c>
      <c r="G595" t="n">
        <v>16.3</v>
      </c>
      <c r="H595" t="n">
        <v>0</v>
      </c>
      <c r="I595" t="n">
        <v>0</v>
      </c>
      <c r="J595" t="n">
        <v>0</v>
      </c>
      <c r="K595" t="n">
        <v>0</v>
      </c>
      <c r="L595" t="n">
        <v>0</v>
      </c>
      <c r="M595" t="n">
        <v>0</v>
      </c>
      <c r="N595" t="n">
        <v>0</v>
      </c>
      <c r="O595" t="n">
        <v>0</v>
      </c>
      <c r="P595" t="n">
        <v>0</v>
      </c>
      <c r="Q595" t="n">
        <v>0</v>
      </c>
      <c r="R595" s="2" t="inlineStr"/>
    </row>
    <row r="596" ht="15" customHeight="1">
      <c r="A596" t="inlineStr">
        <is>
          <t>A 24062-2020</t>
        </is>
      </c>
      <c r="B596" s="1" t="n">
        <v>43971</v>
      </c>
      <c r="C596" s="1" t="n">
        <v>45576</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24061-2020</t>
        </is>
      </c>
      <c r="B597" s="1" t="n">
        <v>43971</v>
      </c>
      <c r="C597" s="1" t="n">
        <v>45576</v>
      </c>
      <c r="D597" t="inlineStr">
        <is>
          <t>VÄSTERNORRLANDS LÄN</t>
        </is>
      </c>
      <c r="E597" t="inlineStr">
        <is>
          <t>SOLLEFTEÅ</t>
        </is>
      </c>
      <c r="G597" t="n">
        <v>5.7</v>
      </c>
      <c r="H597" t="n">
        <v>0</v>
      </c>
      <c r="I597" t="n">
        <v>0</v>
      </c>
      <c r="J597" t="n">
        <v>0</v>
      </c>
      <c r="K597" t="n">
        <v>0</v>
      </c>
      <c r="L597" t="n">
        <v>0</v>
      </c>
      <c r="M597" t="n">
        <v>0</v>
      </c>
      <c r="N597" t="n">
        <v>0</v>
      </c>
      <c r="O597" t="n">
        <v>0</v>
      </c>
      <c r="P597" t="n">
        <v>0</v>
      </c>
      <c r="Q597" t="n">
        <v>0</v>
      </c>
      <c r="R597" s="2" t="inlineStr"/>
    </row>
    <row r="598" ht="15" customHeight="1">
      <c r="A598" t="inlineStr">
        <is>
          <t>A 25100-2020</t>
        </is>
      </c>
      <c r="B598" s="1" t="n">
        <v>43979</v>
      </c>
      <c r="C598" s="1" t="n">
        <v>45576</v>
      </c>
      <c r="D598" t="inlineStr">
        <is>
          <t>VÄSTERNORRLANDS LÄN</t>
        </is>
      </c>
      <c r="E598" t="inlineStr">
        <is>
          <t>SOLLEFTEÅ</t>
        </is>
      </c>
      <c r="G598" t="n">
        <v>4.7</v>
      </c>
      <c r="H598" t="n">
        <v>0</v>
      </c>
      <c r="I598" t="n">
        <v>0</v>
      </c>
      <c r="J598" t="n">
        <v>0</v>
      </c>
      <c r="K598" t="n">
        <v>0</v>
      </c>
      <c r="L598" t="n">
        <v>0</v>
      </c>
      <c r="M598" t="n">
        <v>0</v>
      </c>
      <c r="N598" t="n">
        <v>0</v>
      </c>
      <c r="O598" t="n">
        <v>0</v>
      </c>
      <c r="P598" t="n">
        <v>0</v>
      </c>
      <c r="Q598" t="n">
        <v>0</v>
      </c>
      <c r="R598" s="2" t="inlineStr"/>
    </row>
    <row r="599" ht="15" customHeight="1">
      <c r="A599" t="inlineStr">
        <is>
          <t>A 26189-2020</t>
        </is>
      </c>
      <c r="B599" s="1" t="n">
        <v>43985</v>
      </c>
      <c r="C599" s="1" t="n">
        <v>45576</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26249-2020</t>
        </is>
      </c>
      <c r="B600" s="1" t="n">
        <v>43986</v>
      </c>
      <c r="C600" s="1" t="n">
        <v>45576</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27199-2020</t>
        </is>
      </c>
      <c r="B601" s="1" t="n">
        <v>43991</v>
      </c>
      <c r="C601" s="1" t="n">
        <v>45576</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27209-2020</t>
        </is>
      </c>
      <c r="B602" s="1" t="n">
        <v>43991</v>
      </c>
      <c r="C602" s="1" t="n">
        <v>45576</v>
      </c>
      <c r="D602" t="inlineStr">
        <is>
          <t>VÄSTERNORRLANDS LÄN</t>
        </is>
      </c>
      <c r="E602" t="inlineStr">
        <is>
          <t>SOLLEFTEÅ</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28489-2020</t>
        </is>
      </c>
      <c r="B603" s="1" t="n">
        <v>43998</v>
      </c>
      <c r="C603" s="1" t="n">
        <v>45576</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28486-2020</t>
        </is>
      </c>
      <c r="B604" s="1" t="n">
        <v>43999</v>
      </c>
      <c r="C604" s="1" t="n">
        <v>45576</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29648-2020</t>
        </is>
      </c>
      <c r="B605" s="1" t="n">
        <v>44004</v>
      </c>
      <c r="C605" s="1" t="n">
        <v>45576</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29503-2020</t>
        </is>
      </c>
      <c r="B606" s="1" t="n">
        <v>44005</v>
      </c>
      <c r="C606" s="1" t="n">
        <v>45576</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29825-2020</t>
        </is>
      </c>
      <c r="B607" s="1" t="n">
        <v>44005</v>
      </c>
      <c r="C607" s="1" t="n">
        <v>45576</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29801-2020</t>
        </is>
      </c>
      <c r="B608" s="1" t="n">
        <v>44005</v>
      </c>
      <c r="C608" s="1" t="n">
        <v>45576</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30492-2020</t>
        </is>
      </c>
      <c r="B609" s="1" t="n">
        <v>44007</v>
      </c>
      <c r="C609" s="1" t="n">
        <v>45576</v>
      </c>
      <c r="D609" t="inlineStr">
        <is>
          <t>VÄSTERNORRLANDS LÄN</t>
        </is>
      </c>
      <c r="E609" t="inlineStr">
        <is>
          <t>SOLLEFTEÅ</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30484-2020</t>
        </is>
      </c>
      <c r="B610" s="1" t="n">
        <v>44007</v>
      </c>
      <c r="C610" s="1" t="n">
        <v>45576</v>
      </c>
      <c r="D610" t="inlineStr">
        <is>
          <t>VÄSTERNORRLANDS LÄN</t>
        </is>
      </c>
      <c r="E610" t="inlineStr">
        <is>
          <t>SOLLEFTEÅ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30753-2020</t>
        </is>
      </c>
      <c r="B611" s="1" t="n">
        <v>44008</v>
      </c>
      <c r="C611" s="1" t="n">
        <v>45576</v>
      </c>
      <c r="D611" t="inlineStr">
        <is>
          <t>VÄSTERNORRLANDS LÄN</t>
        </is>
      </c>
      <c r="E611" t="inlineStr">
        <is>
          <t>SOLLEFTEÅ</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30747-2020</t>
        </is>
      </c>
      <c r="B612" s="1" t="n">
        <v>44008</v>
      </c>
      <c r="C612" s="1" t="n">
        <v>45576</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30802-2020</t>
        </is>
      </c>
      <c r="B613" s="1" t="n">
        <v>44011</v>
      </c>
      <c r="C613" s="1" t="n">
        <v>45576</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31313-2020</t>
        </is>
      </c>
      <c r="B614" s="1" t="n">
        <v>44012</v>
      </c>
      <c r="C614" s="1" t="n">
        <v>45576</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32013-2020</t>
        </is>
      </c>
      <c r="B615" s="1" t="n">
        <v>44015</v>
      </c>
      <c r="C615" s="1" t="n">
        <v>45576</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32325-2020</t>
        </is>
      </c>
      <c r="B616" s="1" t="n">
        <v>44016</v>
      </c>
      <c r="C616" s="1" t="n">
        <v>45576</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32461-2020</t>
        </is>
      </c>
      <c r="B617" s="1" t="n">
        <v>44015</v>
      </c>
      <c r="C617" s="1" t="n">
        <v>45576</v>
      </c>
      <c r="D617" t="inlineStr">
        <is>
          <t>VÄSTERNORRLANDS LÄN</t>
        </is>
      </c>
      <c r="E617" t="inlineStr">
        <is>
          <t>SOLLEFTEÅ</t>
        </is>
      </c>
      <c r="G617" t="n">
        <v>3.7</v>
      </c>
      <c r="H617" t="n">
        <v>0</v>
      </c>
      <c r="I617" t="n">
        <v>0</v>
      </c>
      <c r="J617" t="n">
        <v>0</v>
      </c>
      <c r="K617" t="n">
        <v>0</v>
      </c>
      <c r="L617" t="n">
        <v>0</v>
      </c>
      <c r="M617" t="n">
        <v>0</v>
      </c>
      <c r="N617" t="n">
        <v>0</v>
      </c>
      <c r="O617" t="n">
        <v>0</v>
      </c>
      <c r="P617" t="n">
        <v>0</v>
      </c>
      <c r="Q617" t="n">
        <v>0</v>
      </c>
      <c r="R617" s="2" t="inlineStr"/>
    </row>
    <row r="618" ht="15" customHeight="1">
      <c r="A618" t="inlineStr">
        <is>
          <t>A 32318-2020</t>
        </is>
      </c>
      <c r="B618" s="1" t="n">
        <v>44015</v>
      </c>
      <c r="C618" s="1" t="n">
        <v>45576</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32919-2020</t>
        </is>
      </c>
      <c r="B619" s="1" t="n">
        <v>44018</v>
      </c>
      <c r="C619" s="1" t="n">
        <v>45576</v>
      </c>
      <c r="D619" t="inlineStr">
        <is>
          <t>VÄSTERNORRLANDS LÄN</t>
        </is>
      </c>
      <c r="E619" t="inlineStr">
        <is>
          <t>SOLLEFTEÅ</t>
        </is>
      </c>
      <c r="G619" t="n">
        <v>5.5</v>
      </c>
      <c r="H619" t="n">
        <v>0</v>
      </c>
      <c r="I619" t="n">
        <v>0</v>
      </c>
      <c r="J619" t="n">
        <v>0</v>
      </c>
      <c r="K619" t="n">
        <v>0</v>
      </c>
      <c r="L619" t="n">
        <v>0</v>
      </c>
      <c r="M619" t="n">
        <v>0</v>
      </c>
      <c r="N619" t="n">
        <v>0</v>
      </c>
      <c r="O619" t="n">
        <v>0</v>
      </c>
      <c r="P619" t="n">
        <v>0</v>
      </c>
      <c r="Q619" t="n">
        <v>0</v>
      </c>
      <c r="R619" s="2" t="inlineStr"/>
    </row>
    <row r="620" ht="15" customHeight="1">
      <c r="A620" t="inlineStr">
        <is>
          <t>A 32929-2020</t>
        </is>
      </c>
      <c r="B620" s="1" t="n">
        <v>44018</v>
      </c>
      <c r="C620" s="1" t="n">
        <v>45576</v>
      </c>
      <c r="D620" t="inlineStr">
        <is>
          <t>VÄSTERNORRLANDS LÄN</t>
        </is>
      </c>
      <c r="E620" t="inlineStr">
        <is>
          <t>SOLLEFTEÅ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32924-2020</t>
        </is>
      </c>
      <c r="B621" s="1" t="n">
        <v>44018</v>
      </c>
      <c r="C621" s="1" t="n">
        <v>45576</v>
      </c>
      <c r="D621" t="inlineStr">
        <is>
          <t>VÄSTERNORRLANDS LÄN</t>
        </is>
      </c>
      <c r="E621" t="inlineStr">
        <is>
          <t>SOLLEFTEÅ</t>
        </is>
      </c>
      <c r="G621" t="n">
        <v>2.8</v>
      </c>
      <c r="H621" t="n">
        <v>0</v>
      </c>
      <c r="I621" t="n">
        <v>0</v>
      </c>
      <c r="J621" t="n">
        <v>0</v>
      </c>
      <c r="K621" t="n">
        <v>0</v>
      </c>
      <c r="L621" t="n">
        <v>0</v>
      </c>
      <c r="M621" t="n">
        <v>0</v>
      </c>
      <c r="N621" t="n">
        <v>0</v>
      </c>
      <c r="O621" t="n">
        <v>0</v>
      </c>
      <c r="P621" t="n">
        <v>0</v>
      </c>
      <c r="Q621" t="n">
        <v>0</v>
      </c>
      <c r="R621" s="2" t="inlineStr"/>
    </row>
    <row r="622" ht="15" customHeight="1">
      <c r="A622" t="inlineStr">
        <is>
          <t>A 32742-2020</t>
        </is>
      </c>
      <c r="B622" s="1" t="n">
        <v>44019</v>
      </c>
      <c r="C622" s="1" t="n">
        <v>45576</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33013-2020</t>
        </is>
      </c>
      <c r="B623" s="1" t="n">
        <v>44020</v>
      </c>
      <c r="C623" s="1" t="n">
        <v>45576</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33009-2020</t>
        </is>
      </c>
      <c r="B624" s="1" t="n">
        <v>44020</v>
      </c>
      <c r="C624" s="1" t="n">
        <v>45576</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33014-2020</t>
        </is>
      </c>
      <c r="B625" s="1" t="n">
        <v>44021</v>
      </c>
      <c r="C625" s="1" t="n">
        <v>45576</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33010-2020</t>
        </is>
      </c>
      <c r="B626" s="1" t="n">
        <v>44020</v>
      </c>
      <c r="C626" s="1" t="n">
        <v>45576</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33200-2020</t>
        </is>
      </c>
      <c r="B627" s="1" t="n">
        <v>44021</v>
      </c>
      <c r="C627" s="1" t="n">
        <v>45576</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33211-2020</t>
        </is>
      </c>
      <c r="B628" s="1" t="n">
        <v>44021</v>
      </c>
      <c r="C628" s="1" t="n">
        <v>45576</v>
      </c>
      <c r="D628" t="inlineStr">
        <is>
          <t>VÄSTERNORRLANDS LÄN</t>
        </is>
      </c>
      <c r="E628" t="inlineStr">
        <is>
          <t>SOLLEFTEÅ</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33212-2020</t>
        </is>
      </c>
      <c r="B629" s="1" t="n">
        <v>44021</v>
      </c>
      <c r="C629" s="1" t="n">
        <v>45576</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33440-2020</t>
        </is>
      </c>
      <c r="B630" s="1" t="n">
        <v>44022</v>
      </c>
      <c r="C630" s="1" t="n">
        <v>45576</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33458-2020</t>
        </is>
      </c>
      <c r="B631" s="1" t="n">
        <v>44022</v>
      </c>
      <c r="C631" s="1" t="n">
        <v>45576</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33445-2020</t>
        </is>
      </c>
      <c r="B632" s="1" t="n">
        <v>44022</v>
      </c>
      <c r="C632" s="1" t="n">
        <v>45576</v>
      </c>
      <c r="D632" t="inlineStr">
        <is>
          <t>VÄSTERNORRLANDS LÄN</t>
        </is>
      </c>
      <c r="E632" t="inlineStr">
        <is>
          <t>SOLLEFTEÅ</t>
        </is>
      </c>
      <c r="G632" t="n">
        <v>4.5</v>
      </c>
      <c r="H632" t="n">
        <v>0</v>
      </c>
      <c r="I632" t="n">
        <v>0</v>
      </c>
      <c r="J632" t="n">
        <v>0</v>
      </c>
      <c r="K632" t="n">
        <v>0</v>
      </c>
      <c r="L632" t="n">
        <v>0</v>
      </c>
      <c r="M632" t="n">
        <v>0</v>
      </c>
      <c r="N632" t="n">
        <v>0</v>
      </c>
      <c r="O632" t="n">
        <v>0</v>
      </c>
      <c r="P632" t="n">
        <v>0</v>
      </c>
      <c r="Q632" t="n">
        <v>0</v>
      </c>
      <c r="R632" s="2" t="inlineStr"/>
    </row>
    <row r="633" ht="15" customHeight="1">
      <c r="A633" t="inlineStr">
        <is>
          <t>A 33492-2020</t>
        </is>
      </c>
      <c r="B633" s="1" t="n">
        <v>44024</v>
      </c>
      <c r="C633" s="1" t="n">
        <v>45576</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33640-2020</t>
        </is>
      </c>
      <c r="B634" s="1" t="n">
        <v>44025</v>
      </c>
      <c r="C634" s="1" t="n">
        <v>45576</v>
      </c>
      <c r="D634" t="inlineStr">
        <is>
          <t>VÄSTERNORRLANDS LÄN</t>
        </is>
      </c>
      <c r="E634" t="inlineStr">
        <is>
          <t>SOLLEFTEÅ</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33641-2020</t>
        </is>
      </c>
      <c r="B635" s="1" t="n">
        <v>44025</v>
      </c>
      <c r="C635" s="1" t="n">
        <v>45576</v>
      </c>
      <c r="D635" t="inlineStr">
        <is>
          <t>VÄSTERNORRLANDS LÄN</t>
        </is>
      </c>
      <c r="E635" t="inlineStr">
        <is>
          <t>SOLLEFTEÅ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33628-2020</t>
        </is>
      </c>
      <c r="B636" s="1" t="n">
        <v>44025</v>
      </c>
      <c r="C636" s="1" t="n">
        <v>45576</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33784-2020</t>
        </is>
      </c>
      <c r="B637" s="1" t="n">
        <v>44026</v>
      </c>
      <c r="C637" s="1" t="n">
        <v>45576</v>
      </c>
      <c r="D637" t="inlineStr">
        <is>
          <t>VÄSTERNORRLANDS LÄN</t>
        </is>
      </c>
      <c r="E637" t="inlineStr">
        <is>
          <t>SOLLEFTEÅ</t>
        </is>
      </c>
      <c r="F637" t="inlineStr">
        <is>
          <t>SCA</t>
        </is>
      </c>
      <c r="G637" t="n">
        <v>10.6</v>
      </c>
      <c r="H637" t="n">
        <v>0</v>
      </c>
      <c r="I637" t="n">
        <v>0</v>
      </c>
      <c r="J637" t="n">
        <v>0</v>
      </c>
      <c r="K637" t="n">
        <v>0</v>
      </c>
      <c r="L637" t="n">
        <v>0</v>
      </c>
      <c r="M637" t="n">
        <v>0</v>
      </c>
      <c r="N637" t="n">
        <v>0</v>
      </c>
      <c r="O637" t="n">
        <v>0</v>
      </c>
      <c r="P637" t="n">
        <v>0</v>
      </c>
      <c r="Q637" t="n">
        <v>0</v>
      </c>
      <c r="R637" s="2" t="inlineStr"/>
    </row>
    <row r="638" ht="15" customHeight="1">
      <c r="A638" t="inlineStr">
        <is>
          <t>A 33782-2020</t>
        </is>
      </c>
      <c r="B638" s="1" t="n">
        <v>44026</v>
      </c>
      <c r="C638" s="1" t="n">
        <v>45576</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33950-2020</t>
        </is>
      </c>
      <c r="B639" s="1" t="n">
        <v>44027</v>
      </c>
      <c r="C639" s="1" t="n">
        <v>45576</v>
      </c>
      <c r="D639" t="inlineStr">
        <is>
          <t>VÄSTERNORRLANDS LÄN</t>
        </is>
      </c>
      <c r="E639" t="inlineStr">
        <is>
          <t>SOLLEFTEÅ</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34120-2020</t>
        </is>
      </c>
      <c r="B640" s="1" t="n">
        <v>44029</v>
      </c>
      <c r="C640" s="1" t="n">
        <v>45576</v>
      </c>
      <c r="D640" t="inlineStr">
        <is>
          <t>VÄSTERNORRLANDS LÄN</t>
        </is>
      </c>
      <c r="E640" t="inlineStr">
        <is>
          <t>SOLLEFTEÅ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34474-2020</t>
        </is>
      </c>
      <c r="B641" s="1" t="n">
        <v>44032</v>
      </c>
      <c r="C641" s="1" t="n">
        <v>45576</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34585-2020</t>
        </is>
      </c>
      <c r="B642" s="1" t="n">
        <v>44033</v>
      </c>
      <c r="C642" s="1" t="n">
        <v>45576</v>
      </c>
      <c r="D642" t="inlineStr">
        <is>
          <t>VÄSTERNORRLANDS LÄN</t>
        </is>
      </c>
      <c r="E642" t="inlineStr">
        <is>
          <t>SOLLEFTEÅ</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34669-2020</t>
        </is>
      </c>
      <c r="B643" s="1" t="n">
        <v>44034</v>
      </c>
      <c r="C643" s="1" t="n">
        <v>45576</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34800-2020</t>
        </is>
      </c>
      <c r="B644" s="1" t="n">
        <v>44035</v>
      </c>
      <c r="C644" s="1" t="n">
        <v>45576</v>
      </c>
      <c r="D644" t="inlineStr">
        <is>
          <t>VÄSTERNORRLANDS LÄN</t>
        </is>
      </c>
      <c r="E644" t="inlineStr">
        <is>
          <t>SOLLEFTEÅ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34921-2020</t>
        </is>
      </c>
      <c r="B645" s="1" t="n">
        <v>44036</v>
      </c>
      <c r="C645" s="1" t="n">
        <v>45576</v>
      </c>
      <c r="D645" t="inlineStr">
        <is>
          <t>VÄSTERNORRLANDS LÄN</t>
        </is>
      </c>
      <c r="E645" t="inlineStr">
        <is>
          <t>SOLLEFTEÅ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34923-2020</t>
        </is>
      </c>
      <c r="B646" s="1" t="n">
        <v>44037</v>
      </c>
      <c r="C646" s="1" t="n">
        <v>45576</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34922-2020</t>
        </is>
      </c>
      <c r="B647" s="1" t="n">
        <v>44036</v>
      </c>
      <c r="C647" s="1" t="n">
        <v>45576</v>
      </c>
      <c r="D647" t="inlineStr">
        <is>
          <t>VÄSTERNORRLANDS LÄN</t>
        </is>
      </c>
      <c r="E647" t="inlineStr">
        <is>
          <t>SOLLEFTEÅ</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35372-2020</t>
        </is>
      </c>
      <c r="B648" s="1" t="n">
        <v>44041</v>
      </c>
      <c r="C648" s="1" t="n">
        <v>45576</v>
      </c>
      <c r="D648" t="inlineStr">
        <is>
          <t>VÄSTERNORRLANDS LÄN</t>
        </is>
      </c>
      <c r="E648" t="inlineStr">
        <is>
          <t>SOLLEFTEÅ</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35361-2020</t>
        </is>
      </c>
      <c r="B649" s="1" t="n">
        <v>44041</v>
      </c>
      <c r="C649" s="1" t="n">
        <v>45576</v>
      </c>
      <c r="D649" t="inlineStr">
        <is>
          <t>VÄSTERNORRLANDS LÄN</t>
        </is>
      </c>
      <c r="E649" t="inlineStr">
        <is>
          <t>SOLLEFTEÅ</t>
        </is>
      </c>
      <c r="F649" t="inlineStr">
        <is>
          <t>SCA</t>
        </is>
      </c>
      <c r="G649" t="n">
        <v>13.6</v>
      </c>
      <c r="H649" t="n">
        <v>0</v>
      </c>
      <c r="I649" t="n">
        <v>0</v>
      </c>
      <c r="J649" t="n">
        <v>0</v>
      </c>
      <c r="K649" t="n">
        <v>0</v>
      </c>
      <c r="L649" t="n">
        <v>0</v>
      </c>
      <c r="M649" t="n">
        <v>0</v>
      </c>
      <c r="N649" t="n">
        <v>0</v>
      </c>
      <c r="O649" t="n">
        <v>0</v>
      </c>
      <c r="P649" t="n">
        <v>0</v>
      </c>
      <c r="Q649" t="n">
        <v>0</v>
      </c>
      <c r="R649" s="2" t="inlineStr"/>
    </row>
    <row r="650" ht="15" customHeight="1">
      <c r="A650" t="inlineStr">
        <is>
          <t>A 36789-2020</t>
        </is>
      </c>
      <c r="B650" s="1" t="n">
        <v>44048</v>
      </c>
      <c r="C650" s="1" t="n">
        <v>45576</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36660-2020</t>
        </is>
      </c>
      <c r="B651" s="1" t="n">
        <v>44050</v>
      </c>
      <c r="C651" s="1" t="n">
        <v>45576</v>
      </c>
      <c r="D651" t="inlineStr">
        <is>
          <t>VÄSTERNORRLANDS LÄN</t>
        </is>
      </c>
      <c r="E651" t="inlineStr">
        <is>
          <t>SOLLEFTEÅ</t>
        </is>
      </c>
      <c r="G651" t="n">
        <v>18.2</v>
      </c>
      <c r="H651" t="n">
        <v>0</v>
      </c>
      <c r="I651" t="n">
        <v>0</v>
      </c>
      <c r="J651" t="n">
        <v>0</v>
      </c>
      <c r="K651" t="n">
        <v>0</v>
      </c>
      <c r="L651" t="n">
        <v>0</v>
      </c>
      <c r="M651" t="n">
        <v>0</v>
      </c>
      <c r="N651" t="n">
        <v>0</v>
      </c>
      <c r="O651" t="n">
        <v>0</v>
      </c>
      <c r="P651" t="n">
        <v>0</v>
      </c>
      <c r="Q651" t="n">
        <v>0</v>
      </c>
      <c r="R651" s="2" t="inlineStr"/>
    </row>
    <row r="652" ht="15" customHeight="1">
      <c r="A652" t="inlineStr">
        <is>
          <t>A 36811-2020</t>
        </is>
      </c>
      <c r="B652" s="1" t="n">
        <v>44053</v>
      </c>
      <c r="C652" s="1" t="n">
        <v>45576</v>
      </c>
      <c r="D652" t="inlineStr">
        <is>
          <t>VÄSTERNORRLANDS LÄN</t>
        </is>
      </c>
      <c r="E652" t="inlineStr">
        <is>
          <t>SOLLEFTEÅ</t>
        </is>
      </c>
      <c r="G652" t="n">
        <v>4.7</v>
      </c>
      <c r="H652" t="n">
        <v>0</v>
      </c>
      <c r="I652" t="n">
        <v>0</v>
      </c>
      <c r="J652" t="n">
        <v>0</v>
      </c>
      <c r="K652" t="n">
        <v>0</v>
      </c>
      <c r="L652" t="n">
        <v>0</v>
      </c>
      <c r="M652" t="n">
        <v>0</v>
      </c>
      <c r="N652" t="n">
        <v>0</v>
      </c>
      <c r="O652" t="n">
        <v>0</v>
      </c>
      <c r="P652" t="n">
        <v>0</v>
      </c>
      <c r="Q652" t="n">
        <v>0</v>
      </c>
      <c r="R652" s="2" t="inlineStr"/>
    </row>
    <row r="653" ht="15" customHeight="1">
      <c r="A653" t="inlineStr">
        <is>
          <t>A 37710-2020</t>
        </is>
      </c>
      <c r="B653" s="1" t="n">
        <v>44056</v>
      </c>
      <c r="C653" s="1" t="n">
        <v>45576</v>
      </c>
      <c r="D653" t="inlineStr">
        <is>
          <t>VÄSTERNORRLANDS LÄN</t>
        </is>
      </c>
      <c r="E653" t="inlineStr">
        <is>
          <t>SOLLEFTEÅ</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38482-2020</t>
        </is>
      </c>
      <c r="B654" s="1" t="n">
        <v>44060</v>
      </c>
      <c r="C654" s="1" t="n">
        <v>45576</v>
      </c>
      <c r="D654" t="inlineStr">
        <is>
          <t>VÄSTERNORRLANDS LÄN</t>
        </is>
      </c>
      <c r="E654" t="inlineStr">
        <is>
          <t>SOLLEFTEÅ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38517-2020</t>
        </is>
      </c>
      <c r="B655" s="1" t="n">
        <v>44060</v>
      </c>
      <c r="C655" s="1" t="n">
        <v>45576</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39007-2020</t>
        </is>
      </c>
      <c r="B656" s="1" t="n">
        <v>44062</v>
      </c>
      <c r="C656" s="1" t="n">
        <v>45576</v>
      </c>
      <c r="D656" t="inlineStr">
        <is>
          <t>VÄSTERNORRLANDS LÄN</t>
        </is>
      </c>
      <c r="E656" t="inlineStr">
        <is>
          <t>SOLLEFTEÅ</t>
        </is>
      </c>
      <c r="F656" t="inlineStr">
        <is>
          <t>Kyrkan</t>
        </is>
      </c>
      <c r="G656" t="n">
        <v>5</v>
      </c>
      <c r="H656" t="n">
        <v>0</v>
      </c>
      <c r="I656" t="n">
        <v>0</v>
      </c>
      <c r="J656" t="n">
        <v>0</v>
      </c>
      <c r="K656" t="n">
        <v>0</v>
      </c>
      <c r="L656" t="n">
        <v>0</v>
      </c>
      <c r="M656" t="n">
        <v>0</v>
      </c>
      <c r="N656" t="n">
        <v>0</v>
      </c>
      <c r="O656" t="n">
        <v>0</v>
      </c>
      <c r="P656" t="n">
        <v>0</v>
      </c>
      <c r="Q656" t="n">
        <v>0</v>
      </c>
      <c r="R656" s="2" t="inlineStr"/>
    </row>
    <row r="657" ht="15" customHeight="1">
      <c r="A657" t="inlineStr">
        <is>
          <t>A 39077-2020</t>
        </is>
      </c>
      <c r="B657" s="1" t="n">
        <v>44062</v>
      </c>
      <c r="C657" s="1" t="n">
        <v>45576</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39016-2020</t>
        </is>
      </c>
      <c r="B658" s="1" t="n">
        <v>44062</v>
      </c>
      <c r="C658" s="1" t="n">
        <v>45576</v>
      </c>
      <c r="D658" t="inlineStr">
        <is>
          <t>VÄSTERNORRLANDS LÄN</t>
        </is>
      </c>
      <c r="E658" t="inlineStr">
        <is>
          <t>SOLLEFTEÅ</t>
        </is>
      </c>
      <c r="F658" t="inlineStr">
        <is>
          <t>Kyrkan</t>
        </is>
      </c>
      <c r="G658" t="n">
        <v>2.4</v>
      </c>
      <c r="H658" t="n">
        <v>0</v>
      </c>
      <c r="I658" t="n">
        <v>0</v>
      </c>
      <c r="J658" t="n">
        <v>0</v>
      </c>
      <c r="K658" t="n">
        <v>0</v>
      </c>
      <c r="L658" t="n">
        <v>0</v>
      </c>
      <c r="M658" t="n">
        <v>0</v>
      </c>
      <c r="N658" t="n">
        <v>0</v>
      </c>
      <c r="O658" t="n">
        <v>0</v>
      </c>
      <c r="P658" t="n">
        <v>0</v>
      </c>
      <c r="Q658" t="n">
        <v>0</v>
      </c>
      <c r="R658" s="2" t="inlineStr"/>
    </row>
    <row r="659" ht="15" customHeight="1">
      <c r="A659" t="inlineStr">
        <is>
          <t>A 39148-2020</t>
        </is>
      </c>
      <c r="B659" s="1" t="n">
        <v>44063</v>
      </c>
      <c r="C659" s="1" t="n">
        <v>45576</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39409-2020</t>
        </is>
      </c>
      <c r="B660" s="1" t="n">
        <v>44064</v>
      </c>
      <c r="C660" s="1" t="n">
        <v>45576</v>
      </c>
      <c r="D660" t="inlineStr">
        <is>
          <t>VÄSTERNORRLANDS LÄN</t>
        </is>
      </c>
      <c r="E660" t="inlineStr">
        <is>
          <t>SOLLEFTEÅ</t>
        </is>
      </c>
      <c r="F660" t="inlineStr">
        <is>
          <t>Holmen skog AB</t>
        </is>
      </c>
      <c r="G660" t="n">
        <v>7.8</v>
      </c>
      <c r="H660" t="n">
        <v>0</v>
      </c>
      <c r="I660" t="n">
        <v>0</v>
      </c>
      <c r="J660" t="n">
        <v>0</v>
      </c>
      <c r="K660" t="n">
        <v>0</v>
      </c>
      <c r="L660" t="n">
        <v>0</v>
      </c>
      <c r="M660" t="n">
        <v>0</v>
      </c>
      <c r="N660" t="n">
        <v>0</v>
      </c>
      <c r="O660" t="n">
        <v>0</v>
      </c>
      <c r="P660" t="n">
        <v>0</v>
      </c>
      <c r="Q660" t="n">
        <v>0</v>
      </c>
      <c r="R660" s="2" t="inlineStr"/>
    </row>
    <row r="661" ht="15" customHeight="1">
      <c r="A661" t="inlineStr">
        <is>
          <t>A 39479-2020</t>
        </is>
      </c>
      <c r="B661" s="1" t="n">
        <v>44064</v>
      </c>
      <c r="C661" s="1" t="n">
        <v>45576</v>
      </c>
      <c r="D661" t="inlineStr">
        <is>
          <t>VÄSTERNORRLANDS LÄN</t>
        </is>
      </c>
      <c r="E661" t="inlineStr">
        <is>
          <t>SOLLEFTEÅ</t>
        </is>
      </c>
      <c r="G661" t="n">
        <v>17.8</v>
      </c>
      <c r="H661" t="n">
        <v>0</v>
      </c>
      <c r="I661" t="n">
        <v>0</v>
      </c>
      <c r="J661" t="n">
        <v>0</v>
      </c>
      <c r="K661" t="n">
        <v>0</v>
      </c>
      <c r="L661" t="n">
        <v>0</v>
      </c>
      <c r="M661" t="n">
        <v>0</v>
      </c>
      <c r="N661" t="n">
        <v>0</v>
      </c>
      <c r="O661" t="n">
        <v>0</v>
      </c>
      <c r="P661" t="n">
        <v>0</v>
      </c>
      <c r="Q661" t="n">
        <v>0</v>
      </c>
      <c r="R661" s="2" t="inlineStr"/>
    </row>
    <row r="662" ht="15" customHeight="1">
      <c r="A662" t="inlineStr">
        <is>
          <t>A 40180-2020</t>
        </is>
      </c>
      <c r="B662" s="1" t="n">
        <v>44064</v>
      </c>
      <c r="C662" s="1" t="n">
        <v>45576</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39681-2020</t>
        </is>
      </c>
      <c r="B663" s="1" t="n">
        <v>44065</v>
      </c>
      <c r="C663" s="1" t="n">
        <v>45576</v>
      </c>
      <c r="D663" t="inlineStr">
        <is>
          <t>VÄSTERNORRLANDS LÄN</t>
        </is>
      </c>
      <c r="E663" t="inlineStr">
        <is>
          <t>SOLLEFTEÅ</t>
        </is>
      </c>
      <c r="F663" t="inlineStr">
        <is>
          <t>SCA</t>
        </is>
      </c>
      <c r="G663" t="n">
        <v>19.7</v>
      </c>
      <c r="H663" t="n">
        <v>0</v>
      </c>
      <c r="I663" t="n">
        <v>0</v>
      </c>
      <c r="J663" t="n">
        <v>0</v>
      </c>
      <c r="K663" t="n">
        <v>0</v>
      </c>
      <c r="L663" t="n">
        <v>0</v>
      </c>
      <c r="M663" t="n">
        <v>0</v>
      </c>
      <c r="N663" t="n">
        <v>0</v>
      </c>
      <c r="O663" t="n">
        <v>0</v>
      </c>
      <c r="P663" t="n">
        <v>0</v>
      </c>
      <c r="Q663" t="n">
        <v>0</v>
      </c>
      <c r="R663" s="2" t="inlineStr"/>
    </row>
    <row r="664" ht="15" customHeight="1">
      <c r="A664" t="inlineStr">
        <is>
          <t>A 40476-2020</t>
        </is>
      </c>
      <c r="B664" s="1" t="n">
        <v>44067</v>
      </c>
      <c r="C664" s="1" t="n">
        <v>45576</v>
      </c>
      <c r="D664" t="inlineStr">
        <is>
          <t>VÄSTERNORRLANDS LÄN</t>
        </is>
      </c>
      <c r="E664" t="inlineStr">
        <is>
          <t>SOLLEFTEÅ</t>
        </is>
      </c>
      <c r="G664" t="n">
        <v>8</v>
      </c>
      <c r="H664" t="n">
        <v>0</v>
      </c>
      <c r="I664" t="n">
        <v>0</v>
      </c>
      <c r="J664" t="n">
        <v>0</v>
      </c>
      <c r="K664" t="n">
        <v>0</v>
      </c>
      <c r="L664" t="n">
        <v>0</v>
      </c>
      <c r="M664" t="n">
        <v>0</v>
      </c>
      <c r="N664" t="n">
        <v>0</v>
      </c>
      <c r="O664" t="n">
        <v>0</v>
      </c>
      <c r="P664" t="n">
        <v>0</v>
      </c>
      <c r="Q664" t="n">
        <v>0</v>
      </c>
      <c r="R664" s="2" t="inlineStr"/>
    </row>
    <row r="665" ht="15" customHeight="1">
      <c r="A665" t="inlineStr">
        <is>
          <t>A 40697-2020</t>
        </is>
      </c>
      <c r="B665" s="1" t="n">
        <v>44067</v>
      </c>
      <c r="C665" s="1" t="n">
        <v>45576</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40682-2020</t>
        </is>
      </c>
      <c r="B666" s="1" t="n">
        <v>44067</v>
      </c>
      <c r="C666" s="1" t="n">
        <v>45576</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40735-2020</t>
        </is>
      </c>
      <c r="B667" s="1" t="n">
        <v>44069</v>
      </c>
      <c r="C667" s="1" t="n">
        <v>45576</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40747-2020</t>
        </is>
      </c>
      <c r="B668" s="1" t="n">
        <v>44069</v>
      </c>
      <c r="C668" s="1" t="n">
        <v>45576</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42196-2020</t>
        </is>
      </c>
      <c r="B669" s="1" t="n">
        <v>44076</v>
      </c>
      <c r="C669" s="1" t="n">
        <v>45576</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43300-2020</t>
        </is>
      </c>
      <c r="B670" s="1" t="n">
        <v>44076</v>
      </c>
      <c r="C670" s="1" t="n">
        <v>45576</v>
      </c>
      <c r="D670" t="inlineStr">
        <is>
          <t>VÄSTERNORRLANDS LÄN</t>
        </is>
      </c>
      <c r="E670" t="inlineStr">
        <is>
          <t>SOLLEFTEÅ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43160-2020</t>
        </is>
      </c>
      <c r="B671" s="1" t="n">
        <v>44076</v>
      </c>
      <c r="C671" s="1" t="n">
        <v>45576</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42846-2020</t>
        </is>
      </c>
      <c r="B672" s="1" t="n">
        <v>44078</v>
      </c>
      <c r="C672" s="1" t="n">
        <v>45576</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43107-2020</t>
        </is>
      </c>
      <c r="B673" s="1" t="n">
        <v>44078</v>
      </c>
      <c r="C673" s="1" t="n">
        <v>45576</v>
      </c>
      <c r="D673" t="inlineStr">
        <is>
          <t>VÄSTERNORRLANDS LÄN</t>
        </is>
      </c>
      <c r="E673" t="inlineStr">
        <is>
          <t>SOLLEFTEÅ</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43438-2020</t>
        </is>
      </c>
      <c r="B674" s="1" t="n">
        <v>44081</v>
      </c>
      <c r="C674" s="1" t="n">
        <v>45576</v>
      </c>
      <c r="D674" t="inlineStr">
        <is>
          <t>VÄSTERNORRLANDS LÄN</t>
        </is>
      </c>
      <c r="E674" t="inlineStr">
        <is>
          <t>SOLLEFTEÅ</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43820-2020</t>
        </is>
      </c>
      <c r="B675" s="1" t="n">
        <v>44082</v>
      </c>
      <c r="C675" s="1" t="n">
        <v>45576</v>
      </c>
      <c r="D675" t="inlineStr">
        <is>
          <t>VÄSTERNORRLANDS LÄN</t>
        </is>
      </c>
      <c r="E675" t="inlineStr">
        <is>
          <t>SOLLEFTEÅ</t>
        </is>
      </c>
      <c r="F675" t="inlineStr">
        <is>
          <t>SCA</t>
        </is>
      </c>
      <c r="G675" t="n">
        <v>8.1</v>
      </c>
      <c r="H675" t="n">
        <v>0</v>
      </c>
      <c r="I675" t="n">
        <v>0</v>
      </c>
      <c r="J675" t="n">
        <v>0</v>
      </c>
      <c r="K675" t="n">
        <v>0</v>
      </c>
      <c r="L675" t="n">
        <v>0</v>
      </c>
      <c r="M675" t="n">
        <v>0</v>
      </c>
      <c r="N675" t="n">
        <v>0</v>
      </c>
      <c r="O675" t="n">
        <v>0</v>
      </c>
      <c r="P675" t="n">
        <v>0</v>
      </c>
      <c r="Q675" t="n">
        <v>0</v>
      </c>
      <c r="R675" s="2" t="inlineStr"/>
    </row>
    <row r="676" ht="15" customHeight="1">
      <c r="A676" t="inlineStr">
        <is>
          <t>A 45147-2020</t>
        </is>
      </c>
      <c r="B676" s="1" t="n">
        <v>44084</v>
      </c>
      <c r="C676" s="1" t="n">
        <v>45576</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44681-2020</t>
        </is>
      </c>
      <c r="B677" s="1" t="n">
        <v>44085</v>
      </c>
      <c r="C677" s="1" t="n">
        <v>45576</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45250-2020</t>
        </is>
      </c>
      <c r="B678" s="1" t="n">
        <v>44088</v>
      </c>
      <c r="C678" s="1" t="n">
        <v>45576</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45251-2020</t>
        </is>
      </c>
      <c r="B679" s="1" t="n">
        <v>44088</v>
      </c>
      <c r="C679" s="1" t="n">
        <v>45576</v>
      </c>
      <c r="D679" t="inlineStr">
        <is>
          <t>VÄSTERNORRLANDS LÄN</t>
        </is>
      </c>
      <c r="E679" t="inlineStr">
        <is>
          <t>SOLLEFTEÅ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45549-2020</t>
        </is>
      </c>
      <c r="B680" s="1" t="n">
        <v>44090</v>
      </c>
      <c r="C680" s="1" t="n">
        <v>45576</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45542-2020</t>
        </is>
      </c>
      <c r="B681" s="1" t="n">
        <v>44089</v>
      </c>
      <c r="C681" s="1" t="n">
        <v>45576</v>
      </c>
      <c r="D681" t="inlineStr">
        <is>
          <t>VÄSTERNORRLANDS LÄN</t>
        </is>
      </c>
      <c r="E681" t="inlineStr">
        <is>
          <t>SOLLEFTEÅ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45551-2020</t>
        </is>
      </c>
      <c r="B682" s="1" t="n">
        <v>44089</v>
      </c>
      <c r="C682" s="1" t="n">
        <v>45576</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46715-2020</t>
        </is>
      </c>
      <c r="B683" s="1" t="n">
        <v>44095</v>
      </c>
      <c r="C683" s="1" t="n">
        <v>45576</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47827-2020</t>
        </is>
      </c>
      <c r="B684" s="1" t="n">
        <v>44098</v>
      </c>
      <c r="C684" s="1" t="n">
        <v>45576</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47859-2020</t>
        </is>
      </c>
      <c r="B685" s="1" t="n">
        <v>44099</v>
      </c>
      <c r="C685" s="1" t="n">
        <v>45576</v>
      </c>
      <c r="D685" t="inlineStr">
        <is>
          <t>VÄSTERNORRLANDS LÄN</t>
        </is>
      </c>
      <c r="E685" t="inlineStr">
        <is>
          <t>SOLLEFTEÅ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48052-2020</t>
        </is>
      </c>
      <c r="B686" s="1" t="n">
        <v>44100</v>
      </c>
      <c r="C686" s="1" t="n">
        <v>45576</v>
      </c>
      <c r="D686" t="inlineStr">
        <is>
          <t>VÄSTERNORRLANDS LÄN</t>
        </is>
      </c>
      <c r="E686" t="inlineStr">
        <is>
          <t>SOLLEFTEÅ</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48240-2020</t>
        </is>
      </c>
      <c r="B687" s="1" t="n">
        <v>44102</v>
      </c>
      <c r="C687" s="1" t="n">
        <v>45576</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48477-2020</t>
        </is>
      </c>
      <c r="B688" s="1" t="n">
        <v>44102</v>
      </c>
      <c r="C688" s="1" t="n">
        <v>45576</v>
      </c>
      <c r="D688" t="inlineStr">
        <is>
          <t>VÄSTERNORRLANDS LÄN</t>
        </is>
      </c>
      <c r="E688" t="inlineStr">
        <is>
          <t>SOLLEFTEÅ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48468-2020</t>
        </is>
      </c>
      <c r="B689" s="1" t="n">
        <v>44102</v>
      </c>
      <c r="C689" s="1" t="n">
        <v>45576</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48470-2020</t>
        </is>
      </c>
      <c r="B690" s="1" t="n">
        <v>44102</v>
      </c>
      <c r="C690" s="1" t="n">
        <v>45576</v>
      </c>
      <c r="D690" t="inlineStr">
        <is>
          <t>VÄSTERNORRLANDS LÄN</t>
        </is>
      </c>
      <c r="E690" t="inlineStr">
        <is>
          <t>SOLLEFTEÅ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48475-2020</t>
        </is>
      </c>
      <c r="B691" s="1" t="n">
        <v>44103</v>
      </c>
      <c r="C691" s="1" t="n">
        <v>45576</v>
      </c>
      <c r="D691" t="inlineStr">
        <is>
          <t>VÄSTERNORRLANDS LÄN</t>
        </is>
      </c>
      <c r="E691" t="inlineStr">
        <is>
          <t>SOLLEFTEÅ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48802-2020</t>
        </is>
      </c>
      <c r="B692" s="1" t="n">
        <v>44103</v>
      </c>
      <c r="C692" s="1" t="n">
        <v>45576</v>
      </c>
      <c r="D692" t="inlineStr">
        <is>
          <t>VÄSTERNORRLANDS LÄN</t>
        </is>
      </c>
      <c r="E692" t="inlineStr">
        <is>
          <t>SOLLEFTEÅ</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49629-2020</t>
        </is>
      </c>
      <c r="B693" s="1" t="n">
        <v>44103</v>
      </c>
      <c r="C693" s="1" t="n">
        <v>45576</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49165-2020</t>
        </is>
      </c>
      <c r="B694" s="1" t="n">
        <v>44105</v>
      </c>
      <c r="C694" s="1" t="n">
        <v>45576</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49507-2020</t>
        </is>
      </c>
      <c r="B695" s="1" t="n">
        <v>44105</v>
      </c>
      <c r="C695" s="1" t="n">
        <v>45576</v>
      </c>
      <c r="D695" t="inlineStr">
        <is>
          <t>VÄSTERNORRLANDS LÄN</t>
        </is>
      </c>
      <c r="E695" t="inlineStr">
        <is>
          <t>SOLLEFTEÅ</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49508-2020</t>
        </is>
      </c>
      <c r="B696" s="1" t="n">
        <v>44105</v>
      </c>
      <c r="C696" s="1" t="n">
        <v>45576</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49837-2020</t>
        </is>
      </c>
      <c r="B697" s="1" t="n">
        <v>44106</v>
      </c>
      <c r="C697" s="1" t="n">
        <v>45576</v>
      </c>
      <c r="D697" t="inlineStr">
        <is>
          <t>VÄSTERNORRLANDS LÄN</t>
        </is>
      </c>
      <c r="E697" t="inlineStr">
        <is>
          <t>SOLLEFTEÅ</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50647-2020</t>
        </is>
      </c>
      <c r="B698" s="1" t="n">
        <v>44111</v>
      </c>
      <c r="C698" s="1" t="n">
        <v>45576</v>
      </c>
      <c r="D698" t="inlineStr">
        <is>
          <t>VÄSTERNORRLANDS LÄN</t>
        </is>
      </c>
      <c r="E698" t="inlineStr">
        <is>
          <t>SOLLEFTEÅ</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51018-2020</t>
        </is>
      </c>
      <c r="B699" s="1" t="n">
        <v>44111</v>
      </c>
      <c r="C699" s="1" t="n">
        <v>45576</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51011-2020</t>
        </is>
      </c>
      <c r="B700" s="1" t="n">
        <v>44111</v>
      </c>
      <c r="C700" s="1" t="n">
        <v>45576</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51534-2020</t>
        </is>
      </c>
      <c r="B701" s="1" t="n">
        <v>44113</v>
      </c>
      <c r="C701" s="1" t="n">
        <v>45576</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52035-2020</t>
        </is>
      </c>
      <c r="B702" s="1" t="n">
        <v>44117</v>
      </c>
      <c r="C702" s="1" t="n">
        <v>45576</v>
      </c>
      <c r="D702" t="inlineStr">
        <is>
          <t>VÄSTERNORRLANDS LÄN</t>
        </is>
      </c>
      <c r="E702" t="inlineStr">
        <is>
          <t>SOLLEFTEÅ</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52189-2020</t>
        </is>
      </c>
      <c r="B703" s="1" t="n">
        <v>44117</v>
      </c>
      <c r="C703" s="1" t="n">
        <v>45576</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52199-2020</t>
        </is>
      </c>
      <c r="B704" s="1" t="n">
        <v>44117</v>
      </c>
      <c r="C704" s="1" t="n">
        <v>45576</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52406-2020</t>
        </is>
      </c>
      <c r="B705" s="1" t="n">
        <v>44118</v>
      </c>
      <c r="C705" s="1" t="n">
        <v>45576</v>
      </c>
      <c r="D705" t="inlineStr">
        <is>
          <t>VÄSTERNORRLANDS LÄN</t>
        </is>
      </c>
      <c r="E705" t="inlineStr">
        <is>
          <t>SOLLEFTEÅ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52983-2020</t>
        </is>
      </c>
      <c r="B706" s="1" t="n">
        <v>44119</v>
      </c>
      <c r="C706" s="1" t="n">
        <v>45576</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52936-2020</t>
        </is>
      </c>
      <c r="B707" s="1" t="n">
        <v>44120</v>
      </c>
      <c r="C707" s="1" t="n">
        <v>45576</v>
      </c>
      <c r="D707" t="inlineStr">
        <is>
          <t>VÄSTERNORRLANDS LÄN</t>
        </is>
      </c>
      <c r="E707" t="inlineStr">
        <is>
          <t>SOLLEFTEÅ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53828-2020</t>
        </is>
      </c>
      <c r="B708" s="1" t="n">
        <v>44124</v>
      </c>
      <c r="C708" s="1" t="n">
        <v>45576</v>
      </c>
      <c r="D708" t="inlineStr">
        <is>
          <t>VÄSTERNORRLANDS LÄN</t>
        </is>
      </c>
      <c r="E708" t="inlineStr">
        <is>
          <t>SOLLEFTEÅ</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54463-2020</t>
        </is>
      </c>
      <c r="B709" s="1" t="n">
        <v>44125</v>
      </c>
      <c r="C709" s="1" t="n">
        <v>45576</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53866-2020</t>
        </is>
      </c>
      <c r="B710" s="1" t="n">
        <v>44125</v>
      </c>
      <c r="C710" s="1" t="n">
        <v>45576</v>
      </c>
      <c r="D710" t="inlineStr">
        <is>
          <t>VÄSTERNORRLANDS LÄN</t>
        </is>
      </c>
      <c r="E710" t="inlineStr">
        <is>
          <t>SOLLEFTEÅ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54567-2020</t>
        </is>
      </c>
      <c r="B711" s="1" t="n">
        <v>44126</v>
      </c>
      <c r="C711" s="1" t="n">
        <v>45576</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54568-2020</t>
        </is>
      </c>
      <c r="B712" s="1" t="n">
        <v>44126</v>
      </c>
      <c r="C712" s="1" t="n">
        <v>45576</v>
      </c>
      <c r="D712" t="inlineStr">
        <is>
          <t>VÄSTERNORRLANDS LÄN</t>
        </is>
      </c>
      <c r="E712" t="inlineStr">
        <is>
          <t>SOLLEFTEÅ</t>
        </is>
      </c>
      <c r="G712" t="n">
        <v>0.2</v>
      </c>
      <c r="H712" t="n">
        <v>0</v>
      </c>
      <c r="I712" t="n">
        <v>0</v>
      </c>
      <c r="J712" t="n">
        <v>0</v>
      </c>
      <c r="K712" t="n">
        <v>0</v>
      </c>
      <c r="L712" t="n">
        <v>0</v>
      </c>
      <c r="M712" t="n">
        <v>0</v>
      </c>
      <c r="N712" t="n">
        <v>0</v>
      </c>
      <c r="O712" t="n">
        <v>0</v>
      </c>
      <c r="P712" t="n">
        <v>0</v>
      </c>
      <c r="Q712" t="n">
        <v>0</v>
      </c>
      <c r="R712" s="2" t="inlineStr"/>
    </row>
    <row r="713" ht="15" customHeight="1">
      <c r="A713" t="inlineStr">
        <is>
          <t>A 54572-2020</t>
        </is>
      </c>
      <c r="B713" s="1" t="n">
        <v>44126</v>
      </c>
      <c r="C713" s="1" t="n">
        <v>45576</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54576-2020</t>
        </is>
      </c>
      <c r="B714" s="1" t="n">
        <v>44126</v>
      </c>
      <c r="C714" s="1" t="n">
        <v>45576</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54571-2020</t>
        </is>
      </c>
      <c r="B715" s="1" t="n">
        <v>44126</v>
      </c>
      <c r="C715" s="1" t="n">
        <v>45576</v>
      </c>
      <c r="D715" t="inlineStr">
        <is>
          <t>VÄSTERNORRLANDS LÄN</t>
        </is>
      </c>
      <c r="E715" t="inlineStr">
        <is>
          <t>SOLLEFTEÅ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54569-2020</t>
        </is>
      </c>
      <c r="B716" s="1" t="n">
        <v>44126</v>
      </c>
      <c r="C716" s="1" t="n">
        <v>45576</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54566-2020</t>
        </is>
      </c>
      <c r="B717" s="1" t="n">
        <v>44126</v>
      </c>
      <c r="C717" s="1" t="n">
        <v>45576</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54570-2020</t>
        </is>
      </c>
      <c r="B718" s="1" t="n">
        <v>44126</v>
      </c>
      <c r="C718" s="1" t="n">
        <v>45576</v>
      </c>
      <c r="D718" t="inlineStr">
        <is>
          <t>VÄSTERNORRLANDS LÄN</t>
        </is>
      </c>
      <c r="E718" t="inlineStr">
        <is>
          <t>SOLLEFTEÅ</t>
        </is>
      </c>
      <c r="G718" t="n">
        <v>0.3</v>
      </c>
      <c r="H718" t="n">
        <v>0</v>
      </c>
      <c r="I718" t="n">
        <v>0</v>
      </c>
      <c r="J718" t="n">
        <v>0</v>
      </c>
      <c r="K718" t="n">
        <v>0</v>
      </c>
      <c r="L718" t="n">
        <v>0</v>
      </c>
      <c r="M718" t="n">
        <v>0</v>
      </c>
      <c r="N718" t="n">
        <v>0</v>
      </c>
      <c r="O718" t="n">
        <v>0</v>
      </c>
      <c r="P718" t="n">
        <v>0</v>
      </c>
      <c r="Q718" t="n">
        <v>0</v>
      </c>
      <c r="R718" s="2" t="inlineStr"/>
    </row>
    <row r="719" ht="15" customHeight="1">
      <c r="A719" t="inlineStr">
        <is>
          <t>A 54573-2020</t>
        </is>
      </c>
      <c r="B719" s="1" t="n">
        <v>44126</v>
      </c>
      <c r="C719" s="1" t="n">
        <v>45576</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55337-2020</t>
        </is>
      </c>
      <c r="B720" s="1" t="n">
        <v>44130</v>
      </c>
      <c r="C720" s="1" t="n">
        <v>45576</v>
      </c>
      <c r="D720" t="inlineStr">
        <is>
          <t>VÄSTERNORRLANDS LÄN</t>
        </is>
      </c>
      <c r="E720" t="inlineStr">
        <is>
          <t>SOLLEFTEÅ</t>
        </is>
      </c>
      <c r="G720" t="n">
        <v>21.1</v>
      </c>
      <c r="H720" t="n">
        <v>0</v>
      </c>
      <c r="I720" t="n">
        <v>0</v>
      </c>
      <c r="J720" t="n">
        <v>0</v>
      </c>
      <c r="K720" t="n">
        <v>0</v>
      </c>
      <c r="L720" t="n">
        <v>0</v>
      </c>
      <c r="M720" t="n">
        <v>0</v>
      </c>
      <c r="N720" t="n">
        <v>0</v>
      </c>
      <c r="O720" t="n">
        <v>0</v>
      </c>
      <c r="P720" t="n">
        <v>0</v>
      </c>
      <c r="Q720" t="n">
        <v>0</v>
      </c>
      <c r="R720" s="2" t="inlineStr"/>
    </row>
    <row r="721" ht="15" customHeight="1">
      <c r="A721" t="inlineStr">
        <is>
          <t>A 55489-2020</t>
        </is>
      </c>
      <c r="B721" s="1" t="n">
        <v>44131</v>
      </c>
      <c r="C721" s="1" t="n">
        <v>45576</v>
      </c>
      <c r="D721" t="inlineStr">
        <is>
          <t>VÄSTERNORRLANDS LÄN</t>
        </is>
      </c>
      <c r="E721" t="inlineStr">
        <is>
          <t>SOLLEFTEÅ</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58380-2020</t>
        </is>
      </c>
      <c r="B722" s="1" t="n">
        <v>44145</v>
      </c>
      <c r="C722" s="1" t="n">
        <v>45576</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58381-2020</t>
        </is>
      </c>
      <c r="B723" s="1" t="n">
        <v>44145</v>
      </c>
      <c r="C723" s="1" t="n">
        <v>45576</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59334-2020</t>
        </is>
      </c>
      <c r="B724" s="1" t="n">
        <v>44147</v>
      </c>
      <c r="C724" s="1" t="n">
        <v>45576</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59950-2020</t>
        </is>
      </c>
      <c r="B725" s="1" t="n">
        <v>44151</v>
      </c>
      <c r="C725" s="1" t="n">
        <v>45576</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59953-2020</t>
        </is>
      </c>
      <c r="B726" s="1" t="n">
        <v>44151</v>
      </c>
      <c r="C726" s="1" t="n">
        <v>45576</v>
      </c>
      <c r="D726" t="inlineStr">
        <is>
          <t>VÄSTERNORRLANDS LÄN</t>
        </is>
      </c>
      <c r="E726" t="inlineStr">
        <is>
          <t>SOLLEFTEÅ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60091-2020</t>
        </is>
      </c>
      <c r="B727" s="1" t="n">
        <v>44151</v>
      </c>
      <c r="C727" s="1" t="n">
        <v>45576</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61127-2020</t>
        </is>
      </c>
      <c r="B728" s="1" t="n">
        <v>44154</v>
      </c>
      <c r="C728" s="1" t="n">
        <v>45576</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61130-2020</t>
        </is>
      </c>
      <c r="B729" s="1" t="n">
        <v>44154</v>
      </c>
      <c r="C729" s="1" t="n">
        <v>45576</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61894-2020</t>
        </is>
      </c>
      <c r="B730" s="1" t="n">
        <v>44155</v>
      </c>
      <c r="C730" s="1" t="n">
        <v>45576</v>
      </c>
      <c r="D730" t="inlineStr">
        <is>
          <t>VÄSTERNORRLANDS LÄN</t>
        </is>
      </c>
      <c r="E730" t="inlineStr">
        <is>
          <t>SOLLEFTEÅ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61943-2020</t>
        </is>
      </c>
      <c r="B731" s="1" t="n">
        <v>44155</v>
      </c>
      <c r="C731" s="1" t="n">
        <v>45576</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62666-2020</t>
        </is>
      </c>
      <c r="B732" s="1" t="n">
        <v>44161</v>
      </c>
      <c r="C732" s="1" t="n">
        <v>45576</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62881-2020</t>
        </is>
      </c>
      <c r="B733" s="1" t="n">
        <v>44161</v>
      </c>
      <c r="C733" s="1" t="n">
        <v>45576</v>
      </c>
      <c r="D733" t="inlineStr">
        <is>
          <t>VÄSTERNORRLANDS LÄN</t>
        </is>
      </c>
      <c r="E733" t="inlineStr">
        <is>
          <t>SOLLEFTEÅ</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62883-2020</t>
        </is>
      </c>
      <c r="B734" s="1" t="n">
        <v>44161</v>
      </c>
      <c r="C734" s="1" t="n">
        <v>45576</v>
      </c>
      <c r="D734" t="inlineStr">
        <is>
          <t>VÄSTERNORRLANDS LÄN</t>
        </is>
      </c>
      <c r="E734" t="inlineStr">
        <is>
          <t>SOLLEFTEÅ</t>
        </is>
      </c>
      <c r="F734" t="inlineStr">
        <is>
          <t>SCA</t>
        </is>
      </c>
      <c r="G734" t="n">
        <v>8.5</v>
      </c>
      <c r="H734" t="n">
        <v>0</v>
      </c>
      <c r="I734" t="n">
        <v>0</v>
      </c>
      <c r="J734" t="n">
        <v>0</v>
      </c>
      <c r="K734" t="n">
        <v>0</v>
      </c>
      <c r="L734" t="n">
        <v>0</v>
      </c>
      <c r="M734" t="n">
        <v>0</v>
      </c>
      <c r="N734" t="n">
        <v>0</v>
      </c>
      <c r="O734" t="n">
        <v>0</v>
      </c>
      <c r="P734" t="n">
        <v>0</v>
      </c>
      <c r="Q734" t="n">
        <v>0</v>
      </c>
      <c r="R734" s="2" t="inlineStr"/>
    </row>
    <row r="735" ht="15" customHeight="1">
      <c r="A735" t="inlineStr">
        <is>
          <t>A 63190-2020</t>
        </is>
      </c>
      <c r="B735" s="1" t="n">
        <v>44162</v>
      </c>
      <c r="C735" s="1" t="n">
        <v>45576</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63210-2020</t>
        </is>
      </c>
      <c r="B736" s="1" t="n">
        <v>44163</v>
      </c>
      <c r="C736" s="1" t="n">
        <v>45576</v>
      </c>
      <c r="D736" t="inlineStr">
        <is>
          <t>VÄSTERNORRLANDS LÄN</t>
        </is>
      </c>
      <c r="E736" t="inlineStr">
        <is>
          <t>SOLLEFTEÅ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65401-2020</t>
        </is>
      </c>
      <c r="B737" s="1" t="n">
        <v>44169</v>
      </c>
      <c r="C737" s="1" t="n">
        <v>45576</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65407-2020</t>
        </is>
      </c>
      <c r="B738" s="1" t="n">
        <v>44169</v>
      </c>
      <c r="C738" s="1" t="n">
        <v>45576</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65403-2020</t>
        </is>
      </c>
      <c r="B739" s="1" t="n">
        <v>44169</v>
      </c>
      <c r="C739" s="1" t="n">
        <v>45576</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67063-2020</t>
        </is>
      </c>
      <c r="B740" s="1" t="n">
        <v>44176</v>
      </c>
      <c r="C740" s="1" t="n">
        <v>45576</v>
      </c>
      <c r="D740" t="inlineStr">
        <is>
          <t>VÄSTERNORRLANDS LÄN</t>
        </is>
      </c>
      <c r="E740" t="inlineStr">
        <is>
          <t>SOLLEFTEÅ</t>
        </is>
      </c>
      <c r="G740" t="n">
        <v>1.4</v>
      </c>
      <c r="H740" t="n">
        <v>0</v>
      </c>
      <c r="I740" t="n">
        <v>0</v>
      </c>
      <c r="J740" t="n">
        <v>0</v>
      </c>
      <c r="K740" t="n">
        <v>0</v>
      </c>
      <c r="L740" t="n">
        <v>0</v>
      </c>
      <c r="M740" t="n">
        <v>0</v>
      </c>
      <c r="N740" t="n">
        <v>0</v>
      </c>
      <c r="O740" t="n">
        <v>0</v>
      </c>
      <c r="P740" t="n">
        <v>0</v>
      </c>
      <c r="Q740" t="n">
        <v>0</v>
      </c>
      <c r="R740" s="2" t="inlineStr"/>
    </row>
    <row r="741" ht="15" customHeight="1">
      <c r="A741" t="inlineStr">
        <is>
          <t>A 66845-2020</t>
        </is>
      </c>
      <c r="B741" s="1" t="n">
        <v>44179</v>
      </c>
      <c r="C741" s="1" t="n">
        <v>45576</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66844-2020</t>
        </is>
      </c>
      <c r="B742" s="1" t="n">
        <v>44179</v>
      </c>
      <c r="C742" s="1" t="n">
        <v>45576</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66850-2020</t>
        </is>
      </c>
      <c r="B743" s="1" t="n">
        <v>44179</v>
      </c>
      <c r="C743" s="1" t="n">
        <v>45576</v>
      </c>
      <c r="D743" t="inlineStr">
        <is>
          <t>VÄSTERNORRLANDS LÄN</t>
        </is>
      </c>
      <c r="E743" t="inlineStr">
        <is>
          <t>SOLLEFTEÅ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66851-2020</t>
        </is>
      </c>
      <c r="B744" s="1" t="n">
        <v>44179</v>
      </c>
      <c r="C744" s="1" t="n">
        <v>45576</v>
      </c>
      <c r="D744" t="inlineStr">
        <is>
          <t>VÄSTERNORRLANDS LÄN</t>
        </is>
      </c>
      <c r="E744" t="inlineStr">
        <is>
          <t>SOLLEFTEÅ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66853-2020</t>
        </is>
      </c>
      <c r="B745" s="1" t="n">
        <v>44179</v>
      </c>
      <c r="C745" s="1" t="n">
        <v>45576</v>
      </c>
      <c r="D745" t="inlineStr">
        <is>
          <t>VÄSTERNORRLANDS LÄN</t>
        </is>
      </c>
      <c r="E745" t="inlineStr">
        <is>
          <t>SOLLEFTEÅ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67602-2020</t>
        </is>
      </c>
      <c r="B746" s="1" t="n">
        <v>44181</v>
      </c>
      <c r="C746" s="1" t="n">
        <v>45576</v>
      </c>
      <c r="D746" t="inlineStr">
        <is>
          <t>VÄSTERNORRLANDS LÄN</t>
        </is>
      </c>
      <c r="E746" t="inlineStr">
        <is>
          <t>SOLLEFTEÅ</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68016-2020</t>
        </is>
      </c>
      <c r="B747" s="1" t="n">
        <v>44182</v>
      </c>
      <c r="C747" s="1" t="n">
        <v>45576</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68026-2020</t>
        </is>
      </c>
      <c r="B748" s="1" t="n">
        <v>44182</v>
      </c>
      <c r="C748" s="1" t="n">
        <v>45576</v>
      </c>
      <c r="D748" t="inlineStr">
        <is>
          <t>VÄSTERNORRLANDS LÄN</t>
        </is>
      </c>
      <c r="E748" t="inlineStr">
        <is>
          <t>SOLLEFTEÅ</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68022-2020</t>
        </is>
      </c>
      <c r="B749" s="1" t="n">
        <v>44182</v>
      </c>
      <c r="C749" s="1" t="n">
        <v>45576</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68031-2020</t>
        </is>
      </c>
      <c r="B750" s="1" t="n">
        <v>44182</v>
      </c>
      <c r="C750" s="1" t="n">
        <v>45576</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68036-2020</t>
        </is>
      </c>
      <c r="B751" s="1" t="n">
        <v>44182</v>
      </c>
      <c r="C751" s="1" t="n">
        <v>45576</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68020-2020</t>
        </is>
      </c>
      <c r="B752" s="1" t="n">
        <v>44182</v>
      </c>
      <c r="C752" s="1" t="n">
        <v>45576</v>
      </c>
      <c r="D752" t="inlineStr">
        <is>
          <t>VÄSTERNORRLANDS LÄN</t>
        </is>
      </c>
      <c r="E752" t="inlineStr">
        <is>
          <t>SOLLEFTEÅ</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68030-2020</t>
        </is>
      </c>
      <c r="B753" s="1" t="n">
        <v>44182</v>
      </c>
      <c r="C753" s="1" t="n">
        <v>45576</v>
      </c>
      <c r="D753" t="inlineStr">
        <is>
          <t>VÄSTERNORRLANDS LÄN</t>
        </is>
      </c>
      <c r="E753" t="inlineStr">
        <is>
          <t>SOLLEFTEÅ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68034-2020</t>
        </is>
      </c>
      <c r="B754" s="1" t="n">
        <v>44182</v>
      </c>
      <c r="C754" s="1" t="n">
        <v>45576</v>
      </c>
      <c r="D754" t="inlineStr">
        <is>
          <t>VÄSTERNORRLANDS LÄN</t>
        </is>
      </c>
      <c r="E754" t="inlineStr">
        <is>
          <t>SOLLEFTEÅ</t>
        </is>
      </c>
      <c r="F754" t="inlineStr">
        <is>
          <t>SCA</t>
        </is>
      </c>
      <c r="G754" t="n">
        <v>17.1</v>
      </c>
      <c r="H754" t="n">
        <v>0</v>
      </c>
      <c r="I754" t="n">
        <v>0</v>
      </c>
      <c r="J754" t="n">
        <v>0</v>
      </c>
      <c r="K754" t="n">
        <v>0</v>
      </c>
      <c r="L754" t="n">
        <v>0</v>
      </c>
      <c r="M754" t="n">
        <v>0</v>
      </c>
      <c r="N754" t="n">
        <v>0</v>
      </c>
      <c r="O754" t="n">
        <v>0</v>
      </c>
      <c r="P754" t="n">
        <v>0</v>
      </c>
      <c r="Q754" t="n">
        <v>0</v>
      </c>
      <c r="R754" s="2" t="inlineStr"/>
    </row>
    <row r="755" ht="15" customHeight="1">
      <c r="A755" t="inlineStr">
        <is>
          <t>A 68033-2020</t>
        </is>
      </c>
      <c r="B755" s="1" t="n">
        <v>44182</v>
      </c>
      <c r="C755" s="1" t="n">
        <v>45576</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68015-2020</t>
        </is>
      </c>
      <c r="B756" s="1" t="n">
        <v>44182</v>
      </c>
      <c r="C756" s="1" t="n">
        <v>45576</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68025-2020</t>
        </is>
      </c>
      <c r="B757" s="1" t="n">
        <v>44182</v>
      </c>
      <c r="C757" s="1" t="n">
        <v>45576</v>
      </c>
      <c r="D757" t="inlineStr">
        <is>
          <t>VÄSTERNORRLANDS LÄN</t>
        </is>
      </c>
      <c r="E757" t="inlineStr">
        <is>
          <t>SOLLEFTEÅ</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68032-2020</t>
        </is>
      </c>
      <c r="B758" s="1" t="n">
        <v>44182</v>
      </c>
      <c r="C758" s="1" t="n">
        <v>45576</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68037-2020</t>
        </is>
      </c>
      <c r="B759" s="1" t="n">
        <v>44182</v>
      </c>
      <c r="C759" s="1" t="n">
        <v>45576</v>
      </c>
      <c r="D759" t="inlineStr">
        <is>
          <t>VÄSTERNORRLANDS LÄN</t>
        </is>
      </c>
      <c r="E759" t="inlineStr">
        <is>
          <t>SOLLEFTEÅ</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68292-2020</t>
        </is>
      </c>
      <c r="B760" s="1" t="n">
        <v>44183</v>
      </c>
      <c r="C760" s="1" t="n">
        <v>45576</v>
      </c>
      <c r="D760" t="inlineStr">
        <is>
          <t>VÄSTERNORRLANDS LÄN</t>
        </is>
      </c>
      <c r="E760" t="inlineStr">
        <is>
          <t>SOLLEFTEÅ</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68570-2020</t>
        </is>
      </c>
      <c r="B761" s="1" t="n">
        <v>44186</v>
      </c>
      <c r="C761" s="1" t="n">
        <v>45576</v>
      </c>
      <c r="D761" t="inlineStr">
        <is>
          <t>VÄSTERNORRLANDS LÄN</t>
        </is>
      </c>
      <c r="E761" t="inlineStr">
        <is>
          <t>SOLLEFTEÅ</t>
        </is>
      </c>
      <c r="G761" t="n">
        <v>5.5</v>
      </c>
      <c r="H761" t="n">
        <v>0</v>
      </c>
      <c r="I761" t="n">
        <v>0</v>
      </c>
      <c r="J761" t="n">
        <v>0</v>
      </c>
      <c r="K761" t="n">
        <v>0</v>
      </c>
      <c r="L761" t="n">
        <v>0</v>
      </c>
      <c r="M761" t="n">
        <v>0</v>
      </c>
      <c r="N761" t="n">
        <v>0</v>
      </c>
      <c r="O761" t="n">
        <v>0</v>
      </c>
      <c r="P761" t="n">
        <v>0</v>
      </c>
      <c r="Q761" t="n">
        <v>0</v>
      </c>
      <c r="R761" s="2" t="inlineStr"/>
    </row>
    <row r="762" ht="15" customHeight="1">
      <c r="A762" t="inlineStr">
        <is>
          <t>A 68652-2020</t>
        </is>
      </c>
      <c r="B762" s="1" t="n">
        <v>44186</v>
      </c>
      <c r="C762" s="1" t="n">
        <v>45576</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68647-2020</t>
        </is>
      </c>
      <c r="B763" s="1" t="n">
        <v>44186</v>
      </c>
      <c r="C763" s="1" t="n">
        <v>45576</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68648-2020</t>
        </is>
      </c>
      <c r="B764" s="1" t="n">
        <v>44186</v>
      </c>
      <c r="C764" s="1" t="n">
        <v>45576</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68656-2020</t>
        </is>
      </c>
      <c r="B765" s="1" t="n">
        <v>44186</v>
      </c>
      <c r="C765" s="1" t="n">
        <v>45576</v>
      </c>
      <c r="D765" t="inlineStr">
        <is>
          <t>VÄSTERNORRLANDS LÄN</t>
        </is>
      </c>
      <c r="E765" t="inlineStr">
        <is>
          <t>SOLLEFTEÅ</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69436-2020</t>
        </is>
      </c>
      <c r="B766" s="1" t="n">
        <v>44193</v>
      </c>
      <c r="C766" s="1" t="n">
        <v>45576</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272-2021</t>
        </is>
      </c>
      <c r="B767" s="1" t="n">
        <v>44200</v>
      </c>
      <c r="C767" s="1" t="n">
        <v>45576</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691-2021</t>
        </is>
      </c>
      <c r="B768" s="1" t="n">
        <v>44203</v>
      </c>
      <c r="C768" s="1" t="n">
        <v>45576</v>
      </c>
      <c r="D768" t="inlineStr">
        <is>
          <t>VÄSTERNORRLANDS LÄN</t>
        </is>
      </c>
      <c r="E768" t="inlineStr">
        <is>
          <t>SOLLEFTEÅ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1858-2021</t>
        </is>
      </c>
      <c r="B769" s="1" t="n">
        <v>44210</v>
      </c>
      <c r="C769" s="1" t="n">
        <v>45576</v>
      </c>
      <c r="D769" t="inlineStr">
        <is>
          <t>VÄSTERNORRLANDS LÄN</t>
        </is>
      </c>
      <c r="E769" t="inlineStr">
        <is>
          <t>SOLLEFTEÅ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2077-2021</t>
        </is>
      </c>
      <c r="B770" s="1" t="n">
        <v>44210</v>
      </c>
      <c r="C770" s="1" t="n">
        <v>45576</v>
      </c>
      <c r="D770" t="inlineStr">
        <is>
          <t>VÄSTERNORRLANDS LÄN</t>
        </is>
      </c>
      <c r="E770" t="inlineStr">
        <is>
          <t>SOLLEFTEÅ</t>
        </is>
      </c>
      <c r="G770" t="n">
        <v>6.1</v>
      </c>
      <c r="H770" t="n">
        <v>0</v>
      </c>
      <c r="I770" t="n">
        <v>0</v>
      </c>
      <c r="J770" t="n">
        <v>0</v>
      </c>
      <c r="K770" t="n">
        <v>0</v>
      </c>
      <c r="L770" t="n">
        <v>0</v>
      </c>
      <c r="M770" t="n">
        <v>0</v>
      </c>
      <c r="N770" t="n">
        <v>0</v>
      </c>
      <c r="O770" t="n">
        <v>0</v>
      </c>
      <c r="P770" t="n">
        <v>0</v>
      </c>
      <c r="Q770" t="n">
        <v>0</v>
      </c>
      <c r="R770" s="2" t="inlineStr"/>
    </row>
    <row r="771" ht="15" customHeight="1">
      <c r="A771" t="inlineStr">
        <is>
          <t>A 2487-2021</t>
        </is>
      </c>
      <c r="B771" s="1" t="n">
        <v>44211</v>
      </c>
      <c r="C771" s="1" t="n">
        <v>45576</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3441-2021</t>
        </is>
      </c>
      <c r="B772" s="1" t="n">
        <v>44218</v>
      </c>
      <c r="C772" s="1" t="n">
        <v>45576</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4127-2021</t>
        </is>
      </c>
      <c r="B773" s="1" t="n">
        <v>44222</v>
      </c>
      <c r="C773" s="1" t="n">
        <v>45576</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5989-2021</t>
        </is>
      </c>
      <c r="B774" s="1" t="n">
        <v>44231</v>
      </c>
      <c r="C774" s="1" t="n">
        <v>45576</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7658-2021</t>
        </is>
      </c>
      <c r="B775" s="1" t="n">
        <v>44242</v>
      </c>
      <c r="C775" s="1" t="n">
        <v>45576</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7659-2021</t>
        </is>
      </c>
      <c r="B776" s="1" t="n">
        <v>44242</v>
      </c>
      <c r="C776" s="1" t="n">
        <v>45576</v>
      </c>
      <c r="D776" t="inlineStr">
        <is>
          <t>VÄSTERNORRLANDS LÄN</t>
        </is>
      </c>
      <c r="E776" t="inlineStr">
        <is>
          <t>SOLLEFTEÅ</t>
        </is>
      </c>
      <c r="G776" t="n">
        <v>8.1</v>
      </c>
      <c r="H776" t="n">
        <v>0</v>
      </c>
      <c r="I776" t="n">
        <v>0</v>
      </c>
      <c r="J776" t="n">
        <v>0</v>
      </c>
      <c r="K776" t="n">
        <v>0</v>
      </c>
      <c r="L776" t="n">
        <v>0</v>
      </c>
      <c r="M776" t="n">
        <v>0</v>
      </c>
      <c r="N776" t="n">
        <v>0</v>
      </c>
      <c r="O776" t="n">
        <v>0</v>
      </c>
      <c r="P776" t="n">
        <v>0</v>
      </c>
      <c r="Q776" t="n">
        <v>0</v>
      </c>
      <c r="R776" s="2" t="inlineStr"/>
    </row>
    <row r="777" ht="15" customHeight="1">
      <c r="A777" t="inlineStr">
        <is>
          <t>A 7889-2021</t>
        </is>
      </c>
      <c r="B777" s="1" t="n">
        <v>44242</v>
      </c>
      <c r="C777" s="1" t="n">
        <v>45576</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8631-2021</t>
        </is>
      </c>
      <c r="B778" s="1" t="n">
        <v>44245</v>
      </c>
      <c r="C778" s="1" t="n">
        <v>45576</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8692-2021</t>
        </is>
      </c>
      <c r="B779" s="1" t="n">
        <v>44246</v>
      </c>
      <c r="C779" s="1" t="n">
        <v>45576</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9461-2021</t>
        </is>
      </c>
      <c r="B780" s="1" t="n">
        <v>44251</v>
      </c>
      <c r="C780" s="1" t="n">
        <v>45576</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11270-2021</t>
        </is>
      </c>
      <c r="B781" s="1" t="n">
        <v>44263</v>
      </c>
      <c r="C781" s="1" t="n">
        <v>45576</v>
      </c>
      <c r="D781" t="inlineStr">
        <is>
          <t>VÄSTERNORRLANDS LÄN</t>
        </is>
      </c>
      <c r="E781" t="inlineStr">
        <is>
          <t>SOLLEFTEÅ</t>
        </is>
      </c>
      <c r="F781" t="inlineStr">
        <is>
          <t>Kommuner</t>
        </is>
      </c>
      <c r="G781" t="n">
        <v>10.9</v>
      </c>
      <c r="H781" t="n">
        <v>0</v>
      </c>
      <c r="I781" t="n">
        <v>0</v>
      </c>
      <c r="J781" t="n">
        <v>0</v>
      </c>
      <c r="K781" t="n">
        <v>0</v>
      </c>
      <c r="L781" t="n">
        <v>0</v>
      </c>
      <c r="M781" t="n">
        <v>0</v>
      </c>
      <c r="N781" t="n">
        <v>0</v>
      </c>
      <c r="O781" t="n">
        <v>0</v>
      </c>
      <c r="P781" t="n">
        <v>0</v>
      </c>
      <c r="Q781" t="n">
        <v>0</v>
      </c>
      <c r="R781" s="2" t="inlineStr"/>
    </row>
    <row r="782" ht="15" customHeight="1">
      <c r="A782" t="inlineStr">
        <is>
          <t>A 11710-2021</t>
        </is>
      </c>
      <c r="B782" s="1" t="n">
        <v>44264</v>
      </c>
      <c r="C782" s="1" t="n">
        <v>45576</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12278-2021</t>
        </is>
      </c>
      <c r="B783" s="1" t="n">
        <v>44266</v>
      </c>
      <c r="C783" s="1" t="n">
        <v>45576</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12277-2021</t>
        </is>
      </c>
      <c r="B784" s="1" t="n">
        <v>44266</v>
      </c>
      <c r="C784" s="1" t="n">
        <v>45576</v>
      </c>
      <c r="D784" t="inlineStr">
        <is>
          <t>VÄSTERNORRLANDS LÄN</t>
        </is>
      </c>
      <c r="E784" t="inlineStr">
        <is>
          <t>SOLLEFTEÅ</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12279-2021</t>
        </is>
      </c>
      <c r="B785" s="1" t="n">
        <v>44266</v>
      </c>
      <c r="C785" s="1" t="n">
        <v>45576</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14733-2021</t>
        </is>
      </c>
      <c r="B786" s="1" t="n">
        <v>44280</v>
      </c>
      <c r="C786" s="1" t="n">
        <v>45576</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15101-2021</t>
        </is>
      </c>
      <c r="B787" s="1" t="n">
        <v>44281</v>
      </c>
      <c r="C787" s="1" t="n">
        <v>45576</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15098-2021</t>
        </is>
      </c>
      <c r="B788" s="1" t="n">
        <v>44281</v>
      </c>
      <c r="C788" s="1" t="n">
        <v>45576</v>
      </c>
      <c r="D788" t="inlineStr">
        <is>
          <t>VÄSTERNORRLANDS LÄN</t>
        </is>
      </c>
      <c r="E788" t="inlineStr">
        <is>
          <t>SOLLEFTEÅ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15461-2021</t>
        </is>
      </c>
      <c r="B789" s="1" t="n">
        <v>44285</v>
      </c>
      <c r="C789" s="1" t="n">
        <v>45576</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15894-2021</t>
        </is>
      </c>
      <c r="B790" s="1" t="n">
        <v>44286</v>
      </c>
      <c r="C790" s="1" t="n">
        <v>45576</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16700-2021</t>
        </is>
      </c>
      <c r="B791" s="1" t="n">
        <v>44293</v>
      </c>
      <c r="C791" s="1" t="n">
        <v>45576</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16799-2021</t>
        </is>
      </c>
      <c r="B792" s="1" t="n">
        <v>44293</v>
      </c>
      <c r="C792" s="1" t="n">
        <v>45576</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16905-2021</t>
        </is>
      </c>
      <c r="B793" s="1" t="n">
        <v>44294</v>
      </c>
      <c r="C793" s="1" t="n">
        <v>45576</v>
      </c>
      <c r="D793" t="inlineStr">
        <is>
          <t>VÄSTERNORRLANDS LÄN</t>
        </is>
      </c>
      <c r="E793" t="inlineStr">
        <is>
          <t>SOLLEFTEÅ</t>
        </is>
      </c>
      <c r="G793" t="n">
        <v>5</v>
      </c>
      <c r="H793" t="n">
        <v>0</v>
      </c>
      <c r="I793" t="n">
        <v>0</v>
      </c>
      <c r="J793" t="n">
        <v>0</v>
      </c>
      <c r="K793" t="n">
        <v>0</v>
      </c>
      <c r="L793" t="n">
        <v>0</v>
      </c>
      <c r="M793" t="n">
        <v>0</v>
      </c>
      <c r="N793" t="n">
        <v>0</v>
      </c>
      <c r="O793" t="n">
        <v>0</v>
      </c>
      <c r="P793" t="n">
        <v>0</v>
      </c>
      <c r="Q793" t="n">
        <v>0</v>
      </c>
      <c r="R793" s="2" t="inlineStr"/>
    </row>
    <row r="794" ht="15" customHeight="1">
      <c r="A794" t="inlineStr">
        <is>
          <t>A 17604-2021</t>
        </is>
      </c>
      <c r="B794" s="1" t="n">
        <v>44299</v>
      </c>
      <c r="C794" s="1" t="n">
        <v>45576</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18459-2021</t>
        </is>
      </c>
      <c r="B795" s="1" t="n">
        <v>44306</v>
      </c>
      <c r="C795" s="1" t="n">
        <v>45576</v>
      </c>
      <c r="D795" t="inlineStr">
        <is>
          <t>VÄSTERNORRLANDS LÄN</t>
        </is>
      </c>
      <c r="E795" t="inlineStr">
        <is>
          <t>SOLLEFTEÅ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18668-2021</t>
        </is>
      </c>
      <c r="B796" s="1" t="n">
        <v>44306</v>
      </c>
      <c r="C796" s="1" t="n">
        <v>45576</v>
      </c>
      <c r="D796" t="inlineStr">
        <is>
          <t>VÄSTERNORRLANDS LÄN</t>
        </is>
      </c>
      <c r="E796" t="inlineStr">
        <is>
          <t>SOLLEFTEÅ</t>
        </is>
      </c>
      <c r="G796" t="n">
        <v>12.7</v>
      </c>
      <c r="H796" t="n">
        <v>0</v>
      </c>
      <c r="I796" t="n">
        <v>0</v>
      </c>
      <c r="J796" t="n">
        <v>0</v>
      </c>
      <c r="K796" t="n">
        <v>0</v>
      </c>
      <c r="L796" t="n">
        <v>0</v>
      </c>
      <c r="M796" t="n">
        <v>0</v>
      </c>
      <c r="N796" t="n">
        <v>0</v>
      </c>
      <c r="O796" t="n">
        <v>0</v>
      </c>
      <c r="P796" t="n">
        <v>0</v>
      </c>
      <c r="Q796" t="n">
        <v>0</v>
      </c>
      <c r="R796" s="2" t="inlineStr"/>
    </row>
    <row r="797" ht="15" customHeight="1">
      <c r="A797" t="inlineStr">
        <is>
          <t>A 18741-2021</t>
        </is>
      </c>
      <c r="B797" s="1" t="n">
        <v>44306</v>
      </c>
      <c r="C797" s="1" t="n">
        <v>45576</v>
      </c>
      <c r="D797" t="inlineStr">
        <is>
          <t>VÄSTERNORRLANDS LÄN</t>
        </is>
      </c>
      <c r="E797" t="inlineStr">
        <is>
          <t>SOLLEFTEÅ</t>
        </is>
      </c>
      <c r="F797" t="inlineStr">
        <is>
          <t>Kyrkan</t>
        </is>
      </c>
      <c r="G797" t="n">
        <v>4.8</v>
      </c>
      <c r="H797" t="n">
        <v>0</v>
      </c>
      <c r="I797" t="n">
        <v>0</v>
      </c>
      <c r="J797" t="n">
        <v>0</v>
      </c>
      <c r="K797" t="n">
        <v>0</v>
      </c>
      <c r="L797" t="n">
        <v>0</v>
      </c>
      <c r="M797" t="n">
        <v>0</v>
      </c>
      <c r="N797" t="n">
        <v>0</v>
      </c>
      <c r="O797" t="n">
        <v>0</v>
      </c>
      <c r="P797" t="n">
        <v>0</v>
      </c>
      <c r="Q797" t="n">
        <v>0</v>
      </c>
      <c r="R797" s="2" t="inlineStr"/>
    </row>
    <row r="798" ht="15" customHeight="1">
      <c r="A798" t="inlineStr">
        <is>
          <t>A 18662-2021</t>
        </is>
      </c>
      <c r="B798" s="1" t="n">
        <v>44306</v>
      </c>
      <c r="C798" s="1" t="n">
        <v>45576</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18766-2021</t>
        </is>
      </c>
      <c r="B799" s="1" t="n">
        <v>44307</v>
      </c>
      <c r="C799" s="1" t="n">
        <v>45576</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18761-2021</t>
        </is>
      </c>
      <c r="B800" s="1" t="n">
        <v>44307</v>
      </c>
      <c r="C800" s="1" t="n">
        <v>45576</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18873-2021</t>
        </is>
      </c>
      <c r="B801" s="1" t="n">
        <v>44308</v>
      </c>
      <c r="C801" s="1" t="n">
        <v>45576</v>
      </c>
      <c r="D801" t="inlineStr">
        <is>
          <t>VÄSTERNORRLANDS LÄN</t>
        </is>
      </c>
      <c r="E801" t="inlineStr">
        <is>
          <t>SOLLEFTEÅ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18878-2021</t>
        </is>
      </c>
      <c r="B802" s="1" t="n">
        <v>44307</v>
      </c>
      <c r="C802" s="1" t="n">
        <v>45576</v>
      </c>
      <c r="D802" t="inlineStr">
        <is>
          <t>VÄSTERNORRLANDS LÄN</t>
        </is>
      </c>
      <c r="E802" t="inlineStr">
        <is>
          <t>SOLLEFTEÅ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18867-2021</t>
        </is>
      </c>
      <c r="B803" s="1" t="n">
        <v>44307</v>
      </c>
      <c r="C803" s="1" t="n">
        <v>45576</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18882-2021</t>
        </is>
      </c>
      <c r="B804" s="1" t="n">
        <v>44308</v>
      </c>
      <c r="C804" s="1" t="n">
        <v>45576</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18875-2021</t>
        </is>
      </c>
      <c r="B805" s="1" t="n">
        <v>44307</v>
      </c>
      <c r="C805" s="1" t="n">
        <v>45576</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18866-2021</t>
        </is>
      </c>
      <c r="B806" s="1" t="n">
        <v>44308</v>
      </c>
      <c r="C806" s="1" t="n">
        <v>45576</v>
      </c>
      <c r="D806" t="inlineStr">
        <is>
          <t>VÄSTERNORRLANDS LÄN</t>
        </is>
      </c>
      <c r="E806" t="inlineStr">
        <is>
          <t>SOLLEFTEÅ</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18874-2021</t>
        </is>
      </c>
      <c r="B807" s="1" t="n">
        <v>44308</v>
      </c>
      <c r="C807" s="1" t="n">
        <v>45576</v>
      </c>
      <c r="D807" t="inlineStr">
        <is>
          <t>VÄSTERNORRLANDS LÄN</t>
        </is>
      </c>
      <c r="E807" t="inlineStr">
        <is>
          <t>SOLLEFTEÅ</t>
        </is>
      </c>
      <c r="F807" t="inlineStr">
        <is>
          <t>SCA</t>
        </is>
      </c>
      <c r="G807" t="n">
        <v>10.7</v>
      </c>
      <c r="H807" t="n">
        <v>0</v>
      </c>
      <c r="I807" t="n">
        <v>0</v>
      </c>
      <c r="J807" t="n">
        <v>0</v>
      </c>
      <c r="K807" t="n">
        <v>0</v>
      </c>
      <c r="L807" t="n">
        <v>0</v>
      </c>
      <c r="M807" t="n">
        <v>0</v>
      </c>
      <c r="N807" t="n">
        <v>0</v>
      </c>
      <c r="O807" t="n">
        <v>0</v>
      </c>
      <c r="P807" t="n">
        <v>0</v>
      </c>
      <c r="Q807" t="n">
        <v>0</v>
      </c>
      <c r="R807" s="2" t="inlineStr"/>
    </row>
    <row r="808" ht="15" customHeight="1">
      <c r="A808" t="inlineStr">
        <is>
          <t>A 18879-2021</t>
        </is>
      </c>
      <c r="B808" s="1" t="n">
        <v>44307</v>
      </c>
      <c r="C808" s="1" t="n">
        <v>45576</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18868-2021</t>
        </is>
      </c>
      <c r="B809" s="1" t="n">
        <v>44307</v>
      </c>
      <c r="C809" s="1" t="n">
        <v>45576</v>
      </c>
      <c r="D809" t="inlineStr">
        <is>
          <t>VÄSTERNORRLANDS LÄN</t>
        </is>
      </c>
      <c r="E809" t="inlineStr">
        <is>
          <t>SOLLEFTEÅ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18877-2021</t>
        </is>
      </c>
      <c r="B810" s="1" t="n">
        <v>44308</v>
      </c>
      <c r="C810" s="1" t="n">
        <v>45576</v>
      </c>
      <c r="D810" t="inlineStr">
        <is>
          <t>VÄSTERNORRLANDS LÄN</t>
        </is>
      </c>
      <c r="E810" t="inlineStr">
        <is>
          <t>SOLLEFTEÅ</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18889-2021</t>
        </is>
      </c>
      <c r="B811" s="1" t="n">
        <v>44308</v>
      </c>
      <c r="C811" s="1" t="n">
        <v>45576</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19200-2021</t>
        </is>
      </c>
      <c r="B812" s="1" t="n">
        <v>44309</v>
      </c>
      <c r="C812" s="1" t="n">
        <v>45576</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19510-2021</t>
        </is>
      </c>
      <c r="B813" s="1" t="n">
        <v>44308</v>
      </c>
      <c r="C813" s="1" t="n">
        <v>45576</v>
      </c>
      <c r="D813" t="inlineStr">
        <is>
          <t>VÄSTERNORRLANDS LÄN</t>
        </is>
      </c>
      <c r="E813" t="inlineStr">
        <is>
          <t>SOLLEFTEÅ</t>
        </is>
      </c>
      <c r="F813" t="inlineStr">
        <is>
          <t>Kyrkan</t>
        </is>
      </c>
      <c r="G813" t="n">
        <v>19.6</v>
      </c>
      <c r="H813" t="n">
        <v>0</v>
      </c>
      <c r="I813" t="n">
        <v>0</v>
      </c>
      <c r="J813" t="n">
        <v>0</v>
      </c>
      <c r="K813" t="n">
        <v>0</v>
      </c>
      <c r="L813" t="n">
        <v>0</v>
      </c>
      <c r="M813" t="n">
        <v>0</v>
      </c>
      <c r="N813" t="n">
        <v>0</v>
      </c>
      <c r="O813" t="n">
        <v>0</v>
      </c>
      <c r="P813" t="n">
        <v>0</v>
      </c>
      <c r="Q813" t="n">
        <v>0</v>
      </c>
      <c r="R813" s="2" t="inlineStr"/>
    </row>
    <row r="814" ht="15" customHeight="1">
      <c r="A814" t="inlineStr">
        <is>
          <t>A 19220-2021</t>
        </is>
      </c>
      <c r="B814" s="1" t="n">
        <v>44309</v>
      </c>
      <c r="C814" s="1" t="n">
        <v>45576</v>
      </c>
      <c r="D814" t="inlineStr">
        <is>
          <t>VÄSTERNORRLANDS LÄN</t>
        </is>
      </c>
      <c r="E814" t="inlineStr">
        <is>
          <t>SOLLEFTEÅ</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19433-2021</t>
        </is>
      </c>
      <c r="B815" s="1" t="n">
        <v>44310</v>
      </c>
      <c r="C815" s="1" t="n">
        <v>45576</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19412-2021</t>
        </is>
      </c>
      <c r="B816" s="1" t="n">
        <v>44310</v>
      </c>
      <c r="C816" s="1" t="n">
        <v>45576</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19435-2021</t>
        </is>
      </c>
      <c r="B817" s="1" t="n">
        <v>44310</v>
      </c>
      <c r="C817" s="1" t="n">
        <v>45576</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19516-2021</t>
        </is>
      </c>
      <c r="B818" s="1" t="n">
        <v>44309</v>
      </c>
      <c r="C818" s="1" t="n">
        <v>45576</v>
      </c>
      <c r="D818" t="inlineStr">
        <is>
          <t>VÄSTERNORRLANDS LÄN</t>
        </is>
      </c>
      <c r="E818" t="inlineStr">
        <is>
          <t>SOLLEFTEÅ</t>
        </is>
      </c>
      <c r="G818" t="n">
        <v>15.6</v>
      </c>
      <c r="H818" t="n">
        <v>0</v>
      </c>
      <c r="I818" t="n">
        <v>0</v>
      </c>
      <c r="J818" t="n">
        <v>0</v>
      </c>
      <c r="K818" t="n">
        <v>0</v>
      </c>
      <c r="L818" t="n">
        <v>0</v>
      </c>
      <c r="M818" t="n">
        <v>0</v>
      </c>
      <c r="N818" t="n">
        <v>0</v>
      </c>
      <c r="O818" t="n">
        <v>0</v>
      </c>
      <c r="P818" t="n">
        <v>0</v>
      </c>
      <c r="Q818" t="n">
        <v>0</v>
      </c>
      <c r="R818" s="2" t="inlineStr"/>
    </row>
    <row r="819" ht="15" customHeight="1">
      <c r="A819" t="inlineStr">
        <is>
          <t>A 19830-2021</t>
        </is>
      </c>
      <c r="B819" s="1" t="n">
        <v>44312</v>
      </c>
      <c r="C819" s="1" t="n">
        <v>45576</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19637-2021</t>
        </is>
      </c>
      <c r="B820" s="1" t="n">
        <v>44312</v>
      </c>
      <c r="C820" s="1" t="n">
        <v>45576</v>
      </c>
      <c r="D820" t="inlineStr">
        <is>
          <t>VÄSTERNORRLANDS LÄN</t>
        </is>
      </c>
      <c r="E820" t="inlineStr">
        <is>
          <t>SOLLEFTEÅ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21341-2021</t>
        </is>
      </c>
      <c r="B821" s="1" t="n">
        <v>44321</v>
      </c>
      <c r="C821" s="1" t="n">
        <v>45576</v>
      </c>
      <c r="D821" t="inlineStr">
        <is>
          <t>VÄSTERNORRLANDS LÄN</t>
        </is>
      </c>
      <c r="E821" t="inlineStr">
        <is>
          <t>SOLLEFTEÅ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21350-2021</t>
        </is>
      </c>
      <c r="B822" s="1" t="n">
        <v>44321</v>
      </c>
      <c r="C822" s="1" t="n">
        <v>45576</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21358-2021</t>
        </is>
      </c>
      <c r="B823" s="1" t="n">
        <v>44320</v>
      </c>
      <c r="C823" s="1" t="n">
        <v>45576</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21362-2021</t>
        </is>
      </c>
      <c r="B824" s="1" t="n">
        <v>44321</v>
      </c>
      <c r="C824" s="1" t="n">
        <v>45576</v>
      </c>
      <c r="D824" t="inlineStr">
        <is>
          <t>VÄSTERNORRLANDS LÄN</t>
        </is>
      </c>
      <c r="E824" t="inlineStr">
        <is>
          <t>SOLLEFTEÅ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21532-2021</t>
        </is>
      </c>
      <c r="B825" s="1" t="n">
        <v>44321</v>
      </c>
      <c r="C825" s="1" t="n">
        <v>45576</v>
      </c>
      <c r="D825" t="inlineStr">
        <is>
          <t>VÄSTERNORRLANDS LÄN</t>
        </is>
      </c>
      <c r="E825" t="inlineStr">
        <is>
          <t>SOLLEFTEÅ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21589-2021</t>
        </is>
      </c>
      <c r="B826" s="1" t="n">
        <v>44321</v>
      </c>
      <c r="C826" s="1" t="n">
        <v>45576</v>
      </c>
      <c r="D826" t="inlineStr">
        <is>
          <t>VÄSTERNORRLANDS LÄN</t>
        </is>
      </c>
      <c r="E826" t="inlineStr">
        <is>
          <t>SOLLEFTEÅ</t>
        </is>
      </c>
      <c r="G826" t="n">
        <v>7</v>
      </c>
      <c r="H826" t="n">
        <v>0</v>
      </c>
      <c r="I826" t="n">
        <v>0</v>
      </c>
      <c r="J826" t="n">
        <v>0</v>
      </c>
      <c r="K826" t="n">
        <v>0</v>
      </c>
      <c r="L826" t="n">
        <v>0</v>
      </c>
      <c r="M826" t="n">
        <v>0</v>
      </c>
      <c r="N826" t="n">
        <v>0</v>
      </c>
      <c r="O826" t="n">
        <v>0</v>
      </c>
      <c r="P826" t="n">
        <v>0</v>
      </c>
      <c r="Q826" t="n">
        <v>0</v>
      </c>
      <c r="R826" s="2" t="inlineStr"/>
    </row>
    <row r="827" ht="15" customHeight="1">
      <c r="A827" t="inlineStr">
        <is>
          <t>A 21711-2021</t>
        </is>
      </c>
      <c r="B827" s="1" t="n">
        <v>44322</v>
      </c>
      <c r="C827" s="1" t="n">
        <v>45576</v>
      </c>
      <c r="D827" t="inlineStr">
        <is>
          <t>VÄSTERNORRLANDS LÄN</t>
        </is>
      </c>
      <c r="E827" t="inlineStr">
        <is>
          <t>SOLLEFTEÅ</t>
        </is>
      </c>
      <c r="F827" t="inlineStr">
        <is>
          <t>Kyrkan</t>
        </is>
      </c>
      <c r="G827" t="n">
        <v>22.2</v>
      </c>
      <c r="H827" t="n">
        <v>0</v>
      </c>
      <c r="I827" t="n">
        <v>0</v>
      </c>
      <c r="J827" t="n">
        <v>0</v>
      </c>
      <c r="K827" t="n">
        <v>0</v>
      </c>
      <c r="L827" t="n">
        <v>0</v>
      </c>
      <c r="M827" t="n">
        <v>0</v>
      </c>
      <c r="N827" t="n">
        <v>0</v>
      </c>
      <c r="O827" t="n">
        <v>0</v>
      </c>
      <c r="P827" t="n">
        <v>0</v>
      </c>
      <c r="Q827" t="n">
        <v>0</v>
      </c>
      <c r="R827" s="2" t="inlineStr"/>
    </row>
    <row r="828" ht="15" customHeight="1">
      <c r="A828" t="inlineStr">
        <is>
          <t>A 21924-2021</t>
        </is>
      </c>
      <c r="B828" s="1" t="n">
        <v>44323</v>
      </c>
      <c r="C828" s="1" t="n">
        <v>45576</v>
      </c>
      <c r="D828" t="inlineStr">
        <is>
          <t>VÄSTERNORRLANDS LÄN</t>
        </is>
      </c>
      <c r="E828" t="inlineStr">
        <is>
          <t>SOLLEFTEÅ</t>
        </is>
      </c>
      <c r="G828" t="n">
        <v>3.6</v>
      </c>
      <c r="H828" t="n">
        <v>0</v>
      </c>
      <c r="I828" t="n">
        <v>0</v>
      </c>
      <c r="J828" t="n">
        <v>0</v>
      </c>
      <c r="K828" t="n">
        <v>0</v>
      </c>
      <c r="L828" t="n">
        <v>0</v>
      </c>
      <c r="M828" t="n">
        <v>0</v>
      </c>
      <c r="N828" t="n">
        <v>0</v>
      </c>
      <c r="O828" t="n">
        <v>0</v>
      </c>
      <c r="P828" t="n">
        <v>0</v>
      </c>
      <c r="Q828" t="n">
        <v>0</v>
      </c>
      <c r="R828" s="2" t="inlineStr"/>
    </row>
    <row r="829" ht="15" customHeight="1">
      <c r="A829" t="inlineStr">
        <is>
          <t>A 22447-2021</t>
        </is>
      </c>
      <c r="B829" s="1" t="n">
        <v>44323</v>
      </c>
      <c r="C829" s="1" t="n">
        <v>45576</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22441-2021</t>
        </is>
      </c>
      <c r="B830" s="1" t="n">
        <v>44323</v>
      </c>
      <c r="C830" s="1" t="n">
        <v>45576</v>
      </c>
      <c r="D830" t="inlineStr">
        <is>
          <t>VÄSTERNORRLANDS LÄN</t>
        </is>
      </c>
      <c r="E830" t="inlineStr">
        <is>
          <t>SOLLEFTEÅ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22224-2021</t>
        </is>
      </c>
      <c r="B831" s="1" t="n">
        <v>44326</v>
      </c>
      <c r="C831" s="1" t="n">
        <v>45576</v>
      </c>
      <c r="D831" t="inlineStr">
        <is>
          <t>VÄSTERNORRLANDS LÄN</t>
        </is>
      </c>
      <c r="E831" t="inlineStr">
        <is>
          <t>SOLLEFTEÅ</t>
        </is>
      </c>
      <c r="F831" t="inlineStr">
        <is>
          <t>Kommuner</t>
        </is>
      </c>
      <c r="G831" t="n">
        <v>2.3</v>
      </c>
      <c r="H831" t="n">
        <v>0</v>
      </c>
      <c r="I831" t="n">
        <v>0</v>
      </c>
      <c r="J831" t="n">
        <v>0</v>
      </c>
      <c r="K831" t="n">
        <v>0</v>
      </c>
      <c r="L831" t="n">
        <v>0</v>
      </c>
      <c r="M831" t="n">
        <v>0</v>
      </c>
      <c r="N831" t="n">
        <v>0</v>
      </c>
      <c r="O831" t="n">
        <v>0</v>
      </c>
      <c r="P831" t="n">
        <v>0</v>
      </c>
      <c r="Q831" t="n">
        <v>0</v>
      </c>
      <c r="R831" s="2" t="inlineStr"/>
    </row>
    <row r="832" ht="15" customHeight="1">
      <c r="A832" t="inlineStr">
        <is>
          <t>A 22934-2021</t>
        </is>
      </c>
      <c r="B832" s="1" t="n">
        <v>44328</v>
      </c>
      <c r="C832" s="1" t="n">
        <v>45576</v>
      </c>
      <c r="D832" t="inlineStr">
        <is>
          <t>VÄSTERNORRLANDS LÄN</t>
        </is>
      </c>
      <c r="E832" t="inlineStr">
        <is>
          <t>SOLLEFTEÅ</t>
        </is>
      </c>
      <c r="G832" t="n">
        <v>10</v>
      </c>
      <c r="H832" t="n">
        <v>0</v>
      </c>
      <c r="I832" t="n">
        <v>0</v>
      </c>
      <c r="J832" t="n">
        <v>0</v>
      </c>
      <c r="K832" t="n">
        <v>0</v>
      </c>
      <c r="L832" t="n">
        <v>0</v>
      </c>
      <c r="M832" t="n">
        <v>0</v>
      </c>
      <c r="N832" t="n">
        <v>0</v>
      </c>
      <c r="O832" t="n">
        <v>0</v>
      </c>
      <c r="P832" t="n">
        <v>0</v>
      </c>
      <c r="Q832" t="n">
        <v>0</v>
      </c>
      <c r="R832" s="2" t="inlineStr"/>
    </row>
    <row r="833" ht="15" customHeight="1">
      <c r="A833" t="inlineStr">
        <is>
          <t>A 23033-2021</t>
        </is>
      </c>
      <c r="B833" s="1" t="n">
        <v>44329</v>
      </c>
      <c r="C833" s="1" t="n">
        <v>45576</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23032-2021</t>
        </is>
      </c>
      <c r="B834" s="1" t="n">
        <v>44329</v>
      </c>
      <c r="C834" s="1" t="n">
        <v>45576</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23034-2021</t>
        </is>
      </c>
      <c r="B835" s="1" t="n">
        <v>44329</v>
      </c>
      <c r="C835" s="1" t="n">
        <v>45576</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23030-2021</t>
        </is>
      </c>
      <c r="B836" s="1" t="n">
        <v>44329</v>
      </c>
      <c r="C836" s="1" t="n">
        <v>45576</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23069-2021</t>
        </is>
      </c>
      <c r="B837" s="1" t="n">
        <v>44330</v>
      </c>
      <c r="C837" s="1" t="n">
        <v>45576</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23394-2021</t>
        </is>
      </c>
      <c r="B838" s="1" t="n">
        <v>44333</v>
      </c>
      <c r="C838" s="1" t="n">
        <v>45576</v>
      </c>
      <c r="D838" t="inlineStr">
        <is>
          <t>VÄSTERNORRLANDS LÄN</t>
        </is>
      </c>
      <c r="E838" t="inlineStr">
        <is>
          <t>SOLLEFTEÅ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23639-2021</t>
        </is>
      </c>
      <c r="B839" s="1" t="n">
        <v>44334</v>
      </c>
      <c r="C839" s="1" t="n">
        <v>45576</v>
      </c>
      <c r="D839" t="inlineStr">
        <is>
          <t>VÄSTERNORRLANDS LÄN</t>
        </is>
      </c>
      <c r="E839" t="inlineStr">
        <is>
          <t>SOLLEFTEÅ</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23689-2021</t>
        </is>
      </c>
      <c r="B840" s="1" t="n">
        <v>44334</v>
      </c>
      <c r="C840" s="1" t="n">
        <v>45576</v>
      </c>
      <c r="D840" t="inlineStr">
        <is>
          <t>VÄSTERNORRLANDS LÄN</t>
        </is>
      </c>
      <c r="E840" t="inlineStr">
        <is>
          <t>SOLLEFTEÅ</t>
        </is>
      </c>
      <c r="G840" t="n">
        <v>14.9</v>
      </c>
      <c r="H840" t="n">
        <v>0</v>
      </c>
      <c r="I840" t="n">
        <v>0</v>
      </c>
      <c r="J840" t="n">
        <v>0</v>
      </c>
      <c r="K840" t="n">
        <v>0</v>
      </c>
      <c r="L840" t="n">
        <v>0</v>
      </c>
      <c r="M840" t="n">
        <v>0</v>
      </c>
      <c r="N840" t="n">
        <v>0</v>
      </c>
      <c r="O840" t="n">
        <v>0</v>
      </c>
      <c r="P840" t="n">
        <v>0</v>
      </c>
      <c r="Q840" t="n">
        <v>0</v>
      </c>
      <c r="R840" s="2" t="inlineStr"/>
    </row>
    <row r="841" ht="15" customHeight="1">
      <c r="A841" t="inlineStr">
        <is>
          <t>A 23770-2021</t>
        </is>
      </c>
      <c r="B841" s="1" t="n">
        <v>44335</v>
      </c>
      <c r="C841" s="1" t="n">
        <v>45576</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23753-2021</t>
        </is>
      </c>
      <c r="B842" s="1" t="n">
        <v>44334</v>
      </c>
      <c r="C842" s="1" t="n">
        <v>45576</v>
      </c>
      <c r="D842" t="inlineStr">
        <is>
          <t>VÄSTERNORRLANDS LÄN</t>
        </is>
      </c>
      <c r="E842" t="inlineStr">
        <is>
          <t>SOLLEFTEÅ</t>
        </is>
      </c>
      <c r="G842" t="n">
        <v>14.8</v>
      </c>
      <c r="H842" t="n">
        <v>0</v>
      </c>
      <c r="I842" t="n">
        <v>0</v>
      </c>
      <c r="J842" t="n">
        <v>0</v>
      </c>
      <c r="K842" t="n">
        <v>0</v>
      </c>
      <c r="L842" t="n">
        <v>0</v>
      </c>
      <c r="M842" t="n">
        <v>0</v>
      </c>
      <c r="N842" t="n">
        <v>0</v>
      </c>
      <c r="O842" t="n">
        <v>0</v>
      </c>
      <c r="P842" t="n">
        <v>0</v>
      </c>
      <c r="Q842" t="n">
        <v>0</v>
      </c>
      <c r="R842" s="2" t="inlineStr"/>
    </row>
    <row r="843" ht="15" customHeight="1">
      <c r="A843" t="inlineStr">
        <is>
          <t>A 23814-2021</t>
        </is>
      </c>
      <c r="B843" s="1" t="n">
        <v>44335</v>
      </c>
      <c r="C843" s="1" t="n">
        <v>45576</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24243-2021</t>
        </is>
      </c>
      <c r="B844" s="1" t="n">
        <v>44336</v>
      </c>
      <c r="C844" s="1" t="n">
        <v>45576</v>
      </c>
      <c r="D844" t="inlineStr">
        <is>
          <t>VÄSTERNORRLANDS LÄN</t>
        </is>
      </c>
      <c r="E844" t="inlineStr">
        <is>
          <t>SOLLEFTEÅ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24244-2021</t>
        </is>
      </c>
      <c r="B845" s="1" t="n">
        <v>44337</v>
      </c>
      <c r="C845" s="1" t="n">
        <v>45576</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24720-2021</t>
        </is>
      </c>
      <c r="B846" s="1" t="n">
        <v>44340</v>
      </c>
      <c r="C846" s="1" t="n">
        <v>45576</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24731-2021</t>
        </is>
      </c>
      <c r="B847" s="1" t="n">
        <v>44340</v>
      </c>
      <c r="C847" s="1" t="n">
        <v>45576</v>
      </c>
      <c r="D847" t="inlineStr">
        <is>
          <t>VÄSTERNORRLANDS LÄN</t>
        </is>
      </c>
      <c r="E847" t="inlineStr">
        <is>
          <t>SOLLEFTEÅ</t>
        </is>
      </c>
      <c r="G847" t="n">
        <v>5.3</v>
      </c>
      <c r="H847" t="n">
        <v>0</v>
      </c>
      <c r="I847" t="n">
        <v>0</v>
      </c>
      <c r="J847" t="n">
        <v>0</v>
      </c>
      <c r="K847" t="n">
        <v>0</v>
      </c>
      <c r="L847" t="n">
        <v>0</v>
      </c>
      <c r="M847" t="n">
        <v>0</v>
      </c>
      <c r="N847" t="n">
        <v>0</v>
      </c>
      <c r="O847" t="n">
        <v>0</v>
      </c>
      <c r="P847" t="n">
        <v>0</v>
      </c>
      <c r="Q847" t="n">
        <v>0</v>
      </c>
      <c r="R847" s="2" t="inlineStr"/>
    </row>
    <row r="848" ht="15" customHeight="1">
      <c r="A848" t="inlineStr">
        <is>
          <t>A 25183-2021</t>
        </is>
      </c>
      <c r="B848" s="1" t="n">
        <v>44341</v>
      </c>
      <c r="C848" s="1" t="n">
        <v>45576</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25156-2021</t>
        </is>
      </c>
      <c r="B849" s="1" t="n">
        <v>44341</v>
      </c>
      <c r="C849" s="1" t="n">
        <v>45576</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25152-2021</t>
        </is>
      </c>
      <c r="B850" s="1" t="n">
        <v>44341</v>
      </c>
      <c r="C850" s="1" t="n">
        <v>45576</v>
      </c>
      <c r="D850" t="inlineStr">
        <is>
          <t>VÄSTERNORRLANDS LÄN</t>
        </is>
      </c>
      <c r="E850" t="inlineStr">
        <is>
          <t>SOLLEFTEÅ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25329-2021</t>
        </is>
      </c>
      <c r="B851" s="1" t="n">
        <v>44342</v>
      </c>
      <c r="C851" s="1" t="n">
        <v>45576</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25345-2021</t>
        </is>
      </c>
      <c r="B852" s="1" t="n">
        <v>44342</v>
      </c>
      <c r="C852" s="1" t="n">
        <v>45576</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25522-2021</t>
        </is>
      </c>
      <c r="B853" s="1" t="n">
        <v>44342</v>
      </c>
      <c r="C853" s="1" t="n">
        <v>45576</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25999-2021</t>
        </is>
      </c>
      <c r="B854" s="1" t="n">
        <v>44344</v>
      </c>
      <c r="C854" s="1" t="n">
        <v>45576</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25877-2021</t>
        </is>
      </c>
      <c r="B855" s="1" t="n">
        <v>44344</v>
      </c>
      <c r="C855" s="1" t="n">
        <v>45576</v>
      </c>
      <c r="D855" t="inlineStr">
        <is>
          <t>VÄSTERNORRLANDS LÄN</t>
        </is>
      </c>
      <c r="E855" t="inlineStr">
        <is>
          <t>SOLLEFTEÅ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25989-2021</t>
        </is>
      </c>
      <c r="B856" s="1" t="n">
        <v>44344</v>
      </c>
      <c r="C856" s="1" t="n">
        <v>45576</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26406-2021</t>
        </is>
      </c>
      <c r="B857" s="1" t="n">
        <v>44347</v>
      </c>
      <c r="C857" s="1" t="n">
        <v>45576</v>
      </c>
      <c r="D857" t="inlineStr">
        <is>
          <t>VÄSTERNORRLANDS LÄN</t>
        </is>
      </c>
      <c r="E857" t="inlineStr">
        <is>
          <t>SOLLEFTEÅ</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26401-2021</t>
        </is>
      </c>
      <c r="B858" s="1" t="n">
        <v>44348</v>
      </c>
      <c r="C858" s="1" t="n">
        <v>45576</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26498-2021</t>
        </is>
      </c>
      <c r="B859" s="1" t="n">
        <v>44348</v>
      </c>
      <c r="C859" s="1" t="n">
        <v>45576</v>
      </c>
      <c r="D859" t="inlineStr">
        <is>
          <t>VÄSTERNORRLANDS LÄN</t>
        </is>
      </c>
      <c r="E859" t="inlineStr">
        <is>
          <t>SOLLEFTEÅ</t>
        </is>
      </c>
      <c r="G859" t="n">
        <v>7.8</v>
      </c>
      <c r="H859" t="n">
        <v>0</v>
      </c>
      <c r="I859" t="n">
        <v>0</v>
      </c>
      <c r="J859" t="n">
        <v>0</v>
      </c>
      <c r="K859" t="n">
        <v>0</v>
      </c>
      <c r="L859" t="n">
        <v>0</v>
      </c>
      <c r="M859" t="n">
        <v>0</v>
      </c>
      <c r="N859" t="n">
        <v>0</v>
      </c>
      <c r="O859" t="n">
        <v>0</v>
      </c>
      <c r="P859" t="n">
        <v>0</v>
      </c>
      <c r="Q859" t="n">
        <v>0</v>
      </c>
      <c r="R859" s="2" t="inlineStr"/>
    </row>
    <row r="860" ht="15" customHeight="1">
      <c r="A860" t="inlineStr">
        <is>
          <t>A 26559-2021</t>
        </is>
      </c>
      <c r="B860" s="1" t="n">
        <v>44348</v>
      </c>
      <c r="C860" s="1" t="n">
        <v>45576</v>
      </c>
      <c r="D860" t="inlineStr">
        <is>
          <t>VÄSTERNORRLANDS LÄN</t>
        </is>
      </c>
      <c r="E860" t="inlineStr">
        <is>
          <t>SOLLEFTEÅ</t>
        </is>
      </c>
      <c r="G860" t="n">
        <v>9</v>
      </c>
      <c r="H860" t="n">
        <v>0</v>
      </c>
      <c r="I860" t="n">
        <v>0</v>
      </c>
      <c r="J860" t="n">
        <v>0</v>
      </c>
      <c r="K860" t="n">
        <v>0</v>
      </c>
      <c r="L860" t="n">
        <v>0</v>
      </c>
      <c r="M860" t="n">
        <v>0</v>
      </c>
      <c r="N860" t="n">
        <v>0</v>
      </c>
      <c r="O860" t="n">
        <v>0</v>
      </c>
      <c r="P860" t="n">
        <v>0</v>
      </c>
      <c r="Q860" t="n">
        <v>0</v>
      </c>
      <c r="R860" s="2" t="inlineStr"/>
    </row>
    <row r="861" ht="15" customHeight="1">
      <c r="A861" t="inlineStr">
        <is>
          <t>A 26669-2021</t>
        </is>
      </c>
      <c r="B861" s="1" t="n">
        <v>44349</v>
      </c>
      <c r="C861" s="1" t="n">
        <v>45576</v>
      </c>
      <c r="D861" t="inlineStr">
        <is>
          <t>VÄSTERNORRLANDS LÄN</t>
        </is>
      </c>
      <c r="E861" t="inlineStr">
        <is>
          <t>SOLLEFTEÅ</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27809-2021</t>
        </is>
      </c>
      <c r="B862" s="1" t="n">
        <v>44354</v>
      </c>
      <c r="C862" s="1" t="n">
        <v>45576</v>
      </c>
      <c r="D862" t="inlineStr">
        <is>
          <t>VÄSTERNORRLANDS LÄN</t>
        </is>
      </c>
      <c r="E862" t="inlineStr">
        <is>
          <t>SOLLEFTEÅ</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27972-2021</t>
        </is>
      </c>
      <c r="B863" s="1" t="n">
        <v>44355</v>
      </c>
      <c r="C863" s="1" t="n">
        <v>45576</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28288-2021</t>
        </is>
      </c>
      <c r="B864" s="1" t="n">
        <v>44355</v>
      </c>
      <c r="C864" s="1" t="n">
        <v>45576</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28615-2021</t>
        </is>
      </c>
      <c r="B865" s="1" t="n">
        <v>44357</v>
      </c>
      <c r="C865" s="1" t="n">
        <v>45576</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28939-2021</t>
        </is>
      </c>
      <c r="B866" s="1" t="n">
        <v>44358</v>
      </c>
      <c r="C866" s="1" t="n">
        <v>45576</v>
      </c>
      <c r="D866" t="inlineStr">
        <is>
          <t>VÄSTERNORRLANDS LÄN</t>
        </is>
      </c>
      <c r="E866" t="inlineStr">
        <is>
          <t>SOLLEFTEÅ</t>
        </is>
      </c>
      <c r="G866" t="n">
        <v>4.4</v>
      </c>
      <c r="H866" t="n">
        <v>0</v>
      </c>
      <c r="I866" t="n">
        <v>0</v>
      </c>
      <c r="J866" t="n">
        <v>0</v>
      </c>
      <c r="K866" t="n">
        <v>0</v>
      </c>
      <c r="L866" t="n">
        <v>0</v>
      </c>
      <c r="M866" t="n">
        <v>0</v>
      </c>
      <c r="N866" t="n">
        <v>0</v>
      </c>
      <c r="O866" t="n">
        <v>0</v>
      </c>
      <c r="P866" t="n">
        <v>0</v>
      </c>
      <c r="Q866" t="n">
        <v>0</v>
      </c>
      <c r="R866" s="2" t="inlineStr"/>
    </row>
    <row r="867" ht="15" customHeight="1">
      <c r="A867" t="inlineStr">
        <is>
          <t>A 29623-2021</t>
        </is>
      </c>
      <c r="B867" s="1" t="n">
        <v>44361</v>
      </c>
      <c r="C867" s="1" t="n">
        <v>45576</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29602-2021</t>
        </is>
      </c>
      <c r="B868" s="1" t="n">
        <v>44362</v>
      </c>
      <c r="C868" s="1" t="n">
        <v>45576</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29829-2021</t>
        </is>
      </c>
      <c r="B869" s="1" t="n">
        <v>44362</v>
      </c>
      <c r="C869" s="1" t="n">
        <v>45576</v>
      </c>
      <c r="D869" t="inlineStr">
        <is>
          <t>VÄSTERNORRLANDS LÄN</t>
        </is>
      </c>
      <c r="E869" t="inlineStr">
        <is>
          <t>SOLLEFTEÅ</t>
        </is>
      </c>
      <c r="G869" t="n">
        <v>4</v>
      </c>
      <c r="H869" t="n">
        <v>0</v>
      </c>
      <c r="I869" t="n">
        <v>0</v>
      </c>
      <c r="J869" t="n">
        <v>0</v>
      </c>
      <c r="K869" t="n">
        <v>0</v>
      </c>
      <c r="L869" t="n">
        <v>0</v>
      </c>
      <c r="M869" t="n">
        <v>0</v>
      </c>
      <c r="N869" t="n">
        <v>0</v>
      </c>
      <c r="O869" t="n">
        <v>0</v>
      </c>
      <c r="P869" t="n">
        <v>0</v>
      </c>
      <c r="Q869" t="n">
        <v>0</v>
      </c>
      <c r="R869" s="2" t="inlineStr"/>
    </row>
    <row r="870" ht="15" customHeight="1">
      <c r="A870" t="inlineStr">
        <is>
          <t>A 30692-2021</t>
        </is>
      </c>
      <c r="B870" s="1" t="n">
        <v>44365</v>
      </c>
      <c r="C870" s="1" t="n">
        <v>45576</v>
      </c>
      <c r="D870" t="inlineStr">
        <is>
          <t>VÄSTERNORRLANDS LÄN</t>
        </is>
      </c>
      <c r="E870" t="inlineStr">
        <is>
          <t>SOLLEFTEÅ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31600-2021</t>
        </is>
      </c>
      <c r="B871" s="1" t="n">
        <v>44369</v>
      </c>
      <c r="C871" s="1" t="n">
        <v>45576</v>
      </c>
      <c r="D871" t="inlineStr">
        <is>
          <t>VÄSTERNORRLANDS LÄN</t>
        </is>
      </c>
      <c r="E871" t="inlineStr">
        <is>
          <t>SOLLEFTEÅ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31737-2021</t>
        </is>
      </c>
      <c r="B872" s="1" t="n">
        <v>44370</v>
      </c>
      <c r="C872" s="1" t="n">
        <v>45576</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32091-2021</t>
        </is>
      </c>
      <c r="B873" s="1" t="n">
        <v>44370</v>
      </c>
      <c r="C873" s="1" t="n">
        <v>45576</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33207-2021</t>
        </is>
      </c>
      <c r="B874" s="1" t="n">
        <v>44376</v>
      </c>
      <c r="C874" s="1" t="n">
        <v>45576</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33214-2021</t>
        </is>
      </c>
      <c r="B875" s="1" t="n">
        <v>44377</v>
      </c>
      <c r="C875" s="1" t="n">
        <v>45576</v>
      </c>
      <c r="D875" t="inlineStr">
        <is>
          <t>VÄSTERNORRLANDS LÄN</t>
        </is>
      </c>
      <c r="E875" t="inlineStr">
        <is>
          <t>SOLLEFTEÅ</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33895-2021</t>
        </is>
      </c>
      <c r="B876" s="1" t="n">
        <v>44378</v>
      </c>
      <c r="C876" s="1" t="n">
        <v>45576</v>
      </c>
      <c r="D876" t="inlineStr">
        <is>
          <t>VÄSTERNORRLANDS LÄN</t>
        </is>
      </c>
      <c r="E876" t="inlineStr">
        <is>
          <t>SOLLEFTEÅ</t>
        </is>
      </c>
      <c r="F876" t="inlineStr">
        <is>
          <t>Kyrkan</t>
        </is>
      </c>
      <c r="G876" t="n">
        <v>3.6</v>
      </c>
      <c r="H876" t="n">
        <v>0</v>
      </c>
      <c r="I876" t="n">
        <v>0</v>
      </c>
      <c r="J876" t="n">
        <v>0</v>
      </c>
      <c r="K876" t="n">
        <v>0</v>
      </c>
      <c r="L876" t="n">
        <v>0</v>
      </c>
      <c r="M876" t="n">
        <v>0</v>
      </c>
      <c r="N876" t="n">
        <v>0</v>
      </c>
      <c r="O876" t="n">
        <v>0</v>
      </c>
      <c r="P876" t="n">
        <v>0</v>
      </c>
      <c r="Q876" t="n">
        <v>0</v>
      </c>
      <c r="R876" s="2" t="inlineStr"/>
    </row>
    <row r="877" ht="15" customHeight="1">
      <c r="A877" t="inlineStr">
        <is>
          <t>A 34396-2021</t>
        </is>
      </c>
      <c r="B877" s="1" t="n">
        <v>44379</v>
      </c>
      <c r="C877" s="1" t="n">
        <v>45576</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34395-2021</t>
        </is>
      </c>
      <c r="B878" s="1" t="n">
        <v>44379</v>
      </c>
      <c r="C878" s="1" t="n">
        <v>45576</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34397-2021</t>
        </is>
      </c>
      <c r="B879" s="1" t="n">
        <v>44379</v>
      </c>
      <c r="C879" s="1" t="n">
        <v>45576</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34475-2021</t>
        </is>
      </c>
      <c r="B880" s="1" t="n">
        <v>44381</v>
      </c>
      <c r="C880" s="1" t="n">
        <v>45576</v>
      </c>
      <c r="D880" t="inlineStr">
        <is>
          <t>VÄSTERNORRLANDS LÄN</t>
        </is>
      </c>
      <c r="E880" t="inlineStr">
        <is>
          <t>SOLLEFTEÅ</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34473-2021</t>
        </is>
      </c>
      <c r="B881" s="1" t="n">
        <v>44382</v>
      </c>
      <c r="C881" s="1" t="n">
        <v>45576</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35333-2021</t>
        </is>
      </c>
      <c r="B882" s="1" t="n">
        <v>44384</v>
      </c>
      <c r="C882" s="1" t="n">
        <v>45576</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35358-2021</t>
        </is>
      </c>
      <c r="B883" s="1" t="n">
        <v>44385</v>
      </c>
      <c r="C883" s="1" t="n">
        <v>45576</v>
      </c>
      <c r="D883" t="inlineStr">
        <is>
          <t>VÄSTERNORRLANDS LÄN</t>
        </is>
      </c>
      <c r="E883" t="inlineStr">
        <is>
          <t>SOLLEFTEÅ</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35574-2021</t>
        </is>
      </c>
      <c r="B884" s="1" t="n">
        <v>44386</v>
      </c>
      <c r="C884" s="1" t="n">
        <v>45576</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35862-2021</t>
        </is>
      </c>
      <c r="B885" s="1" t="n">
        <v>44386</v>
      </c>
      <c r="C885" s="1" t="n">
        <v>45576</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36447-2021</t>
        </is>
      </c>
      <c r="B886" s="1" t="n">
        <v>44390</v>
      </c>
      <c r="C886" s="1" t="n">
        <v>45576</v>
      </c>
      <c r="D886" t="inlineStr">
        <is>
          <t>VÄSTERNORRLANDS LÄN</t>
        </is>
      </c>
      <c r="E886" t="inlineStr">
        <is>
          <t>SOLLEFTEÅ</t>
        </is>
      </c>
      <c r="F886" t="inlineStr">
        <is>
          <t>SCA</t>
        </is>
      </c>
      <c r="G886" t="n">
        <v>10.2</v>
      </c>
      <c r="H886" t="n">
        <v>0</v>
      </c>
      <c r="I886" t="n">
        <v>0</v>
      </c>
      <c r="J886" t="n">
        <v>0</v>
      </c>
      <c r="K886" t="n">
        <v>0</v>
      </c>
      <c r="L886" t="n">
        <v>0</v>
      </c>
      <c r="M886" t="n">
        <v>0</v>
      </c>
      <c r="N886" t="n">
        <v>0</v>
      </c>
      <c r="O886" t="n">
        <v>0</v>
      </c>
      <c r="P886" t="n">
        <v>0</v>
      </c>
      <c r="Q886" t="n">
        <v>0</v>
      </c>
      <c r="R886" s="2" t="inlineStr"/>
    </row>
    <row r="887" ht="15" customHeight="1">
      <c r="A887" t="inlineStr">
        <is>
          <t>A 36448-2021</t>
        </is>
      </c>
      <c r="B887" s="1" t="n">
        <v>44390</v>
      </c>
      <c r="C887" s="1" t="n">
        <v>45576</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36579-2021</t>
        </is>
      </c>
      <c r="B888" s="1" t="n">
        <v>44391</v>
      </c>
      <c r="C888" s="1" t="n">
        <v>45576</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36816-2021</t>
        </is>
      </c>
      <c r="B889" s="1" t="n">
        <v>44393</v>
      </c>
      <c r="C889" s="1" t="n">
        <v>45576</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36815-2021</t>
        </is>
      </c>
      <c r="B890" s="1" t="n">
        <v>44393</v>
      </c>
      <c r="C890" s="1" t="n">
        <v>45576</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37041-2021</t>
        </is>
      </c>
      <c r="B891" s="1" t="n">
        <v>44394</v>
      </c>
      <c r="C891" s="1" t="n">
        <v>45576</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37042-2021</t>
        </is>
      </c>
      <c r="B892" s="1" t="n">
        <v>44394</v>
      </c>
      <c r="C892" s="1" t="n">
        <v>45576</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37369-2021</t>
        </is>
      </c>
      <c r="B893" s="1" t="n">
        <v>44397</v>
      </c>
      <c r="C893" s="1" t="n">
        <v>45576</v>
      </c>
      <c r="D893" t="inlineStr">
        <is>
          <t>VÄSTERNORRLANDS LÄN</t>
        </is>
      </c>
      <c r="E893" t="inlineStr">
        <is>
          <t>SOLLEFTEÅ</t>
        </is>
      </c>
      <c r="F893" t="inlineStr">
        <is>
          <t>SCA</t>
        </is>
      </c>
      <c r="G893" t="n">
        <v>20.3</v>
      </c>
      <c r="H893" t="n">
        <v>0</v>
      </c>
      <c r="I893" t="n">
        <v>0</v>
      </c>
      <c r="J893" t="n">
        <v>0</v>
      </c>
      <c r="K893" t="n">
        <v>0</v>
      </c>
      <c r="L893" t="n">
        <v>0</v>
      </c>
      <c r="M893" t="n">
        <v>0</v>
      </c>
      <c r="N893" t="n">
        <v>0</v>
      </c>
      <c r="O893" t="n">
        <v>0</v>
      </c>
      <c r="P893" t="n">
        <v>0</v>
      </c>
      <c r="Q893" t="n">
        <v>0</v>
      </c>
      <c r="R893" s="2" t="inlineStr"/>
    </row>
    <row r="894" ht="15" customHeight="1">
      <c r="A894" t="inlineStr">
        <is>
          <t>A 37639-2021</t>
        </is>
      </c>
      <c r="B894" s="1" t="n">
        <v>44400</v>
      </c>
      <c r="C894" s="1" t="n">
        <v>45576</v>
      </c>
      <c r="D894" t="inlineStr">
        <is>
          <t>VÄSTERNORRLANDS LÄN</t>
        </is>
      </c>
      <c r="E894" t="inlineStr">
        <is>
          <t>SOLLEFTEÅ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37648-2021</t>
        </is>
      </c>
      <c r="B895" s="1" t="n">
        <v>44400</v>
      </c>
      <c r="C895" s="1" t="n">
        <v>45576</v>
      </c>
      <c r="D895" t="inlineStr">
        <is>
          <t>VÄSTERNORRLANDS LÄN</t>
        </is>
      </c>
      <c r="E895" t="inlineStr">
        <is>
          <t>SOLLEFTEÅ</t>
        </is>
      </c>
      <c r="G895" t="n">
        <v>33.6</v>
      </c>
      <c r="H895" t="n">
        <v>0</v>
      </c>
      <c r="I895" t="n">
        <v>0</v>
      </c>
      <c r="J895" t="n">
        <v>0</v>
      </c>
      <c r="K895" t="n">
        <v>0</v>
      </c>
      <c r="L895" t="n">
        <v>0</v>
      </c>
      <c r="M895" t="n">
        <v>0</v>
      </c>
      <c r="N895" t="n">
        <v>0</v>
      </c>
      <c r="O895" t="n">
        <v>0</v>
      </c>
      <c r="P895" t="n">
        <v>0</v>
      </c>
      <c r="Q895" t="n">
        <v>0</v>
      </c>
      <c r="R895" s="2" t="inlineStr"/>
    </row>
    <row r="896" ht="15" customHeight="1">
      <c r="A896" t="inlineStr">
        <is>
          <t>A 37634-2021</t>
        </is>
      </c>
      <c r="B896" s="1" t="n">
        <v>44400</v>
      </c>
      <c r="C896" s="1" t="n">
        <v>45576</v>
      </c>
      <c r="D896" t="inlineStr">
        <is>
          <t>VÄSTERNORRLANDS LÄN</t>
        </is>
      </c>
      <c r="E896" t="inlineStr">
        <is>
          <t>SOLLEFTEÅ</t>
        </is>
      </c>
      <c r="G896" t="n">
        <v>5.1</v>
      </c>
      <c r="H896" t="n">
        <v>0</v>
      </c>
      <c r="I896" t="n">
        <v>0</v>
      </c>
      <c r="J896" t="n">
        <v>0</v>
      </c>
      <c r="K896" t="n">
        <v>0</v>
      </c>
      <c r="L896" t="n">
        <v>0</v>
      </c>
      <c r="M896" t="n">
        <v>0</v>
      </c>
      <c r="N896" t="n">
        <v>0</v>
      </c>
      <c r="O896" t="n">
        <v>0</v>
      </c>
      <c r="P896" t="n">
        <v>0</v>
      </c>
      <c r="Q896" t="n">
        <v>0</v>
      </c>
      <c r="R896" s="2" t="inlineStr"/>
    </row>
    <row r="897" ht="15" customHeight="1">
      <c r="A897" t="inlineStr">
        <is>
          <t>A 38283-2021</t>
        </is>
      </c>
      <c r="B897" s="1" t="n">
        <v>44405</v>
      </c>
      <c r="C897" s="1" t="n">
        <v>45576</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39334-2021</t>
        </is>
      </c>
      <c r="B898" s="1" t="n">
        <v>44414</v>
      </c>
      <c r="C898" s="1" t="n">
        <v>45576</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39594-2021</t>
        </is>
      </c>
      <c r="B899" s="1" t="n">
        <v>44413</v>
      </c>
      <c r="C899" s="1" t="n">
        <v>45576</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39230-2021</t>
        </is>
      </c>
      <c r="B900" s="1" t="n">
        <v>44413</v>
      </c>
      <c r="C900" s="1" t="n">
        <v>45576</v>
      </c>
      <c r="D900" t="inlineStr">
        <is>
          <t>VÄSTERNORRLANDS LÄN</t>
        </is>
      </c>
      <c r="E900" t="inlineStr">
        <is>
          <t>SOLLEFTEÅ</t>
        </is>
      </c>
      <c r="G900" t="n">
        <v>13.6</v>
      </c>
      <c r="H900" t="n">
        <v>0</v>
      </c>
      <c r="I900" t="n">
        <v>0</v>
      </c>
      <c r="J900" t="n">
        <v>0</v>
      </c>
      <c r="K900" t="n">
        <v>0</v>
      </c>
      <c r="L900" t="n">
        <v>0</v>
      </c>
      <c r="M900" t="n">
        <v>0</v>
      </c>
      <c r="N900" t="n">
        <v>0</v>
      </c>
      <c r="O900" t="n">
        <v>0</v>
      </c>
      <c r="P900" t="n">
        <v>0</v>
      </c>
      <c r="Q900" t="n">
        <v>0</v>
      </c>
      <c r="R900" s="2" t="inlineStr"/>
    </row>
    <row r="901" ht="15" customHeight="1">
      <c r="A901" t="inlineStr">
        <is>
          <t>A 39504-2021</t>
        </is>
      </c>
      <c r="B901" s="1" t="n">
        <v>44415</v>
      </c>
      <c r="C901" s="1" t="n">
        <v>45576</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40539-2021</t>
        </is>
      </c>
      <c r="B902" s="1" t="n">
        <v>44420</v>
      </c>
      <c r="C902" s="1" t="n">
        <v>45576</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41334-2021</t>
        </is>
      </c>
      <c r="B903" s="1" t="n">
        <v>44424</v>
      </c>
      <c r="C903" s="1" t="n">
        <v>45576</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42219-2021</t>
        </is>
      </c>
      <c r="B904" s="1" t="n">
        <v>44426</v>
      </c>
      <c r="C904" s="1" t="n">
        <v>45576</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42231-2021</t>
        </is>
      </c>
      <c r="B905" s="1" t="n">
        <v>44426</v>
      </c>
      <c r="C905" s="1" t="n">
        <v>45576</v>
      </c>
      <c r="D905" t="inlineStr">
        <is>
          <t>VÄSTERNORRLANDS LÄN</t>
        </is>
      </c>
      <c r="E905" t="inlineStr">
        <is>
          <t>SOLLEFTEÅ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42228-2021</t>
        </is>
      </c>
      <c r="B906" s="1" t="n">
        <v>44426</v>
      </c>
      <c r="C906" s="1" t="n">
        <v>45576</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42229-2021</t>
        </is>
      </c>
      <c r="B907" s="1" t="n">
        <v>44427</v>
      </c>
      <c r="C907" s="1" t="n">
        <v>45576</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42531-2021</t>
        </is>
      </c>
      <c r="B908" s="1" t="n">
        <v>44428</v>
      </c>
      <c r="C908" s="1" t="n">
        <v>45576</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45213-2021</t>
        </is>
      </c>
      <c r="B909" s="1" t="n">
        <v>44431</v>
      </c>
      <c r="C909" s="1" t="n">
        <v>45576</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43220-2021</t>
        </is>
      </c>
      <c r="B910" s="1" t="n">
        <v>44432</v>
      </c>
      <c r="C910" s="1" t="n">
        <v>45576</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43525-2021</t>
        </is>
      </c>
      <c r="B911" s="1" t="n">
        <v>44433</v>
      </c>
      <c r="C911" s="1" t="n">
        <v>45576</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44592-2021</t>
        </is>
      </c>
      <c r="B912" s="1" t="n">
        <v>44435</v>
      </c>
      <c r="C912" s="1" t="n">
        <v>45576</v>
      </c>
      <c r="D912" t="inlineStr">
        <is>
          <t>VÄSTERNORRLANDS LÄN</t>
        </is>
      </c>
      <c r="E912" t="inlineStr">
        <is>
          <t>SOLLEFTEÅ</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44587-2021</t>
        </is>
      </c>
      <c r="B913" s="1" t="n">
        <v>44435</v>
      </c>
      <c r="C913" s="1" t="n">
        <v>45576</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45187-2021</t>
        </is>
      </c>
      <c r="B914" s="1" t="n">
        <v>44439</v>
      </c>
      <c r="C914" s="1" t="n">
        <v>45576</v>
      </c>
      <c r="D914" t="inlineStr">
        <is>
          <t>VÄSTERNORRLANDS LÄN</t>
        </is>
      </c>
      <c r="E914" t="inlineStr">
        <is>
          <t>SOLLEFTEÅ</t>
        </is>
      </c>
      <c r="G914" t="n">
        <v>3.2</v>
      </c>
      <c r="H914" t="n">
        <v>0</v>
      </c>
      <c r="I914" t="n">
        <v>0</v>
      </c>
      <c r="J914" t="n">
        <v>0</v>
      </c>
      <c r="K914" t="n">
        <v>0</v>
      </c>
      <c r="L914" t="n">
        <v>0</v>
      </c>
      <c r="M914" t="n">
        <v>0</v>
      </c>
      <c r="N914" t="n">
        <v>0</v>
      </c>
      <c r="O914" t="n">
        <v>0</v>
      </c>
      <c r="P914" t="n">
        <v>0</v>
      </c>
      <c r="Q914" t="n">
        <v>0</v>
      </c>
      <c r="R914" s="2" t="inlineStr"/>
    </row>
    <row r="915" ht="15" customHeight="1">
      <c r="A915" t="inlineStr">
        <is>
          <t>A 45105-2021</t>
        </is>
      </c>
      <c r="B915" s="1" t="n">
        <v>44439</v>
      </c>
      <c r="C915" s="1" t="n">
        <v>45576</v>
      </c>
      <c r="D915" t="inlineStr">
        <is>
          <t>VÄSTERNORRLANDS LÄN</t>
        </is>
      </c>
      <c r="E915" t="inlineStr">
        <is>
          <t>SOLLEFTEÅ</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46049-2021</t>
        </is>
      </c>
      <c r="B916" s="1" t="n">
        <v>44442</v>
      </c>
      <c r="C916" s="1" t="n">
        <v>45576</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46058-2021</t>
        </is>
      </c>
      <c r="B917" s="1" t="n">
        <v>44442</v>
      </c>
      <c r="C917" s="1" t="n">
        <v>45576</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47643-2021</t>
        </is>
      </c>
      <c r="B918" s="1" t="n">
        <v>44448</v>
      </c>
      <c r="C918" s="1" t="n">
        <v>45576</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47675-2021</t>
        </is>
      </c>
      <c r="B919" s="1" t="n">
        <v>44448</v>
      </c>
      <c r="C919" s="1" t="n">
        <v>45576</v>
      </c>
      <c r="D919" t="inlineStr">
        <is>
          <t>VÄSTERNORRLANDS LÄN</t>
        </is>
      </c>
      <c r="E919" t="inlineStr">
        <is>
          <t>SOLLEFTEÅ</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47626-2021</t>
        </is>
      </c>
      <c r="B920" s="1" t="n">
        <v>44448</v>
      </c>
      <c r="C920" s="1" t="n">
        <v>45576</v>
      </c>
      <c r="D920" t="inlineStr">
        <is>
          <t>VÄSTERNORRLANDS LÄN</t>
        </is>
      </c>
      <c r="E920" t="inlineStr">
        <is>
          <t>SOLLEFTEÅ</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47696-2021</t>
        </is>
      </c>
      <c r="B921" s="1" t="n">
        <v>44448</v>
      </c>
      <c r="C921" s="1" t="n">
        <v>45576</v>
      </c>
      <c r="D921" t="inlineStr">
        <is>
          <t>VÄSTERNORRLANDS LÄN</t>
        </is>
      </c>
      <c r="E921" t="inlineStr">
        <is>
          <t>SOLLEFTEÅ</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47681-2021</t>
        </is>
      </c>
      <c r="B922" s="1" t="n">
        <v>44448</v>
      </c>
      <c r="C922" s="1" t="n">
        <v>45576</v>
      </c>
      <c r="D922" t="inlineStr">
        <is>
          <t>VÄSTERNORRLANDS LÄN</t>
        </is>
      </c>
      <c r="E922" t="inlineStr">
        <is>
          <t>SOLLEFTEÅ</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48555-2021</t>
        </is>
      </c>
      <c r="B923" s="1" t="n">
        <v>44452</v>
      </c>
      <c r="C923" s="1" t="n">
        <v>45576</v>
      </c>
      <c r="D923" t="inlineStr">
        <is>
          <t>VÄSTERNORRLANDS LÄN</t>
        </is>
      </c>
      <c r="E923" t="inlineStr">
        <is>
          <t>SOLLEFTEÅ</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48578-2021</t>
        </is>
      </c>
      <c r="B924" s="1" t="n">
        <v>44452</v>
      </c>
      <c r="C924" s="1" t="n">
        <v>45576</v>
      </c>
      <c r="D924" t="inlineStr">
        <is>
          <t>VÄSTERNORRLANDS LÄN</t>
        </is>
      </c>
      <c r="E924" t="inlineStr">
        <is>
          <t>SOLLEFTEÅ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49160-2021</t>
        </is>
      </c>
      <c r="B925" s="1" t="n">
        <v>44454</v>
      </c>
      <c r="C925" s="1" t="n">
        <v>45576</v>
      </c>
      <c r="D925" t="inlineStr">
        <is>
          <t>VÄSTERNORRLANDS LÄN</t>
        </is>
      </c>
      <c r="E925" t="inlineStr">
        <is>
          <t>SOLLEFTEÅ</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49492-2021</t>
        </is>
      </c>
      <c r="B926" s="1" t="n">
        <v>44455</v>
      </c>
      <c r="C926" s="1" t="n">
        <v>45576</v>
      </c>
      <c r="D926" t="inlineStr">
        <is>
          <t>VÄSTERNORRLANDS LÄN</t>
        </is>
      </c>
      <c r="E926" t="inlineStr">
        <is>
          <t>SOLLEFTEÅ</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49518-2021</t>
        </is>
      </c>
      <c r="B927" s="1" t="n">
        <v>44455</v>
      </c>
      <c r="C927" s="1" t="n">
        <v>45576</v>
      </c>
      <c r="D927" t="inlineStr">
        <is>
          <t>VÄSTERNORRLANDS LÄN</t>
        </is>
      </c>
      <c r="E927" t="inlineStr">
        <is>
          <t>SOLLEFTEÅ</t>
        </is>
      </c>
      <c r="G927" t="n">
        <v>12.9</v>
      </c>
      <c r="H927" t="n">
        <v>0</v>
      </c>
      <c r="I927" t="n">
        <v>0</v>
      </c>
      <c r="J927" t="n">
        <v>0</v>
      </c>
      <c r="K927" t="n">
        <v>0</v>
      </c>
      <c r="L927" t="n">
        <v>0</v>
      </c>
      <c r="M927" t="n">
        <v>0</v>
      </c>
      <c r="N927" t="n">
        <v>0</v>
      </c>
      <c r="O927" t="n">
        <v>0</v>
      </c>
      <c r="P927" t="n">
        <v>0</v>
      </c>
      <c r="Q927" t="n">
        <v>0</v>
      </c>
      <c r="R927" s="2" t="inlineStr"/>
    </row>
    <row r="928" ht="15" customHeight="1">
      <c r="A928" t="inlineStr">
        <is>
          <t>A 49711-2021</t>
        </is>
      </c>
      <c r="B928" s="1" t="n">
        <v>44455</v>
      </c>
      <c r="C928" s="1" t="n">
        <v>45576</v>
      </c>
      <c r="D928" t="inlineStr">
        <is>
          <t>VÄSTERNORRLANDS LÄN</t>
        </is>
      </c>
      <c r="E928" t="inlineStr">
        <is>
          <t>SOLLEFTEÅ</t>
        </is>
      </c>
      <c r="G928" t="n">
        <v>3.7</v>
      </c>
      <c r="H928" t="n">
        <v>0</v>
      </c>
      <c r="I928" t="n">
        <v>0</v>
      </c>
      <c r="J928" t="n">
        <v>0</v>
      </c>
      <c r="K928" t="n">
        <v>0</v>
      </c>
      <c r="L928" t="n">
        <v>0</v>
      </c>
      <c r="M928" t="n">
        <v>0</v>
      </c>
      <c r="N928" t="n">
        <v>0</v>
      </c>
      <c r="O928" t="n">
        <v>0</v>
      </c>
      <c r="P928" t="n">
        <v>0</v>
      </c>
      <c r="Q928" t="n">
        <v>0</v>
      </c>
      <c r="R928" s="2" t="inlineStr"/>
    </row>
    <row r="929" ht="15" customHeight="1">
      <c r="A929" t="inlineStr">
        <is>
          <t>A 50360-2021</t>
        </is>
      </c>
      <c r="B929" s="1" t="n">
        <v>44459</v>
      </c>
      <c r="C929" s="1" t="n">
        <v>45576</v>
      </c>
      <c r="D929" t="inlineStr">
        <is>
          <t>VÄSTERNORRLANDS LÄN</t>
        </is>
      </c>
      <c r="E929" t="inlineStr">
        <is>
          <t>SOLLEFTEÅ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51104-2021</t>
        </is>
      </c>
      <c r="B930" s="1" t="n">
        <v>44459</v>
      </c>
      <c r="C930" s="1" t="n">
        <v>45576</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51020-2021</t>
        </is>
      </c>
      <c r="B931" s="1" t="n">
        <v>44460</v>
      </c>
      <c r="C931" s="1" t="n">
        <v>45576</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51029-2021</t>
        </is>
      </c>
      <c r="B932" s="1" t="n">
        <v>44461</v>
      </c>
      <c r="C932" s="1" t="n">
        <v>45576</v>
      </c>
      <c r="D932" t="inlineStr">
        <is>
          <t>VÄSTERNORRLANDS LÄN</t>
        </is>
      </c>
      <c r="E932" t="inlineStr">
        <is>
          <t>SOLLEFTEÅ</t>
        </is>
      </c>
      <c r="F932" t="inlineStr">
        <is>
          <t>SCA</t>
        </is>
      </c>
      <c r="G932" t="n">
        <v>6.9</v>
      </c>
      <c r="H932" t="n">
        <v>0</v>
      </c>
      <c r="I932" t="n">
        <v>0</v>
      </c>
      <c r="J932" t="n">
        <v>0</v>
      </c>
      <c r="K932" t="n">
        <v>0</v>
      </c>
      <c r="L932" t="n">
        <v>0</v>
      </c>
      <c r="M932" t="n">
        <v>0</v>
      </c>
      <c r="N932" t="n">
        <v>0</v>
      </c>
      <c r="O932" t="n">
        <v>0</v>
      </c>
      <c r="P932" t="n">
        <v>0</v>
      </c>
      <c r="Q932" t="n">
        <v>0</v>
      </c>
      <c r="R932" s="2" t="inlineStr"/>
    </row>
    <row r="933" ht="15" customHeight="1">
      <c r="A933" t="inlineStr">
        <is>
          <t>A 51440-2021</t>
        </is>
      </c>
      <c r="B933" s="1" t="n">
        <v>44461</v>
      </c>
      <c r="C933" s="1" t="n">
        <v>45576</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51443-2021</t>
        </is>
      </c>
      <c r="B934" s="1" t="n">
        <v>44461</v>
      </c>
      <c r="C934" s="1" t="n">
        <v>45576</v>
      </c>
      <c r="D934" t="inlineStr">
        <is>
          <t>VÄSTERNORRLANDS LÄN</t>
        </is>
      </c>
      <c r="E934" t="inlineStr">
        <is>
          <t>SOLLEFTEÅ</t>
        </is>
      </c>
      <c r="F934" t="inlineStr">
        <is>
          <t>SCA</t>
        </is>
      </c>
      <c r="G934" t="n">
        <v>6.7</v>
      </c>
      <c r="H934" t="n">
        <v>0</v>
      </c>
      <c r="I934" t="n">
        <v>0</v>
      </c>
      <c r="J934" t="n">
        <v>0</v>
      </c>
      <c r="K934" t="n">
        <v>0</v>
      </c>
      <c r="L934" t="n">
        <v>0</v>
      </c>
      <c r="M934" t="n">
        <v>0</v>
      </c>
      <c r="N934" t="n">
        <v>0</v>
      </c>
      <c r="O934" t="n">
        <v>0</v>
      </c>
      <c r="P934" t="n">
        <v>0</v>
      </c>
      <c r="Q934" t="n">
        <v>0</v>
      </c>
      <c r="R934" s="2" t="inlineStr"/>
    </row>
    <row r="935" ht="15" customHeight="1">
      <c r="A935" t="inlineStr">
        <is>
          <t>A 51442-2021</t>
        </is>
      </c>
      <c r="B935" s="1" t="n">
        <v>44462</v>
      </c>
      <c r="C935" s="1" t="n">
        <v>45576</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51491-2021</t>
        </is>
      </c>
      <c r="B936" s="1" t="n">
        <v>44462</v>
      </c>
      <c r="C936" s="1" t="n">
        <v>45576</v>
      </c>
      <c r="D936" t="inlineStr">
        <is>
          <t>VÄSTERNORRLANDS LÄN</t>
        </is>
      </c>
      <c r="E936" t="inlineStr">
        <is>
          <t>SOLLEFTEÅ</t>
        </is>
      </c>
      <c r="F936" t="inlineStr">
        <is>
          <t>Kyrkan</t>
        </is>
      </c>
      <c r="G936" t="n">
        <v>18</v>
      </c>
      <c r="H936" t="n">
        <v>0</v>
      </c>
      <c r="I936" t="n">
        <v>0</v>
      </c>
      <c r="J936" t="n">
        <v>0</v>
      </c>
      <c r="K936" t="n">
        <v>0</v>
      </c>
      <c r="L936" t="n">
        <v>0</v>
      </c>
      <c r="M936" t="n">
        <v>0</v>
      </c>
      <c r="N936" t="n">
        <v>0</v>
      </c>
      <c r="O936" t="n">
        <v>0</v>
      </c>
      <c r="P936" t="n">
        <v>0</v>
      </c>
      <c r="Q936" t="n">
        <v>0</v>
      </c>
      <c r="R936" s="2" t="inlineStr"/>
    </row>
    <row r="937" ht="15" customHeight="1">
      <c r="A937" t="inlineStr">
        <is>
          <t>A 51847-2021</t>
        </is>
      </c>
      <c r="B937" s="1" t="n">
        <v>44462</v>
      </c>
      <c r="C937" s="1" t="n">
        <v>45576</v>
      </c>
      <c r="D937" t="inlineStr">
        <is>
          <t>VÄSTERNORRLANDS LÄN</t>
        </is>
      </c>
      <c r="E937" t="inlineStr">
        <is>
          <t>SOLLEFTEÅ</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51952-2021</t>
        </is>
      </c>
      <c r="B938" s="1" t="n">
        <v>44463</v>
      </c>
      <c r="C938" s="1" t="n">
        <v>45576</v>
      </c>
      <c r="D938" t="inlineStr">
        <is>
          <t>VÄSTERNORRLANDS LÄN</t>
        </is>
      </c>
      <c r="E938" t="inlineStr">
        <is>
          <t>SOLLEFTEÅ</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52447-2021</t>
        </is>
      </c>
      <c r="B939" s="1" t="n">
        <v>44466</v>
      </c>
      <c r="C939" s="1" t="n">
        <v>45576</v>
      </c>
      <c r="D939" t="inlineStr">
        <is>
          <t>VÄSTERNORRLANDS LÄN</t>
        </is>
      </c>
      <c r="E939" t="inlineStr">
        <is>
          <t>SOLLEFTEÅ</t>
        </is>
      </c>
      <c r="F939" t="inlineStr">
        <is>
          <t>Holmen skog AB</t>
        </is>
      </c>
      <c r="G939" t="n">
        <v>8.9</v>
      </c>
      <c r="H939" t="n">
        <v>0</v>
      </c>
      <c r="I939" t="n">
        <v>0</v>
      </c>
      <c r="J939" t="n">
        <v>0</v>
      </c>
      <c r="K939" t="n">
        <v>0</v>
      </c>
      <c r="L939" t="n">
        <v>0</v>
      </c>
      <c r="M939" t="n">
        <v>0</v>
      </c>
      <c r="N939" t="n">
        <v>0</v>
      </c>
      <c r="O939" t="n">
        <v>0</v>
      </c>
      <c r="P939" t="n">
        <v>0</v>
      </c>
      <c r="Q939" t="n">
        <v>0</v>
      </c>
      <c r="R939" s="2" t="inlineStr"/>
    </row>
    <row r="940" ht="15" customHeight="1">
      <c r="A940" t="inlineStr">
        <is>
          <t>A 53289-2021</t>
        </is>
      </c>
      <c r="B940" s="1" t="n">
        <v>44467</v>
      </c>
      <c r="C940" s="1" t="n">
        <v>45576</v>
      </c>
      <c r="D940" t="inlineStr">
        <is>
          <t>VÄSTERNORRLANDS LÄN</t>
        </is>
      </c>
      <c r="E940" t="inlineStr">
        <is>
          <t>SOLLEFTEÅ</t>
        </is>
      </c>
      <c r="G940" t="n">
        <v>6.5</v>
      </c>
      <c r="H940" t="n">
        <v>0</v>
      </c>
      <c r="I940" t="n">
        <v>0</v>
      </c>
      <c r="J940" t="n">
        <v>0</v>
      </c>
      <c r="K940" t="n">
        <v>0</v>
      </c>
      <c r="L940" t="n">
        <v>0</v>
      </c>
      <c r="M940" t="n">
        <v>0</v>
      </c>
      <c r="N940" t="n">
        <v>0</v>
      </c>
      <c r="O940" t="n">
        <v>0</v>
      </c>
      <c r="P940" t="n">
        <v>0</v>
      </c>
      <c r="Q940" t="n">
        <v>0</v>
      </c>
      <c r="R940" s="2" t="inlineStr"/>
    </row>
    <row r="941" ht="15" customHeight="1">
      <c r="A941" t="inlineStr">
        <is>
          <t>A 53278-2021</t>
        </is>
      </c>
      <c r="B941" s="1" t="n">
        <v>44467</v>
      </c>
      <c r="C941" s="1" t="n">
        <v>45576</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53524-2021</t>
        </is>
      </c>
      <c r="B942" s="1" t="n">
        <v>44468</v>
      </c>
      <c r="C942" s="1" t="n">
        <v>45576</v>
      </c>
      <c r="D942" t="inlineStr">
        <is>
          <t>VÄSTERNORRLANDS LÄN</t>
        </is>
      </c>
      <c r="E942" t="inlineStr">
        <is>
          <t>SOLLEFTEÅ</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53955-2021</t>
        </is>
      </c>
      <c r="B943" s="1" t="n">
        <v>44469</v>
      </c>
      <c r="C943" s="1" t="n">
        <v>45576</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54146-2021</t>
        </is>
      </c>
      <c r="B944" s="1" t="n">
        <v>44469</v>
      </c>
      <c r="C944" s="1" t="n">
        <v>45576</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54728-2021</t>
        </is>
      </c>
      <c r="B945" s="1" t="n">
        <v>44473</v>
      </c>
      <c r="C945" s="1" t="n">
        <v>45576</v>
      </c>
      <c r="D945" t="inlineStr">
        <is>
          <t>VÄSTERNORRLANDS LÄN</t>
        </is>
      </c>
      <c r="E945" t="inlineStr">
        <is>
          <t>SOLLEFTEÅ</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55016-2021</t>
        </is>
      </c>
      <c r="B946" s="1" t="n">
        <v>44474</v>
      </c>
      <c r="C946" s="1" t="n">
        <v>45576</v>
      </c>
      <c r="D946" t="inlineStr">
        <is>
          <t>VÄSTERNORRLANDS LÄN</t>
        </is>
      </c>
      <c r="E946" t="inlineStr">
        <is>
          <t>SOLLEFTEÅ</t>
        </is>
      </c>
      <c r="F946" t="inlineStr">
        <is>
          <t>Övriga Aktiebolag</t>
        </is>
      </c>
      <c r="G946" t="n">
        <v>12.7</v>
      </c>
      <c r="H946" t="n">
        <v>0</v>
      </c>
      <c r="I946" t="n">
        <v>0</v>
      </c>
      <c r="J946" t="n">
        <v>0</v>
      </c>
      <c r="K946" t="n">
        <v>0</v>
      </c>
      <c r="L946" t="n">
        <v>0</v>
      </c>
      <c r="M946" t="n">
        <v>0</v>
      </c>
      <c r="N946" t="n">
        <v>0</v>
      </c>
      <c r="O946" t="n">
        <v>0</v>
      </c>
      <c r="P946" t="n">
        <v>0</v>
      </c>
      <c r="Q946" t="n">
        <v>0</v>
      </c>
      <c r="R946" s="2" t="inlineStr"/>
    </row>
    <row r="947" ht="15" customHeight="1">
      <c r="A947" t="inlineStr">
        <is>
          <t>A 55018-2021</t>
        </is>
      </c>
      <c r="B947" s="1" t="n">
        <v>44474</v>
      </c>
      <c r="C947" s="1" t="n">
        <v>45576</v>
      </c>
      <c r="D947" t="inlineStr">
        <is>
          <t>VÄSTERNORRLANDS LÄN</t>
        </is>
      </c>
      <c r="E947" t="inlineStr">
        <is>
          <t>SOLLEFTEÅ</t>
        </is>
      </c>
      <c r="F947" t="inlineStr">
        <is>
          <t>Övriga Aktiebolag</t>
        </is>
      </c>
      <c r="G947" t="n">
        <v>11.2</v>
      </c>
      <c r="H947" t="n">
        <v>0</v>
      </c>
      <c r="I947" t="n">
        <v>0</v>
      </c>
      <c r="J947" t="n">
        <v>0</v>
      </c>
      <c r="K947" t="n">
        <v>0</v>
      </c>
      <c r="L947" t="n">
        <v>0</v>
      </c>
      <c r="M947" t="n">
        <v>0</v>
      </c>
      <c r="N947" t="n">
        <v>0</v>
      </c>
      <c r="O947" t="n">
        <v>0</v>
      </c>
      <c r="P947" t="n">
        <v>0</v>
      </c>
      <c r="Q947" t="n">
        <v>0</v>
      </c>
      <c r="R947" s="2" t="inlineStr"/>
    </row>
    <row r="948" ht="15" customHeight="1">
      <c r="A948" t="inlineStr">
        <is>
          <t>A 55610-2021</t>
        </is>
      </c>
      <c r="B948" s="1" t="n">
        <v>44476</v>
      </c>
      <c r="C948" s="1" t="n">
        <v>45576</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55643-2021</t>
        </is>
      </c>
      <c r="B949" s="1" t="n">
        <v>44475</v>
      </c>
      <c r="C949" s="1" t="n">
        <v>45576</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55904-2021</t>
        </is>
      </c>
      <c r="B950" s="1" t="n">
        <v>44476</v>
      </c>
      <c r="C950" s="1" t="n">
        <v>45576</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56211-2021</t>
        </is>
      </c>
      <c r="B951" s="1" t="n">
        <v>44478</v>
      </c>
      <c r="C951" s="1" t="n">
        <v>45576</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56918-2021</t>
        </is>
      </c>
      <c r="B952" s="1" t="n">
        <v>44482</v>
      </c>
      <c r="C952" s="1" t="n">
        <v>45576</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57007-2021</t>
        </is>
      </c>
      <c r="B953" s="1" t="n">
        <v>44482</v>
      </c>
      <c r="C953" s="1" t="n">
        <v>45576</v>
      </c>
      <c r="D953" t="inlineStr">
        <is>
          <t>VÄSTERNORRLANDS LÄN</t>
        </is>
      </c>
      <c r="E953" t="inlineStr">
        <is>
          <t>SOLLEFTEÅ</t>
        </is>
      </c>
      <c r="G953" t="n">
        <v>7.4</v>
      </c>
      <c r="H953" t="n">
        <v>0</v>
      </c>
      <c r="I953" t="n">
        <v>0</v>
      </c>
      <c r="J953" t="n">
        <v>0</v>
      </c>
      <c r="K953" t="n">
        <v>0</v>
      </c>
      <c r="L953" t="n">
        <v>0</v>
      </c>
      <c r="M953" t="n">
        <v>0</v>
      </c>
      <c r="N953" t="n">
        <v>0</v>
      </c>
      <c r="O953" t="n">
        <v>0</v>
      </c>
      <c r="P953" t="n">
        <v>0</v>
      </c>
      <c r="Q953" t="n">
        <v>0</v>
      </c>
      <c r="R953" s="2" t="inlineStr"/>
    </row>
    <row r="954" ht="15" customHeight="1">
      <c r="A954" t="inlineStr">
        <is>
          <t>A 57550-2021</t>
        </is>
      </c>
      <c r="B954" s="1" t="n">
        <v>44484</v>
      </c>
      <c r="C954" s="1" t="n">
        <v>45576</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57552-2021</t>
        </is>
      </c>
      <c r="B955" s="1" t="n">
        <v>44483</v>
      </c>
      <c r="C955" s="1" t="n">
        <v>45576</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57856-2021</t>
        </is>
      </c>
      <c r="B956" s="1" t="n">
        <v>44485</v>
      </c>
      <c r="C956" s="1" t="n">
        <v>45576</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57911-2021</t>
        </is>
      </c>
      <c r="B957" s="1" t="n">
        <v>44486</v>
      </c>
      <c r="C957" s="1" t="n">
        <v>45576</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58268-2021</t>
        </is>
      </c>
      <c r="B958" s="1" t="n">
        <v>44487</v>
      </c>
      <c r="C958" s="1" t="n">
        <v>45576</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58276-2021</t>
        </is>
      </c>
      <c r="B959" s="1" t="n">
        <v>44488</v>
      </c>
      <c r="C959" s="1" t="n">
        <v>45576</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58179-2021</t>
        </is>
      </c>
      <c r="B960" s="1" t="n">
        <v>44487</v>
      </c>
      <c r="C960" s="1" t="n">
        <v>45576</v>
      </c>
      <c r="D960" t="inlineStr">
        <is>
          <t>VÄSTERNORRLANDS LÄN</t>
        </is>
      </c>
      <c r="E960" t="inlineStr">
        <is>
          <t>SOLLEFTEÅ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58478-2021</t>
        </is>
      </c>
      <c r="B961" s="1" t="n">
        <v>44488</v>
      </c>
      <c r="C961" s="1" t="n">
        <v>45576</v>
      </c>
      <c r="D961" t="inlineStr">
        <is>
          <t>VÄSTERNORRLANDS LÄN</t>
        </is>
      </c>
      <c r="E961" t="inlineStr">
        <is>
          <t>SOLLEFTEÅ</t>
        </is>
      </c>
      <c r="G961" t="n">
        <v>9.5</v>
      </c>
      <c r="H961" t="n">
        <v>0</v>
      </c>
      <c r="I961" t="n">
        <v>0</v>
      </c>
      <c r="J961" t="n">
        <v>0</v>
      </c>
      <c r="K961" t="n">
        <v>0</v>
      </c>
      <c r="L961" t="n">
        <v>0</v>
      </c>
      <c r="M961" t="n">
        <v>0</v>
      </c>
      <c r="N961" t="n">
        <v>0</v>
      </c>
      <c r="O961" t="n">
        <v>0</v>
      </c>
      <c r="P961" t="n">
        <v>0</v>
      </c>
      <c r="Q961" t="n">
        <v>0</v>
      </c>
      <c r="R961" s="2" t="inlineStr"/>
    </row>
    <row r="962" ht="15" customHeight="1">
      <c r="A962" t="inlineStr">
        <is>
          <t>A 58486-2021</t>
        </is>
      </c>
      <c r="B962" s="1" t="n">
        <v>44488</v>
      </c>
      <c r="C962" s="1" t="n">
        <v>45576</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58571-2021</t>
        </is>
      </c>
      <c r="B963" s="1" t="n">
        <v>44488</v>
      </c>
      <c r="C963" s="1" t="n">
        <v>45576</v>
      </c>
      <c r="D963" t="inlineStr">
        <is>
          <t>VÄSTERNORRLANDS LÄN</t>
        </is>
      </c>
      <c r="E963" t="inlineStr">
        <is>
          <t>SOLLEFTEÅ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58573-2021</t>
        </is>
      </c>
      <c r="B964" s="1" t="n">
        <v>44488</v>
      </c>
      <c r="C964" s="1" t="n">
        <v>45576</v>
      </c>
      <c r="D964" t="inlineStr">
        <is>
          <t>VÄSTERNORRLANDS LÄN</t>
        </is>
      </c>
      <c r="E964" t="inlineStr">
        <is>
          <t>SOLLEFTEÅ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58726-2021</t>
        </is>
      </c>
      <c r="B965" s="1" t="n">
        <v>44489</v>
      </c>
      <c r="C965" s="1" t="n">
        <v>45576</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58742-2021</t>
        </is>
      </c>
      <c r="B966" s="1" t="n">
        <v>44489</v>
      </c>
      <c r="C966" s="1" t="n">
        <v>45576</v>
      </c>
      <c r="D966" t="inlineStr">
        <is>
          <t>VÄSTERNORRLANDS LÄN</t>
        </is>
      </c>
      <c r="E966" t="inlineStr">
        <is>
          <t>SOLLEFTEÅ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58755-2021</t>
        </is>
      </c>
      <c r="B967" s="1" t="n">
        <v>44489</v>
      </c>
      <c r="C967" s="1" t="n">
        <v>45576</v>
      </c>
      <c r="D967" t="inlineStr">
        <is>
          <t>VÄSTERNORRLANDS LÄN</t>
        </is>
      </c>
      <c r="E967" t="inlineStr">
        <is>
          <t>SOLLEFTEÅ</t>
        </is>
      </c>
      <c r="G967" t="n">
        <v>12.2</v>
      </c>
      <c r="H967" t="n">
        <v>0</v>
      </c>
      <c r="I967" t="n">
        <v>0</v>
      </c>
      <c r="J967" t="n">
        <v>0</v>
      </c>
      <c r="K967" t="n">
        <v>0</v>
      </c>
      <c r="L967" t="n">
        <v>0</v>
      </c>
      <c r="M967" t="n">
        <v>0</v>
      </c>
      <c r="N967" t="n">
        <v>0</v>
      </c>
      <c r="O967" t="n">
        <v>0</v>
      </c>
      <c r="P967" t="n">
        <v>0</v>
      </c>
      <c r="Q967" t="n">
        <v>0</v>
      </c>
      <c r="R967" s="2" t="inlineStr"/>
    </row>
    <row r="968" ht="15" customHeight="1">
      <c r="A968" t="inlineStr">
        <is>
          <t>A 58688-2021</t>
        </is>
      </c>
      <c r="B968" s="1" t="n">
        <v>44489</v>
      </c>
      <c r="C968" s="1" t="n">
        <v>45576</v>
      </c>
      <c r="D968" t="inlineStr">
        <is>
          <t>VÄSTERNORRLANDS LÄN</t>
        </is>
      </c>
      <c r="E968" t="inlineStr">
        <is>
          <t>SOLLEFTEÅ</t>
        </is>
      </c>
      <c r="G968" t="n">
        <v>2.3</v>
      </c>
      <c r="H968" t="n">
        <v>0</v>
      </c>
      <c r="I968" t="n">
        <v>0</v>
      </c>
      <c r="J968" t="n">
        <v>0</v>
      </c>
      <c r="K968" t="n">
        <v>0</v>
      </c>
      <c r="L968" t="n">
        <v>0</v>
      </c>
      <c r="M968" t="n">
        <v>0</v>
      </c>
      <c r="N968" t="n">
        <v>0</v>
      </c>
      <c r="O968" t="n">
        <v>0</v>
      </c>
      <c r="P968" t="n">
        <v>0</v>
      </c>
      <c r="Q968" t="n">
        <v>0</v>
      </c>
      <c r="R968" s="2" t="inlineStr"/>
    </row>
    <row r="969" ht="15" customHeight="1">
      <c r="A969" t="inlineStr">
        <is>
          <t>A 58715-2021</t>
        </is>
      </c>
      <c r="B969" s="1" t="n">
        <v>44489</v>
      </c>
      <c r="C969" s="1" t="n">
        <v>45576</v>
      </c>
      <c r="D969" t="inlineStr">
        <is>
          <t>VÄSTERNORRLANDS LÄN</t>
        </is>
      </c>
      <c r="E969" t="inlineStr">
        <is>
          <t>SOLLEFTEÅ</t>
        </is>
      </c>
      <c r="G969" t="n">
        <v>4.7</v>
      </c>
      <c r="H969" t="n">
        <v>0</v>
      </c>
      <c r="I969" t="n">
        <v>0</v>
      </c>
      <c r="J969" t="n">
        <v>0</v>
      </c>
      <c r="K969" t="n">
        <v>0</v>
      </c>
      <c r="L969" t="n">
        <v>0</v>
      </c>
      <c r="M969" t="n">
        <v>0</v>
      </c>
      <c r="N969" t="n">
        <v>0</v>
      </c>
      <c r="O969" t="n">
        <v>0</v>
      </c>
      <c r="P969" t="n">
        <v>0</v>
      </c>
      <c r="Q969" t="n">
        <v>0</v>
      </c>
      <c r="R969" s="2" t="inlineStr"/>
    </row>
    <row r="970" ht="15" customHeight="1">
      <c r="A970" t="inlineStr">
        <is>
          <t>A 59344-2021</t>
        </is>
      </c>
      <c r="B970" s="1" t="n">
        <v>44490</v>
      </c>
      <c r="C970" s="1" t="n">
        <v>45576</v>
      </c>
      <c r="D970" t="inlineStr">
        <is>
          <t>VÄSTERNORRLANDS LÄN</t>
        </is>
      </c>
      <c r="E970" t="inlineStr">
        <is>
          <t>SOLLEFTEÅ</t>
        </is>
      </c>
      <c r="G970" t="n">
        <v>6.9</v>
      </c>
      <c r="H970" t="n">
        <v>0</v>
      </c>
      <c r="I970" t="n">
        <v>0</v>
      </c>
      <c r="J970" t="n">
        <v>0</v>
      </c>
      <c r="K970" t="n">
        <v>0</v>
      </c>
      <c r="L970" t="n">
        <v>0</v>
      </c>
      <c r="M970" t="n">
        <v>0</v>
      </c>
      <c r="N970" t="n">
        <v>0</v>
      </c>
      <c r="O970" t="n">
        <v>0</v>
      </c>
      <c r="P970" t="n">
        <v>0</v>
      </c>
      <c r="Q970" t="n">
        <v>0</v>
      </c>
      <c r="R970" s="2" t="inlineStr"/>
    </row>
    <row r="971" ht="15" customHeight="1">
      <c r="A971" t="inlineStr">
        <is>
          <t>A 59309-2021</t>
        </is>
      </c>
      <c r="B971" s="1" t="n">
        <v>44491</v>
      </c>
      <c r="C971" s="1" t="n">
        <v>45576</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59343-2021</t>
        </is>
      </c>
      <c r="B972" s="1" t="n">
        <v>44490</v>
      </c>
      <c r="C972" s="1" t="n">
        <v>45576</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60324-2021</t>
        </is>
      </c>
      <c r="B973" s="1" t="n">
        <v>44496</v>
      </c>
      <c r="C973" s="1" t="n">
        <v>45576</v>
      </c>
      <c r="D973" t="inlineStr">
        <is>
          <t>VÄSTERNORRLANDS LÄN</t>
        </is>
      </c>
      <c r="E973" t="inlineStr">
        <is>
          <t>SOLLEFTEÅ</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60757-2021</t>
        </is>
      </c>
      <c r="B974" s="1" t="n">
        <v>44497</v>
      </c>
      <c r="C974" s="1" t="n">
        <v>45576</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60756-2021</t>
        </is>
      </c>
      <c r="B975" s="1" t="n">
        <v>44496</v>
      </c>
      <c r="C975" s="1" t="n">
        <v>45576</v>
      </c>
      <c r="D975" t="inlineStr">
        <is>
          <t>VÄSTERNORRLANDS LÄN</t>
        </is>
      </c>
      <c r="E975" t="inlineStr">
        <is>
          <t>SOLLEFTEÅ</t>
        </is>
      </c>
      <c r="G975" t="n">
        <v>2.9</v>
      </c>
      <c r="H975" t="n">
        <v>0</v>
      </c>
      <c r="I975" t="n">
        <v>0</v>
      </c>
      <c r="J975" t="n">
        <v>0</v>
      </c>
      <c r="K975" t="n">
        <v>0</v>
      </c>
      <c r="L975" t="n">
        <v>0</v>
      </c>
      <c r="M975" t="n">
        <v>0</v>
      </c>
      <c r="N975" t="n">
        <v>0</v>
      </c>
      <c r="O975" t="n">
        <v>0</v>
      </c>
      <c r="P975" t="n">
        <v>0</v>
      </c>
      <c r="Q975" t="n">
        <v>0</v>
      </c>
      <c r="R975" s="2" t="inlineStr"/>
    </row>
    <row r="976" ht="15" customHeight="1">
      <c r="A976" t="inlineStr">
        <is>
          <t>A 61739-2021</t>
        </is>
      </c>
      <c r="B976" s="1" t="n">
        <v>44498</v>
      </c>
      <c r="C976" s="1" t="n">
        <v>45576</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61424-2021</t>
        </is>
      </c>
      <c r="B977" s="1" t="n">
        <v>44500</v>
      </c>
      <c r="C977" s="1" t="n">
        <v>45576</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61470-2021</t>
        </is>
      </c>
      <c r="B978" s="1" t="n">
        <v>44500</v>
      </c>
      <c r="C978" s="1" t="n">
        <v>45576</v>
      </c>
      <c r="D978" t="inlineStr">
        <is>
          <t>VÄSTERNORRLANDS LÄN</t>
        </is>
      </c>
      <c r="E978" t="inlineStr">
        <is>
          <t>SOLLEFTEÅ</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61480-2021</t>
        </is>
      </c>
      <c r="B979" s="1" t="n">
        <v>44500</v>
      </c>
      <c r="C979" s="1" t="n">
        <v>45576</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61426-2021</t>
        </is>
      </c>
      <c r="B980" s="1" t="n">
        <v>44500</v>
      </c>
      <c r="C980" s="1" t="n">
        <v>45576</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61469-2021</t>
        </is>
      </c>
      <c r="B981" s="1" t="n">
        <v>44500</v>
      </c>
      <c r="C981" s="1" t="n">
        <v>45576</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61496-2021</t>
        </is>
      </c>
      <c r="B982" s="1" t="n">
        <v>44501</v>
      </c>
      <c r="C982" s="1" t="n">
        <v>45576</v>
      </c>
      <c r="D982" t="inlineStr">
        <is>
          <t>VÄSTERNORRLANDS LÄN</t>
        </is>
      </c>
      <c r="E982" t="inlineStr">
        <is>
          <t>SOLLEFTEÅ</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62214-2021</t>
        </is>
      </c>
      <c r="B983" s="1" t="n">
        <v>44502</v>
      </c>
      <c r="C983" s="1" t="n">
        <v>45576</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62210-2021</t>
        </is>
      </c>
      <c r="B984" s="1" t="n">
        <v>44502</v>
      </c>
      <c r="C984" s="1" t="n">
        <v>45576</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62418-2021</t>
        </is>
      </c>
      <c r="B985" s="1" t="n">
        <v>44503</v>
      </c>
      <c r="C985" s="1" t="n">
        <v>45576</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62790-2021</t>
        </is>
      </c>
      <c r="B986" s="1" t="n">
        <v>44503</v>
      </c>
      <c r="C986" s="1" t="n">
        <v>45576</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62697-2021</t>
        </is>
      </c>
      <c r="B987" s="1" t="n">
        <v>44504</v>
      </c>
      <c r="C987" s="1" t="n">
        <v>45576</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62692-2021</t>
        </is>
      </c>
      <c r="B988" s="1" t="n">
        <v>44504</v>
      </c>
      <c r="C988" s="1" t="n">
        <v>45576</v>
      </c>
      <c r="D988" t="inlineStr">
        <is>
          <t>VÄSTERNORRLANDS LÄN</t>
        </is>
      </c>
      <c r="E988" t="inlineStr">
        <is>
          <t>SOLLEFTEÅ</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63710-2021</t>
        </is>
      </c>
      <c r="B989" s="1" t="n">
        <v>44504</v>
      </c>
      <c r="C989" s="1" t="n">
        <v>45576</v>
      </c>
      <c r="D989" t="inlineStr">
        <is>
          <t>VÄSTERNORRLANDS LÄN</t>
        </is>
      </c>
      <c r="E989" t="inlineStr">
        <is>
          <t>SOLLEFTEÅ</t>
        </is>
      </c>
      <c r="G989" t="n">
        <v>10.6</v>
      </c>
      <c r="H989" t="n">
        <v>0</v>
      </c>
      <c r="I989" t="n">
        <v>0</v>
      </c>
      <c r="J989" t="n">
        <v>0</v>
      </c>
      <c r="K989" t="n">
        <v>0</v>
      </c>
      <c r="L989" t="n">
        <v>0</v>
      </c>
      <c r="M989" t="n">
        <v>0</v>
      </c>
      <c r="N989" t="n">
        <v>0</v>
      </c>
      <c r="O989" t="n">
        <v>0</v>
      </c>
      <c r="P989" t="n">
        <v>0</v>
      </c>
      <c r="Q989" t="n">
        <v>0</v>
      </c>
      <c r="R989" s="2" t="inlineStr"/>
    </row>
    <row r="990" ht="15" customHeight="1">
      <c r="A990" t="inlineStr">
        <is>
          <t>A 64638-2021</t>
        </is>
      </c>
      <c r="B990" s="1" t="n">
        <v>44511</v>
      </c>
      <c r="C990" s="1" t="n">
        <v>45576</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64651-2021</t>
        </is>
      </c>
      <c r="B991" s="1" t="n">
        <v>44511</v>
      </c>
      <c r="C991" s="1" t="n">
        <v>45576</v>
      </c>
      <c r="D991" t="inlineStr">
        <is>
          <t>VÄSTERNORRLANDS LÄN</t>
        </is>
      </c>
      <c r="E991" t="inlineStr">
        <is>
          <t>SOLLEFTEÅ</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64653-2021</t>
        </is>
      </c>
      <c r="B992" s="1" t="n">
        <v>44511</v>
      </c>
      <c r="C992" s="1" t="n">
        <v>45576</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64939-2021</t>
        </is>
      </c>
      <c r="B993" s="1" t="n">
        <v>44512</v>
      </c>
      <c r="C993" s="1" t="n">
        <v>45576</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64947-2021</t>
        </is>
      </c>
      <c r="B994" s="1" t="n">
        <v>44512</v>
      </c>
      <c r="C994" s="1" t="n">
        <v>45576</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64944-2021</t>
        </is>
      </c>
      <c r="B995" s="1" t="n">
        <v>44512</v>
      </c>
      <c r="C995" s="1" t="n">
        <v>45576</v>
      </c>
      <c r="D995" t="inlineStr">
        <is>
          <t>VÄSTERNORRLANDS LÄN</t>
        </is>
      </c>
      <c r="E995" t="inlineStr">
        <is>
          <t>SOLLEFTEÅ</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65009-2021</t>
        </is>
      </c>
      <c r="B996" s="1" t="n">
        <v>44514</v>
      </c>
      <c r="C996" s="1" t="n">
        <v>45576</v>
      </c>
      <c r="D996" t="inlineStr">
        <is>
          <t>VÄSTERNORRLANDS LÄN</t>
        </is>
      </c>
      <c r="E996" t="inlineStr">
        <is>
          <t>SOLLEFTEÅ</t>
        </is>
      </c>
      <c r="G996" t="n">
        <v>17.3</v>
      </c>
      <c r="H996" t="n">
        <v>0</v>
      </c>
      <c r="I996" t="n">
        <v>0</v>
      </c>
      <c r="J996" t="n">
        <v>0</v>
      </c>
      <c r="K996" t="n">
        <v>0</v>
      </c>
      <c r="L996" t="n">
        <v>0</v>
      </c>
      <c r="M996" t="n">
        <v>0</v>
      </c>
      <c r="N996" t="n">
        <v>0</v>
      </c>
      <c r="O996" t="n">
        <v>0</v>
      </c>
      <c r="P996" t="n">
        <v>0</v>
      </c>
      <c r="Q996" t="n">
        <v>0</v>
      </c>
      <c r="R996" s="2" t="inlineStr"/>
    </row>
    <row r="997" ht="15" customHeight="1">
      <c r="A997" t="inlineStr">
        <is>
          <t>A 65419-2021</t>
        </is>
      </c>
      <c r="B997" s="1" t="n">
        <v>44515</v>
      </c>
      <c r="C997" s="1" t="n">
        <v>45576</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66178-2021</t>
        </is>
      </c>
      <c r="B998" s="1" t="n">
        <v>44517</v>
      </c>
      <c r="C998" s="1" t="n">
        <v>45576</v>
      </c>
      <c r="D998" t="inlineStr">
        <is>
          <t>VÄSTERNORRLANDS LÄN</t>
        </is>
      </c>
      <c r="E998" t="inlineStr">
        <is>
          <t>SOLLEFTEÅ</t>
        </is>
      </c>
      <c r="F998" t="inlineStr">
        <is>
          <t>SCA</t>
        </is>
      </c>
      <c r="G998" t="n">
        <v>31.7</v>
      </c>
      <c r="H998" t="n">
        <v>0</v>
      </c>
      <c r="I998" t="n">
        <v>0</v>
      </c>
      <c r="J998" t="n">
        <v>0</v>
      </c>
      <c r="K998" t="n">
        <v>0</v>
      </c>
      <c r="L998" t="n">
        <v>0</v>
      </c>
      <c r="M998" t="n">
        <v>0</v>
      </c>
      <c r="N998" t="n">
        <v>0</v>
      </c>
      <c r="O998" t="n">
        <v>0</v>
      </c>
      <c r="P998" t="n">
        <v>0</v>
      </c>
      <c r="Q998" t="n">
        <v>0</v>
      </c>
      <c r="R998" s="2" t="inlineStr"/>
    </row>
    <row r="999" ht="15" customHeight="1">
      <c r="A999" t="inlineStr">
        <is>
          <t>A 66856-2021</t>
        </is>
      </c>
      <c r="B999" s="1" t="n">
        <v>44522</v>
      </c>
      <c r="C999" s="1" t="n">
        <v>45576</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67085-2021</t>
        </is>
      </c>
      <c r="B1000" s="1" t="n">
        <v>44522</v>
      </c>
      <c r="C1000" s="1" t="n">
        <v>45576</v>
      </c>
      <c r="D1000" t="inlineStr">
        <is>
          <t>VÄSTERNORRLANDS LÄN</t>
        </is>
      </c>
      <c r="E1000" t="inlineStr">
        <is>
          <t>SOLLEFTEÅ</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67143-2021</t>
        </is>
      </c>
      <c r="B1001" s="1" t="n">
        <v>44523</v>
      </c>
      <c r="C1001" s="1" t="n">
        <v>45576</v>
      </c>
      <c r="D1001" t="inlineStr">
        <is>
          <t>VÄSTERNORRLANDS LÄN</t>
        </is>
      </c>
      <c r="E1001" t="inlineStr">
        <is>
          <t>SOLLEFTEÅ</t>
        </is>
      </c>
      <c r="G1001" t="n">
        <v>19.7</v>
      </c>
      <c r="H1001" t="n">
        <v>0</v>
      </c>
      <c r="I1001" t="n">
        <v>0</v>
      </c>
      <c r="J1001" t="n">
        <v>0</v>
      </c>
      <c r="K1001" t="n">
        <v>0</v>
      </c>
      <c r="L1001" t="n">
        <v>0</v>
      </c>
      <c r="M1001" t="n">
        <v>0</v>
      </c>
      <c r="N1001" t="n">
        <v>0</v>
      </c>
      <c r="O1001" t="n">
        <v>0</v>
      </c>
      <c r="P1001" t="n">
        <v>0</v>
      </c>
      <c r="Q1001" t="n">
        <v>0</v>
      </c>
      <c r="R1001" s="2" t="inlineStr"/>
    </row>
    <row r="1002" ht="15" customHeight="1">
      <c r="A1002" t="inlineStr">
        <is>
          <t>A 67136-2021</t>
        </is>
      </c>
      <c r="B1002" s="1" t="n">
        <v>44523</v>
      </c>
      <c r="C1002" s="1" t="n">
        <v>45576</v>
      </c>
      <c r="D1002" t="inlineStr">
        <is>
          <t>VÄSTERNORRLANDS LÄN</t>
        </is>
      </c>
      <c r="E1002" t="inlineStr">
        <is>
          <t>SOLLEFTEÅ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67390-2021</t>
        </is>
      </c>
      <c r="B1003" s="1" t="n">
        <v>44523</v>
      </c>
      <c r="C1003" s="1" t="n">
        <v>45576</v>
      </c>
      <c r="D1003" t="inlineStr">
        <is>
          <t>VÄSTERNORRLANDS LÄN</t>
        </is>
      </c>
      <c r="E1003" t="inlineStr">
        <is>
          <t>SOLLEFTEÅ</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67401-2021</t>
        </is>
      </c>
      <c r="B1004" s="1" t="n">
        <v>44523</v>
      </c>
      <c r="C1004" s="1" t="n">
        <v>45576</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67689-2021</t>
        </is>
      </c>
      <c r="B1005" s="1" t="n">
        <v>44524</v>
      </c>
      <c r="C1005" s="1" t="n">
        <v>45576</v>
      </c>
      <c r="D1005" t="inlineStr">
        <is>
          <t>VÄSTERNORRLANDS LÄN</t>
        </is>
      </c>
      <c r="E1005" t="inlineStr">
        <is>
          <t>SOLLEFTEÅ</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67702-2021</t>
        </is>
      </c>
      <c r="B1006" s="1" t="n">
        <v>44524</v>
      </c>
      <c r="C1006" s="1" t="n">
        <v>45576</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67822-2021</t>
        </is>
      </c>
      <c r="B1007" s="1" t="n">
        <v>44525</v>
      </c>
      <c r="C1007" s="1" t="n">
        <v>45576</v>
      </c>
      <c r="D1007" t="inlineStr">
        <is>
          <t>VÄSTERNORRLANDS LÄN</t>
        </is>
      </c>
      <c r="E1007" t="inlineStr">
        <is>
          <t>SOLLEFTEÅ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68317-2021</t>
        </is>
      </c>
      <c r="B1008" s="1" t="n">
        <v>44526</v>
      </c>
      <c r="C1008" s="1" t="n">
        <v>45576</v>
      </c>
      <c r="D1008" t="inlineStr">
        <is>
          <t>VÄSTERNORRLANDS LÄN</t>
        </is>
      </c>
      <c r="E1008" t="inlineStr">
        <is>
          <t>SOLLEFTEÅ</t>
        </is>
      </c>
      <c r="F1008" t="inlineStr">
        <is>
          <t>SCA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68792-2021</t>
        </is>
      </c>
      <c r="B1009" s="1" t="n">
        <v>44529</v>
      </c>
      <c r="C1009" s="1" t="n">
        <v>45576</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68843-2021</t>
        </is>
      </c>
      <c r="B1010" s="1" t="n">
        <v>44530</v>
      </c>
      <c r="C1010" s="1" t="n">
        <v>45576</v>
      </c>
      <c r="D1010" t="inlineStr">
        <is>
          <t>VÄSTERNORRLANDS LÄN</t>
        </is>
      </c>
      <c r="E1010" t="inlineStr">
        <is>
          <t>SOLLEFTEÅ</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68863-2021</t>
        </is>
      </c>
      <c r="B1011" s="1" t="n">
        <v>44530</v>
      </c>
      <c r="C1011" s="1" t="n">
        <v>45576</v>
      </c>
      <c r="D1011" t="inlineStr">
        <is>
          <t>VÄSTERNORRLANDS LÄN</t>
        </is>
      </c>
      <c r="E1011" t="inlineStr">
        <is>
          <t>SOLLEFTEÅ</t>
        </is>
      </c>
      <c r="F1011" t="inlineStr">
        <is>
          <t>Holmen skog AB</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69121-2021</t>
        </is>
      </c>
      <c r="B1012" s="1" t="n">
        <v>44530</v>
      </c>
      <c r="C1012" s="1" t="n">
        <v>45576</v>
      </c>
      <c r="D1012" t="inlineStr">
        <is>
          <t>VÄSTERNORRLANDS LÄN</t>
        </is>
      </c>
      <c r="E1012" t="inlineStr">
        <is>
          <t>SOLLEFTEÅ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69543-2021</t>
        </is>
      </c>
      <c r="B1013" s="1" t="n">
        <v>44531</v>
      </c>
      <c r="C1013" s="1" t="n">
        <v>45576</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69542-2021</t>
        </is>
      </c>
      <c r="B1014" s="1" t="n">
        <v>44531</v>
      </c>
      <c r="C1014" s="1" t="n">
        <v>45576</v>
      </c>
      <c r="D1014" t="inlineStr">
        <is>
          <t>VÄSTERNORRLANDS LÄN</t>
        </is>
      </c>
      <c r="E1014" t="inlineStr">
        <is>
          <t>SOLLEFTEÅ</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69919-2021</t>
        </is>
      </c>
      <c r="B1015" s="1" t="n">
        <v>44532</v>
      </c>
      <c r="C1015" s="1" t="n">
        <v>45576</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69916-2021</t>
        </is>
      </c>
      <c r="B1016" s="1" t="n">
        <v>44532</v>
      </c>
      <c r="C1016" s="1" t="n">
        <v>45576</v>
      </c>
      <c r="D1016" t="inlineStr">
        <is>
          <t>VÄSTERNORRLANDS LÄN</t>
        </is>
      </c>
      <c r="E1016" t="inlineStr">
        <is>
          <t>SOLLEFTEÅ</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70180-2021</t>
        </is>
      </c>
      <c r="B1017" s="1" t="n">
        <v>44533</v>
      </c>
      <c r="C1017" s="1" t="n">
        <v>45576</v>
      </c>
      <c r="D1017" t="inlineStr">
        <is>
          <t>VÄSTERNORRLANDS LÄN</t>
        </is>
      </c>
      <c r="E1017" t="inlineStr">
        <is>
          <t>SOLLEFTEÅ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70821-2021</t>
        </is>
      </c>
      <c r="B1018" s="1" t="n">
        <v>44537</v>
      </c>
      <c r="C1018" s="1" t="n">
        <v>45576</v>
      </c>
      <c r="D1018" t="inlineStr">
        <is>
          <t>VÄSTERNORRLANDS LÄN</t>
        </is>
      </c>
      <c r="E1018" t="inlineStr">
        <is>
          <t>SOLLEFTEÅ</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71080-2021</t>
        </is>
      </c>
      <c r="B1019" s="1" t="n">
        <v>44538</v>
      </c>
      <c r="C1019" s="1" t="n">
        <v>45576</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71079-2021</t>
        </is>
      </c>
      <c r="B1020" s="1" t="n">
        <v>44538</v>
      </c>
      <c r="C1020" s="1" t="n">
        <v>45576</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71348-2021</t>
        </is>
      </c>
      <c r="B1021" s="1" t="n">
        <v>44539</v>
      </c>
      <c r="C1021" s="1" t="n">
        <v>45576</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71351-2021</t>
        </is>
      </c>
      <c r="B1022" s="1" t="n">
        <v>44539</v>
      </c>
      <c r="C1022" s="1" t="n">
        <v>45576</v>
      </c>
      <c r="D1022" t="inlineStr">
        <is>
          <t>VÄSTERNORRLANDS LÄN</t>
        </is>
      </c>
      <c r="E1022" t="inlineStr">
        <is>
          <t>SOLLEFTEÅ</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71350-2021</t>
        </is>
      </c>
      <c r="B1023" s="1" t="n">
        <v>44539</v>
      </c>
      <c r="C1023" s="1" t="n">
        <v>45576</v>
      </c>
      <c r="D1023" t="inlineStr">
        <is>
          <t>VÄSTERNORRLANDS LÄN</t>
        </is>
      </c>
      <c r="E1023" t="inlineStr">
        <is>
          <t>SOLLEFTEÅ</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71580-2021</t>
        </is>
      </c>
      <c r="B1024" s="1" t="n">
        <v>44540</v>
      </c>
      <c r="C1024" s="1" t="n">
        <v>45576</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72244-2021</t>
        </is>
      </c>
      <c r="B1025" s="1" t="n">
        <v>44544</v>
      </c>
      <c r="C1025" s="1" t="n">
        <v>45576</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72249-2021</t>
        </is>
      </c>
      <c r="B1026" s="1" t="n">
        <v>44544</v>
      </c>
      <c r="C1026" s="1" t="n">
        <v>45576</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72315-2021</t>
        </is>
      </c>
      <c r="B1027" s="1" t="n">
        <v>44545</v>
      </c>
      <c r="C1027" s="1" t="n">
        <v>45576</v>
      </c>
      <c r="D1027" t="inlineStr">
        <is>
          <t>VÄSTERNORRLANDS LÄN</t>
        </is>
      </c>
      <c r="E1027" t="inlineStr">
        <is>
          <t>SOLLEFTEÅ</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72485-2021</t>
        </is>
      </c>
      <c r="B1028" s="1" t="n">
        <v>44545</v>
      </c>
      <c r="C1028" s="1" t="n">
        <v>45576</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72496-2021</t>
        </is>
      </c>
      <c r="B1029" s="1" t="n">
        <v>44545</v>
      </c>
      <c r="C1029" s="1" t="n">
        <v>45576</v>
      </c>
      <c r="D1029" t="inlineStr">
        <is>
          <t>VÄSTERNORRLANDS LÄN</t>
        </is>
      </c>
      <c r="E1029" t="inlineStr">
        <is>
          <t>SOLLEFTEÅ</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72949-2021</t>
        </is>
      </c>
      <c r="B1030" s="1" t="n">
        <v>44547</v>
      </c>
      <c r="C1030" s="1" t="n">
        <v>45576</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72958-2021</t>
        </is>
      </c>
      <c r="B1031" s="1" t="n">
        <v>44547</v>
      </c>
      <c r="C1031" s="1" t="n">
        <v>45576</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72977-2021</t>
        </is>
      </c>
      <c r="B1032" s="1" t="n">
        <v>44548</v>
      </c>
      <c r="C1032" s="1" t="n">
        <v>45576</v>
      </c>
      <c r="D1032" t="inlineStr">
        <is>
          <t>VÄSTERNORRLANDS LÄN</t>
        </is>
      </c>
      <c r="E1032" t="inlineStr">
        <is>
          <t>SOLLEFTEÅ</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73285-2021</t>
        </is>
      </c>
      <c r="B1033" s="1" t="n">
        <v>44550</v>
      </c>
      <c r="C1033" s="1" t="n">
        <v>45576</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73367-2021</t>
        </is>
      </c>
      <c r="B1034" s="1" t="n">
        <v>44550</v>
      </c>
      <c r="C1034" s="1" t="n">
        <v>45576</v>
      </c>
      <c r="D1034" t="inlineStr">
        <is>
          <t>VÄSTERNORRLANDS LÄN</t>
        </is>
      </c>
      <c r="E1034" t="inlineStr">
        <is>
          <t>SOLLEFTEÅ</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73566-2021</t>
        </is>
      </c>
      <c r="B1035" s="1" t="n">
        <v>44551</v>
      </c>
      <c r="C1035" s="1" t="n">
        <v>45576</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73564-2021</t>
        </is>
      </c>
      <c r="B1036" s="1" t="n">
        <v>44551</v>
      </c>
      <c r="C1036" s="1" t="n">
        <v>45576</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73567-2021</t>
        </is>
      </c>
      <c r="B1037" s="1" t="n">
        <v>44551</v>
      </c>
      <c r="C1037" s="1" t="n">
        <v>45576</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73886-2021</t>
        </is>
      </c>
      <c r="B1038" s="1" t="n">
        <v>44553</v>
      </c>
      <c r="C1038" s="1" t="n">
        <v>45576</v>
      </c>
      <c r="D1038" t="inlineStr">
        <is>
          <t>VÄSTERNORRLANDS LÄN</t>
        </is>
      </c>
      <c r="E1038" t="inlineStr">
        <is>
          <t>SOLLEFTEÅ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73847-2021</t>
        </is>
      </c>
      <c r="B1039" s="1" t="n">
        <v>44553</v>
      </c>
      <c r="C1039" s="1" t="n">
        <v>45576</v>
      </c>
      <c r="D1039" t="inlineStr">
        <is>
          <t>VÄSTERNORRLANDS LÄN</t>
        </is>
      </c>
      <c r="E1039" t="inlineStr">
        <is>
          <t>SOLLEFTEÅ</t>
        </is>
      </c>
      <c r="F1039" t="inlineStr">
        <is>
          <t>Övriga Aktiebolag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2-2022</t>
        </is>
      </c>
      <c r="B1040" s="1" t="n">
        <v>44562</v>
      </c>
      <c r="C1040" s="1" t="n">
        <v>45576</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19-2022</t>
        </is>
      </c>
      <c r="B1041" s="1" t="n">
        <v>44564</v>
      </c>
      <c r="C1041" s="1" t="n">
        <v>45576</v>
      </c>
      <c r="D1041" t="inlineStr">
        <is>
          <t>VÄSTERNORRLANDS LÄN</t>
        </is>
      </c>
      <c r="E1041" t="inlineStr">
        <is>
          <t>SOLLEFTEÅ</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576-2022</t>
        </is>
      </c>
      <c r="B1042" s="1" t="n">
        <v>44566</v>
      </c>
      <c r="C1042" s="1" t="n">
        <v>45576</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1095-2022</t>
        </is>
      </c>
      <c r="B1043" s="1" t="n">
        <v>44571</v>
      </c>
      <c r="C1043" s="1" t="n">
        <v>45576</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1094-2022</t>
        </is>
      </c>
      <c r="B1044" s="1" t="n">
        <v>44571</v>
      </c>
      <c r="C1044" s="1" t="n">
        <v>45576</v>
      </c>
      <c r="D1044" t="inlineStr">
        <is>
          <t>VÄSTERNORRLANDS LÄN</t>
        </is>
      </c>
      <c r="E1044" t="inlineStr">
        <is>
          <t>SOLLEFTEÅ</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1402-2022</t>
        </is>
      </c>
      <c r="B1045" s="1" t="n">
        <v>44573</v>
      </c>
      <c r="C1045" s="1" t="n">
        <v>45576</v>
      </c>
      <c r="D1045" t="inlineStr">
        <is>
          <t>VÄSTERNORRLANDS LÄN</t>
        </is>
      </c>
      <c r="E1045" t="inlineStr">
        <is>
          <t>SOLLEFTEÅ</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1987-2022</t>
        </is>
      </c>
      <c r="B1046" s="1" t="n">
        <v>44575</v>
      </c>
      <c r="C1046" s="1" t="n">
        <v>45576</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1997-2022</t>
        </is>
      </c>
      <c r="B1047" s="1" t="n">
        <v>44575</v>
      </c>
      <c r="C1047" s="1" t="n">
        <v>45576</v>
      </c>
      <c r="D1047" t="inlineStr">
        <is>
          <t>VÄSTERNORRLANDS LÄN</t>
        </is>
      </c>
      <c r="E1047" t="inlineStr">
        <is>
          <t>SOLLEFTEÅ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2536-2022</t>
        </is>
      </c>
      <c r="B1048" s="1" t="n">
        <v>44579</v>
      </c>
      <c r="C1048" s="1" t="n">
        <v>45576</v>
      </c>
      <c r="D1048" t="inlineStr">
        <is>
          <t>VÄSTERNORRLANDS LÄN</t>
        </is>
      </c>
      <c r="E1048" t="inlineStr">
        <is>
          <t>SOLLEFTEÅ</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2543-2022</t>
        </is>
      </c>
      <c r="B1049" s="1" t="n">
        <v>44580</v>
      </c>
      <c r="C1049" s="1" t="n">
        <v>45576</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2542-2022</t>
        </is>
      </c>
      <c r="B1050" s="1" t="n">
        <v>44580</v>
      </c>
      <c r="C1050" s="1" t="n">
        <v>45576</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2541-2022</t>
        </is>
      </c>
      <c r="B1051" s="1" t="n">
        <v>44580</v>
      </c>
      <c r="C1051" s="1" t="n">
        <v>45576</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2747-2022</t>
        </is>
      </c>
      <c r="B1052" s="1" t="n">
        <v>44580</v>
      </c>
      <c r="C1052" s="1" t="n">
        <v>45576</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3001-2022</t>
        </is>
      </c>
      <c r="B1053" s="1" t="n">
        <v>44581</v>
      </c>
      <c r="C1053" s="1" t="n">
        <v>45576</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3541-2022</t>
        </is>
      </c>
      <c r="B1054" s="1" t="n">
        <v>44585</v>
      </c>
      <c r="C1054" s="1" t="n">
        <v>45576</v>
      </c>
      <c r="D1054" t="inlineStr">
        <is>
          <t>VÄSTERNORRLANDS LÄN</t>
        </is>
      </c>
      <c r="E1054" t="inlineStr">
        <is>
          <t>SOLLEFTEÅ</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3548-2022</t>
        </is>
      </c>
      <c r="B1055" s="1" t="n">
        <v>44585</v>
      </c>
      <c r="C1055" s="1" t="n">
        <v>45576</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3554-2022</t>
        </is>
      </c>
      <c r="B1056" s="1" t="n">
        <v>44585</v>
      </c>
      <c r="C1056" s="1" t="n">
        <v>45576</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3560-2022</t>
        </is>
      </c>
      <c r="B1057" s="1" t="n">
        <v>44585</v>
      </c>
      <c r="C1057" s="1" t="n">
        <v>45576</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3549-2022</t>
        </is>
      </c>
      <c r="B1058" s="1" t="n">
        <v>44585</v>
      </c>
      <c r="C1058" s="1" t="n">
        <v>45576</v>
      </c>
      <c r="D1058" t="inlineStr">
        <is>
          <t>VÄSTERNORRLANDS LÄN</t>
        </is>
      </c>
      <c r="E1058" t="inlineStr">
        <is>
          <t>SOLLEFTEÅ</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3551-2022</t>
        </is>
      </c>
      <c r="B1059" s="1" t="n">
        <v>44585</v>
      </c>
      <c r="C1059" s="1" t="n">
        <v>45576</v>
      </c>
      <c r="D1059" t="inlineStr">
        <is>
          <t>VÄSTERNORRLANDS LÄN</t>
        </is>
      </c>
      <c r="E1059" t="inlineStr">
        <is>
          <t>SOLLEFTEÅ</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3556-2022</t>
        </is>
      </c>
      <c r="B1060" s="1" t="n">
        <v>44585</v>
      </c>
      <c r="C1060" s="1" t="n">
        <v>45576</v>
      </c>
      <c r="D1060" t="inlineStr">
        <is>
          <t>VÄSTERNORRLANDS LÄN</t>
        </is>
      </c>
      <c r="E1060" t="inlineStr">
        <is>
          <t>SOLLEFTEÅ</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3555-2022</t>
        </is>
      </c>
      <c r="B1061" s="1" t="n">
        <v>44585</v>
      </c>
      <c r="C1061" s="1" t="n">
        <v>45576</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3552-2022</t>
        </is>
      </c>
      <c r="B1062" s="1" t="n">
        <v>44585</v>
      </c>
      <c r="C1062" s="1" t="n">
        <v>45576</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3557-2022</t>
        </is>
      </c>
      <c r="B1063" s="1" t="n">
        <v>44585</v>
      </c>
      <c r="C1063" s="1" t="n">
        <v>45576</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3699-2022</t>
        </is>
      </c>
      <c r="B1064" s="1" t="n">
        <v>44586</v>
      </c>
      <c r="C1064" s="1" t="n">
        <v>45576</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3793-2022</t>
        </is>
      </c>
      <c r="B1065" s="1" t="n">
        <v>44586</v>
      </c>
      <c r="C1065" s="1" t="n">
        <v>45576</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3795-2022</t>
        </is>
      </c>
      <c r="B1066" s="1" t="n">
        <v>44586</v>
      </c>
      <c r="C1066" s="1" t="n">
        <v>45576</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4018-2022</t>
        </is>
      </c>
      <c r="B1067" s="1" t="n">
        <v>44587</v>
      </c>
      <c r="C1067" s="1" t="n">
        <v>45576</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4343-2022</t>
        </is>
      </c>
      <c r="B1068" s="1" t="n">
        <v>44588</v>
      </c>
      <c r="C1068" s="1" t="n">
        <v>45576</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4555-2022</t>
        </is>
      </c>
      <c r="B1069" s="1" t="n">
        <v>44590</v>
      </c>
      <c r="C1069" s="1" t="n">
        <v>45576</v>
      </c>
      <c r="D1069" t="inlineStr">
        <is>
          <t>VÄSTERNORRLANDS LÄN</t>
        </is>
      </c>
      <c r="E1069" t="inlineStr">
        <is>
          <t>SOLLEFTEÅ</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5108-2022</t>
        </is>
      </c>
      <c r="B1070" s="1" t="n">
        <v>44593</v>
      </c>
      <c r="C1070" s="1" t="n">
        <v>45576</v>
      </c>
      <c r="D1070" t="inlineStr">
        <is>
          <t>VÄSTERNORRLANDS LÄN</t>
        </is>
      </c>
      <c r="E1070" t="inlineStr">
        <is>
          <t>SOLLEFTEÅ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5110-2022</t>
        </is>
      </c>
      <c r="B1071" s="1" t="n">
        <v>44593</v>
      </c>
      <c r="C1071" s="1" t="n">
        <v>45576</v>
      </c>
      <c r="D1071" t="inlineStr">
        <is>
          <t>VÄSTERNORRLANDS LÄN</t>
        </is>
      </c>
      <c r="E1071" t="inlineStr">
        <is>
          <t>SOLLEFTEÅ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5111-2022</t>
        </is>
      </c>
      <c r="B1072" s="1" t="n">
        <v>44593</v>
      </c>
      <c r="C1072" s="1" t="n">
        <v>45576</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5134-2022</t>
        </is>
      </c>
      <c r="B1073" s="1" t="n">
        <v>44594</v>
      </c>
      <c r="C1073" s="1" t="n">
        <v>45576</v>
      </c>
      <c r="D1073" t="inlineStr">
        <is>
          <t>VÄSTERNORRLANDS LÄN</t>
        </is>
      </c>
      <c r="E1073" t="inlineStr">
        <is>
          <t>SOLLEFTEÅ</t>
        </is>
      </c>
      <c r="G1073" t="n">
        <v>20.4</v>
      </c>
      <c r="H1073" t="n">
        <v>0</v>
      </c>
      <c r="I1073" t="n">
        <v>0</v>
      </c>
      <c r="J1073" t="n">
        <v>0</v>
      </c>
      <c r="K1073" t="n">
        <v>0</v>
      </c>
      <c r="L1073" t="n">
        <v>0</v>
      </c>
      <c r="M1073" t="n">
        <v>0</v>
      </c>
      <c r="N1073" t="n">
        <v>0</v>
      </c>
      <c r="O1073" t="n">
        <v>0</v>
      </c>
      <c r="P1073" t="n">
        <v>0</v>
      </c>
      <c r="Q1073" t="n">
        <v>0</v>
      </c>
      <c r="R1073" s="2" t="inlineStr"/>
    </row>
    <row r="1074" ht="15" customHeight="1">
      <c r="A1074" t="inlineStr">
        <is>
          <t>A 5657-2022</t>
        </is>
      </c>
      <c r="B1074" s="1" t="n">
        <v>44595</v>
      </c>
      <c r="C1074" s="1" t="n">
        <v>45576</v>
      </c>
      <c r="D1074" t="inlineStr">
        <is>
          <t>VÄSTERNORRLANDS LÄN</t>
        </is>
      </c>
      <c r="E1074" t="inlineStr">
        <is>
          <t>SOLLEFTEÅ</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5909-2022</t>
        </is>
      </c>
      <c r="B1075" s="1" t="n">
        <v>44596</v>
      </c>
      <c r="C1075" s="1" t="n">
        <v>45576</v>
      </c>
      <c r="D1075" t="inlineStr">
        <is>
          <t>VÄSTERNORRLANDS LÄN</t>
        </is>
      </c>
      <c r="E1075" t="inlineStr">
        <is>
          <t>SOLLEFTEÅ</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6121-2022</t>
        </is>
      </c>
      <c r="B1076" s="1" t="n">
        <v>44599</v>
      </c>
      <c r="C1076" s="1" t="n">
        <v>45576</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6172-2022</t>
        </is>
      </c>
      <c r="B1077" s="1" t="n">
        <v>44599</v>
      </c>
      <c r="C1077" s="1" t="n">
        <v>45576</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6170-2022</t>
        </is>
      </c>
      <c r="B1078" s="1" t="n">
        <v>44599</v>
      </c>
      <c r="C1078" s="1" t="n">
        <v>45576</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7667-2022</t>
        </is>
      </c>
      <c r="B1079" s="1" t="n">
        <v>44607</v>
      </c>
      <c r="C1079" s="1" t="n">
        <v>45576</v>
      </c>
      <c r="D1079" t="inlineStr">
        <is>
          <t>VÄSTERNORRLANDS LÄN</t>
        </is>
      </c>
      <c r="E1079" t="inlineStr">
        <is>
          <t>SOLLEFTEÅ</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7965-2022</t>
        </is>
      </c>
      <c r="B1080" s="1" t="n">
        <v>44608</v>
      </c>
      <c r="C1080" s="1" t="n">
        <v>45576</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7963-2022</t>
        </is>
      </c>
      <c r="B1081" s="1" t="n">
        <v>44608</v>
      </c>
      <c r="C1081" s="1" t="n">
        <v>45576</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7935-2022</t>
        </is>
      </c>
      <c r="B1082" s="1" t="n">
        <v>44608</v>
      </c>
      <c r="C1082" s="1" t="n">
        <v>45576</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7964-2022</t>
        </is>
      </c>
      <c r="B1083" s="1" t="n">
        <v>44608</v>
      </c>
      <c r="C1083" s="1" t="n">
        <v>45576</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8221-2022</t>
        </is>
      </c>
      <c r="B1084" s="1" t="n">
        <v>44609</v>
      </c>
      <c r="C1084" s="1" t="n">
        <v>45576</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8222-2022</t>
        </is>
      </c>
      <c r="B1085" s="1" t="n">
        <v>44609</v>
      </c>
      <c r="C1085" s="1" t="n">
        <v>45576</v>
      </c>
      <c r="D1085" t="inlineStr">
        <is>
          <t>VÄSTERNORRLANDS LÄN</t>
        </is>
      </c>
      <c r="E1085" t="inlineStr">
        <is>
          <t>SOLLEFTEÅ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8728-2022</t>
        </is>
      </c>
      <c r="B1086" s="1" t="n">
        <v>44613</v>
      </c>
      <c r="C1086" s="1" t="n">
        <v>45576</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8729-2022</t>
        </is>
      </c>
      <c r="B1087" s="1" t="n">
        <v>44613</v>
      </c>
      <c r="C1087" s="1" t="n">
        <v>45576</v>
      </c>
      <c r="D1087" t="inlineStr">
        <is>
          <t>VÄSTERNORRLANDS LÄN</t>
        </is>
      </c>
      <c r="E1087" t="inlineStr">
        <is>
          <t>SOLLEFTEÅ</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8734-2022</t>
        </is>
      </c>
      <c r="B1088" s="1" t="n">
        <v>44613</v>
      </c>
      <c r="C1088" s="1" t="n">
        <v>45576</v>
      </c>
      <c r="D1088" t="inlineStr">
        <is>
          <t>VÄSTERNORRLANDS LÄN</t>
        </is>
      </c>
      <c r="E1088" t="inlineStr">
        <is>
          <t>SOLLEFTEÅ</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9124-2022</t>
        </is>
      </c>
      <c r="B1089" s="1" t="n">
        <v>44615</v>
      </c>
      <c r="C1089" s="1" t="n">
        <v>45576</v>
      </c>
      <c r="D1089" t="inlineStr">
        <is>
          <t>VÄSTERNORRLANDS LÄN</t>
        </is>
      </c>
      <c r="E1089" t="inlineStr">
        <is>
          <t>SOLLEFTEÅ</t>
        </is>
      </c>
      <c r="G1089" t="n">
        <v>20.2</v>
      </c>
      <c r="H1089" t="n">
        <v>0</v>
      </c>
      <c r="I1089" t="n">
        <v>0</v>
      </c>
      <c r="J1089" t="n">
        <v>0</v>
      </c>
      <c r="K1089" t="n">
        <v>0</v>
      </c>
      <c r="L1089" t="n">
        <v>0</v>
      </c>
      <c r="M1089" t="n">
        <v>0</v>
      </c>
      <c r="N1089" t="n">
        <v>0</v>
      </c>
      <c r="O1089" t="n">
        <v>0</v>
      </c>
      <c r="P1089" t="n">
        <v>0</v>
      </c>
      <c r="Q1089" t="n">
        <v>0</v>
      </c>
      <c r="R1089" s="2" t="inlineStr"/>
    </row>
    <row r="1090" ht="15" customHeight="1">
      <c r="A1090" t="inlineStr">
        <is>
          <t>A 9487-2022</t>
        </is>
      </c>
      <c r="B1090" s="1" t="n">
        <v>44616</v>
      </c>
      <c r="C1090" s="1" t="n">
        <v>45576</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9586-2022</t>
        </is>
      </c>
      <c r="B1091" s="1" t="n">
        <v>44617</v>
      </c>
      <c r="C1091" s="1" t="n">
        <v>45576</v>
      </c>
      <c r="D1091" t="inlineStr">
        <is>
          <t>VÄSTERNORRLANDS LÄN</t>
        </is>
      </c>
      <c r="E1091" t="inlineStr">
        <is>
          <t>SOLLEFTEÅ</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10138-2022</t>
        </is>
      </c>
      <c r="B1092" s="1" t="n">
        <v>44621</v>
      </c>
      <c r="C1092" s="1" t="n">
        <v>45576</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10139-2022</t>
        </is>
      </c>
      <c r="B1093" s="1" t="n">
        <v>44621</v>
      </c>
      <c r="C1093" s="1" t="n">
        <v>45576</v>
      </c>
      <c r="D1093" t="inlineStr">
        <is>
          <t>VÄSTERNORRLANDS LÄN</t>
        </is>
      </c>
      <c r="E1093" t="inlineStr">
        <is>
          <t>SOLLEFTEÅ</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10140-2022</t>
        </is>
      </c>
      <c r="B1094" s="1" t="n">
        <v>44621</v>
      </c>
      <c r="C1094" s="1" t="n">
        <v>45576</v>
      </c>
      <c r="D1094" t="inlineStr">
        <is>
          <t>VÄSTERNORRLANDS LÄN</t>
        </is>
      </c>
      <c r="E1094" t="inlineStr">
        <is>
          <t>SOLLEFTEÅ</t>
        </is>
      </c>
      <c r="F1094" t="inlineStr">
        <is>
          <t>SCA</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10141-2022</t>
        </is>
      </c>
      <c r="B1095" s="1" t="n">
        <v>44621</v>
      </c>
      <c r="C1095" s="1" t="n">
        <v>45576</v>
      </c>
      <c r="D1095" t="inlineStr">
        <is>
          <t>VÄSTERNORRLANDS LÄN</t>
        </is>
      </c>
      <c r="E1095" t="inlineStr">
        <is>
          <t>SOLLEFTEÅ</t>
        </is>
      </c>
      <c r="F1095" t="inlineStr">
        <is>
          <t>SCA</t>
        </is>
      </c>
      <c r="G1095" t="n">
        <v>15.5</v>
      </c>
      <c r="H1095" t="n">
        <v>0</v>
      </c>
      <c r="I1095" t="n">
        <v>0</v>
      </c>
      <c r="J1095" t="n">
        <v>0</v>
      </c>
      <c r="K1095" t="n">
        <v>0</v>
      </c>
      <c r="L1095" t="n">
        <v>0</v>
      </c>
      <c r="M1095" t="n">
        <v>0</v>
      </c>
      <c r="N1095" t="n">
        <v>0</v>
      </c>
      <c r="O1095" t="n">
        <v>0</v>
      </c>
      <c r="P1095" t="n">
        <v>0</v>
      </c>
      <c r="Q1095" t="n">
        <v>0</v>
      </c>
      <c r="R1095" s="2" t="inlineStr"/>
    </row>
    <row r="1096" ht="15" customHeight="1">
      <c r="A1096" t="inlineStr">
        <is>
          <t>A 10198-2022</t>
        </is>
      </c>
      <c r="B1096" s="1" t="n">
        <v>44622</v>
      </c>
      <c r="C1096" s="1" t="n">
        <v>45576</v>
      </c>
      <c r="D1096" t="inlineStr">
        <is>
          <t>VÄSTERNORRLANDS LÄN</t>
        </is>
      </c>
      <c r="E1096" t="inlineStr">
        <is>
          <t>SOLLEFTEÅ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10242-2022</t>
        </is>
      </c>
      <c r="B1097" s="1" t="n">
        <v>44622</v>
      </c>
      <c r="C1097" s="1" t="n">
        <v>45576</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10308-2022</t>
        </is>
      </c>
      <c r="B1098" s="1" t="n">
        <v>44622</v>
      </c>
      <c r="C1098" s="1" t="n">
        <v>45576</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10250-2022</t>
        </is>
      </c>
      <c r="B1099" s="1" t="n">
        <v>44622</v>
      </c>
      <c r="C1099" s="1" t="n">
        <v>45576</v>
      </c>
      <c r="D1099" t="inlineStr">
        <is>
          <t>VÄSTERNORRLANDS LÄN</t>
        </is>
      </c>
      <c r="E1099" t="inlineStr">
        <is>
          <t>SOLLEFTEÅ</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10310-2022</t>
        </is>
      </c>
      <c r="B1100" s="1" t="n">
        <v>44622</v>
      </c>
      <c r="C1100" s="1" t="n">
        <v>45576</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10307-2022</t>
        </is>
      </c>
      <c r="B1101" s="1" t="n">
        <v>44622</v>
      </c>
      <c r="C1101" s="1" t="n">
        <v>45576</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10311-2022</t>
        </is>
      </c>
      <c r="B1102" s="1" t="n">
        <v>44622</v>
      </c>
      <c r="C1102" s="1" t="n">
        <v>45576</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10309-2022</t>
        </is>
      </c>
      <c r="B1103" s="1" t="n">
        <v>44622</v>
      </c>
      <c r="C1103" s="1" t="n">
        <v>45576</v>
      </c>
      <c r="D1103" t="inlineStr">
        <is>
          <t>VÄSTERNORRLANDS LÄN</t>
        </is>
      </c>
      <c r="E1103" t="inlineStr">
        <is>
          <t>SOLLEFTEÅ</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10314-2022</t>
        </is>
      </c>
      <c r="B1104" s="1" t="n">
        <v>44622</v>
      </c>
      <c r="C1104" s="1" t="n">
        <v>45576</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10417-2022</t>
        </is>
      </c>
      <c r="B1105" s="1" t="n">
        <v>44623</v>
      </c>
      <c r="C1105" s="1" t="n">
        <v>45576</v>
      </c>
      <c r="D1105" t="inlineStr">
        <is>
          <t>VÄSTERNORRLANDS LÄN</t>
        </is>
      </c>
      <c r="E1105" t="inlineStr">
        <is>
          <t>SOLLEFTEÅ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10924-2022</t>
        </is>
      </c>
      <c r="B1106" s="1" t="n">
        <v>44627</v>
      </c>
      <c r="C1106" s="1" t="n">
        <v>45576</v>
      </c>
      <c r="D1106" t="inlineStr">
        <is>
          <t>VÄSTERNORRLANDS LÄN</t>
        </is>
      </c>
      <c r="E1106" t="inlineStr">
        <is>
          <t>SOLLEFTEÅ</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10926-2022</t>
        </is>
      </c>
      <c r="B1107" s="1" t="n">
        <v>44627</v>
      </c>
      <c r="C1107" s="1" t="n">
        <v>45576</v>
      </c>
      <c r="D1107" t="inlineStr">
        <is>
          <t>VÄSTERNORRLANDS LÄN</t>
        </is>
      </c>
      <c r="E1107" t="inlineStr">
        <is>
          <t>SOLLEFTEÅ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10925-2022</t>
        </is>
      </c>
      <c r="B1108" s="1" t="n">
        <v>44627</v>
      </c>
      <c r="C1108" s="1" t="n">
        <v>45576</v>
      </c>
      <c r="D1108" t="inlineStr">
        <is>
          <t>VÄSTERNORRLANDS LÄN</t>
        </is>
      </c>
      <c r="E1108" t="inlineStr">
        <is>
          <t>SOLLEFTEÅ</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10927-2022</t>
        </is>
      </c>
      <c r="B1109" s="1" t="n">
        <v>44627</v>
      </c>
      <c r="C1109" s="1" t="n">
        <v>45576</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11117-2022</t>
        </is>
      </c>
      <c r="B1110" s="1" t="n">
        <v>44628</v>
      </c>
      <c r="C1110" s="1" t="n">
        <v>45576</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11131-2022</t>
        </is>
      </c>
      <c r="B1111" s="1" t="n">
        <v>44628</v>
      </c>
      <c r="C1111" s="1" t="n">
        <v>45576</v>
      </c>
      <c r="D1111" t="inlineStr">
        <is>
          <t>VÄSTERNORRLANDS LÄN</t>
        </is>
      </c>
      <c r="E1111" t="inlineStr">
        <is>
          <t>SOLLEFTEÅ</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11133-2022</t>
        </is>
      </c>
      <c r="B1112" s="1" t="n">
        <v>44628</v>
      </c>
      <c r="C1112" s="1" t="n">
        <v>45576</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11125-2022</t>
        </is>
      </c>
      <c r="B1113" s="1" t="n">
        <v>44628</v>
      </c>
      <c r="C1113" s="1" t="n">
        <v>45576</v>
      </c>
      <c r="D1113" t="inlineStr">
        <is>
          <t>VÄSTERNORRLANDS LÄN</t>
        </is>
      </c>
      <c r="E1113" t="inlineStr">
        <is>
          <t>SOLLEFTEÅ</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11241-2022</t>
        </is>
      </c>
      <c r="B1114" s="1" t="n">
        <v>44629</v>
      </c>
      <c r="C1114" s="1" t="n">
        <v>45576</v>
      </c>
      <c r="D1114" t="inlineStr">
        <is>
          <t>VÄSTERNORRLANDS LÄN</t>
        </is>
      </c>
      <c r="E1114" t="inlineStr">
        <is>
          <t>SOLLEFTEÅ</t>
        </is>
      </c>
      <c r="F1114" t="inlineStr">
        <is>
          <t>Kommuner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11318-2022</t>
        </is>
      </c>
      <c r="B1115" s="1" t="n">
        <v>44629</v>
      </c>
      <c r="C1115" s="1" t="n">
        <v>45576</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11475-2022</t>
        </is>
      </c>
      <c r="B1116" s="1" t="n">
        <v>44630</v>
      </c>
      <c r="C1116" s="1" t="n">
        <v>45576</v>
      </c>
      <c r="D1116" t="inlineStr">
        <is>
          <t>VÄSTERNORRLANDS LÄN</t>
        </is>
      </c>
      <c r="E1116" t="inlineStr">
        <is>
          <t>SOLLEFTEÅ</t>
        </is>
      </c>
      <c r="G1116" t="n">
        <v>18.7</v>
      </c>
      <c r="H1116" t="n">
        <v>0</v>
      </c>
      <c r="I1116" t="n">
        <v>0</v>
      </c>
      <c r="J1116" t="n">
        <v>0</v>
      </c>
      <c r="K1116" t="n">
        <v>0</v>
      </c>
      <c r="L1116" t="n">
        <v>0</v>
      </c>
      <c r="M1116" t="n">
        <v>0</v>
      </c>
      <c r="N1116" t="n">
        <v>0</v>
      </c>
      <c r="O1116" t="n">
        <v>0</v>
      </c>
      <c r="P1116" t="n">
        <v>0</v>
      </c>
      <c r="Q1116" t="n">
        <v>0</v>
      </c>
      <c r="R1116" s="2" t="inlineStr"/>
    </row>
    <row r="1117" ht="15" customHeight="1">
      <c r="A1117" t="inlineStr">
        <is>
          <t>A 11484-2022</t>
        </is>
      </c>
      <c r="B1117" s="1" t="n">
        <v>44630</v>
      </c>
      <c r="C1117" s="1" t="n">
        <v>45576</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11474-2022</t>
        </is>
      </c>
      <c r="B1118" s="1" t="n">
        <v>44630</v>
      </c>
      <c r="C1118" s="1" t="n">
        <v>45576</v>
      </c>
      <c r="D1118" t="inlineStr">
        <is>
          <t>VÄSTERNORRLANDS LÄN</t>
        </is>
      </c>
      <c r="E1118" t="inlineStr">
        <is>
          <t>SOLLEFTEÅ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11483-2022</t>
        </is>
      </c>
      <c r="B1119" s="1" t="n">
        <v>44630</v>
      </c>
      <c r="C1119" s="1" t="n">
        <v>45576</v>
      </c>
      <c r="D1119" t="inlineStr">
        <is>
          <t>VÄSTERNORRLANDS LÄN</t>
        </is>
      </c>
      <c r="E1119" t="inlineStr">
        <is>
          <t>SOLLEFTEÅ</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11652-2022</t>
        </is>
      </c>
      <c r="B1120" s="1" t="n">
        <v>44631</v>
      </c>
      <c r="C1120" s="1" t="n">
        <v>45576</v>
      </c>
      <c r="D1120" t="inlineStr">
        <is>
          <t>VÄSTERNORRLANDS LÄN</t>
        </is>
      </c>
      <c r="E1120" t="inlineStr">
        <is>
          <t>SOLLEFTEÅ</t>
        </is>
      </c>
      <c r="F1120" t="inlineStr">
        <is>
          <t>SCA</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11656-2022</t>
        </is>
      </c>
      <c r="B1121" s="1" t="n">
        <v>44631</v>
      </c>
      <c r="C1121" s="1" t="n">
        <v>45576</v>
      </c>
      <c r="D1121" t="inlineStr">
        <is>
          <t>VÄSTERNORRLANDS LÄN</t>
        </is>
      </c>
      <c r="E1121" t="inlineStr">
        <is>
          <t>SOLLEFTEÅ</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11653-2022</t>
        </is>
      </c>
      <c r="B1122" s="1" t="n">
        <v>44631</v>
      </c>
      <c r="C1122" s="1" t="n">
        <v>45576</v>
      </c>
      <c r="D1122" t="inlineStr">
        <is>
          <t>VÄSTERNORRLANDS LÄN</t>
        </is>
      </c>
      <c r="E1122" t="inlineStr">
        <is>
          <t>SOLLEFTEÅ</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11677-2022</t>
        </is>
      </c>
      <c r="B1123" s="1" t="n">
        <v>44633</v>
      </c>
      <c r="C1123" s="1" t="n">
        <v>45576</v>
      </c>
      <c r="D1123" t="inlineStr">
        <is>
          <t>VÄSTERNORRLANDS LÄN</t>
        </is>
      </c>
      <c r="E1123" t="inlineStr">
        <is>
          <t>SOLLEFTEÅ</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11842-2022</t>
        </is>
      </c>
      <c r="B1124" s="1" t="n">
        <v>44634</v>
      </c>
      <c r="C1124" s="1" t="n">
        <v>45576</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11845-2022</t>
        </is>
      </c>
      <c r="B1125" s="1" t="n">
        <v>44634</v>
      </c>
      <c r="C1125" s="1" t="n">
        <v>45576</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11846-2022</t>
        </is>
      </c>
      <c r="B1126" s="1" t="n">
        <v>44634</v>
      </c>
      <c r="C1126" s="1" t="n">
        <v>45576</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11870-2022</t>
        </is>
      </c>
      <c r="B1127" s="1" t="n">
        <v>44635</v>
      </c>
      <c r="C1127" s="1" t="n">
        <v>45576</v>
      </c>
      <c r="D1127" t="inlineStr">
        <is>
          <t>VÄSTERNORRLANDS LÄN</t>
        </is>
      </c>
      <c r="E1127" t="inlineStr">
        <is>
          <t>SOLLEFTEÅ</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11874-2022</t>
        </is>
      </c>
      <c r="B1128" s="1" t="n">
        <v>44635</v>
      </c>
      <c r="C1128" s="1" t="n">
        <v>45576</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12007-2022</t>
        </is>
      </c>
      <c r="B1129" s="1" t="n">
        <v>44635</v>
      </c>
      <c r="C1129" s="1" t="n">
        <v>45576</v>
      </c>
      <c r="D1129" t="inlineStr">
        <is>
          <t>VÄSTERNORRLANDS LÄN</t>
        </is>
      </c>
      <c r="E1129" t="inlineStr">
        <is>
          <t>SOLLEFTEÅ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12001-2022</t>
        </is>
      </c>
      <c r="B1130" s="1" t="n">
        <v>44635</v>
      </c>
      <c r="C1130" s="1" t="n">
        <v>45576</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12006-2022</t>
        </is>
      </c>
      <c r="B1131" s="1" t="n">
        <v>44635</v>
      </c>
      <c r="C1131" s="1" t="n">
        <v>45576</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v>
      </c>
      <c r="C1132" s="1" t="n">
        <v>45576</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12191-2022</t>
        </is>
      </c>
      <c r="B1133" s="1" t="n">
        <v>44636</v>
      </c>
      <c r="C1133" s="1" t="n">
        <v>45576</v>
      </c>
      <c r="D1133" t="inlineStr">
        <is>
          <t>VÄSTERNORRLANDS LÄN</t>
        </is>
      </c>
      <c r="E1133" t="inlineStr">
        <is>
          <t>SOLLEFTEÅ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12201-2022</t>
        </is>
      </c>
      <c r="B1134" s="1" t="n">
        <v>44636</v>
      </c>
      <c r="C1134" s="1" t="n">
        <v>45576</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12395-2022</t>
        </is>
      </c>
      <c r="B1135" s="1" t="n">
        <v>44637</v>
      </c>
      <c r="C1135" s="1" t="n">
        <v>45576</v>
      </c>
      <c r="D1135" t="inlineStr">
        <is>
          <t>VÄSTERNORRLANDS LÄN</t>
        </is>
      </c>
      <c r="E1135" t="inlineStr">
        <is>
          <t>SOLLEFTEÅ</t>
        </is>
      </c>
      <c r="F1135" t="inlineStr">
        <is>
          <t>SCA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12561-2022</t>
        </is>
      </c>
      <c r="B1136" s="1" t="n">
        <v>44638</v>
      </c>
      <c r="C1136" s="1" t="n">
        <v>45576</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12565-2022</t>
        </is>
      </c>
      <c r="B1137" s="1" t="n">
        <v>44638</v>
      </c>
      <c r="C1137" s="1" t="n">
        <v>45576</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12572-2022</t>
        </is>
      </c>
      <c r="B1138" s="1" t="n">
        <v>44638</v>
      </c>
      <c r="C1138" s="1" t="n">
        <v>45576</v>
      </c>
      <c r="D1138" t="inlineStr">
        <is>
          <t>VÄSTERNORRLANDS LÄN</t>
        </is>
      </c>
      <c r="E1138" t="inlineStr">
        <is>
          <t>SOLLEFTEÅ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12564-2022</t>
        </is>
      </c>
      <c r="B1139" s="1" t="n">
        <v>44638</v>
      </c>
      <c r="C1139" s="1" t="n">
        <v>45576</v>
      </c>
      <c r="D1139" t="inlineStr">
        <is>
          <t>VÄSTERNORRLANDS LÄN</t>
        </is>
      </c>
      <c r="E1139" t="inlineStr">
        <is>
          <t>SOLLEFTEÅ</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12568-2022</t>
        </is>
      </c>
      <c r="B1140" s="1" t="n">
        <v>44638</v>
      </c>
      <c r="C1140" s="1" t="n">
        <v>45576</v>
      </c>
      <c r="D1140" t="inlineStr">
        <is>
          <t>VÄSTERNORRLANDS LÄN</t>
        </is>
      </c>
      <c r="E1140" t="inlineStr">
        <is>
          <t>SOLLEFTEÅ</t>
        </is>
      </c>
      <c r="F1140" t="inlineStr">
        <is>
          <t>SCA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12557-2022</t>
        </is>
      </c>
      <c r="B1141" s="1" t="n">
        <v>44638</v>
      </c>
      <c r="C1141" s="1" t="n">
        <v>45576</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12563-2022</t>
        </is>
      </c>
      <c r="B1142" s="1" t="n">
        <v>44638</v>
      </c>
      <c r="C1142" s="1" t="n">
        <v>45576</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12567-2022</t>
        </is>
      </c>
      <c r="B1143" s="1" t="n">
        <v>44638</v>
      </c>
      <c r="C1143" s="1" t="n">
        <v>45576</v>
      </c>
      <c r="D1143" t="inlineStr">
        <is>
          <t>VÄSTERNORRLANDS LÄN</t>
        </is>
      </c>
      <c r="E1143" t="inlineStr">
        <is>
          <t>SOLLEFTEÅ</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12562-2022</t>
        </is>
      </c>
      <c r="B1144" s="1" t="n">
        <v>44638</v>
      </c>
      <c r="C1144" s="1" t="n">
        <v>45576</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12566-2022</t>
        </is>
      </c>
      <c r="B1145" s="1" t="n">
        <v>44638</v>
      </c>
      <c r="C1145" s="1" t="n">
        <v>45576</v>
      </c>
      <c r="D1145" t="inlineStr">
        <is>
          <t>VÄSTERNORRLANDS LÄN</t>
        </is>
      </c>
      <c r="E1145" t="inlineStr">
        <is>
          <t>SOLLEFTEÅ</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12758-2022</t>
        </is>
      </c>
      <c r="B1146" s="1" t="n">
        <v>44641</v>
      </c>
      <c r="C1146" s="1" t="n">
        <v>45576</v>
      </c>
      <c r="D1146" t="inlineStr">
        <is>
          <t>VÄSTERNORRLANDS LÄN</t>
        </is>
      </c>
      <c r="E1146" t="inlineStr">
        <is>
          <t>SOLLEFTEÅ</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12764-2022</t>
        </is>
      </c>
      <c r="B1147" s="1" t="n">
        <v>44641</v>
      </c>
      <c r="C1147" s="1" t="n">
        <v>45576</v>
      </c>
      <c r="D1147" t="inlineStr">
        <is>
          <t>VÄSTERNORRLANDS LÄN</t>
        </is>
      </c>
      <c r="E1147" t="inlineStr">
        <is>
          <t>SOLLEFTEÅ</t>
        </is>
      </c>
      <c r="F1147" t="inlineStr">
        <is>
          <t>SCA</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12774-2022</t>
        </is>
      </c>
      <c r="B1148" s="1" t="n">
        <v>44641</v>
      </c>
      <c r="C1148" s="1" t="n">
        <v>45576</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13300-2022</t>
        </is>
      </c>
      <c r="B1149" s="1" t="n">
        <v>44644</v>
      </c>
      <c r="C1149" s="1" t="n">
        <v>45576</v>
      </c>
      <c r="D1149" t="inlineStr">
        <is>
          <t>VÄSTERNORRLANDS LÄN</t>
        </is>
      </c>
      <c r="E1149" t="inlineStr">
        <is>
          <t>SOLLEFTEÅ</t>
        </is>
      </c>
      <c r="F1149" t="inlineStr">
        <is>
          <t>SCA</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13311-2022</t>
        </is>
      </c>
      <c r="B1150" s="1" t="n">
        <v>44644</v>
      </c>
      <c r="C1150" s="1" t="n">
        <v>45576</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13309-2022</t>
        </is>
      </c>
      <c r="B1151" s="1" t="n">
        <v>44644</v>
      </c>
      <c r="C1151" s="1" t="n">
        <v>45576</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13492-2022</t>
        </is>
      </c>
      <c r="B1152" s="1" t="n">
        <v>44646</v>
      </c>
      <c r="C1152" s="1" t="n">
        <v>45576</v>
      </c>
      <c r="D1152" t="inlineStr">
        <is>
          <t>VÄSTERNORRLANDS LÄN</t>
        </is>
      </c>
      <c r="E1152" t="inlineStr">
        <is>
          <t>SOLLEFTEÅ</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13598-2022</t>
        </is>
      </c>
      <c r="B1153" s="1" t="n">
        <v>44648</v>
      </c>
      <c r="C1153" s="1" t="n">
        <v>45576</v>
      </c>
      <c r="D1153" t="inlineStr">
        <is>
          <t>VÄSTERNORRLANDS LÄN</t>
        </is>
      </c>
      <c r="E1153" t="inlineStr">
        <is>
          <t>SOLLEFTEÅ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13658-2022</t>
        </is>
      </c>
      <c r="B1154" s="1" t="n">
        <v>44648</v>
      </c>
      <c r="C1154" s="1" t="n">
        <v>45576</v>
      </c>
      <c r="D1154" t="inlineStr">
        <is>
          <t>VÄSTERNORRLANDS LÄN</t>
        </is>
      </c>
      <c r="E1154" t="inlineStr">
        <is>
          <t>SOLLEFTEÅ</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13710-2022</t>
        </is>
      </c>
      <c r="B1155" s="1" t="n">
        <v>44649</v>
      </c>
      <c r="C1155" s="1" t="n">
        <v>45576</v>
      </c>
      <c r="D1155" t="inlineStr">
        <is>
          <t>VÄSTERNORRLANDS LÄN</t>
        </is>
      </c>
      <c r="E1155" t="inlineStr">
        <is>
          <t>SOLLEFTEÅ</t>
        </is>
      </c>
      <c r="F1155" t="inlineStr">
        <is>
          <t>SCA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14061-2022</t>
        </is>
      </c>
      <c r="B1156" s="1" t="n">
        <v>44651</v>
      </c>
      <c r="C1156" s="1" t="n">
        <v>45576</v>
      </c>
      <c r="D1156" t="inlineStr">
        <is>
          <t>VÄSTERNORRLANDS LÄN</t>
        </is>
      </c>
      <c r="E1156" t="inlineStr">
        <is>
          <t>SOLLEFTEÅ</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14066-2022</t>
        </is>
      </c>
      <c r="B1157" s="1" t="n">
        <v>44650</v>
      </c>
      <c r="C1157" s="1" t="n">
        <v>45576</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14058-2022</t>
        </is>
      </c>
      <c r="B1158" s="1" t="n">
        <v>44651</v>
      </c>
      <c r="C1158" s="1" t="n">
        <v>45576</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14063-2022</t>
        </is>
      </c>
      <c r="B1159" s="1" t="n">
        <v>44651</v>
      </c>
      <c r="C1159" s="1" t="n">
        <v>45576</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14055-2022</t>
        </is>
      </c>
      <c r="B1160" s="1" t="n">
        <v>44651</v>
      </c>
      <c r="C1160" s="1" t="n">
        <v>45576</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14060-2022</t>
        </is>
      </c>
      <c r="B1161" s="1" t="n">
        <v>44651</v>
      </c>
      <c r="C1161" s="1" t="n">
        <v>45576</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14065-2022</t>
        </is>
      </c>
      <c r="B1162" s="1" t="n">
        <v>44650</v>
      </c>
      <c r="C1162" s="1" t="n">
        <v>45576</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14059-2022</t>
        </is>
      </c>
      <c r="B1163" s="1" t="n">
        <v>44651</v>
      </c>
      <c r="C1163" s="1" t="n">
        <v>45576</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14064-2022</t>
        </is>
      </c>
      <c r="B1164" s="1" t="n">
        <v>44651</v>
      </c>
      <c r="C1164" s="1" t="n">
        <v>45576</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14276-2022</t>
        </is>
      </c>
      <c r="B1165" s="1" t="n">
        <v>44652</v>
      </c>
      <c r="C1165" s="1" t="n">
        <v>45576</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14297-2022</t>
        </is>
      </c>
      <c r="B1166" s="1" t="n">
        <v>44651</v>
      </c>
      <c r="C1166" s="1" t="n">
        <v>45576</v>
      </c>
      <c r="D1166" t="inlineStr">
        <is>
          <t>VÄSTERNORRLANDS LÄN</t>
        </is>
      </c>
      <c r="E1166" t="inlineStr">
        <is>
          <t>SOLLEFTEÅ</t>
        </is>
      </c>
      <c r="F1166" t="inlineStr">
        <is>
          <t>SCA</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14300-2022</t>
        </is>
      </c>
      <c r="B1167" s="1" t="n">
        <v>44652</v>
      </c>
      <c r="C1167" s="1" t="n">
        <v>45576</v>
      </c>
      <c r="D1167" t="inlineStr">
        <is>
          <t>VÄSTERNORRLANDS LÄN</t>
        </is>
      </c>
      <c r="E1167" t="inlineStr">
        <is>
          <t>SOLLEFTEÅ</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14308-2022</t>
        </is>
      </c>
      <c r="B1168" s="1" t="n">
        <v>44652</v>
      </c>
      <c r="C1168" s="1" t="n">
        <v>45576</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14275-2022</t>
        </is>
      </c>
      <c r="B1169" s="1" t="n">
        <v>44651</v>
      </c>
      <c r="C1169" s="1" t="n">
        <v>45576</v>
      </c>
      <c r="D1169" t="inlineStr">
        <is>
          <t>VÄSTERNORRLANDS LÄN</t>
        </is>
      </c>
      <c r="E1169" t="inlineStr">
        <is>
          <t>SOLLEFTEÅ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14299-2022</t>
        </is>
      </c>
      <c r="B1170" s="1" t="n">
        <v>44652</v>
      </c>
      <c r="C1170" s="1" t="n">
        <v>45576</v>
      </c>
      <c r="D1170" t="inlineStr">
        <is>
          <t>VÄSTERNORRLANDS LÄN</t>
        </is>
      </c>
      <c r="E1170" t="inlineStr">
        <is>
          <t>SOLLEFTEÅ</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14296-2022</t>
        </is>
      </c>
      <c r="B1171" s="1" t="n">
        <v>44652</v>
      </c>
      <c r="C1171" s="1" t="n">
        <v>45576</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14302-2022</t>
        </is>
      </c>
      <c r="B1172" s="1" t="n">
        <v>44651</v>
      </c>
      <c r="C1172" s="1" t="n">
        <v>45576</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14448-2022</t>
        </is>
      </c>
      <c r="B1173" s="1" t="n">
        <v>44652</v>
      </c>
      <c r="C1173" s="1" t="n">
        <v>45576</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14449-2022</t>
        </is>
      </c>
      <c r="B1174" s="1" t="n">
        <v>44652</v>
      </c>
      <c r="C1174" s="1" t="n">
        <v>45576</v>
      </c>
      <c r="D1174" t="inlineStr">
        <is>
          <t>VÄSTERNORRLANDS LÄN</t>
        </is>
      </c>
      <c r="E1174" t="inlineStr">
        <is>
          <t>SOLLEFTEÅ</t>
        </is>
      </c>
      <c r="F1174" t="inlineStr">
        <is>
          <t>SCA</t>
        </is>
      </c>
      <c r="G1174" t="n">
        <v>31.8</v>
      </c>
      <c r="H1174" t="n">
        <v>0</v>
      </c>
      <c r="I1174" t="n">
        <v>0</v>
      </c>
      <c r="J1174" t="n">
        <v>0</v>
      </c>
      <c r="K1174" t="n">
        <v>0</v>
      </c>
      <c r="L1174" t="n">
        <v>0</v>
      </c>
      <c r="M1174" t="n">
        <v>0</v>
      </c>
      <c r="N1174" t="n">
        <v>0</v>
      </c>
      <c r="O1174" t="n">
        <v>0</v>
      </c>
      <c r="P1174" t="n">
        <v>0</v>
      </c>
      <c r="Q1174" t="n">
        <v>0</v>
      </c>
      <c r="R1174" s="2" t="inlineStr"/>
    </row>
    <row r="1175" ht="15" customHeight="1">
      <c r="A1175" t="inlineStr">
        <is>
          <t>A 14450-2022</t>
        </is>
      </c>
      <c r="B1175" s="1" t="n">
        <v>44653</v>
      </c>
      <c r="C1175" s="1" t="n">
        <v>45576</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14447-2022</t>
        </is>
      </c>
      <c r="B1176" s="1" t="n">
        <v>44653</v>
      </c>
      <c r="C1176" s="1" t="n">
        <v>45576</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14477-2022</t>
        </is>
      </c>
      <c r="B1177" s="1" t="n">
        <v>44655</v>
      </c>
      <c r="C1177" s="1" t="n">
        <v>45576</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14910-2022</t>
        </is>
      </c>
      <c r="B1178" s="1" t="n">
        <v>44657</v>
      </c>
      <c r="C1178" s="1" t="n">
        <v>45576</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15090-2022</t>
        </is>
      </c>
      <c r="B1179" s="1" t="n">
        <v>44658</v>
      </c>
      <c r="C1179" s="1" t="n">
        <v>45576</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15241-2022</t>
        </is>
      </c>
      <c r="B1180" s="1" t="n">
        <v>44659</v>
      </c>
      <c r="C1180" s="1" t="n">
        <v>45576</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15234-2022</t>
        </is>
      </c>
      <c r="B1181" s="1" t="n">
        <v>44659</v>
      </c>
      <c r="C1181" s="1" t="n">
        <v>45576</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15658-2022</t>
        </is>
      </c>
      <c r="B1182" s="1" t="n">
        <v>44663</v>
      </c>
      <c r="C1182" s="1" t="n">
        <v>45576</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15809-2022</t>
        </is>
      </c>
      <c r="B1183" s="1" t="n">
        <v>44663</v>
      </c>
      <c r="C1183" s="1" t="n">
        <v>45576</v>
      </c>
      <c r="D1183" t="inlineStr">
        <is>
          <t>VÄSTERNORRLANDS LÄN</t>
        </is>
      </c>
      <c r="E1183" t="inlineStr">
        <is>
          <t>SOLLEFTEÅ</t>
        </is>
      </c>
      <c r="F1183" t="inlineStr">
        <is>
          <t>SCA</t>
        </is>
      </c>
      <c r="G1183" t="n">
        <v>16.3</v>
      </c>
      <c r="H1183" t="n">
        <v>0</v>
      </c>
      <c r="I1183" t="n">
        <v>0</v>
      </c>
      <c r="J1183" t="n">
        <v>0</v>
      </c>
      <c r="K1183" t="n">
        <v>0</v>
      </c>
      <c r="L1183" t="n">
        <v>0</v>
      </c>
      <c r="M1183" t="n">
        <v>0</v>
      </c>
      <c r="N1183" t="n">
        <v>0</v>
      </c>
      <c r="O1183" t="n">
        <v>0</v>
      </c>
      <c r="P1183" t="n">
        <v>0</v>
      </c>
      <c r="Q1183" t="n">
        <v>0</v>
      </c>
      <c r="R1183" s="2" t="inlineStr"/>
    </row>
    <row r="1184" ht="15" customHeight="1">
      <c r="A1184" t="inlineStr">
        <is>
          <t>A 15964-2022</t>
        </is>
      </c>
      <c r="B1184" s="1" t="n">
        <v>44665</v>
      </c>
      <c r="C1184" s="1" t="n">
        <v>45576</v>
      </c>
      <c r="D1184" t="inlineStr">
        <is>
          <t>VÄSTERNORRLANDS LÄN</t>
        </is>
      </c>
      <c r="E1184" t="inlineStr">
        <is>
          <t>SOLLEFTEÅ</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15974-2022</t>
        </is>
      </c>
      <c r="B1185" s="1" t="n">
        <v>44665</v>
      </c>
      <c r="C1185" s="1" t="n">
        <v>45576</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16088-2022</t>
        </is>
      </c>
      <c r="B1186" s="1" t="n">
        <v>44665</v>
      </c>
      <c r="C1186" s="1" t="n">
        <v>45576</v>
      </c>
      <c r="D1186" t="inlineStr">
        <is>
          <t>VÄSTERNORRLANDS LÄN</t>
        </is>
      </c>
      <c r="E1186" t="inlineStr">
        <is>
          <t>SOLLEFTEÅ</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16000-2022</t>
        </is>
      </c>
      <c r="B1187" s="1" t="n">
        <v>44665</v>
      </c>
      <c r="C1187" s="1" t="n">
        <v>45576</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16083-2022</t>
        </is>
      </c>
      <c r="B1188" s="1" t="n">
        <v>44665</v>
      </c>
      <c r="C1188" s="1" t="n">
        <v>45576</v>
      </c>
      <c r="D1188" t="inlineStr">
        <is>
          <t>VÄSTERNORRLANDS LÄN</t>
        </is>
      </c>
      <c r="E1188" t="inlineStr">
        <is>
          <t>SOLLEFTEÅ</t>
        </is>
      </c>
      <c r="F1188" t="inlineStr">
        <is>
          <t>Holmen skog AB</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16093-2022</t>
        </is>
      </c>
      <c r="B1189" s="1" t="n">
        <v>44665</v>
      </c>
      <c r="C1189" s="1" t="n">
        <v>45576</v>
      </c>
      <c r="D1189" t="inlineStr">
        <is>
          <t>VÄSTERNORRLANDS LÄN</t>
        </is>
      </c>
      <c r="E1189" t="inlineStr">
        <is>
          <t>SOLLEFTEÅ</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16365-2022</t>
        </is>
      </c>
      <c r="B1190" s="1" t="n">
        <v>44671</v>
      </c>
      <c r="C1190" s="1" t="n">
        <v>45576</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16419-2022</t>
        </is>
      </c>
      <c r="B1191" s="1" t="n">
        <v>44671</v>
      </c>
      <c r="C1191" s="1" t="n">
        <v>45576</v>
      </c>
      <c r="D1191" t="inlineStr">
        <is>
          <t>VÄSTERNORRLANDS LÄN</t>
        </is>
      </c>
      <c r="E1191" t="inlineStr">
        <is>
          <t>SOLLEFTEÅ</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16521-2022</t>
        </is>
      </c>
      <c r="B1192" s="1" t="n">
        <v>44671</v>
      </c>
      <c r="C1192" s="1" t="n">
        <v>45576</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16675-2022</t>
        </is>
      </c>
      <c r="B1193" s="1" t="n">
        <v>44672</v>
      </c>
      <c r="C1193" s="1" t="n">
        <v>45576</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16611-2022</t>
        </is>
      </c>
      <c r="B1194" s="1" t="n">
        <v>44672</v>
      </c>
      <c r="C1194" s="1" t="n">
        <v>45576</v>
      </c>
      <c r="D1194" t="inlineStr">
        <is>
          <t>VÄSTERNORRLANDS LÄN</t>
        </is>
      </c>
      <c r="E1194" t="inlineStr">
        <is>
          <t>SOLLEFTEÅ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16670-2022</t>
        </is>
      </c>
      <c r="B1195" s="1" t="n">
        <v>44673</v>
      </c>
      <c r="C1195" s="1" t="n">
        <v>45576</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17045-2022</t>
        </is>
      </c>
      <c r="B1196" s="1" t="n">
        <v>44676</v>
      </c>
      <c r="C1196" s="1" t="n">
        <v>45576</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17049-2022</t>
        </is>
      </c>
      <c r="B1197" s="1" t="n">
        <v>44676</v>
      </c>
      <c r="C1197" s="1" t="n">
        <v>45576</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c r="U1197">
        <f>HYPERLINK("https://klasma.github.io/Logging_2283/knärot/A 17049-2022 karta knärot.png", "A 17049-2022")</f>
        <v/>
      </c>
      <c r="V1197">
        <f>HYPERLINK("https://klasma.github.io/Logging_2283/klagomål/A 17049-2022 FSC-klagomål.docx", "A 17049-2022")</f>
        <v/>
      </c>
      <c r="W1197">
        <f>HYPERLINK("https://klasma.github.io/Logging_2283/klagomålsmail/A 17049-2022 FSC-klagomål mail.docx", "A 17049-2022")</f>
        <v/>
      </c>
      <c r="X1197">
        <f>HYPERLINK("https://klasma.github.io/Logging_2283/tillsyn/A 17049-2022 tillsynsbegäran.docx", "A 17049-2022")</f>
        <v/>
      </c>
      <c r="Y1197">
        <f>HYPERLINK("https://klasma.github.io/Logging_2283/tillsynsmail/A 17049-2022 tillsynsbegäran mail.docx", "A 17049-2022")</f>
        <v/>
      </c>
    </row>
    <row r="1198" ht="15" customHeight="1">
      <c r="A1198" t="inlineStr">
        <is>
          <t>A 17344-2022</t>
        </is>
      </c>
      <c r="B1198" s="1" t="n">
        <v>44678</v>
      </c>
      <c r="C1198" s="1" t="n">
        <v>45576</v>
      </c>
      <c r="D1198" t="inlineStr">
        <is>
          <t>VÄSTERNORRLANDS LÄN</t>
        </is>
      </c>
      <c r="E1198" t="inlineStr">
        <is>
          <t>SOLLEFTEÅ</t>
        </is>
      </c>
      <c r="G1198" t="n">
        <v>34.2</v>
      </c>
      <c r="H1198" t="n">
        <v>0</v>
      </c>
      <c r="I1198" t="n">
        <v>0</v>
      </c>
      <c r="J1198" t="n">
        <v>0</v>
      </c>
      <c r="K1198" t="n">
        <v>0</v>
      </c>
      <c r="L1198" t="n">
        <v>0</v>
      </c>
      <c r="M1198" t="n">
        <v>0</v>
      </c>
      <c r="N1198" t="n">
        <v>0</v>
      </c>
      <c r="O1198" t="n">
        <v>0</v>
      </c>
      <c r="P1198" t="n">
        <v>0</v>
      </c>
      <c r="Q1198" t="n">
        <v>0</v>
      </c>
      <c r="R1198" s="2" t="inlineStr"/>
    </row>
    <row r="1199" ht="15" customHeight="1">
      <c r="A1199" t="inlineStr">
        <is>
          <t>A 17995-2022</t>
        </is>
      </c>
      <c r="B1199" s="1" t="n">
        <v>44684</v>
      </c>
      <c r="C1199" s="1" t="n">
        <v>45576</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18000-2022</t>
        </is>
      </c>
      <c r="B1200" s="1" t="n">
        <v>44684</v>
      </c>
      <c r="C1200" s="1" t="n">
        <v>45576</v>
      </c>
      <c r="D1200" t="inlineStr">
        <is>
          <t>VÄSTERNORRLANDS LÄN</t>
        </is>
      </c>
      <c r="E1200" t="inlineStr">
        <is>
          <t>SOLLEFTEÅ</t>
        </is>
      </c>
      <c r="F1200" t="inlineStr">
        <is>
          <t>SCA</t>
        </is>
      </c>
      <c r="G1200" t="n">
        <v>14.4</v>
      </c>
      <c r="H1200" t="n">
        <v>0</v>
      </c>
      <c r="I1200" t="n">
        <v>0</v>
      </c>
      <c r="J1200" t="n">
        <v>0</v>
      </c>
      <c r="K1200" t="n">
        <v>0</v>
      </c>
      <c r="L1200" t="n">
        <v>0</v>
      </c>
      <c r="M1200" t="n">
        <v>0</v>
      </c>
      <c r="N1200" t="n">
        <v>0</v>
      </c>
      <c r="O1200" t="n">
        <v>0</v>
      </c>
      <c r="P1200" t="n">
        <v>0</v>
      </c>
      <c r="Q1200" t="n">
        <v>0</v>
      </c>
      <c r="R1200" s="2" t="inlineStr"/>
    </row>
    <row r="1201" ht="15" customHeight="1">
      <c r="A1201" t="inlineStr">
        <is>
          <t>A 18011-2022</t>
        </is>
      </c>
      <c r="B1201" s="1" t="n">
        <v>44683</v>
      </c>
      <c r="C1201" s="1" t="n">
        <v>45576</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18015-2022</t>
        </is>
      </c>
      <c r="B1202" s="1" t="n">
        <v>44684</v>
      </c>
      <c r="C1202" s="1" t="n">
        <v>45576</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18016-2022</t>
        </is>
      </c>
      <c r="B1203" s="1" t="n">
        <v>44684</v>
      </c>
      <c r="C1203" s="1" t="n">
        <v>45576</v>
      </c>
      <c r="D1203" t="inlineStr">
        <is>
          <t>VÄSTERNORRLANDS LÄN</t>
        </is>
      </c>
      <c r="E1203" t="inlineStr">
        <is>
          <t>SOLLEFTEÅ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17999-2022</t>
        </is>
      </c>
      <c r="B1204" s="1" t="n">
        <v>44683</v>
      </c>
      <c r="C1204" s="1" t="n">
        <v>45576</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18013-2022</t>
        </is>
      </c>
      <c r="B1205" s="1" t="n">
        <v>44684</v>
      </c>
      <c r="C1205" s="1" t="n">
        <v>45576</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18017-2022</t>
        </is>
      </c>
      <c r="B1206" s="1" t="n">
        <v>44683</v>
      </c>
      <c r="C1206" s="1" t="n">
        <v>45576</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18187-2022</t>
        </is>
      </c>
      <c r="B1207" s="1" t="n">
        <v>44684</v>
      </c>
      <c r="C1207" s="1" t="n">
        <v>45576</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18190-2022</t>
        </is>
      </c>
      <c r="B1208" s="1" t="n">
        <v>44685</v>
      </c>
      <c r="C1208" s="1" t="n">
        <v>45576</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18197-2022</t>
        </is>
      </c>
      <c r="B1209" s="1" t="n">
        <v>44684</v>
      </c>
      <c r="C1209" s="1" t="n">
        <v>45576</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18188-2022</t>
        </is>
      </c>
      <c r="B1210" s="1" t="n">
        <v>44685</v>
      </c>
      <c r="C1210" s="1" t="n">
        <v>45576</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18196-2022</t>
        </is>
      </c>
      <c r="B1211" s="1" t="n">
        <v>44685</v>
      </c>
      <c r="C1211" s="1" t="n">
        <v>45576</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18202-2022</t>
        </is>
      </c>
      <c r="B1212" s="1" t="n">
        <v>44684</v>
      </c>
      <c r="C1212" s="1" t="n">
        <v>45576</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18304-2022</t>
        </is>
      </c>
      <c r="B1213" s="1" t="n">
        <v>44685</v>
      </c>
      <c r="C1213" s="1" t="n">
        <v>45576</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18372-2022</t>
        </is>
      </c>
      <c r="B1214" s="1" t="n">
        <v>44685</v>
      </c>
      <c r="C1214" s="1" t="n">
        <v>45576</v>
      </c>
      <c r="D1214" t="inlineStr">
        <is>
          <t>VÄSTERNORRLANDS LÄN</t>
        </is>
      </c>
      <c r="E1214" t="inlineStr">
        <is>
          <t>SOLLEFTEÅ</t>
        </is>
      </c>
      <c r="F1214" t="inlineStr">
        <is>
          <t>SCA</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18570-2022</t>
        </is>
      </c>
      <c r="B1215" s="1" t="n">
        <v>44687</v>
      </c>
      <c r="C1215" s="1" t="n">
        <v>45576</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18852-2022</t>
        </is>
      </c>
      <c r="B1216" s="1" t="n">
        <v>44690</v>
      </c>
      <c r="C1216" s="1" t="n">
        <v>45576</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19055-2022</t>
        </is>
      </c>
      <c r="B1217" s="1" t="n">
        <v>44691</v>
      </c>
      <c r="C1217" s="1" t="n">
        <v>45576</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19051-2022</t>
        </is>
      </c>
      <c r="B1218" s="1" t="n">
        <v>44691</v>
      </c>
      <c r="C1218" s="1" t="n">
        <v>45576</v>
      </c>
      <c r="D1218" t="inlineStr">
        <is>
          <t>VÄSTERNORRLANDS LÄN</t>
        </is>
      </c>
      <c r="E1218" t="inlineStr">
        <is>
          <t>SOLLEFTEÅ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19053-2022</t>
        </is>
      </c>
      <c r="B1219" s="1" t="n">
        <v>44691</v>
      </c>
      <c r="C1219" s="1" t="n">
        <v>45576</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19203-2022</t>
        </is>
      </c>
      <c r="B1220" s="1" t="n">
        <v>44692</v>
      </c>
      <c r="C1220" s="1" t="n">
        <v>45576</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19208-2022</t>
        </is>
      </c>
      <c r="B1221" s="1" t="n">
        <v>44691</v>
      </c>
      <c r="C1221" s="1" t="n">
        <v>45576</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19295-2022</t>
        </is>
      </c>
      <c r="B1222" s="1" t="n">
        <v>44692</v>
      </c>
      <c r="C1222" s="1" t="n">
        <v>45576</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19414-2022</t>
        </is>
      </c>
      <c r="B1223" s="1" t="n">
        <v>44693</v>
      </c>
      <c r="C1223" s="1" t="n">
        <v>45576</v>
      </c>
      <c r="D1223" t="inlineStr">
        <is>
          <t>VÄSTERNORRLANDS LÄN</t>
        </is>
      </c>
      <c r="E1223" t="inlineStr">
        <is>
          <t>SOLLEFTEÅ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19416-2022</t>
        </is>
      </c>
      <c r="B1224" s="1" t="n">
        <v>44693</v>
      </c>
      <c r="C1224" s="1" t="n">
        <v>45576</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19508-2022</t>
        </is>
      </c>
      <c r="B1225" s="1" t="n">
        <v>44693</v>
      </c>
      <c r="C1225" s="1" t="n">
        <v>45576</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19585-2022</t>
        </is>
      </c>
      <c r="B1226" s="1" t="n">
        <v>44693</v>
      </c>
      <c r="C1226" s="1" t="n">
        <v>45576</v>
      </c>
      <c r="D1226" t="inlineStr">
        <is>
          <t>VÄSTERNORRLANDS LÄN</t>
        </is>
      </c>
      <c r="E1226" t="inlineStr">
        <is>
          <t>SOLLEFTEÅ</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19583-2022</t>
        </is>
      </c>
      <c r="B1227" s="1" t="n">
        <v>44693</v>
      </c>
      <c r="C1227" s="1" t="n">
        <v>45576</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19593-2022</t>
        </is>
      </c>
      <c r="B1228" s="1" t="n">
        <v>44694</v>
      </c>
      <c r="C1228" s="1" t="n">
        <v>45576</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19588-2022</t>
        </is>
      </c>
      <c r="B1229" s="1" t="n">
        <v>44694</v>
      </c>
      <c r="C1229" s="1" t="n">
        <v>45576</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19595-2022</t>
        </is>
      </c>
      <c r="B1230" s="1" t="n">
        <v>44693</v>
      </c>
      <c r="C1230" s="1" t="n">
        <v>45576</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19594-2022</t>
        </is>
      </c>
      <c r="B1231" s="1" t="n">
        <v>44694</v>
      </c>
      <c r="C1231" s="1" t="n">
        <v>45576</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19825-2022</t>
        </is>
      </c>
      <c r="B1232" s="1" t="n">
        <v>44695</v>
      </c>
      <c r="C1232" s="1" t="n">
        <v>45576</v>
      </c>
      <c r="D1232" t="inlineStr">
        <is>
          <t>VÄSTERNORRLANDS LÄN</t>
        </is>
      </c>
      <c r="E1232" t="inlineStr">
        <is>
          <t>SOLLEFTEÅ</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19813-2022</t>
        </is>
      </c>
      <c r="B1233" s="1" t="n">
        <v>44695</v>
      </c>
      <c r="C1233" s="1" t="n">
        <v>45576</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19814-2022</t>
        </is>
      </c>
      <c r="B1234" s="1" t="n">
        <v>44695</v>
      </c>
      <c r="C1234" s="1" t="n">
        <v>45576</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20061-2022</t>
        </is>
      </c>
      <c r="B1235" s="1" t="n">
        <v>44698</v>
      </c>
      <c r="C1235" s="1" t="n">
        <v>45576</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20062-2022</t>
        </is>
      </c>
      <c r="B1236" s="1" t="n">
        <v>44697</v>
      </c>
      <c r="C1236" s="1" t="n">
        <v>45576</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20296-2022</t>
        </is>
      </c>
      <c r="B1237" s="1" t="n">
        <v>44698</v>
      </c>
      <c r="C1237" s="1" t="n">
        <v>45576</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20551-2022</t>
        </is>
      </c>
      <c r="B1238" s="1" t="n">
        <v>44699</v>
      </c>
      <c r="C1238" s="1" t="n">
        <v>45576</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20699-2022</t>
        </is>
      </c>
      <c r="B1239" s="1" t="n">
        <v>44701</v>
      </c>
      <c r="C1239" s="1" t="n">
        <v>45576</v>
      </c>
      <c r="D1239" t="inlineStr">
        <is>
          <t>VÄSTERNORRLANDS LÄN</t>
        </is>
      </c>
      <c r="E1239" t="inlineStr">
        <is>
          <t>SOLLEFTEÅ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20704-2022</t>
        </is>
      </c>
      <c r="B1240" s="1" t="n">
        <v>44700</v>
      </c>
      <c r="C1240" s="1" t="n">
        <v>45576</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20702-2022</t>
        </is>
      </c>
      <c r="B1241" s="1" t="n">
        <v>44701</v>
      </c>
      <c r="C1241" s="1" t="n">
        <v>45576</v>
      </c>
      <c r="D1241" t="inlineStr">
        <is>
          <t>VÄSTERNORRLANDS LÄN</t>
        </is>
      </c>
      <c r="E1241" t="inlineStr">
        <is>
          <t>SOLLEFTEÅ</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20703-2022</t>
        </is>
      </c>
      <c r="B1242" s="1" t="n">
        <v>44701</v>
      </c>
      <c r="C1242" s="1" t="n">
        <v>45576</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20724-2022</t>
        </is>
      </c>
      <c r="B1243" s="1" t="n">
        <v>44700</v>
      </c>
      <c r="C1243" s="1" t="n">
        <v>45576</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20738-2022</t>
        </is>
      </c>
      <c r="B1244" s="1" t="n">
        <v>44700</v>
      </c>
      <c r="C1244" s="1" t="n">
        <v>45576</v>
      </c>
      <c r="D1244" t="inlineStr">
        <is>
          <t>VÄSTERNORRLANDS LÄN</t>
        </is>
      </c>
      <c r="E1244" t="inlineStr">
        <is>
          <t>SOLLEFTEÅ</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20955-2022</t>
        </is>
      </c>
      <c r="B1245" s="1" t="n">
        <v>44702</v>
      </c>
      <c r="C1245" s="1" t="n">
        <v>45576</v>
      </c>
      <c r="D1245" t="inlineStr">
        <is>
          <t>VÄSTERNORRLANDS LÄN</t>
        </is>
      </c>
      <c r="E1245" t="inlineStr">
        <is>
          <t>SOLLEFTEÅ</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20950-2022</t>
        </is>
      </c>
      <c r="B1246" s="1" t="n">
        <v>44701</v>
      </c>
      <c r="C1246" s="1" t="n">
        <v>45576</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20954-2022</t>
        </is>
      </c>
      <c r="B1247" s="1" t="n">
        <v>44702</v>
      </c>
      <c r="C1247" s="1" t="n">
        <v>45576</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20951-2022</t>
        </is>
      </c>
      <c r="B1248" s="1" t="n">
        <v>44701</v>
      </c>
      <c r="C1248" s="1" t="n">
        <v>45576</v>
      </c>
      <c r="D1248" t="inlineStr">
        <is>
          <t>VÄSTERNORRLANDS LÄN</t>
        </is>
      </c>
      <c r="E1248" t="inlineStr">
        <is>
          <t>SOLLEFTEÅ</t>
        </is>
      </c>
      <c r="F1248" t="inlineStr">
        <is>
          <t>SCA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20942-2022</t>
        </is>
      </c>
      <c r="B1249" s="1" t="n">
        <v>44701</v>
      </c>
      <c r="C1249" s="1" t="n">
        <v>45576</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20996-2022</t>
        </is>
      </c>
      <c r="B1250" s="1" t="n">
        <v>44703</v>
      </c>
      <c r="C1250" s="1" t="n">
        <v>45576</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20994-2022</t>
        </is>
      </c>
      <c r="B1251" s="1" t="n">
        <v>44703</v>
      </c>
      <c r="C1251" s="1" t="n">
        <v>45576</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21050-2022</t>
        </is>
      </c>
      <c r="B1252" s="1" t="n">
        <v>44704</v>
      </c>
      <c r="C1252" s="1" t="n">
        <v>45576</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21191-2022</t>
        </is>
      </c>
      <c r="B1253" s="1" t="n">
        <v>44705</v>
      </c>
      <c r="C1253" s="1" t="n">
        <v>45576</v>
      </c>
      <c r="D1253" t="inlineStr">
        <is>
          <t>VÄSTERNORRLANDS LÄN</t>
        </is>
      </c>
      <c r="E1253" t="inlineStr">
        <is>
          <t>SOLLEFTEÅ</t>
        </is>
      </c>
      <c r="F1253" t="inlineStr">
        <is>
          <t>SCA</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21210-2022</t>
        </is>
      </c>
      <c r="B1254" s="1" t="n">
        <v>44705</v>
      </c>
      <c r="C1254" s="1" t="n">
        <v>45576</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21404-2022</t>
        </is>
      </c>
      <c r="B1255" s="1" t="n">
        <v>44706</v>
      </c>
      <c r="C1255" s="1" t="n">
        <v>45576</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21582-2022</t>
        </is>
      </c>
      <c r="B1256" s="1" t="n">
        <v>44706</v>
      </c>
      <c r="C1256" s="1" t="n">
        <v>45576</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21637-2022</t>
        </is>
      </c>
      <c r="B1257" s="1" t="n">
        <v>44707</v>
      </c>
      <c r="C1257" s="1" t="n">
        <v>45576</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21636-2022</t>
        </is>
      </c>
      <c r="B1258" s="1" t="n">
        <v>44707</v>
      </c>
      <c r="C1258" s="1" t="n">
        <v>45576</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21635-2022</t>
        </is>
      </c>
      <c r="B1259" s="1" t="n">
        <v>44707</v>
      </c>
      <c r="C1259" s="1" t="n">
        <v>45576</v>
      </c>
      <c r="D1259" t="inlineStr">
        <is>
          <t>VÄSTERNORRLANDS LÄN</t>
        </is>
      </c>
      <c r="E1259" t="inlineStr">
        <is>
          <t>SOLLEFTEÅ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21713-2022</t>
        </is>
      </c>
      <c r="B1260" s="1" t="n">
        <v>44708</v>
      </c>
      <c r="C1260" s="1" t="n">
        <v>45576</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21714-2022</t>
        </is>
      </c>
      <c r="B1261" s="1" t="n">
        <v>44708</v>
      </c>
      <c r="C1261" s="1" t="n">
        <v>45576</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21715-2022</t>
        </is>
      </c>
      <c r="B1262" s="1" t="n">
        <v>44708</v>
      </c>
      <c r="C1262" s="1" t="n">
        <v>45576</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21711-2022</t>
        </is>
      </c>
      <c r="B1263" s="1" t="n">
        <v>44707</v>
      </c>
      <c r="C1263" s="1" t="n">
        <v>45576</v>
      </c>
      <c r="D1263" t="inlineStr">
        <is>
          <t>VÄSTERNORRLANDS LÄN</t>
        </is>
      </c>
      <c r="E1263" t="inlineStr">
        <is>
          <t>SOLLEFTEÅ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21807-2022</t>
        </is>
      </c>
      <c r="B1264" s="1" t="n">
        <v>44708</v>
      </c>
      <c r="C1264" s="1" t="n">
        <v>45576</v>
      </c>
      <c r="D1264" t="inlineStr">
        <is>
          <t>VÄSTERNORRLANDS LÄN</t>
        </is>
      </c>
      <c r="E1264" t="inlineStr">
        <is>
          <t>SOLLEFTEÅ</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22101-2022</t>
        </is>
      </c>
      <c r="B1265" s="1" t="n">
        <v>44712</v>
      </c>
      <c r="C1265" s="1" t="n">
        <v>45576</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22087-2022</t>
        </is>
      </c>
      <c r="B1266" s="1" t="n">
        <v>44712</v>
      </c>
      <c r="C1266" s="1" t="n">
        <v>45576</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22103-2022</t>
        </is>
      </c>
      <c r="B1267" s="1" t="n">
        <v>44712</v>
      </c>
      <c r="C1267" s="1" t="n">
        <v>45576</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22330-2022</t>
        </is>
      </c>
      <c r="B1268" s="1" t="n">
        <v>44712</v>
      </c>
      <c r="C1268" s="1" t="n">
        <v>45576</v>
      </c>
      <c r="D1268" t="inlineStr">
        <is>
          <t>VÄSTERNORRLANDS LÄN</t>
        </is>
      </c>
      <c r="E1268" t="inlineStr">
        <is>
          <t>SOLLEFTEÅ</t>
        </is>
      </c>
      <c r="F1268" t="inlineStr">
        <is>
          <t>SCA</t>
        </is>
      </c>
      <c r="G1268" t="n">
        <v>21.9</v>
      </c>
      <c r="H1268" t="n">
        <v>0</v>
      </c>
      <c r="I1268" t="n">
        <v>0</v>
      </c>
      <c r="J1268" t="n">
        <v>0</v>
      </c>
      <c r="K1268" t="n">
        <v>0</v>
      </c>
      <c r="L1268" t="n">
        <v>0</v>
      </c>
      <c r="M1268" t="n">
        <v>0</v>
      </c>
      <c r="N1268" t="n">
        <v>0</v>
      </c>
      <c r="O1268" t="n">
        <v>0</v>
      </c>
      <c r="P1268" t="n">
        <v>0</v>
      </c>
      <c r="Q1268" t="n">
        <v>0</v>
      </c>
      <c r="R1268" s="2" t="inlineStr"/>
    </row>
    <row r="1269" ht="15" customHeight="1">
      <c r="A1269" t="inlineStr">
        <is>
          <t>A 22341-2022</t>
        </is>
      </c>
      <c r="B1269" s="1" t="n">
        <v>44713</v>
      </c>
      <c r="C1269" s="1" t="n">
        <v>45576</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22342-2022</t>
        </is>
      </c>
      <c r="B1270" s="1" t="n">
        <v>44713</v>
      </c>
      <c r="C1270" s="1" t="n">
        <v>45576</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22343-2022</t>
        </is>
      </c>
      <c r="B1271" s="1" t="n">
        <v>44713</v>
      </c>
      <c r="C1271" s="1" t="n">
        <v>45576</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22664-2022</t>
        </is>
      </c>
      <c r="B1272" s="1" t="n">
        <v>44714</v>
      </c>
      <c r="C1272" s="1" t="n">
        <v>45576</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22762-2022</t>
        </is>
      </c>
      <c r="B1273" s="1" t="n">
        <v>44715</v>
      </c>
      <c r="C1273" s="1" t="n">
        <v>45576</v>
      </c>
      <c r="D1273" t="inlineStr">
        <is>
          <t>VÄSTERNORRLANDS LÄN</t>
        </is>
      </c>
      <c r="E1273" t="inlineStr">
        <is>
          <t>SOLLEFTEÅ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22956-2022</t>
        </is>
      </c>
      <c r="B1274" s="1" t="n">
        <v>44716</v>
      </c>
      <c r="C1274" s="1" t="n">
        <v>45576</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22952-2022</t>
        </is>
      </c>
      <c r="B1275" s="1" t="n">
        <v>44716</v>
      </c>
      <c r="C1275" s="1" t="n">
        <v>45576</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22962-2022</t>
        </is>
      </c>
      <c r="B1276" s="1" t="n">
        <v>44715</v>
      </c>
      <c r="C1276" s="1" t="n">
        <v>45576</v>
      </c>
      <c r="D1276" t="inlineStr">
        <is>
          <t>VÄSTERNORRLANDS LÄN</t>
        </is>
      </c>
      <c r="E1276" t="inlineStr">
        <is>
          <t>SOLLEFTEÅ</t>
        </is>
      </c>
      <c r="F1276" t="inlineStr">
        <is>
          <t>SCA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23111-2022</t>
        </is>
      </c>
      <c r="B1277" s="1" t="n">
        <v>44720</v>
      </c>
      <c r="C1277" s="1" t="n">
        <v>45576</v>
      </c>
      <c r="D1277" t="inlineStr">
        <is>
          <t>VÄSTERNORRLANDS LÄN</t>
        </is>
      </c>
      <c r="E1277" t="inlineStr">
        <is>
          <t>SOLLEFTEÅ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23230-2022</t>
        </is>
      </c>
      <c r="B1278" s="1" t="n">
        <v>44720</v>
      </c>
      <c r="C1278" s="1" t="n">
        <v>45576</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23282-2022</t>
        </is>
      </c>
      <c r="B1279" s="1" t="n">
        <v>44720</v>
      </c>
      <c r="C1279" s="1" t="n">
        <v>45576</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23436-2022</t>
        </is>
      </c>
      <c r="B1280" s="1" t="n">
        <v>44720</v>
      </c>
      <c r="C1280" s="1" t="n">
        <v>45576</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23445-2022</t>
        </is>
      </c>
      <c r="B1281" s="1" t="n">
        <v>44721</v>
      </c>
      <c r="C1281" s="1" t="n">
        <v>45576</v>
      </c>
      <c r="D1281" t="inlineStr">
        <is>
          <t>VÄSTERNORRLANDS LÄN</t>
        </is>
      </c>
      <c r="E1281" t="inlineStr">
        <is>
          <t>SOLLEFTEÅ</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23447-2022</t>
        </is>
      </c>
      <c r="B1282" s="1" t="n">
        <v>44721</v>
      </c>
      <c r="C1282" s="1" t="n">
        <v>45576</v>
      </c>
      <c r="D1282" t="inlineStr">
        <is>
          <t>VÄSTERNORRLANDS LÄN</t>
        </is>
      </c>
      <c r="E1282" t="inlineStr">
        <is>
          <t>SOLLEFTEÅ</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23450-2022</t>
        </is>
      </c>
      <c r="B1283" s="1" t="n">
        <v>44720</v>
      </c>
      <c r="C1283" s="1" t="n">
        <v>45576</v>
      </c>
      <c r="D1283" t="inlineStr">
        <is>
          <t>VÄSTERNORRLANDS LÄN</t>
        </is>
      </c>
      <c r="E1283" t="inlineStr">
        <is>
          <t>SOLLEFTEÅ</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24008-2022</t>
        </is>
      </c>
      <c r="B1284" s="1" t="n">
        <v>44723</v>
      </c>
      <c r="C1284" s="1" t="n">
        <v>45576</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24024-2022</t>
        </is>
      </c>
      <c r="B1285" s="1" t="n">
        <v>44723</v>
      </c>
      <c r="C1285" s="1" t="n">
        <v>45576</v>
      </c>
      <c r="D1285" t="inlineStr">
        <is>
          <t>VÄSTERNORRLANDS LÄN</t>
        </is>
      </c>
      <c r="E1285" t="inlineStr">
        <is>
          <t>SOLLEFTEÅ</t>
        </is>
      </c>
      <c r="F1285" t="inlineStr">
        <is>
          <t>SCA</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24322-2022</t>
        </is>
      </c>
      <c r="B1286" s="1" t="n">
        <v>44726</v>
      </c>
      <c r="C1286" s="1" t="n">
        <v>45576</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24723-2022</t>
        </is>
      </c>
      <c r="B1287" s="1" t="n">
        <v>44728</v>
      </c>
      <c r="C1287" s="1" t="n">
        <v>45576</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24739-2022</t>
        </is>
      </c>
      <c r="B1288" s="1" t="n">
        <v>44728</v>
      </c>
      <c r="C1288" s="1" t="n">
        <v>45576</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24734-2022</t>
        </is>
      </c>
      <c r="B1289" s="1" t="n">
        <v>44728</v>
      </c>
      <c r="C1289" s="1" t="n">
        <v>45576</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24735-2022</t>
        </is>
      </c>
      <c r="B1290" s="1" t="n">
        <v>44728</v>
      </c>
      <c r="C1290" s="1" t="n">
        <v>45576</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24721-2022</t>
        </is>
      </c>
      <c r="B1291" s="1" t="n">
        <v>44728</v>
      </c>
      <c r="C1291" s="1" t="n">
        <v>45576</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24737-2022</t>
        </is>
      </c>
      <c r="B1292" s="1" t="n">
        <v>44728</v>
      </c>
      <c r="C1292" s="1" t="n">
        <v>45576</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25019-2022</t>
        </is>
      </c>
      <c r="B1293" s="1" t="n">
        <v>44728</v>
      </c>
      <c r="C1293" s="1" t="n">
        <v>45576</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25024-2022</t>
        </is>
      </c>
      <c r="B1294" s="1" t="n">
        <v>44729</v>
      </c>
      <c r="C1294" s="1" t="n">
        <v>45576</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25026-2022</t>
        </is>
      </c>
      <c r="B1295" s="1" t="n">
        <v>44729</v>
      </c>
      <c r="C1295" s="1" t="n">
        <v>45576</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25017-2022</t>
        </is>
      </c>
      <c r="B1296" s="1" t="n">
        <v>44729</v>
      </c>
      <c r="C1296" s="1" t="n">
        <v>45576</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25295-2022</t>
        </is>
      </c>
      <c r="B1297" s="1" t="n">
        <v>44731</v>
      </c>
      <c r="C1297" s="1" t="n">
        <v>45576</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25339-2022</t>
        </is>
      </c>
      <c r="B1298" s="1" t="n">
        <v>44732</v>
      </c>
      <c r="C1298" s="1" t="n">
        <v>45576</v>
      </c>
      <c r="D1298" t="inlineStr">
        <is>
          <t>VÄSTERNORRLANDS LÄN</t>
        </is>
      </c>
      <c r="E1298" t="inlineStr">
        <is>
          <t>SOLLEFTEÅ</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25338-2022</t>
        </is>
      </c>
      <c r="B1299" s="1" t="n">
        <v>44731</v>
      </c>
      <c r="C1299" s="1" t="n">
        <v>45576</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25341-2022</t>
        </is>
      </c>
      <c r="B1300" s="1" t="n">
        <v>44731</v>
      </c>
      <c r="C1300" s="1" t="n">
        <v>45576</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45576</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26416-2022</t>
        </is>
      </c>
      <c r="B1302" s="1" t="n">
        <v>44736</v>
      </c>
      <c r="C1302" s="1" t="n">
        <v>45576</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26415-2022</t>
        </is>
      </c>
      <c r="B1303" s="1" t="n">
        <v>44735</v>
      </c>
      <c r="C1303" s="1" t="n">
        <v>45576</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26435-2022</t>
        </is>
      </c>
      <c r="B1304" s="1" t="n">
        <v>44737</v>
      </c>
      <c r="C1304" s="1" t="n">
        <v>45576</v>
      </c>
      <c r="D1304" t="inlineStr">
        <is>
          <t>VÄSTERNORRLANDS LÄN</t>
        </is>
      </c>
      <c r="E1304" t="inlineStr">
        <is>
          <t>SOLLEFTEÅ</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45576</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45576</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45576</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45576</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45576</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45576</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45576</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45576</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45576</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45576</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45576</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45576</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45576</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45576</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45576</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45576</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45576</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45576</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45576</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45576</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45576</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45576</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45576</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45576</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45576</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45576</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45576</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45576</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45576</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45576</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45576</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45576</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45576</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45576</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45576</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45576</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45576</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45576</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45576</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45576</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45576</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45576</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45576</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45576</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45576</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30238-2022</t>
        </is>
      </c>
      <c r="B1350" s="1" t="n">
        <v>44757</v>
      </c>
      <c r="C1350" s="1" t="n">
        <v>45576</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30239-2022</t>
        </is>
      </c>
      <c r="B1351" s="1" t="n">
        <v>44758</v>
      </c>
      <c r="C1351" s="1" t="n">
        <v>45576</v>
      </c>
      <c r="D1351" t="inlineStr">
        <is>
          <t>VÄSTERNORRLANDS LÄN</t>
        </is>
      </c>
      <c r="E1351" t="inlineStr">
        <is>
          <t>SOLLEFTEÅ</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30237-2022</t>
        </is>
      </c>
      <c r="B1352" s="1" t="n">
        <v>44758</v>
      </c>
      <c r="C1352" s="1" t="n">
        <v>45576</v>
      </c>
      <c r="D1352" t="inlineStr">
        <is>
          <t>VÄSTERNORRLANDS LÄN</t>
        </is>
      </c>
      <c r="E1352" t="inlineStr">
        <is>
          <t>SOLLEFTEÅ</t>
        </is>
      </c>
      <c r="F1352" t="inlineStr">
        <is>
          <t>SCA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30236-2022</t>
        </is>
      </c>
      <c r="B1353" s="1" t="n">
        <v>44757</v>
      </c>
      <c r="C1353" s="1" t="n">
        <v>45576</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30240-2022</t>
        </is>
      </c>
      <c r="B1354" s="1" t="n">
        <v>44757</v>
      </c>
      <c r="C1354" s="1" t="n">
        <v>45576</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30606-2022</t>
        </is>
      </c>
      <c r="B1355" s="1" t="n">
        <v>44763</v>
      </c>
      <c r="C1355" s="1" t="n">
        <v>45576</v>
      </c>
      <c r="D1355" t="inlineStr">
        <is>
          <t>VÄSTERNORRLANDS LÄN</t>
        </is>
      </c>
      <c r="E1355" t="inlineStr">
        <is>
          <t>SOLLEFTEÅ</t>
        </is>
      </c>
      <c r="F1355" t="inlineStr">
        <is>
          <t>SCA</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30805-2022</t>
        </is>
      </c>
      <c r="B1356" s="1" t="n">
        <v>44765</v>
      </c>
      <c r="C1356" s="1" t="n">
        <v>45576</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30936-2022</t>
        </is>
      </c>
      <c r="B1357" s="1" t="n">
        <v>44768</v>
      </c>
      <c r="C1357" s="1" t="n">
        <v>45576</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30937-2022</t>
        </is>
      </c>
      <c r="B1358" s="1" t="n">
        <v>44768</v>
      </c>
      <c r="C1358" s="1" t="n">
        <v>45576</v>
      </c>
      <c r="D1358" t="inlineStr">
        <is>
          <t>VÄSTERNORRLANDS LÄN</t>
        </is>
      </c>
      <c r="E1358" t="inlineStr">
        <is>
          <t>SOLLEFTEÅ</t>
        </is>
      </c>
      <c r="F1358" t="inlineStr">
        <is>
          <t>SCA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31005-2022</t>
        </is>
      </c>
      <c r="B1359" s="1" t="n">
        <v>44768</v>
      </c>
      <c r="C1359" s="1" t="n">
        <v>45576</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31444-2022</t>
        </is>
      </c>
      <c r="B1360" s="1" t="n">
        <v>44774</v>
      </c>
      <c r="C1360" s="1" t="n">
        <v>45576</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31453-2022</t>
        </is>
      </c>
      <c r="B1361" s="1" t="n">
        <v>44775</v>
      </c>
      <c r="C1361" s="1" t="n">
        <v>45576</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31474-2022</t>
        </is>
      </c>
      <c r="B1362" s="1" t="n">
        <v>44775</v>
      </c>
      <c r="C1362" s="1" t="n">
        <v>45576</v>
      </c>
      <c r="D1362" t="inlineStr">
        <is>
          <t>VÄSTERNORRLANDS LÄN</t>
        </is>
      </c>
      <c r="E1362" t="inlineStr">
        <is>
          <t>SOLLEFTEÅ</t>
        </is>
      </c>
      <c r="F1362" t="inlineStr">
        <is>
          <t>SCA</t>
        </is>
      </c>
      <c r="G1362" t="n">
        <v>28.3</v>
      </c>
      <c r="H1362" t="n">
        <v>0</v>
      </c>
      <c r="I1362" t="n">
        <v>0</v>
      </c>
      <c r="J1362" t="n">
        <v>0</v>
      </c>
      <c r="K1362" t="n">
        <v>0</v>
      </c>
      <c r="L1362" t="n">
        <v>0</v>
      </c>
      <c r="M1362" t="n">
        <v>0</v>
      </c>
      <c r="N1362" t="n">
        <v>0</v>
      </c>
      <c r="O1362" t="n">
        <v>0</v>
      </c>
      <c r="P1362" t="n">
        <v>0</v>
      </c>
      <c r="Q1362" t="n">
        <v>0</v>
      </c>
      <c r="R1362" s="2" t="inlineStr"/>
    </row>
    <row r="1363" ht="15" customHeight="1">
      <c r="A1363" t="inlineStr">
        <is>
          <t>A 31440-2022</t>
        </is>
      </c>
      <c r="B1363" s="1" t="n">
        <v>44775</v>
      </c>
      <c r="C1363" s="1" t="n">
        <v>45576</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31464-2022</t>
        </is>
      </c>
      <c r="B1364" s="1" t="n">
        <v>44774</v>
      </c>
      <c r="C1364" s="1" t="n">
        <v>45576</v>
      </c>
      <c r="D1364" t="inlineStr">
        <is>
          <t>VÄSTERNORRLANDS LÄN</t>
        </is>
      </c>
      <c r="E1364" t="inlineStr">
        <is>
          <t>SOLLEFTEÅ</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31452-2022</t>
        </is>
      </c>
      <c r="B1365" s="1" t="n">
        <v>44775</v>
      </c>
      <c r="C1365" s="1" t="n">
        <v>45576</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31490-2022</t>
        </is>
      </c>
      <c r="B1366" s="1" t="n">
        <v>44775</v>
      </c>
      <c r="C1366" s="1" t="n">
        <v>45576</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31451-2022</t>
        </is>
      </c>
      <c r="B1367" s="1" t="n">
        <v>44775</v>
      </c>
      <c r="C1367" s="1" t="n">
        <v>45576</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31482-2022</t>
        </is>
      </c>
      <c r="B1368" s="1" t="n">
        <v>44775</v>
      </c>
      <c r="C1368" s="1" t="n">
        <v>45576</v>
      </c>
      <c r="D1368" t="inlineStr">
        <is>
          <t>VÄSTERNORRLANDS LÄN</t>
        </is>
      </c>
      <c r="E1368" t="inlineStr">
        <is>
          <t>SOLLEFTEÅ</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31588-2022</t>
        </is>
      </c>
      <c r="B1369" s="1" t="n">
        <v>44775</v>
      </c>
      <c r="C1369" s="1" t="n">
        <v>45576</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31646-2022</t>
        </is>
      </c>
      <c r="B1370" s="1" t="n">
        <v>44776</v>
      </c>
      <c r="C1370" s="1" t="n">
        <v>45576</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31672-2022</t>
        </is>
      </c>
      <c r="B1371" s="1" t="n">
        <v>44776</v>
      </c>
      <c r="C1371" s="1" t="n">
        <v>45576</v>
      </c>
      <c r="D1371" t="inlineStr">
        <is>
          <t>VÄSTERNORRLANDS LÄN</t>
        </is>
      </c>
      <c r="E1371" t="inlineStr">
        <is>
          <t>SOLLEFTEÅ</t>
        </is>
      </c>
      <c r="G1371" t="n">
        <v>16.3</v>
      </c>
      <c r="H1371" t="n">
        <v>0</v>
      </c>
      <c r="I1371" t="n">
        <v>0</v>
      </c>
      <c r="J1371" t="n">
        <v>0</v>
      </c>
      <c r="K1371" t="n">
        <v>0</v>
      </c>
      <c r="L1371" t="n">
        <v>0</v>
      </c>
      <c r="M1371" t="n">
        <v>0</v>
      </c>
      <c r="N1371" t="n">
        <v>0</v>
      </c>
      <c r="O1371" t="n">
        <v>0</v>
      </c>
      <c r="P1371" t="n">
        <v>0</v>
      </c>
      <c r="Q1371" t="n">
        <v>0</v>
      </c>
      <c r="R1371" s="2" t="inlineStr"/>
    </row>
    <row r="1372" ht="15" customHeight="1">
      <c r="A1372" t="inlineStr">
        <is>
          <t>A 31856-2022</t>
        </is>
      </c>
      <c r="B1372" s="1" t="n">
        <v>44776</v>
      </c>
      <c r="C1372" s="1" t="n">
        <v>45576</v>
      </c>
      <c r="D1372" t="inlineStr">
        <is>
          <t>VÄSTERNORRLANDS LÄN</t>
        </is>
      </c>
      <c r="E1372" t="inlineStr">
        <is>
          <t>SOLLEFTEÅ</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31968-2022</t>
        </is>
      </c>
      <c r="B1373" s="1" t="n">
        <v>44778</v>
      </c>
      <c r="C1373" s="1" t="n">
        <v>45576</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31967-2022</t>
        </is>
      </c>
      <c r="B1374" s="1" t="n">
        <v>44778</v>
      </c>
      <c r="C1374" s="1" t="n">
        <v>45576</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31965-2022</t>
        </is>
      </c>
      <c r="B1375" s="1" t="n">
        <v>44778</v>
      </c>
      <c r="C1375" s="1" t="n">
        <v>45576</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31966-2022</t>
        </is>
      </c>
      <c r="B1376" s="1" t="n">
        <v>44778</v>
      </c>
      <c r="C1376" s="1" t="n">
        <v>45576</v>
      </c>
      <c r="D1376" t="inlineStr">
        <is>
          <t>VÄSTERNORRLANDS LÄN</t>
        </is>
      </c>
      <c r="E1376" t="inlineStr">
        <is>
          <t>SOLLEFTEÅ</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32127-2022</t>
        </is>
      </c>
      <c r="B1377" s="1" t="n">
        <v>44779</v>
      </c>
      <c r="C1377" s="1" t="n">
        <v>45576</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32129-2022</t>
        </is>
      </c>
      <c r="B1378" s="1" t="n">
        <v>44779</v>
      </c>
      <c r="C1378" s="1" t="n">
        <v>45576</v>
      </c>
      <c r="D1378" t="inlineStr">
        <is>
          <t>VÄSTERNORRLANDS LÄN</t>
        </is>
      </c>
      <c r="E1378" t="inlineStr">
        <is>
          <t>SOLLEFTEÅ</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32126-2022</t>
        </is>
      </c>
      <c r="B1379" s="1" t="n">
        <v>44778</v>
      </c>
      <c r="C1379" s="1" t="n">
        <v>45576</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32130-2022</t>
        </is>
      </c>
      <c r="B1380" s="1" t="n">
        <v>44779</v>
      </c>
      <c r="C1380" s="1" t="n">
        <v>45576</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32453-2022</t>
        </is>
      </c>
      <c r="B1381" s="1" t="n">
        <v>44782</v>
      </c>
      <c r="C1381" s="1" t="n">
        <v>45576</v>
      </c>
      <c r="D1381" t="inlineStr">
        <is>
          <t>VÄSTERNORRLANDS LÄN</t>
        </is>
      </c>
      <c r="E1381" t="inlineStr">
        <is>
          <t>SOLLEFTEÅ</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32531-2022</t>
        </is>
      </c>
      <c r="B1382" s="1" t="n">
        <v>44783</v>
      </c>
      <c r="C1382" s="1" t="n">
        <v>45576</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32779-2022</t>
        </is>
      </c>
      <c r="B1383" s="1" t="n">
        <v>44784</v>
      </c>
      <c r="C1383" s="1" t="n">
        <v>45576</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32969-2022</t>
        </is>
      </c>
      <c r="B1384" s="1" t="n">
        <v>44785</v>
      </c>
      <c r="C1384" s="1" t="n">
        <v>45576</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33056-2022</t>
        </is>
      </c>
      <c r="B1385" s="1" t="n">
        <v>44785</v>
      </c>
      <c r="C1385" s="1" t="n">
        <v>45576</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33083-2022</t>
        </is>
      </c>
      <c r="B1386" s="1" t="n">
        <v>44785</v>
      </c>
      <c r="C1386" s="1" t="n">
        <v>45576</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33077-2022</t>
        </is>
      </c>
      <c r="B1387" s="1" t="n">
        <v>44785</v>
      </c>
      <c r="C1387" s="1" t="n">
        <v>45576</v>
      </c>
      <c r="D1387" t="inlineStr">
        <is>
          <t>VÄSTERNORRLANDS LÄN</t>
        </is>
      </c>
      <c r="E1387" t="inlineStr">
        <is>
          <t>SOLLEFTEÅ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33226-2022</t>
        </is>
      </c>
      <c r="B1388" s="1" t="n">
        <v>44786</v>
      </c>
      <c r="C1388" s="1" t="n">
        <v>45576</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33505-2022</t>
        </is>
      </c>
      <c r="B1389" s="1" t="n">
        <v>44789</v>
      </c>
      <c r="C1389" s="1" t="n">
        <v>45576</v>
      </c>
      <c r="D1389" t="inlineStr">
        <is>
          <t>VÄSTERNORRLANDS LÄN</t>
        </is>
      </c>
      <c r="E1389" t="inlineStr">
        <is>
          <t>SOLLEFTEÅ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33519-2022</t>
        </is>
      </c>
      <c r="B1390" s="1" t="n">
        <v>44789</v>
      </c>
      <c r="C1390" s="1" t="n">
        <v>45576</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33528-2022</t>
        </is>
      </c>
      <c r="B1391" s="1" t="n">
        <v>44788</v>
      </c>
      <c r="C1391" s="1" t="n">
        <v>45576</v>
      </c>
      <c r="D1391" t="inlineStr">
        <is>
          <t>VÄSTERNORRLANDS LÄN</t>
        </is>
      </c>
      <c r="E1391" t="inlineStr">
        <is>
          <t>SOLLEFTEÅ</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33734-2022</t>
        </is>
      </c>
      <c r="B1392" s="1" t="n">
        <v>44790</v>
      </c>
      <c r="C1392" s="1" t="n">
        <v>45576</v>
      </c>
      <c r="D1392" t="inlineStr">
        <is>
          <t>VÄSTERNORRLANDS LÄN</t>
        </is>
      </c>
      <c r="E1392" t="inlineStr">
        <is>
          <t>SOLLEFTEÅ</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33990-2022</t>
        </is>
      </c>
      <c r="B1393" s="1" t="n">
        <v>44790</v>
      </c>
      <c r="C1393" s="1" t="n">
        <v>45576</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33995-2022</t>
        </is>
      </c>
      <c r="B1394" s="1" t="n">
        <v>44791</v>
      </c>
      <c r="C1394" s="1" t="n">
        <v>45576</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33994-2022</t>
        </is>
      </c>
      <c r="B1395" s="1" t="n">
        <v>44791</v>
      </c>
      <c r="C1395" s="1" t="n">
        <v>45576</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34242-2022</t>
        </is>
      </c>
      <c r="B1396" s="1" t="n">
        <v>44792</v>
      </c>
      <c r="C1396" s="1" t="n">
        <v>45576</v>
      </c>
      <c r="D1396" t="inlineStr">
        <is>
          <t>VÄSTERNORRLANDS LÄN</t>
        </is>
      </c>
      <c r="E1396" t="inlineStr">
        <is>
          <t>SOLLEFTEÅ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34252-2022</t>
        </is>
      </c>
      <c r="B1397" s="1" t="n">
        <v>44792</v>
      </c>
      <c r="C1397" s="1" t="n">
        <v>45576</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34267-2022</t>
        </is>
      </c>
      <c r="B1398" s="1" t="n">
        <v>44792</v>
      </c>
      <c r="C1398" s="1" t="n">
        <v>45576</v>
      </c>
      <c r="D1398" t="inlineStr">
        <is>
          <t>VÄSTERNORRLANDS LÄN</t>
        </is>
      </c>
      <c r="E1398" t="inlineStr">
        <is>
          <t>SOLLEFTEÅ</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34281-2022</t>
        </is>
      </c>
      <c r="B1399" s="1" t="n">
        <v>44791</v>
      </c>
      <c r="C1399" s="1" t="n">
        <v>45576</v>
      </c>
      <c r="D1399" t="inlineStr">
        <is>
          <t>VÄSTERNORRLANDS LÄN</t>
        </is>
      </c>
      <c r="E1399" t="inlineStr">
        <is>
          <t>SOLLEFTEÅ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34518-2022</t>
        </is>
      </c>
      <c r="B1400" s="1" t="n">
        <v>44793</v>
      </c>
      <c r="C1400" s="1" t="n">
        <v>45576</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34517-2022</t>
        </is>
      </c>
      <c r="B1401" s="1" t="n">
        <v>44793</v>
      </c>
      <c r="C1401" s="1" t="n">
        <v>45576</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34527-2022</t>
        </is>
      </c>
      <c r="B1402" s="1" t="n">
        <v>44793</v>
      </c>
      <c r="C1402" s="1" t="n">
        <v>45576</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34534-2022</t>
        </is>
      </c>
      <c r="B1403" s="1" t="n">
        <v>44793</v>
      </c>
      <c r="C1403" s="1" t="n">
        <v>45576</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34516-2022</t>
        </is>
      </c>
      <c r="B1404" s="1" t="n">
        <v>44792</v>
      </c>
      <c r="C1404" s="1" t="n">
        <v>45576</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34648-2022</t>
        </is>
      </c>
      <c r="B1405" s="1" t="n">
        <v>44792</v>
      </c>
      <c r="C1405" s="1" t="n">
        <v>45576</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34549-2022</t>
        </is>
      </c>
      <c r="B1406" s="1" t="n">
        <v>44793</v>
      </c>
      <c r="C1406" s="1" t="n">
        <v>45576</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34542-2022</t>
        </is>
      </c>
      <c r="B1407" s="1" t="n">
        <v>44793</v>
      </c>
      <c r="C1407" s="1" t="n">
        <v>45576</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34543-2022</t>
        </is>
      </c>
      <c r="B1408" s="1" t="n">
        <v>44793</v>
      </c>
      <c r="C1408" s="1" t="n">
        <v>45576</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34552-2022</t>
        </is>
      </c>
      <c r="B1409" s="1" t="n">
        <v>44794</v>
      </c>
      <c r="C1409" s="1" t="n">
        <v>45576</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34804-2022</t>
        </is>
      </c>
      <c r="B1410" s="1" t="n">
        <v>44796</v>
      </c>
      <c r="C1410" s="1" t="n">
        <v>45576</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35019-2022</t>
        </is>
      </c>
      <c r="B1411" s="1" t="n">
        <v>44797</v>
      </c>
      <c r="C1411" s="1" t="n">
        <v>45576</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35229-2022</t>
        </is>
      </c>
      <c r="B1412" s="1" t="n">
        <v>44798</v>
      </c>
      <c r="C1412" s="1" t="n">
        <v>45576</v>
      </c>
      <c r="D1412" t="inlineStr">
        <is>
          <t>VÄSTERNORRLANDS LÄN</t>
        </is>
      </c>
      <c r="E1412" t="inlineStr">
        <is>
          <t>SOLLEFTEÅ</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35747-2022</t>
        </is>
      </c>
      <c r="B1413" s="1" t="n">
        <v>44799</v>
      </c>
      <c r="C1413" s="1" t="n">
        <v>45576</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35797-2022</t>
        </is>
      </c>
      <c r="B1414" s="1" t="n">
        <v>44802</v>
      </c>
      <c r="C1414" s="1" t="n">
        <v>45576</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36080-2022</t>
        </is>
      </c>
      <c r="B1415" s="1" t="n">
        <v>44803</v>
      </c>
      <c r="C1415" s="1" t="n">
        <v>45576</v>
      </c>
      <c r="D1415" t="inlineStr">
        <is>
          <t>VÄSTERNORRLANDS LÄN</t>
        </is>
      </c>
      <c r="E1415" t="inlineStr">
        <is>
          <t>SOLLEFTEÅ</t>
        </is>
      </c>
      <c r="F1415" t="inlineStr">
        <is>
          <t>SCA</t>
        </is>
      </c>
      <c r="G1415" t="n">
        <v>78.2</v>
      </c>
      <c r="H1415" t="n">
        <v>0</v>
      </c>
      <c r="I1415" t="n">
        <v>0</v>
      </c>
      <c r="J1415" t="n">
        <v>0</v>
      </c>
      <c r="K1415" t="n">
        <v>0</v>
      </c>
      <c r="L1415" t="n">
        <v>0</v>
      </c>
      <c r="M1415" t="n">
        <v>0</v>
      </c>
      <c r="N1415" t="n">
        <v>0</v>
      </c>
      <c r="O1415" t="n">
        <v>0</v>
      </c>
      <c r="P1415" t="n">
        <v>0</v>
      </c>
      <c r="Q1415" t="n">
        <v>0</v>
      </c>
      <c r="R1415" s="2" t="inlineStr"/>
    </row>
    <row r="1416" ht="15" customHeight="1">
      <c r="A1416" t="inlineStr">
        <is>
          <t>A 36078-2022</t>
        </is>
      </c>
      <c r="B1416" s="1" t="n">
        <v>44803</v>
      </c>
      <c r="C1416" s="1" t="n">
        <v>45576</v>
      </c>
      <c r="D1416" t="inlineStr">
        <is>
          <t>VÄSTERNORRLANDS LÄN</t>
        </is>
      </c>
      <c r="E1416" t="inlineStr">
        <is>
          <t>SOLLEFTEÅ</t>
        </is>
      </c>
      <c r="F1416" t="inlineStr">
        <is>
          <t>SCA</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36368-2022</t>
        </is>
      </c>
      <c r="B1417" s="1" t="n">
        <v>44804</v>
      </c>
      <c r="C1417" s="1" t="n">
        <v>45576</v>
      </c>
      <c r="D1417" t="inlineStr">
        <is>
          <t>VÄSTERNORRLANDS LÄN</t>
        </is>
      </c>
      <c r="E1417" t="inlineStr">
        <is>
          <t>SOLLEFTEÅ</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36367-2022</t>
        </is>
      </c>
      <c r="B1418" s="1" t="n">
        <v>44804</v>
      </c>
      <c r="C1418" s="1" t="n">
        <v>45576</v>
      </c>
      <c r="D1418" t="inlineStr">
        <is>
          <t>VÄSTERNORRLANDS LÄN</t>
        </is>
      </c>
      <c r="E1418" t="inlineStr">
        <is>
          <t>SOLLEFTEÅ</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36688-2022</t>
        </is>
      </c>
      <c r="B1419" s="1" t="n">
        <v>44804</v>
      </c>
      <c r="C1419" s="1" t="n">
        <v>45576</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36681-2022</t>
        </is>
      </c>
      <c r="B1420" s="1" t="n">
        <v>44804</v>
      </c>
      <c r="C1420" s="1" t="n">
        <v>45576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36926-2022</t>
        </is>
      </c>
      <c r="B1421" s="1" t="n">
        <v>44806</v>
      </c>
      <c r="C1421" s="1" t="n">
        <v>45576</v>
      </c>
      <c r="D1421" t="inlineStr">
        <is>
          <t>VÄSTERNORRLANDS LÄN</t>
        </is>
      </c>
      <c r="E1421" t="inlineStr">
        <is>
          <t>SOLLEFTEÅ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37242-2022</t>
        </is>
      </c>
      <c r="B1422" s="1" t="n">
        <v>44807</v>
      </c>
      <c r="C1422" s="1" t="n">
        <v>45576</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37589-2022</t>
        </is>
      </c>
      <c r="B1423" s="1" t="n">
        <v>44810</v>
      </c>
      <c r="C1423" s="1" t="n">
        <v>45576</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37596-2022</t>
        </is>
      </c>
      <c r="B1424" s="1" t="n">
        <v>44810</v>
      </c>
      <c r="C1424" s="1" t="n">
        <v>45576</v>
      </c>
      <c r="D1424" t="inlineStr">
        <is>
          <t>VÄSTERNORRLANDS LÄN</t>
        </is>
      </c>
      <c r="E1424" t="inlineStr">
        <is>
          <t>SOLLEFTEÅ</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37597-2022</t>
        </is>
      </c>
      <c r="B1425" s="1" t="n">
        <v>44810</v>
      </c>
      <c r="C1425" s="1" t="n">
        <v>45576</v>
      </c>
      <c r="D1425" t="inlineStr">
        <is>
          <t>VÄSTERNORRLANDS LÄN</t>
        </is>
      </c>
      <c r="E1425" t="inlineStr">
        <is>
          <t>SOLLEFTEÅ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37835-2022</t>
        </is>
      </c>
      <c r="B1426" s="1" t="n">
        <v>44810</v>
      </c>
      <c r="C1426" s="1" t="n">
        <v>45576</v>
      </c>
      <c r="D1426" t="inlineStr">
        <is>
          <t>VÄSTERNORRLANDS LÄN</t>
        </is>
      </c>
      <c r="E1426" t="inlineStr">
        <is>
          <t>SOLLEFTEÅ</t>
        </is>
      </c>
      <c r="F1426" t="inlineStr">
        <is>
          <t>SCA</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37826-2022</t>
        </is>
      </c>
      <c r="B1427" s="1" t="n">
        <v>44811</v>
      </c>
      <c r="C1427" s="1" t="n">
        <v>45576</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37840-2022</t>
        </is>
      </c>
      <c r="B1428" s="1" t="n">
        <v>44810</v>
      </c>
      <c r="C1428" s="1" t="n">
        <v>45576</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38096-2022</t>
        </is>
      </c>
      <c r="B1429" s="1" t="n">
        <v>44812</v>
      </c>
      <c r="C1429" s="1" t="n">
        <v>45576</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38095-2022</t>
        </is>
      </c>
      <c r="B1430" s="1" t="n">
        <v>44811</v>
      </c>
      <c r="C1430" s="1" t="n">
        <v>45576</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37977-2022</t>
        </is>
      </c>
      <c r="B1431" s="1" t="n">
        <v>44811</v>
      </c>
      <c r="C1431" s="1" t="n">
        <v>45576</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38102-2022</t>
        </is>
      </c>
      <c r="B1432" s="1" t="n">
        <v>44811</v>
      </c>
      <c r="C1432" s="1" t="n">
        <v>45576</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c r="U1432">
        <f>HYPERLINK("https://klasma.github.io/Logging_2283/knärot/A 38102-2022 karta knärot.png", "A 38102-2022")</f>
        <v/>
      </c>
      <c r="V1432">
        <f>HYPERLINK("https://klasma.github.io/Logging_2283/klagomål/A 38102-2022 FSC-klagomål.docx", "A 38102-2022")</f>
        <v/>
      </c>
      <c r="W1432">
        <f>HYPERLINK("https://klasma.github.io/Logging_2283/klagomålsmail/A 38102-2022 FSC-klagomål mail.docx", "A 38102-2022")</f>
        <v/>
      </c>
      <c r="X1432">
        <f>HYPERLINK("https://klasma.github.io/Logging_2283/tillsyn/A 38102-2022 tillsynsbegäran.docx", "A 38102-2022")</f>
        <v/>
      </c>
      <c r="Y1432">
        <f>HYPERLINK("https://klasma.github.io/Logging_2283/tillsynsmail/A 38102-2022 tillsynsbegäran mail.docx", "A 38102-2022")</f>
        <v/>
      </c>
    </row>
    <row r="1433" ht="15" customHeight="1">
      <c r="A1433" t="inlineStr">
        <is>
          <t>A 38230-2022</t>
        </is>
      </c>
      <c r="B1433" s="1" t="n">
        <v>44812</v>
      </c>
      <c r="C1433" s="1" t="n">
        <v>45576</v>
      </c>
      <c r="D1433" t="inlineStr">
        <is>
          <t>VÄSTERNORRLANDS LÄN</t>
        </is>
      </c>
      <c r="E1433" t="inlineStr">
        <is>
          <t>SOLLEFTEÅ</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38430-2022</t>
        </is>
      </c>
      <c r="B1434" s="1" t="n">
        <v>44812</v>
      </c>
      <c r="C1434" s="1" t="n">
        <v>45576</v>
      </c>
      <c r="D1434" t="inlineStr">
        <is>
          <t>VÄSTERNORRLANDS LÄN</t>
        </is>
      </c>
      <c r="E1434" t="inlineStr">
        <is>
          <t>SOLLEFTEÅ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38433-2022</t>
        </is>
      </c>
      <c r="B1435" s="1" t="n">
        <v>44812</v>
      </c>
      <c r="C1435" s="1" t="n">
        <v>45576</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38312-2022</t>
        </is>
      </c>
      <c r="B1436" s="1" t="n">
        <v>44812</v>
      </c>
      <c r="C1436" s="1" t="n">
        <v>45576</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38428-2022</t>
        </is>
      </c>
      <c r="B1437" s="1" t="n">
        <v>44812</v>
      </c>
      <c r="C1437" s="1" t="n">
        <v>45576</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38432-2022</t>
        </is>
      </c>
      <c r="B1438" s="1" t="n">
        <v>44812</v>
      </c>
      <c r="C1438" s="1" t="n">
        <v>45576</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38663-2022</t>
        </is>
      </c>
      <c r="B1439" s="1" t="n">
        <v>44814</v>
      </c>
      <c r="C1439" s="1" t="n">
        <v>45576</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39006-2022</t>
        </is>
      </c>
      <c r="B1440" s="1" t="n">
        <v>44817</v>
      </c>
      <c r="C1440" s="1" t="n">
        <v>45576</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39012-2022</t>
        </is>
      </c>
      <c r="B1441" s="1" t="n">
        <v>44816</v>
      </c>
      <c r="C1441" s="1" t="n">
        <v>45576</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39384-2022</t>
        </is>
      </c>
      <c r="B1442" s="1" t="n">
        <v>44818</v>
      </c>
      <c r="C1442" s="1" t="n">
        <v>45576</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44818</v>
      </c>
      <c r="C1443" s="1" t="n">
        <v>45576</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39371-2022</t>
        </is>
      </c>
      <c r="B1444" s="1" t="n">
        <v>44818</v>
      </c>
      <c r="C1444" s="1" t="n">
        <v>45576</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39688-2022</t>
        </is>
      </c>
      <c r="B1445" s="1" t="n">
        <v>44818</v>
      </c>
      <c r="C1445" s="1" t="n">
        <v>45576</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39699-2022</t>
        </is>
      </c>
      <c r="B1446" s="1" t="n">
        <v>44819</v>
      </c>
      <c r="C1446" s="1" t="n">
        <v>45576</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39944-2022</t>
        </is>
      </c>
      <c r="B1447" s="1" t="n">
        <v>44819</v>
      </c>
      <c r="C1447" s="1" t="n">
        <v>45576</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39942-2022</t>
        </is>
      </c>
      <c r="B1448" s="1" t="n">
        <v>44820</v>
      </c>
      <c r="C1448" s="1" t="n">
        <v>45576</v>
      </c>
      <c r="D1448" t="inlineStr">
        <is>
          <t>VÄSTERNORRLANDS LÄN</t>
        </is>
      </c>
      <c r="E1448" t="inlineStr">
        <is>
          <t>SOLLEFTEÅ</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39947-2022</t>
        </is>
      </c>
      <c r="B1449" s="1" t="n">
        <v>44819</v>
      </c>
      <c r="C1449" s="1" t="n">
        <v>45576</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39943-2022</t>
        </is>
      </c>
      <c r="B1450" s="1" t="n">
        <v>44820</v>
      </c>
      <c r="C1450" s="1" t="n">
        <v>45576</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39951-2022</t>
        </is>
      </c>
      <c r="B1451" s="1" t="n">
        <v>44820</v>
      </c>
      <c r="C1451" s="1" t="n">
        <v>45576</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39934-2022</t>
        </is>
      </c>
      <c r="B1452" s="1" t="n">
        <v>44820</v>
      </c>
      <c r="C1452" s="1" t="n">
        <v>45576</v>
      </c>
      <c r="D1452" t="inlineStr">
        <is>
          <t>VÄSTERNORRLANDS LÄN</t>
        </is>
      </c>
      <c r="E1452" t="inlineStr">
        <is>
          <t>SOLLEFTEÅ</t>
        </is>
      </c>
      <c r="F1452" t="inlineStr">
        <is>
          <t>SCA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39946-2022</t>
        </is>
      </c>
      <c r="B1453" s="1" t="n">
        <v>44819</v>
      </c>
      <c r="C1453" s="1" t="n">
        <v>45576</v>
      </c>
      <c r="D1453" t="inlineStr">
        <is>
          <t>VÄSTERNORRLANDS LÄN</t>
        </is>
      </c>
      <c r="E1453" t="inlineStr">
        <is>
          <t>SOLLEFTEÅ</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40608-2022</t>
        </is>
      </c>
      <c r="B1454" s="1" t="n">
        <v>44824</v>
      </c>
      <c r="C1454" s="1" t="n">
        <v>45576</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40609-2022</t>
        </is>
      </c>
      <c r="B1455" s="1" t="n">
        <v>44824</v>
      </c>
      <c r="C1455" s="1" t="n">
        <v>45576</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40610-2022</t>
        </is>
      </c>
      <c r="B1456" s="1" t="n">
        <v>44824</v>
      </c>
      <c r="C1456" s="1" t="n">
        <v>45576</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40599-2022</t>
        </is>
      </c>
      <c r="B1457" s="1" t="n">
        <v>44824</v>
      </c>
      <c r="C1457" s="1" t="n">
        <v>45576</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40611-2022</t>
        </is>
      </c>
      <c r="B1458" s="1" t="n">
        <v>44824</v>
      </c>
      <c r="C1458" s="1" t="n">
        <v>45576</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40832-2022</t>
        </is>
      </c>
      <c r="B1459" s="1" t="n">
        <v>44825</v>
      </c>
      <c r="C1459" s="1" t="n">
        <v>45576</v>
      </c>
      <c r="D1459" t="inlineStr">
        <is>
          <t>VÄSTERNORRLANDS LÄN</t>
        </is>
      </c>
      <c r="E1459" t="inlineStr">
        <is>
          <t>SOLLEFTEÅ</t>
        </is>
      </c>
      <c r="F1459" t="inlineStr">
        <is>
          <t>SCA</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41187-2022</t>
        </is>
      </c>
      <c r="B1460" s="1" t="n">
        <v>44826</v>
      </c>
      <c r="C1460" s="1" t="n">
        <v>45576</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41192-2022</t>
        </is>
      </c>
      <c r="B1461" s="1" t="n">
        <v>44826</v>
      </c>
      <c r="C1461" s="1" t="n">
        <v>45576</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41168-2022</t>
        </is>
      </c>
      <c r="B1462" s="1" t="n">
        <v>44826</v>
      </c>
      <c r="C1462" s="1" t="n">
        <v>45576</v>
      </c>
      <c r="D1462" t="inlineStr">
        <is>
          <t>VÄSTERNORRLANDS LÄN</t>
        </is>
      </c>
      <c r="E1462" t="inlineStr">
        <is>
          <t>SOLLEFTEÅ</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41172-2022</t>
        </is>
      </c>
      <c r="B1463" s="1" t="n">
        <v>44826</v>
      </c>
      <c r="C1463" s="1" t="n">
        <v>45576</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41176-2022</t>
        </is>
      </c>
      <c r="B1464" s="1" t="n">
        <v>44826</v>
      </c>
      <c r="C1464" s="1" t="n">
        <v>45576</v>
      </c>
      <c r="D1464" t="inlineStr">
        <is>
          <t>VÄSTERNORRLANDS LÄN</t>
        </is>
      </c>
      <c r="E1464" t="inlineStr">
        <is>
          <t>SOLLEFTEÅ</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41189-2022</t>
        </is>
      </c>
      <c r="B1465" s="1" t="n">
        <v>44826</v>
      </c>
      <c r="C1465" s="1" t="n">
        <v>45576</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41196-2022</t>
        </is>
      </c>
      <c r="B1466" s="1" t="n">
        <v>44826</v>
      </c>
      <c r="C1466" s="1" t="n">
        <v>45576</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41195-2022</t>
        </is>
      </c>
      <c r="B1467" s="1" t="n">
        <v>44826</v>
      </c>
      <c r="C1467" s="1" t="n">
        <v>45576</v>
      </c>
      <c r="D1467" t="inlineStr">
        <is>
          <t>VÄSTERNORRLANDS LÄN</t>
        </is>
      </c>
      <c r="E1467" t="inlineStr">
        <is>
          <t>SOLLEFTEÅ</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41456-2022</t>
        </is>
      </c>
      <c r="B1468" s="1" t="n">
        <v>44826</v>
      </c>
      <c r="C1468" s="1" t="n">
        <v>45576</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41463-2022</t>
        </is>
      </c>
      <c r="B1469" s="1" t="n">
        <v>44827</v>
      </c>
      <c r="C1469" s="1" t="n">
        <v>45576</v>
      </c>
      <c r="D1469" t="inlineStr">
        <is>
          <t>VÄSTERNORRLANDS LÄN</t>
        </is>
      </c>
      <c r="E1469" t="inlineStr">
        <is>
          <t>SOLLEFTEÅ</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41475-2022</t>
        </is>
      </c>
      <c r="B1470" s="1" t="n">
        <v>44826</v>
      </c>
      <c r="C1470" s="1" t="n">
        <v>45576</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41481-2022</t>
        </is>
      </c>
      <c r="B1471" s="1" t="n">
        <v>44827</v>
      </c>
      <c r="C1471" s="1" t="n">
        <v>45576</v>
      </c>
      <c r="D1471" t="inlineStr">
        <is>
          <t>VÄSTERNORRLANDS LÄN</t>
        </is>
      </c>
      <c r="E1471" t="inlineStr">
        <is>
          <t>SOLLEFTEÅ</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41478-2022</t>
        </is>
      </c>
      <c r="B1472" s="1" t="n">
        <v>44827</v>
      </c>
      <c r="C1472" s="1" t="n">
        <v>45576</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41486-2022</t>
        </is>
      </c>
      <c r="B1473" s="1" t="n">
        <v>44827</v>
      </c>
      <c r="C1473" s="1" t="n">
        <v>45576</v>
      </c>
      <c r="D1473" t="inlineStr">
        <is>
          <t>VÄSTERNORRLANDS LÄN</t>
        </is>
      </c>
      <c r="E1473" t="inlineStr">
        <is>
          <t>SOLLEFTEÅ</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41455-2022</t>
        </is>
      </c>
      <c r="B1474" s="1" t="n">
        <v>44826</v>
      </c>
      <c r="C1474" s="1" t="n">
        <v>45576</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41474-2022</t>
        </is>
      </c>
      <c r="B1475" s="1" t="n">
        <v>44827</v>
      </c>
      <c r="C1475" s="1" t="n">
        <v>45576</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41480-2022</t>
        </is>
      </c>
      <c r="B1476" s="1" t="n">
        <v>44827</v>
      </c>
      <c r="C1476" s="1" t="n">
        <v>45576</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41488-2022</t>
        </is>
      </c>
      <c r="B1477" s="1" t="n">
        <v>44826</v>
      </c>
      <c r="C1477" s="1" t="n">
        <v>45576</v>
      </c>
      <c r="D1477" t="inlineStr">
        <is>
          <t>VÄSTERNORRLANDS LÄN</t>
        </is>
      </c>
      <c r="E1477" t="inlineStr">
        <is>
          <t>SOLLEFTEÅ</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41487-2022</t>
        </is>
      </c>
      <c r="B1478" s="1" t="n">
        <v>44827</v>
      </c>
      <c r="C1478" s="1" t="n">
        <v>45576</v>
      </c>
      <c r="D1478" t="inlineStr">
        <is>
          <t>VÄSTERNORRLANDS LÄN</t>
        </is>
      </c>
      <c r="E1478" t="inlineStr">
        <is>
          <t>SOLLEFTEÅ</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41479-2022</t>
        </is>
      </c>
      <c r="B1479" s="1" t="n">
        <v>44827</v>
      </c>
      <c r="C1479" s="1" t="n">
        <v>45576</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41813-2022</t>
        </is>
      </c>
      <c r="B1480" s="1" t="n">
        <v>44828</v>
      </c>
      <c r="C1480" s="1" t="n">
        <v>45576</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42272-2022</t>
        </is>
      </c>
      <c r="B1481" s="1" t="n">
        <v>44831</v>
      </c>
      <c r="C1481" s="1" t="n">
        <v>45576</v>
      </c>
      <c r="D1481" t="inlineStr">
        <is>
          <t>VÄSTERNORRLANDS LÄN</t>
        </is>
      </c>
      <c r="E1481" t="inlineStr">
        <is>
          <t>SOLLEFTEÅ</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42299-2022</t>
        </is>
      </c>
      <c r="B1482" s="1" t="n">
        <v>44830</v>
      </c>
      <c r="C1482" s="1" t="n">
        <v>45576</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42303-2022</t>
        </is>
      </c>
      <c r="B1483" s="1" t="n">
        <v>44831</v>
      </c>
      <c r="C1483" s="1" t="n">
        <v>45576</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42275-2022</t>
        </is>
      </c>
      <c r="B1484" s="1" t="n">
        <v>44830</v>
      </c>
      <c r="C1484" s="1" t="n">
        <v>45576</v>
      </c>
      <c r="D1484" t="inlineStr">
        <is>
          <t>VÄSTERNORRLANDS LÄN</t>
        </is>
      </c>
      <c r="E1484" t="inlineStr">
        <is>
          <t>SOLLEFTEÅ</t>
        </is>
      </c>
      <c r="F1484" t="inlineStr">
        <is>
          <t>SCA</t>
        </is>
      </c>
      <c r="G1484" t="n">
        <v>26.9</v>
      </c>
      <c r="H1484" t="n">
        <v>0</v>
      </c>
      <c r="I1484" t="n">
        <v>0</v>
      </c>
      <c r="J1484" t="n">
        <v>0</v>
      </c>
      <c r="K1484" t="n">
        <v>0</v>
      </c>
      <c r="L1484" t="n">
        <v>0</v>
      </c>
      <c r="M1484" t="n">
        <v>0</v>
      </c>
      <c r="N1484" t="n">
        <v>0</v>
      </c>
      <c r="O1484" t="n">
        <v>0</v>
      </c>
      <c r="P1484" t="n">
        <v>0</v>
      </c>
      <c r="Q1484" t="n">
        <v>0</v>
      </c>
      <c r="R1484" s="2" t="inlineStr"/>
    </row>
    <row r="1485" ht="15" customHeight="1">
      <c r="A1485" t="inlineStr">
        <is>
          <t>A 42300-2022</t>
        </is>
      </c>
      <c r="B1485" s="1" t="n">
        <v>44831</v>
      </c>
      <c r="C1485" s="1" t="n">
        <v>45576</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42302-2022</t>
        </is>
      </c>
      <c r="B1486" s="1" t="n">
        <v>44830</v>
      </c>
      <c r="C1486" s="1" t="n">
        <v>45576</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42482-2022</t>
        </is>
      </c>
      <c r="B1487" s="1" t="n">
        <v>44831</v>
      </c>
      <c r="C1487" s="1" t="n">
        <v>45576</v>
      </c>
      <c r="D1487" t="inlineStr">
        <is>
          <t>VÄSTERNORRLANDS LÄN</t>
        </is>
      </c>
      <c r="E1487" t="inlineStr">
        <is>
          <t>SOLLEFTEÅ</t>
        </is>
      </c>
      <c r="F1487" t="inlineStr">
        <is>
          <t>Holmen skog AB</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42430-2022</t>
        </is>
      </c>
      <c r="B1488" s="1" t="n">
        <v>44831</v>
      </c>
      <c r="C1488" s="1" t="n">
        <v>45576</v>
      </c>
      <c r="D1488" t="inlineStr">
        <is>
          <t>VÄSTERNORRLANDS LÄN</t>
        </is>
      </c>
      <c r="E1488" t="inlineStr">
        <is>
          <t>SOLLEFTEÅ</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42634-2022</t>
        </is>
      </c>
      <c r="B1489" s="1" t="n">
        <v>44832</v>
      </c>
      <c r="C1489" s="1" t="n">
        <v>45576</v>
      </c>
      <c r="D1489" t="inlineStr">
        <is>
          <t>VÄSTERNORRLANDS LÄN</t>
        </is>
      </c>
      <c r="E1489" t="inlineStr">
        <is>
          <t>SOLLEFTEÅ</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42663-2022</t>
        </is>
      </c>
      <c r="B1490" s="1" t="n">
        <v>44831</v>
      </c>
      <c r="C1490" s="1" t="n">
        <v>45576</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42664-2022</t>
        </is>
      </c>
      <c r="B1491" s="1" t="n">
        <v>44831</v>
      </c>
      <c r="C1491" s="1" t="n">
        <v>45576</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42654-2022</t>
        </is>
      </c>
      <c r="B1492" s="1" t="n">
        <v>44832</v>
      </c>
      <c r="C1492" s="1" t="n">
        <v>45576</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42771-2022</t>
        </is>
      </c>
      <c r="B1493" s="1" t="n">
        <v>44832</v>
      </c>
      <c r="C1493" s="1" t="n">
        <v>45576</v>
      </c>
      <c r="D1493" t="inlineStr">
        <is>
          <t>VÄSTERNORRLANDS LÄN</t>
        </is>
      </c>
      <c r="E1493" t="inlineStr">
        <is>
          <t>SOLLEFTEÅ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42755-2022</t>
        </is>
      </c>
      <c r="B1494" s="1" t="n">
        <v>44832</v>
      </c>
      <c r="C1494" s="1" t="n">
        <v>45576</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42885-2022</t>
        </is>
      </c>
      <c r="B1495" s="1" t="n">
        <v>44833</v>
      </c>
      <c r="C1495" s="1" t="n">
        <v>45576</v>
      </c>
      <c r="D1495" t="inlineStr">
        <is>
          <t>VÄSTERNORRLANDS LÄN</t>
        </is>
      </c>
      <c r="E1495" t="inlineStr">
        <is>
          <t>SOLLEFTEÅ</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42891-2022</t>
        </is>
      </c>
      <c r="B1496" s="1" t="n">
        <v>44833</v>
      </c>
      <c r="C1496" s="1" t="n">
        <v>45576</v>
      </c>
      <c r="D1496" t="inlineStr">
        <is>
          <t>VÄSTERNORRLANDS LÄN</t>
        </is>
      </c>
      <c r="E1496" t="inlineStr">
        <is>
          <t>SOLLEFTEÅ</t>
        </is>
      </c>
      <c r="F1496" t="inlineStr">
        <is>
          <t>SCA</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43035-2022</t>
        </is>
      </c>
      <c r="B1497" s="1" t="n">
        <v>44833</v>
      </c>
      <c r="C1497" s="1" t="n">
        <v>45576</v>
      </c>
      <c r="D1497" t="inlineStr">
        <is>
          <t>VÄSTERNORRLANDS LÄN</t>
        </is>
      </c>
      <c r="E1497" t="inlineStr">
        <is>
          <t>SOLLEFTEÅ</t>
        </is>
      </c>
      <c r="F1497" t="inlineStr">
        <is>
          <t>Kommuner</t>
        </is>
      </c>
      <c r="G1497" t="n">
        <v>19.8</v>
      </c>
      <c r="H1497" t="n">
        <v>0</v>
      </c>
      <c r="I1497" t="n">
        <v>0</v>
      </c>
      <c r="J1497" t="n">
        <v>0</v>
      </c>
      <c r="K1497" t="n">
        <v>0</v>
      </c>
      <c r="L1497" t="n">
        <v>0</v>
      </c>
      <c r="M1497" t="n">
        <v>0</v>
      </c>
      <c r="N1497" t="n">
        <v>0</v>
      </c>
      <c r="O1497" t="n">
        <v>0</v>
      </c>
      <c r="P1497" t="n">
        <v>0</v>
      </c>
      <c r="Q1497" t="n">
        <v>0</v>
      </c>
      <c r="R1497" s="2" t="inlineStr"/>
    </row>
    <row r="1498" ht="15" customHeight="1">
      <c r="A1498" t="inlineStr">
        <is>
          <t>A 43130-2022</t>
        </is>
      </c>
      <c r="B1498" s="1" t="n">
        <v>44833</v>
      </c>
      <c r="C1498" s="1" t="n">
        <v>45576</v>
      </c>
      <c r="D1498" t="inlineStr">
        <is>
          <t>VÄSTERNORRLANDS LÄN</t>
        </is>
      </c>
      <c r="E1498" t="inlineStr">
        <is>
          <t>SOLLEFTEÅ</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43137-2022</t>
        </is>
      </c>
      <c r="B1499" s="1" t="n">
        <v>44834</v>
      </c>
      <c r="C1499" s="1" t="n">
        <v>45576</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43124-2022</t>
        </is>
      </c>
      <c r="B1500" s="1" t="n">
        <v>44834</v>
      </c>
      <c r="C1500" s="1" t="n">
        <v>45576</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43122-2022</t>
        </is>
      </c>
      <c r="B1501" s="1" t="n">
        <v>44834</v>
      </c>
      <c r="C1501" s="1" t="n">
        <v>45576</v>
      </c>
      <c r="D1501" t="inlineStr">
        <is>
          <t>VÄSTERNORRLANDS LÄN</t>
        </is>
      </c>
      <c r="E1501" t="inlineStr">
        <is>
          <t>SOLLEFTEÅ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43148-2022</t>
        </is>
      </c>
      <c r="B1502" s="1" t="n">
        <v>44834</v>
      </c>
      <c r="C1502" s="1" t="n">
        <v>45576</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43149-2022</t>
        </is>
      </c>
      <c r="B1503" s="1" t="n">
        <v>44834</v>
      </c>
      <c r="C1503" s="1" t="n">
        <v>45576</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43442-2022</t>
        </is>
      </c>
      <c r="B1504" s="1" t="n">
        <v>44834</v>
      </c>
      <c r="C1504" s="1" t="n">
        <v>45576</v>
      </c>
      <c r="D1504" t="inlineStr">
        <is>
          <t>VÄSTERNORRLANDS LÄN</t>
        </is>
      </c>
      <c r="E1504" t="inlineStr">
        <is>
          <t>SOLLEFTEÅ</t>
        </is>
      </c>
      <c r="F1504" t="inlineStr">
        <is>
          <t>Kyrkan</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43469-2022</t>
        </is>
      </c>
      <c r="B1505" s="1" t="n">
        <v>44836</v>
      </c>
      <c r="C1505" s="1" t="n">
        <v>45576</v>
      </c>
      <c r="D1505" t="inlineStr">
        <is>
          <t>VÄSTERNORRLANDS LÄN</t>
        </is>
      </c>
      <c r="E1505" t="inlineStr">
        <is>
          <t>SOLLEFTEÅ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43774-2022</t>
        </is>
      </c>
      <c r="B1506" s="1" t="n">
        <v>44837</v>
      </c>
      <c r="C1506" s="1" t="n">
        <v>45576</v>
      </c>
      <c r="D1506" t="inlineStr">
        <is>
          <t>VÄSTERNORRLANDS LÄN</t>
        </is>
      </c>
      <c r="E1506" t="inlineStr">
        <is>
          <t>SOLLEFTEÅ</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43772-2022</t>
        </is>
      </c>
      <c r="B1507" s="1" t="n">
        <v>44837</v>
      </c>
      <c r="C1507" s="1" t="n">
        <v>45576</v>
      </c>
      <c r="D1507" t="inlineStr">
        <is>
          <t>VÄSTERNORRLANDS LÄN</t>
        </is>
      </c>
      <c r="E1507" t="inlineStr">
        <is>
          <t>SOLLEFTEÅ</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43762-2022</t>
        </is>
      </c>
      <c r="B1508" s="1" t="n">
        <v>44838</v>
      </c>
      <c r="C1508" s="1" t="n">
        <v>45576</v>
      </c>
      <c r="D1508" t="inlineStr">
        <is>
          <t>VÄSTERNORRLANDS LÄN</t>
        </is>
      </c>
      <c r="E1508" t="inlineStr">
        <is>
          <t>SOLLEFTEÅ</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43766-2022</t>
        </is>
      </c>
      <c r="B1509" s="1" t="n">
        <v>44838</v>
      </c>
      <c r="C1509" s="1" t="n">
        <v>45576</v>
      </c>
      <c r="D1509" t="inlineStr">
        <is>
          <t>VÄSTERNORRLANDS LÄN</t>
        </is>
      </c>
      <c r="E1509" t="inlineStr">
        <is>
          <t>SOLLEFTEÅ</t>
        </is>
      </c>
      <c r="F1509" t="inlineStr">
        <is>
          <t>Kyrkan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43782-2022</t>
        </is>
      </c>
      <c r="B1510" s="1" t="n">
        <v>44838</v>
      </c>
      <c r="C1510" s="1" t="n">
        <v>45576</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43786-2022</t>
        </is>
      </c>
      <c r="B1511" s="1" t="n">
        <v>44837</v>
      </c>
      <c r="C1511" s="1" t="n">
        <v>45576</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44042-2022</t>
        </is>
      </c>
      <c r="B1512" s="1" t="n">
        <v>44839</v>
      </c>
      <c r="C1512" s="1" t="n">
        <v>45576</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44285-2022</t>
        </is>
      </c>
      <c r="B1513" s="1" t="n">
        <v>44839</v>
      </c>
      <c r="C1513" s="1" t="n">
        <v>45576</v>
      </c>
      <c r="D1513" t="inlineStr">
        <is>
          <t>VÄSTERNORRLANDS LÄN</t>
        </is>
      </c>
      <c r="E1513" t="inlineStr">
        <is>
          <t>SOLLEFTEÅ</t>
        </is>
      </c>
      <c r="F1513" t="inlineStr">
        <is>
          <t>Holmen skog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44438-2022</t>
        </is>
      </c>
      <c r="B1514" s="1" t="n">
        <v>44840</v>
      </c>
      <c r="C1514" s="1" t="n">
        <v>45576</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44454-2022</t>
        </is>
      </c>
      <c r="B1515" s="1" t="n">
        <v>44840</v>
      </c>
      <c r="C1515" s="1" t="n">
        <v>45576</v>
      </c>
      <c r="D1515" t="inlineStr">
        <is>
          <t>VÄSTERNORRLANDS LÄN</t>
        </is>
      </c>
      <c r="E1515" t="inlineStr">
        <is>
          <t>SOLLEFTEÅ</t>
        </is>
      </c>
      <c r="F1515" t="inlineStr">
        <is>
          <t>SCA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44208-2022</t>
        </is>
      </c>
      <c r="B1516" s="1" t="n">
        <v>44839</v>
      </c>
      <c r="C1516" s="1" t="n">
        <v>45576</v>
      </c>
      <c r="D1516" t="inlineStr">
        <is>
          <t>VÄSTERNORRLANDS LÄN</t>
        </is>
      </c>
      <c r="E1516" t="inlineStr">
        <is>
          <t>SOLLEFTEÅ</t>
        </is>
      </c>
      <c r="F1516" t="inlineStr">
        <is>
          <t>Holmen skog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44755-2022</t>
        </is>
      </c>
      <c r="B1517" s="1" t="n">
        <v>44841</v>
      </c>
      <c r="C1517" s="1" t="n">
        <v>45576</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44762-2022</t>
        </is>
      </c>
      <c r="B1518" s="1" t="n">
        <v>44840</v>
      </c>
      <c r="C1518" s="1" t="n">
        <v>45576</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44761-2022</t>
        </is>
      </c>
      <c r="B1519" s="1" t="n">
        <v>44840</v>
      </c>
      <c r="C1519" s="1" t="n">
        <v>45576</v>
      </c>
      <c r="D1519" t="inlineStr">
        <is>
          <t>VÄSTERNORRLANDS LÄN</t>
        </is>
      </c>
      <c r="E1519" t="inlineStr">
        <is>
          <t>SOLLEFTEÅ</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44805-2022</t>
        </is>
      </c>
      <c r="B1520" s="1" t="n">
        <v>44841</v>
      </c>
      <c r="C1520" s="1" t="n">
        <v>45576</v>
      </c>
      <c r="D1520" t="inlineStr">
        <is>
          <t>VÄSTERNORRLANDS LÄN</t>
        </is>
      </c>
      <c r="E1520" t="inlineStr">
        <is>
          <t>SOLLEFTEÅ</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45085-2022</t>
        </is>
      </c>
      <c r="B1521" s="1" t="n">
        <v>44841</v>
      </c>
      <c r="C1521" s="1" t="n">
        <v>45576</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45119-2022</t>
        </is>
      </c>
      <c r="B1522" s="1" t="n">
        <v>44843</v>
      </c>
      <c r="C1522" s="1" t="n">
        <v>45576</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45117-2022</t>
        </is>
      </c>
      <c r="B1523" s="1" t="n">
        <v>44844</v>
      </c>
      <c r="C1523" s="1" t="n">
        <v>45576</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45121-2022</t>
        </is>
      </c>
      <c r="B1524" s="1" t="n">
        <v>44844</v>
      </c>
      <c r="C1524" s="1" t="n">
        <v>45576</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45120-2022</t>
        </is>
      </c>
      <c r="B1525" s="1" t="n">
        <v>44843</v>
      </c>
      <c r="C1525" s="1" t="n">
        <v>45576</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45118-2022</t>
        </is>
      </c>
      <c r="B1526" s="1" t="n">
        <v>44843</v>
      </c>
      <c r="C1526" s="1" t="n">
        <v>45576</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45419-2022</t>
        </is>
      </c>
      <c r="B1527" s="1" t="n">
        <v>44844</v>
      </c>
      <c r="C1527" s="1" t="n">
        <v>45576</v>
      </c>
      <c r="D1527" t="inlineStr">
        <is>
          <t>VÄSTERNORRLANDS LÄN</t>
        </is>
      </c>
      <c r="E1527" t="inlineStr">
        <is>
          <t>SOLLEFTEÅ</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44845</v>
      </c>
      <c r="C1528" s="1" t="n">
        <v>45576</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46130-2022</t>
        </is>
      </c>
      <c r="B1529" s="1" t="n">
        <v>44844</v>
      </c>
      <c r="C1529" s="1" t="n">
        <v>45576</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45719-2022</t>
        </is>
      </c>
      <c r="B1530" s="1" t="n">
        <v>44846</v>
      </c>
      <c r="C1530" s="1" t="n">
        <v>45576</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46039-2022</t>
        </is>
      </c>
      <c r="B1531" s="1" t="n">
        <v>44847</v>
      </c>
      <c r="C1531" s="1" t="n">
        <v>45576</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46032-2022</t>
        </is>
      </c>
      <c r="B1532" s="1" t="n">
        <v>44846</v>
      </c>
      <c r="C1532" s="1" t="n">
        <v>45576</v>
      </c>
      <c r="D1532" t="inlineStr">
        <is>
          <t>VÄSTERNORRLANDS LÄN</t>
        </is>
      </c>
      <c r="E1532" t="inlineStr">
        <is>
          <t>SOLLEFTEÅ</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46036-2022</t>
        </is>
      </c>
      <c r="B1533" s="1" t="n">
        <v>44846</v>
      </c>
      <c r="C1533" s="1" t="n">
        <v>45576</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46052-2022</t>
        </is>
      </c>
      <c r="B1534" s="1" t="n">
        <v>44846</v>
      </c>
      <c r="C1534" s="1" t="n">
        <v>45576</v>
      </c>
      <c r="D1534" t="inlineStr">
        <is>
          <t>VÄSTERNORRLANDS LÄN</t>
        </is>
      </c>
      <c r="E1534" t="inlineStr">
        <is>
          <t>SOLLEFTEÅ</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46053-2022</t>
        </is>
      </c>
      <c r="B1535" s="1" t="n">
        <v>44846</v>
      </c>
      <c r="C1535" s="1" t="n">
        <v>45576</v>
      </c>
      <c r="D1535" t="inlineStr">
        <is>
          <t>VÄSTERNORRLANDS LÄN</t>
        </is>
      </c>
      <c r="E1535" t="inlineStr">
        <is>
          <t>SOLLEFTEÅ</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46324-2022</t>
        </is>
      </c>
      <c r="B1536" s="1" t="n">
        <v>44847</v>
      </c>
      <c r="C1536" s="1" t="n">
        <v>45576</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46626-2022</t>
        </is>
      </c>
      <c r="B1537" s="1" t="n">
        <v>44848</v>
      </c>
      <c r="C1537" s="1" t="n">
        <v>45576</v>
      </c>
      <c r="D1537" t="inlineStr">
        <is>
          <t>VÄSTERNORRLANDS LÄN</t>
        </is>
      </c>
      <c r="E1537" t="inlineStr">
        <is>
          <t>SOLLEFTEÅ</t>
        </is>
      </c>
      <c r="F1537" t="inlineStr">
        <is>
          <t>SCA</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46616-2022</t>
        </is>
      </c>
      <c r="B1538" s="1" t="n">
        <v>44848</v>
      </c>
      <c r="C1538" s="1" t="n">
        <v>45576</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46664-2022</t>
        </is>
      </c>
      <c r="B1539" s="1" t="n">
        <v>44851</v>
      </c>
      <c r="C1539" s="1" t="n">
        <v>45576</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46871-2022</t>
        </is>
      </c>
      <c r="B1540" s="1" t="n">
        <v>44851</v>
      </c>
      <c r="C1540" s="1" t="n">
        <v>45576</v>
      </c>
      <c r="D1540" t="inlineStr">
        <is>
          <t>VÄSTERNORRLANDS LÄN</t>
        </is>
      </c>
      <c r="E1540" t="inlineStr">
        <is>
          <t>SOLLEFTEÅ</t>
        </is>
      </c>
      <c r="F1540" t="inlineStr">
        <is>
          <t>Kyrkan</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46880-2022</t>
        </is>
      </c>
      <c r="B1541" s="1" t="n">
        <v>44851</v>
      </c>
      <c r="C1541" s="1" t="n">
        <v>45576</v>
      </c>
      <c r="D1541" t="inlineStr">
        <is>
          <t>VÄSTERNORRLANDS LÄN</t>
        </is>
      </c>
      <c r="E1541" t="inlineStr">
        <is>
          <t>SOLLEFTEÅ</t>
        </is>
      </c>
      <c r="F1541" t="inlineStr">
        <is>
          <t>Kyrkan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46986-2022</t>
        </is>
      </c>
      <c r="B1542" s="1" t="n">
        <v>44851</v>
      </c>
      <c r="C1542" s="1" t="n">
        <v>45576</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46985-2022</t>
        </is>
      </c>
      <c r="B1543" s="1" t="n">
        <v>44851</v>
      </c>
      <c r="C1543" s="1" t="n">
        <v>45576</v>
      </c>
      <c r="D1543" t="inlineStr">
        <is>
          <t>VÄSTERNORRLANDS LÄN</t>
        </is>
      </c>
      <c r="E1543" t="inlineStr">
        <is>
          <t>SOLLEFTEÅ</t>
        </is>
      </c>
      <c r="F1543" t="inlineStr">
        <is>
          <t>Kyrkan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47250-2022</t>
        </is>
      </c>
      <c r="B1544" s="1" t="n">
        <v>44852</v>
      </c>
      <c r="C1544" s="1" t="n">
        <v>45576</v>
      </c>
      <c r="D1544" t="inlineStr">
        <is>
          <t>VÄSTERNORRLANDS LÄN</t>
        </is>
      </c>
      <c r="E1544" t="inlineStr">
        <is>
          <t>SOLLEFTEÅ</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47268-2022</t>
        </is>
      </c>
      <c r="B1545" s="1" t="n">
        <v>44853</v>
      </c>
      <c r="C1545" s="1" t="n">
        <v>45576</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47269-2022</t>
        </is>
      </c>
      <c r="B1546" s="1" t="n">
        <v>44853</v>
      </c>
      <c r="C1546" s="1" t="n">
        <v>45576</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47272-2022</t>
        </is>
      </c>
      <c r="B1547" s="1" t="n">
        <v>44853</v>
      </c>
      <c r="C1547" s="1" t="n">
        <v>45576</v>
      </c>
      <c r="D1547" t="inlineStr">
        <is>
          <t>VÄSTERNORRLANDS LÄN</t>
        </is>
      </c>
      <c r="E1547" t="inlineStr">
        <is>
          <t>SOLLEFTEÅ</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47564-2022</t>
        </is>
      </c>
      <c r="B1548" s="1" t="n">
        <v>44854</v>
      </c>
      <c r="C1548" s="1" t="n">
        <v>45576</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47580-2022</t>
        </is>
      </c>
      <c r="B1549" s="1" t="n">
        <v>44854</v>
      </c>
      <c r="C1549" s="1" t="n">
        <v>45576</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47787-2022</t>
        </is>
      </c>
      <c r="B1550" s="1" t="n">
        <v>44855</v>
      </c>
      <c r="C1550" s="1" t="n">
        <v>45576</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47814-2022</t>
        </is>
      </c>
      <c r="B1551" s="1" t="n">
        <v>44855</v>
      </c>
      <c r="C1551" s="1" t="n">
        <v>45576</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47812-2022</t>
        </is>
      </c>
      <c r="B1552" s="1" t="n">
        <v>44855</v>
      </c>
      <c r="C1552" s="1" t="n">
        <v>45576</v>
      </c>
      <c r="D1552" t="inlineStr">
        <is>
          <t>VÄSTERNORRLANDS LÄN</t>
        </is>
      </c>
      <c r="E1552" t="inlineStr">
        <is>
          <t>SOLLEFTEÅ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47875-2022</t>
        </is>
      </c>
      <c r="B1553" s="1" t="n">
        <v>44855</v>
      </c>
      <c r="C1553" s="1" t="n">
        <v>45576</v>
      </c>
      <c r="D1553" t="inlineStr">
        <is>
          <t>VÄSTERNORRLANDS LÄN</t>
        </is>
      </c>
      <c r="E1553" t="inlineStr">
        <is>
          <t>SOLLEFTEÅ</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48056-2022</t>
        </is>
      </c>
      <c r="B1554" s="1" t="n">
        <v>44856</v>
      </c>
      <c r="C1554" s="1" t="n">
        <v>45576</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48064-2022</t>
        </is>
      </c>
      <c r="B1555" s="1" t="n">
        <v>44856</v>
      </c>
      <c r="C1555" s="1" t="n">
        <v>45576</v>
      </c>
      <c r="D1555" t="inlineStr">
        <is>
          <t>VÄSTERNORRLANDS LÄN</t>
        </is>
      </c>
      <c r="E1555" t="inlineStr">
        <is>
          <t>SOLLEFTEÅ</t>
        </is>
      </c>
      <c r="F1555" t="inlineStr">
        <is>
          <t>SCA</t>
        </is>
      </c>
      <c r="G1555" t="n">
        <v>13.1</v>
      </c>
      <c r="H1555" t="n">
        <v>0</v>
      </c>
      <c r="I1555" t="n">
        <v>0</v>
      </c>
      <c r="J1555" t="n">
        <v>0</v>
      </c>
      <c r="K1555" t="n">
        <v>0</v>
      </c>
      <c r="L1555" t="n">
        <v>0</v>
      </c>
      <c r="M1555" t="n">
        <v>0</v>
      </c>
      <c r="N1555" t="n">
        <v>0</v>
      </c>
      <c r="O1555" t="n">
        <v>0</v>
      </c>
      <c r="P1555" t="n">
        <v>0</v>
      </c>
      <c r="Q1555" t="n">
        <v>0</v>
      </c>
      <c r="R1555" s="2" t="inlineStr"/>
    </row>
    <row r="1556" ht="15" customHeight="1">
      <c r="A1556" t="inlineStr">
        <is>
          <t>A 48067-2022</t>
        </is>
      </c>
      <c r="B1556" s="1" t="n">
        <v>44855</v>
      </c>
      <c r="C1556" s="1" t="n">
        <v>45576</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48062-2022</t>
        </is>
      </c>
      <c r="B1557" s="1" t="n">
        <v>44856</v>
      </c>
      <c r="C1557" s="1" t="n">
        <v>45576</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47826-2022</t>
        </is>
      </c>
      <c r="B1558" s="1" t="n">
        <v>44855</v>
      </c>
      <c r="C1558" s="1" t="n">
        <v>45576</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48057-2022</t>
        </is>
      </c>
      <c r="B1559" s="1" t="n">
        <v>44856</v>
      </c>
      <c r="C1559" s="1" t="n">
        <v>45576</v>
      </c>
      <c r="D1559" t="inlineStr">
        <is>
          <t>VÄSTERNORRLANDS LÄN</t>
        </is>
      </c>
      <c r="E1559" t="inlineStr">
        <is>
          <t>SOLLEFTEÅ</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48061-2022</t>
        </is>
      </c>
      <c r="B1560" s="1" t="n">
        <v>44855</v>
      </c>
      <c r="C1560" s="1" t="n">
        <v>45576</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48065-2022</t>
        </is>
      </c>
      <c r="B1561" s="1" t="n">
        <v>44856</v>
      </c>
      <c r="C1561" s="1" t="n">
        <v>45576</v>
      </c>
      <c r="D1561" t="inlineStr">
        <is>
          <t>VÄSTERNORRLANDS LÄN</t>
        </is>
      </c>
      <c r="E1561" t="inlineStr">
        <is>
          <t>SOLLEFTEÅ</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48738-2022</t>
        </is>
      </c>
      <c r="B1562" s="1" t="n">
        <v>44855</v>
      </c>
      <c r="C1562" s="1" t="n">
        <v>45576</v>
      </c>
      <c r="D1562" t="inlineStr">
        <is>
          <t>VÄSTERNORRLANDS LÄN</t>
        </is>
      </c>
      <c r="E1562" t="inlineStr">
        <is>
          <t>SOLLEFTEÅ</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48240-2022</t>
        </is>
      </c>
      <c r="B1563" s="1" t="n">
        <v>44858</v>
      </c>
      <c r="C1563" s="1" t="n">
        <v>45576</v>
      </c>
      <c r="D1563" t="inlineStr">
        <is>
          <t>VÄSTERNORRLANDS LÄN</t>
        </is>
      </c>
      <c r="E1563" t="inlineStr">
        <is>
          <t>SOLLEFTEÅ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48511-2022</t>
        </is>
      </c>
      <c r="B1564" s="1" t="n">
        <v>44859</v>
      </c>
      <c r="C1564" s="1" t="n">
        <v>45576</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48512-2022</t>
        </is>
      </c>
      <c r="B1565" s="1" t="n">
        <v>44859</v>
      </c>
      <c r="C1565" s="1" t="n">
        <v>45576</v>
      </c>
      <c r="D1565" t="inlineStr">
        <is>
          <t>VÄSTERNORRLANDS LÄN</t>
        </is>
      </c>
      <c r="E1565" t="inlineStr">
        <is>
          <t>SOLLEFTEÅ</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48519-2022</t>
        </is>
      </c>
      <c r="B1566" s="1" t="n">
        <v>44858</v>
      </c>
      <c r="C1566" s="1" t="n">
        <v>45576</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48296-2022</t>
        </is>
      </c>
      <c r="B1567" s="1" t="n">
        <v>44858</v>
      </c>
      <c r="C1567" s="1" t="n">
        <v>45576</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48510-2022</t>
        </is>
      </c>
      <c r="B1568" s="1" t="n">
        <v>44858</v>
      </c>
      <c r="C1568" s="1" t="n">
        <v>45576</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48535-2022</t>
        </is>
      </c>
      <c r="B1569" s="1" t="n">
        <v>44859</v>
      </c>
      <c r="C1569" s="1" t="n">
        <v>45576</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48513-2022</t>
        </is>
      </c>
      <c r="B1570" s="1" t="n">
        <v>44859</v>
      </c>
      <c r="C1570" s="1" t="n">
        <v>45576</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48905-2022</t>
        </is>
      </c>
      <c r="B1571" s="1" t="n">
        <v>44859</v>
      </c>
      <c r="C1571" s="1" t="n">
        <v>45576</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48915-2022</t>
        </is>
      </c>
      <c r="B1572" s="1" t="n">
        <v>44860</v>
      </c>
      <c r="C1572" s="1" t="n">
        <v>45576</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48919-2022</t>
        </is>
      </c>
      <c r="B1573" s="1" t="n">
        <v>44859</v>
      </c>
      <c r="C1573" s="1" t="n">
        <v>45576</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48901-2022</t>
        </is>
      </c>
      <c r="B1574" s="1" t="n">
        <v>44860</v>
      </c>
      <c r="C1574" s="1" t="n">
        <v>45576</v>
      </c>
      <c r="D1574" t="inlineStr">
        <is>
          <t>VÄSTERNORRLANDS LÄN</t>
        </is>
      </c>
      <c r="E1574" t="inlineStr">
        <is>
          <t>SOLLEFTEÅ</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48913-2022</t>
        </is>
      </c>
      <c r="B1575" s="1" t="n">
        <v>44860</v>
      </c>
      <c r="C1575" s="1" t="n">
        <v>45576</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44860</v>
      </c>
      <c r="C1576" s="1" t="n">
        <v>45576</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48902-2022</t>
        </is>
      </c>
      <c r="B1577" s="1" t="n">
        <v>44859</v>
      </c>
      <c r="C1577" s="1" t="n">
        <v>45576</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48914-2022</t>
        </is>
      </c>
      <c r="B1578" s="1" t="n">
        <v>44860</v>
      </c>
      <c r="C1578" s="1" t="n">
        <v>45576</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49694-2022</t>
        </is>
      </c>
      <c r="B1579" s="1" t="n">
        <v>44859</v>
      </c>
      <c r="C1579" s="1" t="n">
        <v>45576</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49708-2022</t>
        </is>
      </c>
      <c r="B1580" s="1" t="n">
        <v>44859</v>
      </c>
      <c r="C1580" s="1" t="n">
        <v>45576</v>
      </c>
      <c r="D1580" t="inlineStr">
        <is>
          <t>VÄSTERNORRLANDS LÄN</t>
        </is>
      </c>
      <c r="E1580" t="inlineStr">
        <is>
          <t>SOLLEFTEÅ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49176-2022</t>
        </is>
      </c>
      <c r="B1581" s="1" t="n">
        <v>44861</v>
      </c>
      <c r="C1581" s="1" t="n">
        <v>45576</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49181-2022</t>
        </is>
      </c>
      <c r="B1582" s="1" t="n">
        <v>44861</v>
      </c>
      <c r="C1582" s="1" t="n">
        <v>45576</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49170-2022</t>
        </is>
      </c>
      <c r="B1583" s="1" t="n">
        <v>44861</v>
      </c>
      <c r="C1583" s="1" t="n">
        <v>45576</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49198-2022</t>
        </is>
      </c>
      <c r="B1584" s="1" t="n">
        <v>44860</v>
      </c>
      <c r="C1584" s="1" t="n">
        <v>45576</v>
      </c>
      <c r="D1584" t="inlineStr">
        <is>
          <t>VÄSTERNORRLANDS LÄN</t>
        </is>
      </c>
      <c r="E1584" t="inlineStr">
        <is>
          <t>SOLLEFTEÅ</t>
        </is>
      </c>
      <c r="F1584" t="inlineStr">
        <is>
          <t>SCA</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49177-2022</t>
        </is>
      </c>
      <c r="B1585" s="1" t="n">
        <v>44861</v>
      </c>
      <c r="C1585" s="1" t="n">
        <v>45576</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49171-2022</t>
        </is>
      </c>
      <c r="B1586" s="1" t="n">
        <v>44861</v>
      </c>
      <c r="C1586" s="1" t="n">
        <v>45576</v>
      </c>
      <c r="D1586" t="inlineStr">
        <is>
          <t>VÄSTERNORRLANDS LÄN</t>
        </is>
      </c>
      <c r="E1586" t="inlineStr">
        <is>
          <t>SOLLEFTEÅ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49175-2022</t>
        </is>
      </c>
      <c r="B1587" s="1" t="n">
        <v>44861</v>
      </c>
      <c r="C1587" s="1" t="n">
        <v>45576</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49200-2022</t>
        </is>
      </c>
      <c r="B1588" s="1" t="n">
        <v>44861</v>
      </c>
      <c r="C1588" s="1" t="n">
        <v>45576</v>
      </c>
      <c r="D1588" t="inlineStr">
        <is>
          <t>VÄSTERNORRLANDS LÄN</t>
        </is>
      </c>
      <c r="E1588" t="inlineStr">
        <is>
          <t>SOLLEFTEÅ</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49520-2022</t>
        </is>
      </c>
      <c r="B1589" s="1" t="n">
        <v>44862</v>
      </c>
      <c r="C1589" s="1" t="n">
        <v>45576</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49513-2022</t>
        </is>
      </c>
      <c r="B1590" s="1" t="n">
        <v>44862</v>
      </c>
      <c r="C1590" s="1" t="n">
        <v>45576</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49512-2022</t>
        </is>
      </c>
      <c r="B1591" s="1" t="n">
        <v>44861</v>
      </c>
      <c r="C1591" s="1" t="n">
        <v>45576</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49521-2022</t>
        </is>
      </c>
      <c r="B1592" s="1" t="n">
        <v>44861</v>
      </c>
      <c r="C1592" s="1" t="n">
        <v>45576</v>
      </c>
      <c r="D1592" t="inlineStr">
        <is>
          <t>VÄSTERNORRLANDS LÄN</t>
        </is>
      </c>
      <c r="E1592" t="inlineStr">
        <is>
          <t>SOLLEFTEÅ</t>
        </is>
      </c>
      <c r="F1592" t="inlineStr">
        <is>
          <t>SCA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49538-2022</t>
        </is>
      </c>
      <c r="B1593" s="1" t="n">
        <v>44861</v>
      </c>
      <c r="C1593" s="1" t="n">
        <v>45576</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49665-2022</t>
        </is>
      </c>
      <c r="B1594" s="1" t="n">
        <v>44862</v>
      </c>
      <c r="C1594" s="1" t="n">
        <v>45576</v>
      </c>
      <c r="D1594" t="inlineStr">
        <is>
          <t>VÄSTERNORRLANDS LÄN</t>
        </is>
      </c>
      <c r="E1594" t="inlineStr">
        <is>
          <t>SOLLEFTEÅ</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49860-2022</t>
        </is>
      </c>
      <c r="B1595" s="1" t="n">
        <v>44862</v>
      </c>
      <c r="C1595" s="1" t="n">
        <v>45576</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49866-2022</t>
        </is>
      </c>
      <c r="B1596" s="1" t="n">
        <v>44863</v>
      </c>
      <c r="C1596" s="1" t="n">
        <v>45576</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50813-2022</t>
        </is>
      </c>
      <c r="B1597" s="1" t="n">
        <v>44862</v>
      </c>
      <c r="C1597" s="1" t="n">
        <v>45576</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50825-2022</t>
        </is>
      </c>
      <c r="B1598" s="1" t="n">
        <v>44862</v>
      </c>
      <c r="C1598" s="1" t="n">
        <v>45576</v>
      </c>
      <c r="D1598" t="inlineStr">
        <is>
          <t>VÄSTERNORRLANDS LÄN</t>
        </is>
      </c>
      <c r="E1598" t="inlineStr">
        <is>
          <t>SOLLEFTEÅ</t>
        </is>
      </c>
      <c r="F1598" t="inlineStr">
        <is>
          <t>Övriga statliga verk och myndigheter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49911-2022</t>
        </is>
      </c>
      <c r="B1599" s="1" t="n">
        <v>44865</v>
      </c>
      <c r="C1599" s="1" t="n">
        <v>45576</v>
      </c>
      <c r="D1599" t="inlineStr">
        <is>
          <t>VÄSTERNORRLANDS LÄN</t>
        </is>
      </c>
      <c r="E1599" t="inlineStr">
        <is>
          <t>SOLLEFTEÅ</t>
        </is>
      </c>
      <c r="F1599" t="inlineStr">
        <is>
          <t>Holmen skog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50318-2022</t>
        </is>
      </c>
      <c r="B1600" s="1" t="n">
        <v>44865</v>
      </c>
      <c r="C1600" s="1" t="n">
        <v>45576</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51080-2022</t>
        </is>
      </c>
      <c r="B1601" s="1" t="n">
        <v>44865</v>
      </c>
      <c r="C1601" s="1" t="n">
        <v>45576</v>
      </c>
      <c r="D1601" t="inlineStr">
        <is>
          <t>VÄSTERNORRLANDS LÄN</t>
        </is>
      </c>
      <c r="E1601" t="inlineStr">
        <is>
          <t>SOLLEFTEÅ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50641-2022</t>
        </is>
      </c>
      <c r="B1602" s="1" t="n">
        <v>44866</v>
      </c>
      <c r="C1602" s="1" t="n">
        <v>45576</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50642-2022</t>
        </is>
      </c>
      <c r="B1603" s="1" t="n">
        <v>44866</v>
      </c>
      <c r="C1603" s="1" t="n">
        <v>45576</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50655-2022</t>
        </is>
      </c>
      <c r="B1604" s="1" t="n">
        <v>44866</v>
      </c>
      <c r="C1604" s="1" t="n">
        <v>45576</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50656-2022</t>
        </is>
      </c>
      <c r="B1605" s="1" t="n">
        <v>44866</v>
      </c>
      <c r="C1605" s="1" t="n">
        <v>45576</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50662-2022</t>
        </is>
      </c>
      <c r="B1606" s="1" t="n">
        <v>44866</v>
      </c>
      <c r="C1606" s="1" t="n">
        <v>45576</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51249-2022</t>
        </is>
      </c>
      <c r="B1607" s="1" t="n">
        <v>44866</v>
      </c>
      <c r="C1607" s="1" t="n">
        <v>45576</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51006-2022</t>
        </is>
      </c>
      <c r="B1608" s="1" t="n">
        <v>44867</v>
      </c>
      <c r="C1608" s="1" t="n">
        <v>45576</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51212-2022</t>
        </is>
      </c>
      <c r="B1609" s="1" t="n">
        <v>44868</v>
      </c>
      <c r="C1609" s="1" t="n">
        <v>45576</v>
      </c>
      <c r="D1609" t="inlineStr">
        <is>
          <t>VÄSTERNORRLANDS LÄN</t>
        </is>
      </c>
      <c r="E1609" t="inlineStr">
        <is>
          <t>SOLLEFTEÅ</t>
        </is>
      </c>
      <c r="F1609" t="inlineStr">
        <is>
          <t>Holmen skog AB</t>
        </is>
      </c>
      <c r="G1609" t="n">
        <v>18.3</v>
      </c>
      <c r="H1609" t="n">
        <v>0</v>
      </c>
      <c r="I1609" t="n">
        <v>0</v>
      </c>
      <c r="J1609" t="n">
        <v>0</v>
      </c>
      <c r="K1609" t="n">
        <v>0</v>
      </c>
      <c r="L1609" t="n">
        <v>0</v>
      </c>
      <c r="M1609" t="n">
        <v>0</v>
      </c>
      <c r="N1609" t="n">
        <v>0</v>
      </c>
      <c r="O1609" t="n">
        <v>0</v>
      </c>
      <c r="P1609" t="n">
        <v>0</v>
      </c>
      <c r="Q1609" t="n">
        <v>0</v>
      </c>
      <c r="R1609" s="2" t="inlineStr"/>
    </row>
    <row r="1610" ht="15" customHeight="1">
      <c r="A1610" t="inlineStr">
        <is>
          <t>A 51317-2022</t>
        </is>
      </c>
      <c r="B1610" s="1" t="n">
        <v>44868</v>
      </c>
      <c r="C1610" s="1" t="n">
        <v>45576</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51314-2022</t>
        </is>
      </c>
      <c r="B1611" s="1" t="n">
        <v>44868</v>
      </c>
      <c r="C1611" s="1" t="n">
        <v>45576</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51544-2022</t>
        </is>
      </c>
      <c r="B1612" s="1" t="n">
        <v>44869</v>
      </c>
      <c r="C1612" s="1" t="n">
        <v>45576</v>
      </c>
      <c r="D1612" t="inlineStr">
        <is>
          <t>VÄSTERNORRLANDS LÄN</t>
        </is>
      </c>
      <c r="E1612" t="inlineStr">
        <is>
          <t>SOLLEFTEÅ</t>
        </is>
      </c>
      <c r="F1612" t="inlineStr">
        <is>
          <t>SCA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51541-2022</t>
        </is>
      </c>
      <c r="B1613" s="1" t="n">
        <v>44869</v>
      </c>
      <c r="C1613" s="1" t="n">
        <v>45576</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51543-2022</t>
        </is>
      </c>
      <c r="B1614" s="1" t="n">
        <v>44869</v>
      </c>
      <c r="C1614" s="1" t="n">
        <v>45576</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51739-2022</t>
        </is>
      </c>
      <c r="B1615" s="1" t="n">
        <v>44872</v>
      </c>
      <c r="C1615" s="1" t="n">
        <v>45576</v>
      </c>
      <c r="D1615" t="inlineStr">
        <is>
          <t>VÄSTERNORRLANDS LÄN</t>
        </is>
      </c>
      <c r="E1615" t="inlineStr">
        <is>
          <t>SOLLEFTEÅ</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52013-2022</t>
        </is>
      </c>
      <c r="B1616" s="1" t="n">
        <v>44872</v>
      </c>
      <c r="C1616" s="1" t="n">
        <v>45576</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52034-2022</t>
        </is>
      </c>
      <c r="B1617" s="1" t="n">
        <v>44872</v>
      </c>
      <c r="C1617" s="1" t="n">
        <v>45576</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52040-2022</t>
        </is>
      </c>
      <c r="B1618" s="1" t="n">
        <v>44872</v>
      </c>
      <c r="C1618" s="1" t="n">
        <v>45576</v>
      </c>
      <c r="D1618" t="inlineStr">
        <is>
          <t>VÄSTERNORRLANDS LÄN</t>
        </is>
      </c>
      <c r="E1618" t="inlineStr">
        <is>
          <t>SOLLEFTEÅ</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52035-2022</t>
        </is>
      </c>
      <c r="B1619" s="1" t="n">
        <v>44872</v>
      </c>
      <c r="C1619" s="1" t="n">
        <v>45576</v>
      </c>
      <c r="D1619" t="inlineStr">
        <is>
          <t>VÄSTERNORRLANDS LÄN</t>
        </is>
      </c>
      <c r="E1619" t="inlineStr">
        <is>
          <t>SOLLEFTEÅ</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52039-2022</t>
        </is>
      </c>
      <c r="B1620" s="1" t="n">
        <v>44872</v>
      </c>
      <c r="C1620" s="1" t="n">
        <v>45576</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53128-2022</t>
        </is>
      </c>
      <c r="B1621" s="1" t="n">
        <v>44873</v>
      </c>
      <c r="C1621" s="1" t="n">
        <v>45576</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53123-2022</t>
        </is>
      </c>
      <c r="B1622" s="1" t="n">
        <v>44873</v>
      </c>
      <c r="C1622" s="1" t="n">
        <v>45576</v>
      </c>
      <c r="D1622" t="inlineStr">
        <is>
          <t>VÄSTERNORRLANDS LÄN</t>
        </is>
      </c>
      <c r="E1622" t="inlineStr">
        <is>
          <t>SOLLEFTEÅ</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52549-2022</t>
        </is>
      </c>
      <c r="B1623" s="1" t="n">
        <v>44874</v>
      </c>
      <c r="C1623" s="1" t="n">
        <v>45576</v>
      </c>
      <c r="D1623" t="inlineStr">
        <is>
          <t>VÄSTERNORRLANDS LÄN</t>
        </is>
      </c>
      <c r="E1623" t="inlineStr">
        <is>
          <t>SOLLEFTEÅ</t>
        </is>
      </c>
      <c r="F1623" t="inlineStr">
        <is>
          <t>Holmen skog AB</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52735-2022</t>
        </is>
      </c>
      <c r="B1624" s="1" t="n">
        <v>44874</v>
      </c>
      <c r="C1624" s="1" t="n">
        <v>45576</v>
      </c>
      <c r="D1624" t="inlineStr">
        <is>
          <t>VÄSTERNORRLANDS LÄN</t>
        </is>
      </c>
      <c r="E1624" t="inlineStr">
        <is>
          <t>SOLLEFTEÅ</t>
        </is>
      </c>
      <c r="F1624" t="inlineStr">
        <is>
          <t>SCA</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52595-2022</t>
        </is>
      </c>
      <c r="B1625" s="1" t="n">
        <v>44874</v>
      </c>
      <c r="C1625" s="1" t="n">
        <v>45576</v>
      </c>
      <c r="D1625" t="inlineStr">
        <is>
          <t>VÄSTERNORRLANDS LÄN</t>
        </is>
      </c>
      <c r="E1625" t="inlineStr">
        <is>
          <t>SOLLEFTEÅ</t>
        </is>
      </c>
      <c r="F1625" t="inlineStr">
        <is>
          <t>Holmen skog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52717-2022</t>
        </is>
      </c>
      <c r="B1626" s="1" t="n">
        <v>44874</v>
      </c>
      <c r="C1626" s="1" t="n">
        <v>45576</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52718-2022</t>
        </is>
      </c>
      <c r="B1627" s="1" t="n">
        <v>44874</v>
      </c>
      <c r="C1627" s="1" t="n">
        <v>45576</v>
      </c>
      <c r="D1627" t="inlineStr">
        <is>
          <t>VÄSTERNORRLANDS LÄN</t>
        </is>
      </c>
      <c r="E1627" t="inlineStr">
        <is>
          <t>SOLLEFTEÅ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53012-2022</t>
        </is>
      </c>
      <c r="B1628" s="1" t="n">
        <v>44875</v>
      </c>
      <c r="C1628" s="1" t="n">
        <v>45576</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52777-2022</t>
        </is>
      </c>
      <c r="B1629" s="1" t="n">
        <v>44875</v>
      </c>
      <c r="C1629" s="1" t="n">
        <v>45576</v>
      </c>
      <c r="D1629" t="inlineStr">
        <is>
          <t>VÄSTERNORRLANDS LÄN</t>
        </is>
      </c>
      <c r="E1629" t="inlineStr">
        <is>
          <t>SOLLEFTEÅ</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53000-2022</t>
        </is>
      </c>
      <c r="B1630" s="1" t="n">
        <v>44875</v>
      </c>
      <c r="C1630" s="1" t="n">
        <v>45576</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53011-2022</t>
        </is>
      </c>
      <c r="B1631" s="1" t="n">
        <v>44875</v>
      </c>
      <c r="C1631" s="1" t="n">
        <v>45576</v>
      </c>
      <c r="D1631" t="inlineStr">
        <is>
          <t>VÄSTERNORRLANDS LÄN</t>
        </is>
      </c>
      <c r="E1631" t="inlineStr">
        <is>
          <t>SOLLEFTEÅ</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53669-2022</t>
        </is>
      </c>
      <c r="B1632" s="1" t="n">
        <v>44879</v>
      </c>
      <c r="C1632" s="1" t="n">
        <v>45576</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53933-2022</t>
        </is>
      </c>
      <c r="B1633" s="1" t="n">
        <v>44880</v>
      </c>
      <c r="C1633" s="1" t="n">
        <v>45576</v>
      </c>
      <c r="D1633" t="inlineStr">
        <is>
          <t>VÄSTERNORRLANDS LÄN</t>
        </is>
      </c>
      <c r="E1633" t="inlineStr">
        <is>
          <t>SOLLEFTEÅ</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53929-2022</t>
        </is>
      </c>
      <c r="B1634" s="1" t="n">
        <v>44880</v>
      </c>
      <c r="C1634" s="1" t="n">
        <v>45576</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53944-2022</t>
        </is>
      </c>
      <c r="B1635" s="1" t="n">
        <v>44880</v>
      </c>
      <c r="C1635" s="1" t="n">
        <v>45576</v>
      </c>
      <c r="D1635" t="inlineStr">
        <is>
          <t>VÄSTERNORRLANDS LÄN</t>
        </is>
      </c>
      <c r="E1635" t="inlineStr">
        <is>
          <t>SOLLEFTEÅ</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53947-2022</t>
        </is>
      </c>
      <c r="B1636" s="1" t="n">
        <v>44880</v>
      </c>
      <c r="C1636" s="1" t="n">
        <v>45576</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53985-2022</t>
        </is>
      </c>
      <c r="B1637" s="1" t="n">
        <v>44881</v>
      </c>
      <c r="C1637" s="1" t="n">
        <v>45576</v>
      </c>
      <c r="D1637" t="inlineStr">
        <is>
          <t>VÄSTERNORRLANDS LÄN</t>
        </is>
      </c>
      <c r="E1637" t="inlineStr">
        <is>
          <t>SOLLEFTEÅ</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54256-2022</t>
        </is>
      </c>
      <c r="B1638" s="1" t="n">
        <v>44881</v>
      </c>
      <c r="C1638" s="1" t="n">
        <v>45576</v>
      </c>
      <c r="D1638" t="inlineStr">
        <is>
          <t>VÄSTERNORRLANDS LÄN</t>
        </is>
      </c>
      <c r="E1638" t="inlineStr">
        <is>
          <t>SOLLEFTEÅ</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54242-2022</t>
        </is>
      </c>
      <c r="B1639" s="1" t="n">
        <v>44881</v>
      </c>
      <c r="C1639" s="1" t="n">
        <v>45576</v>
      </c>
      <c r="D1639" t="inlineStr">
        <is>
          <t>VÄSTERNORRLANDS LÄN</t>
        </is>
      </c>
      <c r="E1639" t="inlineStr">
        <is>
          <t>SOLLEFTEÅ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54249-2022</t>
        </is>
      </c>
      <c r="B1640" s="1" t="n">
        <v>44881</v>
      </c>
      <c r="C1640" s="1" t="n">
        <v>45576</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54255-2022</t>
        </is>
      </c>
      <c r="B1641" s="1" t="n">
        <v>44881</v>
      </c>
      <c r="C1641" s="1" t="n">
        <v>45576</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54280-2022</t>
        </is>
      </c>
      <c r="B1642" s="1" t="n">
        <v>44882</v>
      </c>
      <c r="C1642" s="1" t="n">
        <v>45576</v>
      </c>
      <c r="D1642" t="inlineStr">
        <is>
          <t>VÄSTERNORRLANDS LÄN</t>
        </is>
      </c>
      <c r="E1642" t="inlineStr">
        <is>
          <t>SOLLEFTEÅ</t>
        </is>
      </c>
      <c r="F1642" t="inlineStr">
        <is>
          <t>Holmen skog AB</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54538-2022</t>
        </is>
      </c>
      <c r="B1643" s="1" t="n">
        <v>44882</v>
      </c>
      <c r="C1643" s="1" t="n">
        <v>45576</v>
      </c>
      <c r="D1643" t="inlineStr">
        <is>
          <t>VÄSTERNORRLANDS LÄN</t>
        </is>
      </c>
      <c r="E1643" t="inlineStr">
        <is>
          <t>SOLLEFTEÅ</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54559-2022</t>
        </is>
      </c>
      <c r="B1644" s="1" t="n">
        <v>44882</v>
      </c>
      <c r="C1644" s="1" t="n">
        <v>45576</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54573-2022</t>
        </is>
      </c>
      <c r="B1645" s="1" t="n">
        <v>44882</v>
      </c>
      <c r="C1645" s="1" t="n">
        <v>45576</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45576</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45576</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45576</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45576</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45576</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45576</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45576</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45576</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45576</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45576</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45576</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45576</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45576</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45576</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45576</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45576</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45576</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45576</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45576</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45576</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45576</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45576</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45576</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45576</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45576</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45576</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45576</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45576</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45576</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45576</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45576</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45576</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45576</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45576</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45576</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45576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45576</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45576</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45576</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45576</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45576</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45576</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45576</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45576</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45576</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45576</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45576</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45576</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45576</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45576</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45576</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45576</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45576</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45576</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45576</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45576</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45576</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45576</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45576</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45576</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45576</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45576</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45576</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45576</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45576</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45576</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45576</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45576</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45576</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45576</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45576</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45576</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45576</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45576</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45576</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45576</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45576</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45576</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45576</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45576</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45576</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45576</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45576</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45576</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45576</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45576</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45576</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45576</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45576</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45576</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45576</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45576</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45576</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45576</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45576</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45576</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45576</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45576</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45576</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45576</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45576</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45576</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45576</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45576</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45576</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45576</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45576</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45576</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45576</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45576</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45576</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45576</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c r="U1757">
        <f>HYPERLINK("https://klasma.github.io/Logging_2283/knärot/A 6236-2023 karta knärot.png", "A 6236-2023")</f>
        <v/>
      </c>
      <c r="V1757">
        <f>HYPERLINK("https://klasma.github.io/Logging_2283/klagomål/A 6236-2023 FSC-klagomål.docx", "A 6236-2023")</f>
        <v/>
      </c>
      <c r="W1757">
        <f>HYPERLINK("https://klasma.github.io/Logging_2283/klagomålsmail/A 6236-2023 FSC-klagomål mail.docx", "A 6236-2023")</f>
        <v/>
      </c>
      <c r="X1757">
        <f>HYPERLINK("https://klasma.github.io/Logging_2283/tillsyn/A 6236-2023 tillsynsbegäran.docx", "A 6236-2023")</f>
        <v/>
      </c>
      <c r="Y1757">
        <f>HYPERLINK("https://klasma.github.io/Logging_2283/tillsynsmail/A 6236-2023 tillsynsbegäran mail.docx", "A 6236-2023")</f>
        <v/>
      </c>
    </row>
    <row r="1758" ht="15" customHeight="1">
      <c r="A1758" t="inlineStr">
        <is>
          <t>A 6474-2023</t>
        </is>
      </c>
      <c r="B1758" s="1" t="n">
        <v>44965</v>
      </c>
      <c r="C1758" s="1" t="n">
        <v>45576</v>
      </c>
      <c r="D1758" t="inlineStr">
        <is>
          <t>VÄSTERNORRLANDS LÄN</t>
        </is>
      </c>
      <c r="E1758" t="inlineStr">
        <is>
          <t>SOLLEFTEÅ</t>
        </is>
      </c>
      <c r="F1758" t="inlineStr">
        <is>
          <t>SCA</t>
        </is>
      </c>
      <c r="G1758" t="n">
        <v>47.3</v>
      </c>
      <c r="H1758" t="n">
        <v>0</v>
      </c>
      <c r="I1758" t="n">
        <v>0</v>
      </c>
      <c r="J1758" t="n">
        <v>0</v>
      </c>
      <c r="K1758" t="n">
        <v>0</v>
      </c>
      <c r="L1758" t="n">
        <v>0</v>
      </c>
      <c r="M1758" t="n">
        <v>0</v>
      </c>
      <c r="N1758" t="n">
        <v>0</v>
      </c>
      <c r="O1758" t="n">
        <v>0</v>
      </c>
      <c r="P1758" t="n">
        <v>0</v>
      </c>
      <c r="Q1758" t="n">
        <v>0</v>
      </c>
      <c r="R1758" s="2" t="inlineStr"/>
    </row>
    <row r="1759" ht="15" customHeight="1">
      <c r="A1759" t="inlineStr">
        <is>
          <t>A 7009-2023</t>
        </is>
      </c>
      <c r="B1759" s="1" t="n">
        <v>44967</v>
      </c>
      <c r="C1759" s="1" t="n">
        <v>45576</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7332-2023</t>
        </is>
      </c>
      <c r="B1760" s="1" t="n">
        <v>44970</v>
      </c>
      <c r="C1760" s="1" t="n">
        <v>45576</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7324-2023</t>
        </is>
      </c>
      <c r="B1761" s="1" t="n">
        <v>44970</v>
      </c>
      <c r="C1761" s="1" t="n">
        <v>45576</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7325-2023</t>
        </is>
      </c>
      <c r="B1762" s="1" t="n">
        <v>44970</v>
      </c>
      <c r="C1762" s="1" t="n">
        <v>45576</v>
      </c>
      <c r="D1762" t="inlineStr">
        <is>
          <t>VÄSTERNORRLANDS LÄN</t>
        </is>
      </c>
      <c r="E1762" t="inlineStr">
        <is>
          <t>SOLLEFTEÅ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7330-2023</t>
        </is>
      </c>
      <c r="B1763" s="1" t="n">
        <v>44971</v>
      </c>
      <c r="C1763" s="1" t="n">
        <v>45576</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7331-2023</t>
        </is>
      </c>
      <c r="B1764" s="1" t="n">
        <v>44970</v>
      </c>
      <c r="C1764" s="1" t="n">
        <v>45576</v>
      </c>
      <c r="D1764" t="inlineStr">
        <is>
          <t>VÄSTERNORRLANDS LÄN</t>
        </is>
      </c>
      <c r="E1764" t="inlineStr">
        <is>
          <t>SOLLEFTEÅ</t>
        </is>
      </c>
      <c r="F1764" t="inlineStr">
        <is>
          <t>SCA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7333-2023</t>
        </is>
      </c>
      <c r="B1765" s="1" t="n">
        <v>44971</v>
      </c>
      <c r="C1765" s="1" t="n">
        <v>45576</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7713-2023</t>
        </is>
      </c>
      <c r="B1766" s="1" t="n">
        <v>44972</v>
      </c>
      <c r="C1766" s="1" t="n">
        <v>45576</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7721-2023</t>
        </is>
      </c>
      <c r="B1767" s="1" t="n">
        <v>44972</v>
      </c>
      <c r="C1767" s="1" t="n">
        <v>45576</v>
      </c>
      <c r="D1767" t="inlineStr">
        <is>
          <t>VÄSTERNORRLANDS LÄN</t>
        </is>
      </c>
      <c r="E1767" t="inlineStr">
        <is>
          <t>SOLLEFTEÅ</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8030-2023</t>
        </is>
      </c>
      <c r="B1768" s="1" t="n">
        <v>44973</v>
      </c>
      <c r="C1768" s="1" t="n">
        <v>45576</v>
      </c>
      <c r="D1768" t="inlineStr">
        <is>
          <t>VÄSTERNORRLANDS LÄN</t>
        </is>
      </c>
      <c r="E1768" t="inlineStr">
        <is>
          <t>SOLLEFTEÅ</t>
        </is>
      </c>
      <c r="F1768" t="inlineStr">
        <is>
          <t>SCA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8959-2023</t>
        </is>
      </c>
      <c r="B1769" s="1" t="n">
        <v>44974</v>
      </c>
      <c r="C1769" s="1" t="n">
        <v>45576</v>
      </c>
      <c r="D1769" t="inlineStr">
        <is>
          <t>VÄSTERNORRLANDS LÄN</t>
        </is>
      </c>
      <c r="E1769" t="inlineStr">
        <is>
          <t>SOLLEFTEÅ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8640-2023</t>
        </is>
      </c>
      <c r="B1770" s="1" t="n">
        <v>44978</v>
      </c>
      <c r="C1770" s="1" t="n">
        <v>45576</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8658-2023</t>
        </is>
      </c>
      <c r="B1771" s="1" t="n">
        <v>44978</v>
      </c>
      <c r="C1771" s="1" t="n">
        <v>45576</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8668-2023</t>
        </is>
      </c>
      <c r="B1772" s="1" t="n">
        <v>44978</v>
      </c>
      <c r="C1772" s="1" t="n">
        <v>45576</v>
      </c>
      <c r="D1772" t="inlineStr">
        <is>
          <t>VÄSTERNORRLANDS LÄN</t>
        </is>
      </c>
      <c r="E1772" t="inlineStr">
        <is>
          <t>SOLLEFTEÅ</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8672-2023</t>
        </is>
      </c>
      <c r="B1773" s="1" t="n">
        <v>44977</v>
      </c>
      <c r="C1773" s="1" t="n">
        <v>45576</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8656-2023</t>
        </is>
      </c>
      <c r="B1774" s="1" t="n">
        <v>44978</v>
      </c>
      <c r="C1774" s="1" t="n">
        <v>45576</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8670-2023</t>
        </is>
      </c>
      <c r="B1775" s="1" t="n">
        <v>44977</v>
      </c>
      <c r="C1775" s="1" t="n">
        <v>45576</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8667-2023</t>
        </is>
      </c>
      <c r="B1776" s="1" t="n">
        <v>44978</v>
      </c>
      <c r="C1776" s="1" t="n">
        <v>45576</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8671-2023</t>
        </is>
      </c>
      <c r="B1777" s="1" t="n">
        <v>44978</v>
      </c>
      <c r="C1777" s="1" t="n">
        <v>45576</v>
      </c>
      <c r="D1777" t="inlineStr">
        <is>
          <t>VÄSTERNORRLANDS LÄN</t>
        </is>
      </c>
      <c r="E1777" t="inlineStr">
        <is>
          <t>SOLLEFTEÅ</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8875-2023</t>
        </is>
      </c>
      <c r="B1778" s="1" t="n">
        <v>44978</v>
      </c>
      <c r="C1778" s="1" t="n">
        <v>45576</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8880-2023</t>
        </is>
      </c>
      <c r="B1779" s="1" t="n">
        <v>44978</v>
      </c>
      <c r="C1779" s="1" t="n">
        <v>45576</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9097-2023</t>
        </is>
      </c>
      <c r="B1780" s="1" t="n">
        <v>44979</v>
      </c>
      <c r="C1780" s="1" t="n">
        <v>45576</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9095-2023</t>
        </is>
      </c>
      <c r="B1781" s="1" t="n">
        <v>44979</v>
      </c>
      <c r="C1781" s="1" t="n">
        <v>45576</v>
      </c>
      <c r="D1781" t="inlineStr">
        <is>
          <t>VÄSTERNORRLANDS LÄN</t>
        </is>
      </c>
      <c r="E1781" t="inlineStr">
        <is>
          <t>SOLLEFTEÅ</t>
        </is>
      </c>
      <c r="F1781" t="inlineStr">
        <is>
          <t>SCA</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9099-2023</t>
        </is>
      </c>
      <c r="B1782" s="1" t="n">
        <v>44979</v>
      </c>
      <c r="C1782" s="1" t="n">
        <v>45576</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9096-2023</t>
        </is>
      </c>
      <c r="B1783" s="1" t="n">
        <v>44979</v>
      </c>
      <c r="C1783" s="1" t="n">
        <v>45576</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9104-2023</t>
        </is>
      </c>
      <c r="B1784" s="1" t="n">
        <v>44979</v>
      </c>
      <c r="C1784" s="1" t="n">
        <v>45576</v>
      </c>
      <c r="D1784" t="inlineStr">
        <is>
          <t>VÄSTERNORRLANDS LÄN</t>
        </is>
      </c>
      <c r="E1784" t="inlineStr">
        <is>
          <t>SOLLEFTEÅ</t>
        </is>
      </c>
      <c r="F1784" t="inlineStr">
        <is>
          <t>SCA</t>
        </is>
      </c>
      <c r="G1784" t="n">
        <v>22.1</v>
      </c>
      <c r="H1784" t="n">
        <v>0</v>
      </c>
      <c r="I1784" t="n">
        <v>0</v>
      </c>
      <c r="J1784" t="n">
        <v>0</v>
      </c>
      <c r="K1784" t="n">
        <v>0</v>
      </c>
      <c r="L1784" t="n">
        <v>0</v>
      </c>
      <c r="M1784" t="n">
        <v>0</v>
      </c>
      <c r="N1784" t="n">
        <v>0</v>
      </c>
      <c r="O1784" t="n">
        <v>0</v>
      </c>
      <c r="P1784" t="n">
        <v>0</v>
      </c>
      <c r="Q1784" t="n">
        <v>0</v>
      </c>
      <c r="R1784" s="2" t="inlineStr"/>
    </row>
    <row r="1785" ht="15" customHeight="1">
      <c r="A1785" t="inlineStr">
        <is>
          <t>A 9098-2023</t>
        </is>
      </c>
      <c r="B1785" s="1" t="n">
        <v>44979</v>
      </c>
      <c r="C1785" s="1" t="n">
        <v>45576</v>
      </c>
      <c r="D1785" t="inlineStr">
        <is>
          <t>VÄSTERNORRLANDS LÄN</t>
        </is>
      </c>
      <c r="E1785" t="inlineStr">
        <is>
          <t>SOLLEFTEÅ</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9105-2023</t>
        </is>
      </c>
      <c r="B1786" s="1" t="n">
        <v>44979</v>
      </c>
      <c r="C1786" s="1" t="n">
        <v>45576</v>
      </c>
      <c r="D1786" t="inlineStr">
        <is>
          <t>VÄSTERNORRLANDS LÄN</t>
        </is>
      </c>
      <c r="E1786" t="inlineStr">
        <is>
          <t>SOLLEFTEÅ</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9358-2023</t>
        </is>
      </c>
      <c r="B1787" s="1" t="n">
        <v>44980</v>
      </c>
      <c r="C1787" s="1" t="n">
        <v>45576</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10256-2023</t>
        </is>
      </c>
      <c r="B1788" s="1" t="n">
        <v>44980</v>
      </c>
      <c r="C1788" s="1" t="n">
        <v>45576</v>
      </c>
      <c r="D1788" t="inlineStr">
        <is>
          <t>VÄSTERNORRLANDS LÄN</t>
        </is>
      </c>
      <c r="E1788" t="inlineStr">
        <is>
          <t>SOLLEFTEÅ</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9362-2023</t>
        </is>
      </c>
      <c r="B1789" s="1" t="n">
        <v>44980</v>
      </c>
      <c r="C1789" s="1" t="n">
        <v>45576</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9549-2023</t>
        </is>
      </c>
      <c r="B1790" s="1" t="n">
        <v>44981</v>
      </c>
      <c r="C1790" s="1" t="n">
        <v>45576</v>
      </c>
      <c r="D1790" t="inlineStr">
        <is>
          <t>VÄSTERNORRLANDS LÄN</t>
        </is>
      </c>
      <c r="E1790" t="inlineStr">
        <is>
          <t>SOLLEFTEÅ</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10428-2023</t>
        </is>
      </c>
      <c r="B1791" s="1" t="n">
        <v>44981</v>
      </c>
      <c r="C1791" s="1" t="n">
        <v>45576</v>
      </c>
      <c r="D1791" t="inlineStr">
        <is>
          <t>VÄSTERNORRLANDS LÄN</t>
        </is>
      </c>
      <c r="E1791" t="inlineStr">
        <is>
          <t>SOLLEFTEÅ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9617-2023</t>
        </is>
      </c>
      <c r="B1792" s="1" t="n">
        <v>44983</v>
      </c>
      <c r="C1792" s="1" t="n">
        <v>45576</v>
      </c>
      <c r="D1792" t="inlineStr">
        <is>
          <t>VÄSTERNORRLANDS LÄN</t>
        </is>
      </c>
      <c r="E1792" t="inlineStr">
        <is>
          <t>SOLLEFTEÅ</t>
        </is>
      </c>
      <c r="F1792" t="inlineStr">
        <is>
          <t>SCA</t>
        </is>
      </c>
      <c r="G1792" t="n">
        <v>39.6</v>
      </c>
      <c r="H1792" t="n">
        <v>0</v>
      </c>
      <c r="I1792" t="n">
        <v>0</v>
      </c>
      <c r="J1792" t="n">
        <v>0</v>
      </c>
      <c r="K1792" t="n">
        <v>0</v>
      </c>
      <c r="L1792" t="n">
        <v>0</v>
      </c>
      <c r="M1792" t="n">
        <v>0</v>
      </c>
      <c r="N1792" t="n">
        <v>0</v>
      </c>
      <c r="O1792" t="n">
        <v>0</v>
      </c>
      <c r="P1792" t="n">
        <v>0</v>
      </c>
      <c r="Q1792" t="n">
        <v>0</v>
      </c>
      <c r="R1792" s="2" t="inlineStr"/>
    </row>
    <row r="1793" ht="15" customHeight="1">
      <c r="A1793" t="inlineStr">
        <is>
          <t>A 9616-2023</t>
        </is>
      </c>
      <c r="B1793" s="1" t="n">
        <v>44983</v>
      </c>
      <c r="C1793" s="1" t="n">
        <v>45576</v>
      </c>
      <c r="D1793" t="inlineStr">
        <is>
          <t>VÄSTERNORRLANDS LÄN</t>
        </is>
      </c>
      <c r="E1793" t="inlineStr">
        <is>
          <t>SOLLEFTEÅ</t>
        </is>
      </c>
      <c r="F1793" t="inlineStr">
        <is>
          <t>SCA</t>
        </is>
      </c>
      <c r="G1793" t="n">
        <v>45.9</v>
      </c>
      <c r="H1793" t="n">
        <v>0</v>
      </c>
      <c r="I1793" t="n">
        <v>0</v>
      </c>
      <c r="J1793" t="n">
        <v>0</v>
      </c>
      <c r="K1793" t="n">
        <v>0</v>
      </c>
      <c r="L1793" t="n">
        <v>0</v>
      </c>
      <c r="M1793" t="n">
        <v>0</v>
      </c>
      <c r="N1793" t="n">
        <v>0</v>
      </c>
      <c r="O1793" t="n">
        <v>0</v>
      </c>
      <c r="P1793" t="n">
        <v>0</v>
      </c>
      <c r="Q1793" t="n">
        <v>0</v>
      </c>
      <c r="R1793" s="2" t="inlineStr"/>
    </row>
    <row r="1794" ht="15" customHeight="1">
      <c r="A1794" t="inlineStr">
        <is>
          <t>A 9614-2023</t>
        </is>
      </c>
      <c r="B1794" s="1" t="n">
        <v>44983</v>
      </c>
      <c r="C1794" s="1" t="n">
        <v>45576</v>
      </c>
      <c r="D1794" t="inlineStr">
        <is>
          <t>VÄSTERNORRLANDS LÄN</t>
        </is>
      </c>
      <c r="E1794" t="inlineStr">
        <is>
          <t>SOLLEFTEÅ</t>
        </is>
      </c>
      <c r="F1794" t="inlineStr">
        <is>
          <t>SCA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9741-2023</t>
        </is>
      </c>
      <c r="B1795" s="1" t="n">
        <v>44984</v>
      </c>
      <c r="C1795" s="1" t="n">
        <v>45576</v>
      </c>
      <c r="D1795" t="inlineStr">
        <is>
          <t>VÄSTERNORRLANDS LÄN</t>
        </is>
      </c>
      <c r="E1795" t="inlineStr">
        <is>
          <t>SOLLEFTEÅ</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9829-2023</t>
        </is>
      </c>
      <c r="B1796" s="1" t="n">
        <v>44984</v>
      </c>
      <c r="C1796" s="1" t="n">
        <v>45576</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9858-2023</t>
        </is>
      </c>
      <c r="B1797" s="1" t="n">
        <v>44984</v>
      </c>
      <c r="C1797" s="1" t="n">
        <v>45576</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9879-2023</t>
        </is>
      </c>
      <c r="B1798" s="1" t="n">
        <v>44984</v>
      </c>
      <c r="C1798" s="1" t="n">
        <v>45576</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9871-2023</t>
        </is>
      </c>
      <c r="B1799" s="1" t="n">
        <v>44984</v>
      </c>
      <c r="C1799" s="1" t="n">
        <v>45576</v>
      </c>
      <c r="D1799" t="inlineStr">
        <is>
          <t>VÄSTERNORRLANDS LÄN</t>
        </is>
      </c>
      <c r="E1799" t="inlineStr">
        <is>
          <t>SOLLEFTEÅ</t>
        </is>
      </c>
      <c r="F1799" t="inlineStr">
        <is>
          <t>SCA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10079-2023</t>
        </is>
      </c>
      <c r="B1800" s="1" t="n">
        <v>44985</v>
      </c>
      <c r="C1800" s="1" t="n">
        <v>45576</v>
      </c>
      <c r="D1800" t="inlineStr">
        <is>
          <t>VÄSTERNORRLANDS LÄN</t>
        </is>
      </c>
      <c r="E1800" t="inlineStr">
        <is>
          <t>SOLLEFTEÅ</t>
        </is>
      </c>
      <c r="F1800" t="inlineStr">
        <is>
          <t>SCA</t>
        </is>
      </c>
      <c r="G1800" t="n">
        <v>32.7</v>
      </c>
      <c r="H1800" t="n">
        <v>0</v>
      </c>
      <c r="I1800" t="n">
        <v>0</v>
      </c>
      <c r="J1800" t="n">
        <v>0</v>
      </c>
      <c r="K1800" t="n">
        <v>0</v>
      </c>
      <c r="L1800" t="n">
        <v>0</v>
      </c>
      <c r="M1800" t="n">
        <v>0</v>
      </c>
      <c r="N1800" t="n">
        <v>0</v>
      </c>
      <c r="O1800" t="n">
        <v>0</v>
      </c>
      <c r="P1800" t="n">
        <v>0</v>
      </c>
      <c r="Q1800" t="n">
        <v>0</v>
      </c>
      <c r="R1800" s="2" t="inlineStr"/>
    </row>
    <row r="1801" ht="15" customHeight="1">
      <c r="A1801" t="inlineStr">
        <is>
          <t>A 10094-2023</t>
        </is>
      </c>
      <c r="B1801" s="1" t="n">
        <v>44985</v>
      </c>
      <c r="C1801" s="1" t="n">
        <v>45576</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10095-2023</t>
        </is>
      </c>
      <c r="B1802" s="1" t="n">
        <v>44985</v>
      </c>
      <c r="C1802" s="1" t="n">
        <v>45576</v>
      </c>
      <c r="D1802" t="inlineStr">
        <is>
          <t>VÄSTERNORRLANDS LÄN</t>
        </is>
      </c>
      <c r="E1802" t="inlineStr">
        <is>
          <t>SOLLEFTEÅ</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10077-2023</t>
        </is>
      </c>
      <c r="B1803" s="1" t="n">
        <v>44985</v>
      </c>
      <c r="C1803" s="1" t="n">
        <v>45576</v>
      </c>
      <c r="D1803" t="inlineStr">
        <is>
          <t>VÄSTERNORRLANDS LÄN</t>
        </is>
      </c>
      <c r="E1803" t="inlineStr">
        <is>
          <t>SOLLEFTEÅ</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10099-2023</t>
        </is>
      </c>
      <c r="B1804" s="1" t="n">
        <v>44985</v>
      </c>
      <c r="C1804" s="1" t="n">
        <v>45576</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10078-2023</t>
        </is>
      </c>
      <c r="B1805" s="1" t="n">
        <v>44985</v>
      </c>
      <c r="C1805" s="1" t="n">
        <v>45576</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10093-2023</t>
        </is>
      </c>
      <c r="B1806" s="1" t="n">
        <v>44985</v>
      </c>
      <c r="C1806" s="1" t="n">
        <v>45576</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10294-2023</t>
        </is>
      </c>
      <c r="B1807" s="1" t="n">
        <v>44986</v>
      </c>
      <c r="C1807" s="1" t="n">
        <v>45576</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10311-2023</t>
        </is>
      </c>
      <c r="B1808" s="1" t="n">
        <v>44986</v>
      </c>
      <c r="C1808" s="1" t="n">
        <v>45576</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11094-2023</t>
        </is>
      </c>
      <c r="B1809" s="1" t="n">
        <v>44986</v>
      </c>
      <c r="C1809" s="1" t="n">
        <v>45576</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10526-2023</t>
        </is>
      </c>
      <c r="B1810" s="1" t="n">
        <v>44987</v>
      </c>
      <c r="C1810" s="1" t="n">
        <v>45576</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10541-2023</t>
        </is>
      </c>
      <c r="B1811" s="1" t="n">
        <v>44987</v>
      </c>
      <c r="C1811" s="1" t="n">
        <v>45576</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10549-2023</t>
        </is>
      </c>
      <c r="B1812" s="1" t="n">
        <v>44987</v>
      </c>
      <c r="C1812" s="1" t="n">
        <v>45576</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10777-2023</t>
        </is>
      </c>
      <c r="B1813" s="1" t="n">
        <v>44988</v>
      </c>
      <c r="C1813" s="1" t="n">
        <v>45576</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10771-2023</t>
        </is>
      </c>
      <c r="B1814" s="1" t="n">
        <v>44988</v>
      </c>
      <c r="C1814" s="1" t="n">
        <v>45576</v>
      </c>
      <c r="D1814" t="inlineStr">
        <is>
          <t>VÄSTERNORRLANDS LÄN</t>
        </is>
      </c>
      <c r="E1814" t="inlineStr">
        <is>
          <t>SOLLEFTEÅ</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10783-2023</t>
        </is>
      </c>
      <c r="B1815" s="1" t="n">
        <v>44988</v>
      </c>
      <c r="C1815" s="1" t="n">
        <v>45576</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10768-2023</t>
        </is>
      </c>
      <c r="B1816" s="1" t="n">
        <v>44988</v>
      </c>
      <c r="C1816" s="1" t="n">
        <v>45576</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10785-2023</t>
        </is>
      </c>
      <c r="B1817" s="1" t="n">
        <v>44988</v>
      </c>
      <c r="C1817" s="1" t="n">
        <v>45576</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11038-2023</t>
        </is>
      </c>
      <c r="B1818" s="1" t="n">
        <v>44991</v>
      </c>
      <c r="C1818" s="1" t="n">
        <v>45576</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11052-2023</t>
        </is>
      </c>
      <c r="B1819" s="1" t="n">
        <v>44991</v>
      </c>
      <c r="C1819" s="1" t="n">
        <v>45576</v>
      </c>
      <c r="D1819" t="inlineStr">
        <is>
          <t>VÄSTERNORRLANDS LÄN</t>
        </is>
      </c>
      <c r="E1819" t="inlineStr">
        <is>
          <t>SOLLEFTEÅ</t>
        </is>
      </c>
      <c r="F1819" t="inlineStr">
        <is>
          <t>SCA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11039-2023</t>
        </is>
      </c>
      <c r="B1820" s="1" t="n">
        <v>44991</v>
      </c>
      <c r="C1820" s="1" t="n">
        <v>45576</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11301-2023</t>
        </is>
      </c>
      <c r="B1821" s="1" t="n">
        <v>44993</v>
      </c>
      <c r="C1821" s="1" t="n">
        <v>45576</v>
      </c>
      <c r="D1821" t="inlineStr">
        <is>
          <t>VÄSTERNORRLANDS LÄN</t>
        </is>
      </c>
      <c r="E1821" t="inlineStr">
        <is>
          <t>SOLLEFTEÅ</t>
        </is>
      </c>
      <c r="F1821" t="inlineStr">
        <is>
          <t>SCA</t>
        </is>
      </c>
      <c r="G1821" t="n">
        <v>19.9</v>
      </c>
      <c r="H1821" t="n">
        <v>0</v>
      </c>
      <c r="I1821" t="n">
        <v>0</v>
      </c>
      <c r="J1821" t="n">
        <v>0</v>
      </c>
      <c r="K1821" t="n">
        <v>0</v>
      </c>
      <c r="L1821" t="n">
        <v>0</v>
      </c>
      <c r="M1821" t="n">
        <v>0</v>
      </c>
      <c r="N1821" t="n">
        <v>0</v>
      </c>
      <c r="O1821" t="n">
        <v>0</v>
      </c>
      <c r="P1821" t="n">
        <v>0</v>
      </c>
      <c r="Q1821" t="n">
        <v>0</v>
      </c>
      <c r="R1821" s="2" t="inlineStr"/>
    </row>
    <row r="1822" ht="15" customHeight="1">
      <c r="A1822" t="inlineStr">
        <is>
          <t>A 11306-2023</t>
        </is>
      </c>
      <c r="B1822" s="1" t="n">
        <v>44993</v>
      </c>
      <c r="C1822" s="1" t="n">
        <v>45576</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11551-2023</t>
        </is>
      </c>
      <c r="B1823" s="1" t="n">
        <v>44993</v>
      </c>
      <c r="C1823" s="1" t="n">
        <v>45576</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11555-2023</t>
        </is>
      </c>
      <c r="B1824" s="1" t="n">
        <v>44993</v>
      </c>
      <c r="C1824" s="1" t="n">
        <v>45576</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11554-2023</t>
        </is>
      </c>
      <c r="B1825" s="1" t="n">
        <v>44993</v>
      </c>
      <c r="C1825" s="1" t="n">
        <v>45576</v>
      </c>
      <c r="D1825" t="inlineStr">
        <is>
          <t>VÄSTERNORRLANDS LÄN</t>
        </is>
      </c>
      <c r="E1825" t="inlineStr">
        <is>
          <t>SOLLEFTEÅ</t>
        </is>
      </c>
      <c r="F1825" t="inlineStr">
        <is>
          <t>SCA</t>
        </is>
      </c>
      <c r="G1825" t="n">
        <v>23.1</v>
      </c>
      <c r="H1825" t="n">
        <v>0</v>
      </c>
      <c r="I1825" t="n">
        <v>0</v>
      </c>
      <c r="J1825" t="n">
        <v>0</v>
      </c>
      <c r="K1825" t="n">
        <v>0</v>
      </c>
      <c r="L1825" t="n">
        <v>0</v>
      </c>
      <c r="M1825" t="n">
        <v>0</v>
      </c>
      <c r="N1825" t="n">
        <v>0</v>
      </c>
      <c r="O1825" t="n">
        <v>0</v>
      </c>
      <c r="P1825" t="n">
        <v>0</v>
      </c>
      <c r="Q1825" t="n">
        <v>0</v>
      </c>
      <c r="R1825" s="2" t="inlineStr"/>
    </row>
    <row r="1826" ht="15" customHeight="1">
      <c r="A1826" t="inlineStr">
        <is>
          <t>A 11831-2023</t>
        </is>
      </c>
      <c r="B1826" s="1" t="n">
        <v>44994</v>
      </c>
      <c r="C1826" s="1" t="n">
        <v>45576</v>
      </c>
      <c r="D1826" t="inlineStr">
        <is>
          <t>VÄSTERNORRLANDS LÄN</t>
        </is>
      </c>
      <c r="E1826" t="inlineStr">
        <is>
          <t>SOLLEFTEÅ</t>
        </is>
      </c>
      <c r="F1826" t="inlineStr">
        <is>
          <t>SCA</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12107-2023</t>
        </is>
      </c>
      <c r="B1827" s="1" t="n">
        <v>44995</v>
      </c>
      <c r="C1827" s="1" t="n">
        <v>45576</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12135-2023</t>
        </is>
      </c>
      <c r="B1828" s="1" t="n">
        <v>44995</v>
      </c>
      <c r="C1828" s="1" t="n">
        <v>45576</v>
      </c>
      <c r="D1828" t="inlineStr">
        <is>
          <t>VÄSTERNORRLANDS LÄN</t>
        </is>
      </c>
      <c r="E1828" t="inlineStr">
        <is>
          <t>SOLLEFTEÅ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12038-2023</t>
        </is>
      </c>
      <c r="B1829" s="1" t="n">
        <v>44996</v>
      </c>
      <c r="C1829" s="1" t="n">
        <v>45576</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12053-2023</t>
        </is>
      </c>
      <c r="B1830" s="1" t="n">
        <v>44996</v>
      </c>
      <c r="C1830" s="1" t="n">
        <v>45576</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12129-2023</t>
        </is>
      </c>
      <c r="B1831" s="1" t="n">
        <v>44995</v>
      </c>
      <c r="C1831" s="1" t="n">
        <v>45576</v>
      </c>
      <c r="D1831" t="inlineStr">
        <is>
          <t>VÄSTERNORRLANDS LÄN</t>
        </is>
      </c>
      <c r="E1831" t="inlineStr">
        <is>
          <t>SOLLEFTEÅ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12164-2023</t>
        </is>
      </c>
      <c r="B1832" s="1" t="n">
        <v>44995</v>
      </c>
      <c r="C1832" s="1" t="n">
        <v>45576</v>
      </c>
      <c r="D1832" t="inlineStr">
        <is>
          <t>VÄSTERNORRLANDS LÄN</t>
        </is>
      </c>
      <c r="E1832" t="inlineStr">
        <is>
          <t>SOLLEFTEÅ</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12311-2023</t>
        </is>
      </c>
      <c r="B1833" s="1" t="n">
        <v>44995</v>
      </c>
      <c r="C1833" s="1" t="n">
        <v>45576</v>
      </c>
      <c r="D1833" t="inlineStr">
        <is>
          <t>VÄSTERNORRLANDS LÄN</t>
        </is>
      </c>
      <c r="E1833" t="inlineStr">
        <is>
          <t>SOLLEFTEÅ</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12054-2023</t>
        </is>
      </c>
      <c r="B1834" s="1" t="n">
        <v>44996</v>
      </c>
      <c r="C1834" s="1" t="n">
        <v>45576</v>
      </c>
      <c r="D1834" t="inlineStr">
        <is>
          <t>VÄSTERNORRLANDS LÄN</t>
        </is>
      </c>
      <c r="E1834" t="inlineStr">
        <is>
          <t>SOLLEFTEÅ</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12045-2023</t>
        </is>
      </c>
      <c r="B1835" s="1" t="n">
        <v>44996</v>
      </c>
      <c r="C1835" s="1" t="n">
        <v>45576</v>
      </c>
      <c r="D1835" t="inlineStr">
        <is>
          <t>VÄSTERNORRLANDS LÄN</t>
        </is>
      </c>
      <c r="E1835" t="inlineStr">
        <is>
          <t>SOLLEFTEÅ</t>
        </is>
      </c>
      <c r="F1835" t="inlineStr">
        <is>
          <t>SCA</t>
        </is>
      </c>
      <c r="G1835" t="n">
        <v>16.4</v>
      </c>
      <c r="H1835" t="n">
        <v>0</v>
      </c>
      <c r="I1835" t="n">
        <v>0</v>
      </c>
      <c r="J1835" t="n">
        <v>0</v>
      </c>
      <c r="K1835" t="n">
        <v>0</v>
      </c>
      <c r="L1835" t="n">
        <v>0</v>
      </c>
      <c r="M1835" t="n">
        <v>0</v>
      </c>
      <c r="N1835" t="n">
        <v>0</v>
      </c>
      <c r="O1835" t="n">
        <v>0</v>
      </c>
      <c r="P1835" t="n">
        <v>0</v>
      </c>
      <c r="Q1835" t="n">
        <v>0</v>
      </c>
      <c r="R1835" s="2" t="inlineStr"/>
    </row>
    <row r="1836" ht="15" customHeight="1">
      <c r="A1836" t="inlineStr">
        <is>
          <t>A 12429-2023</t>
        </is>
      </c>
      <c r="B1836" s="1" t="n">
        <v>44998</v>
      </c>
      <c r="C1836" s="1" t="n">
        <v>45576</v>
      </c>
      <c r="D1836" t="inlineStr">
        <is>
          <t>VÄSTERNORRLANDS LÄN</t>
        </is>
      </c>
      <c r="E1836" t="inlineStr">
        <is>
          <t>SOLLEFTEÅ</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12515-2023</t>
        </is>
      </c>
      <c r="B1837" s="1" t="n">
        <v>45000</v>
      </c>
      <c r="C1837" s="1" t="n">
        <v>45576</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12726-2023</t>
        </is>
      </c>
      <c r="B1838" s="1" t="n">
        <v>45000</v>
      </c>
      <c r="C1838" s="1" t="n">
        <v>45576</v>
      </c>
      <c r="D1838" t="inlineStr">
        <is>
          <t>VÄSTERNORRLANDS LÄN</t>
        </is>
      </c>
      <c r="E1838" t="inlineStr">
        <is>
          <t>SOLLEFTEÅ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12512-2023</t>
        </is>
      </c>
      <c r="B1839" s="1" t="n">
        <v>45000</v>
      </c>
      <c r="C1839" s="1" t="n">
        <v>45576</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12536-2023</t>
        </is>
      </c>
      <c r="B1840" s="1" t="n">
        <v>45000</v>
      </c>
      <c r="C1840" s="1" t="n">
        <v>45576</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12540-2023</t>
        </is>
      </c>
      <c r="B1841" s="1" t="n">
        <v>45000</v>
      </c>
      <c r="C1841" s="1" t="n">
        <v>45576</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12730-2023</t>
        </is>
      </c>
      <c r="B1842" s="1" t="n">
        <v>45000</v>
      </c>
      <c r="C1842" s="1" t="n">
        <v>45576</v>
      </c>
      <c r="D1842" t="inlineStr">
        <is>
          <t>VÄSTERNORRLANDS LÄN</t>
        </is>
      </c>
      <c r="E1842" t="inlineStr">
        <is>
          <t>SOLLEFTEÅ</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12735-2023</t>
        </is>
      </c>
      <c r="B1843" s="1" t="n">
        <v>45000</v>
      </c>
      <c r="C1843" s="1" t="n">
        <v>45576</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12539-2023</t>
        </is>
      </c>
      <c r="B1844" s="1" t="n">
        <v>45000</v>
      </c>
      <c r="C1844" s="1" t="n">
        <v>45576</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12727-2023</t>
        </is>
      </c>
      <c r="B1845" s="1" t="n">
        <v>45000</v>
      </c>
      <c r="C1845" s="1" t="n">
        <v>45576</v>
      </c>
      <c r="D1845" t="inlineStr">
        <is>
          <t>VÄSTERNORRLANDS LÄN</t>
        </is>
      </c>
      <c r="E1845" t="inlineStr">
        <is>
          <t>SOLLEFTEÅ</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12733-2023</t>
        </is>
      </c>
      <c r="B1846" s="1" t="n">
        <v>45000</v>
      </c>
      <c r="C1846" s="1" t="n">
        <v>45576</v>
      </c>
      <c r="D1846" t="inlineStr">
        <is>
          <t>VÄSTERNORRLANDS LÄN</t>
        </is>
      </c>
      <c r="E1846" t="inlineStr">
        <is>
          <t>SOLLEFTEÅ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12747-2023</t>
        </is>
      </c>
      <c r="B1847" s="1" t="n">
        <v>45000</v>
      </c>
      <c r="C1847" s="1" t="n">
        <v>45576</v>
      </c>
      <c r="D1847" t="inlineStr">
        <is>
          <t>VÄSTERNORRLANDS LÄN</t>
        </is>
      </c>
      <c r="E1847" t="inlineStr">
        <is>
          <t>SOLLEFTEÅ</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12734-2023</t>
        </is>
      </c>
      <c r="B1848" s="1" t="n">
        <v>45000</v>
      </c>
      <c r="C1848" s="1" t="n">
        <v>45576</v>
      </c>
      <c r="D1848" t="inlineStr">
        <is>
          <t>VÄSTERNORRLANDS LÄN</t>
        </is>
      </c>
      <c r="E1848" t="inlineStr">
        <is>
          <t>SOLLEFTEÅ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12752-2023</t>
        </is>
      </c>
      <c r="B1849" s="1" t="n">
        <v>45000</v>
      </c>
      <c r="C1849" s="1" t="n">
        <v>45576</v>
      </c>
      <c r="D1849" t="inlineStr">
        <is>
          <t>VÄSTERNORRLANDS LÄN</t>
        </is>
      </c>
      <c r="E1849" t="inlineStr">
        <is>
          <t>SOLLEFTEÅ</t>
        </is>
      </c>
      <c r="F1849" t="inlineStr">
        <is>
          <t>SCA</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12746-2023</t>
        </is>
      </c>
      <c r="B1850" s="1" t="n">
        <v>45000</v>
      </c>
      <c r="C1850" s="1" t="n">
        <v>45576</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12755-2023</t>
        </is>
      </c>
      <c r="B1851" s="1" t="n">
        <v>45000</v>
      </c>
      <c r="C1851" s="1" t="n">
        <v>45576</v>
      </c>
      <c r="D1851" t="inlineStr">
        <is>
          <t>VÄSTERNORRLANDS LÄN</t>
        </is>
      </c>
      <c r="E1851" t="inlineStr">
        <is>
          <t>SOLLEFTEÅ</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12820-2023</t>
        </is>
      </c>
      <c r="B1852" s="1" t="n">
        <v>45000</v>
      </c>
      <c r="C1852" s="1" t="n">
        <v>45576</v>
      </c>
      <c r="D1852" t="inlineStr">
        <is>
          <t>VÄSTERNORRLANDS LÄN</t>
        </is>
      </c>
      <c r="E1852" t="inlineStr">
        <is>
          <t>SOLLEFTEÅ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12972-2023</t>
        </is>
      </c>
      <c r="B1853" s="1" t="n">
        <v>45001</v>
      </c>
      <c r="C1853" s="1" t="n">
        <v>45576</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13066-2023</t>
        </is>
      </c>
      <c r="B1854" s="1" t="n">
        <v>45001</v>
      </c>
      <c r="C1854" s="1" t="n">
        <v>45576</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13050-2023</t>
        </is>
      </c>
      <c r="B1855" s="1" t="n">
        <v>45001</v>
      </c>
      <c r="C1855" s="1" t="n">
        <v>45576</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12996-2023</t>
        </is>
      </c>
      <c r="B1856" s="1" t="n">
        <v>45002</v>
      </c>
      <c r="C1856" s="1" t="n">
        <v>45576</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13009-2023</t>
        </is>
      </c>
      <c r="B1857" s="1" t="n">
        <v>45002</v>
      </c>
      <c r="C1857" s="1" t="n">
        <v>45576</v>
      </c>
      <c r="D1857" t="inlineStr">
        <is>
          <t>VÄSTERNORRLANDS LÄN</t>
        </is>
      </c>
      <c r="E1857" t="inlineStr">
        <is>
          <t>SOLLEFTEÅ</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13006-2023</t>
        </is>
      </c>
      <c r="B1858" s="1" t="n">
        <v>45002</v>
      </c>
      <c r="C1858" s="1" t="n">
        <v>45576</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12983-2023</t>
        </is>
      </c>
      <c r="B1859" s="1" t="n">
        <v>45002</v>
      </c>
      <c r="C1859" s="1" t="n">
        <v>45576</v>
      </c>
      <c r="D1859" t="inlineStr">
        <is>
          <t>VÄSTERNORRLANDS LÄN</t>
        </is>
      </c>
      <c r="E1859" t="inlineStr">
        <is>
          <t>SOLLEFTEÅ</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13008-2023</t>
        </is>
      </c>
      <c r="B1860" s="1" t="n">
        <v>45002</v>
      </c>
      <c r="C1860" s="1" t="n">
        <v>45576</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13007-2023</t>
        </is>
      </c>
      <c r="B1861" s="1" t="n">
        <v>45002</v>
      </c>
      <c r="C1861" s="1" t="n">
        <v>45576</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13252-2023</t>
        </is>
      </c>
      <c r="B1862" s="1" t="n">
        <v>45002</v>
      </c>
      <c r="C1862" s="1" t="n">
        <v>45576</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13264-2023</t>
        </is>
      </c>
      <c r="B1863" s="1" t="n">
        <v>45002</v>
      </c>
      <c r="C1863" s="1" t="n">
        <v>45576</v>
      </c>
      <c r="D1863" t="inlineStr">
        <is>
          <t>VÄSTERNORRLANDS LÄN</t>
        </is>
      </c>
      <c r="E1863" t="inlineStr">
        <is>
          <t>SOLLEFTEÅ</t>
        </is>
      </c>
      <c r="F1863" t="inlineStr">
        <is>
          <t>SCA</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13292-2023</t>
        </is>
      </c>
      <c r="B1864" s="1" t="n">
        <v>45004</v>
      </c>
      <c r="C1864" s="1" t="n">
        <v>45576</v>
      </c>
      <c r="D1864" t="inlineStr">
        <is>
          <t>VÄSTERNORRLANDS LÄN</t>
        </is>
      </c>
      <c r="E1864" t="inlineStr">
        <is>
          <t>SOLLEFTEÅ</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13489-2023</t>
        </is>
      </c>
      <c r="B1865" s="1" t="n">
        <v>45005</v>
      </c>
      <c r="C1865" s="1" t="n">
        <v>45576</v>
      </c>
      <c r="D1865" t="inlineStr">
        <is>
          <t>VÄSTERNORRLANDS LÄN</t>
        </is>
      </c>
      <c r="E1865" t="inlineStr">
        <is>
          <t>SOLLEFTEÅ</t>
        </is>
      </c>
      <c r="F1865" t="inlineStr">
        <is>
          <t>SCA</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13487-2023</t>
        </is>
      </c>
      <c r="B1866" s="1" t="n">
        <v>45005</v>
      </c>
      <c r="C1866" s="1" t="n">
        <v>45576</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13521-2023</t>
        </is>
      </c>
      <c r="B1867" s="1" t="n">
        <v>45005</v>
      </c>
      <c r="C1867" s="1" t="n">
        <v>45576</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13567-2023</t>
        </is>
      </c>
      <c r="B1868" s="1" t="n">
        <v>45005</v>
      </c>
      <c r="C1868" s="1" t="n">
        <v>45576</v>
      </c>
      <c r="D1868" t="inlineStr">
        <is>
          <t>VÄSTERNORRLANDS LÄN</t>
        </is>
      </c>
      <c r="E1868" t="inlineStr">
        <is>
          <t>SOLLEFTEÅ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13570-2023</t>
        </is>
      </c>
      <c r="B1869" s="1" t="n">
        <v>45005</v>
      </c>
      <c r="C1869" s="1" t="n">
        <v>45576</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13499-2023</t>
        </is>
      </c>
      <c r="B1870" s="1" t="n">
        <v>45005</v>
      </c>
      <c r="C1870" s="1" t="n">
        <v>45576</v>
      </c>
      <c r="D1870" t="inlineStr">
        <is>
          <t>VÄSTERNORRLANDS LÄN</t>
        </is>
      </c>
      <c r="E1870" t="inlineStr">
        <is>
          <t>SOLLEFTEÅ</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13565-2023</t>
        </is>
      </c>
      <c r="B1871" s="1" t="n">
        <v>45005</v>
      </c>
      <c r="C1871" s="1" t="n">
        <v>45576</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13689-2023</t>
        </is>
      </c>
      <c r="B1872" s="1" t="n">
        <v>45006</v>
      </c>
      <c r="C1872" s="1" t="n">
        <v>45576</v>
      </c>
      <c r="D1872" t="inlineStr">
        <is>
          <t>VÄSTERNORRLANDS LÄN</t>
        </is>
      </c>
      <c r="E1872" t="inlineStr">
        <is>
          <t>SOLLEFTEÅ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13695-2023</t>
        </is>
      </c>
      <c r="B1873" s="1" t="n">
        <v>45006</v>
      </c>
      <c r="C1873" s="1" t="n">
        <v>45576</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13697-2023</t>
        </is>
      </c>
      <c r="B1874" s="1" t="n">
        <v>45006</v>
      </c>
      <c r="C1874" s="1" t="n">
        <v>45576</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14109-2023</t>
        </is>
      </c>
      <c r="B1875" s="1" t="n">
        <v>45008</v>
      </c>
      <c r="C1875" s="1" t="n">
        <v>45576</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14134-2023</t>
        </is>
      </c>
      <c r="B1876" s="1" t="n">
        <v>45008</v>
      </c>
      <c r="C1876" s="1" t="n">
        <v>45576</v>
      </c>
      <c r="D1876" t="inlineStr">
        <is>
          <t>VÄSTERNORRLANDS LÄN</t>
        </is>
      </c>
      <c r="E1876" t="inlineStr">
        <is>
          <t>SOLLEFTEÅ</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14718-2023</t>
        </is>
      </c>
      <c r="B1877" s="1" t="n">
        <v>45012</v>
      </c>
      <c r="C1877" s="1" t="n">
        <v>45576</v>
      </c>
      <c r="D1877" t="inlineStr">
        <is>
          <t>VÄSTERNORRLANDS LÄN</t>
        </is>
      </c>
      <c r="E1877" t="inlineStr">
        <is>
          <t>SOLLEFTEÅ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14675-2023</t>
        </is>
      </c>
      <c r="B1878" s="1" t="n">
        <v>45014</v>
      </c>
      <c r="C1878" s="1" t="n">
        <v>45576</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14668-2023</t>
        </is>
      </c>
      <c r="B1879" s="1" t="n">
        <v>45014</v>
      </c>
      <c r="C1879" s="1" t="n">
        <v>45576</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14937-2023</t>
        </is>
      </c>
      <c r="B1880" s="1" t="n">
        <v>45014</v>
      </c>
      <c r="C1880" s="1" t="n">
        <v>45576</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14859-2023</t>
        </is>
      </c>
      <c r="B1881" s="1" t="n">
        <v>45015</v>
      </c>
      <c r="C1881" s="1" t="n">
        <v>45576</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14875-2023</t>
        </is>
      </c>
      <c r="B1882" s="1" t="n">
        <v>45015</v>
      </c>
      <c r="C1882" s="1" t="n">
        <v>45576</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15080-2023</t>
        </is>
      </c>
      <c r="B1883" s="1" t="n">
        <v>45016</v>
      </c>
      <c r="C1883" s="1" t="n">
        <v>45576</v>
      </c>
      <c r="D1883" t="inlineStr">
        <is>
          <t>VÄSTERNORRLANDS LÄN</t>
        </is>
      </c>
      <c r="E1883" t="inlineStr">
        <is>
          <t>SOLLEFTEÅ</t>
        </is>
      </c>
      <c r="F1883" t="inlineStr">
        <is>
          <t>SCA</t>
        </is>
      </c>
      <c r="G1883" t="n">
        <v>33.6</v>
      </c>
      <c r="H1883" t="n">
        <v>0</v>
      </c>
      <c r="I1883" t="n">
        <v>0</v>
      </c>
      <c r="J1883" t="n">
        <v>0</v>
      </c>
      <c r="K1883" t="n">
        <v>0</v>
      </c>
      <c r="L1883" t="n">
        <v>0</v>
      </c>
      <c r="M1883" t="n">
        <v>0</v>
      </c>
      <c r="N1883" t="n">
        <v>0</v>
      </c>
      <c r="O1883" t="n">
        <v>0</v>
      </c>
      <c r="P1883" t="n">
        <v>0</v>
      </c>
      <c r="Q1883" t="n">
        <v>0</v>
      </c>
      <c r="R1883" s="2" t="inlineStr"/>
    </row>
    <row r="1884" ht="15" customHeight="1">
      <c r="A1884" t="inlineStr">
        <is>
          <t>A 15632-2023</t>
        </is>
      </c>
      <c r="B1884" s="1" t="n">
        <v>45019</v>
      </c>
      <c r="C1884" s="1" t="n">
        <v>45576</v>
      </c>
      <c r="D1884" t="inlineStr">
        <is>
          <t>VÄSTERNORRLANDS LÄN</t>
        </is>
      </c>
      <c r="E1884" t="inlineStr">
        <is>
          <t>SOLLEFTEÅ</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15723-2023</t>
        </is>
      </c>
      <c r="B1885" s="1" t="n">
        <v>45020</v>
      </c>
      <c r="C1885" s="1" t="n">
        <v>45576</v>
      </c>
      <c r="D1885" t="inlineStr">
        <is>
          <t>VÄSTERNORRLANDS LÄN</t>
        </is>
      </c>
      <c r="E1885" t="inlineStr">
        <is>
          <t>SOLLEFTEÅ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15978-2023</t>
        </is>
      </c>
      <c r="B1886" s="1" t="n">
        <v>45023</v>
      </c>
      <c r="C1886" s="1" t="n">
        <v>45576</v>
      </c>
      <c r="D1886" t="inlineStr">
        <is>
          <t>VÄSTERNORRLANDS LÄN</t>
        </is>
      </c>
      <c r="E1886" t="inlineStr">
        <is>
          <t>SOLLEFTEÅ</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15987-2023</t>
        </is>
      </c>
      <c r="B1887" s="1" t="n">
        <v>45023</v>
      </c>
      <c r="C1887" s="1" t="n">
        <v>45576</v>
      </c>
      <c r="D1887" t="inlineStr">
        <is>
          <t>VÄSTERNORRLANDS LÄN</t>
        </is>
      </c>
      <c r="E1887" t="inlineStr">
        <is>
          <t>SOLLEFTEÅ</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15998-2023</t>
        </is>
      </c>
      <c r="B1888" s="1" t="n">
        <v>45024</v>
      </c>
      <c r="C1888" s="1" t="n">
        <v>45576</v>
      </c>
      <c r="D1888" t="inlineStr">
        <is>
          <t>VÄSTERNORRLANDS LÄN</t>
        </is>
      </c>
      <c r="E1888" t="inlineStr">
        <is>
          <t>SOLLEFTEÅ</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16189-2023</t>
        </is>
      </c>
      <c r="B1889" s="1" t="n">
        <v>45028</v>
      </c>
      <c r="C1889" s="1" t="n">
        <v>45576</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16190-2023</t>
        </is>
      </c>
      <c r="B1890" s="1" t="n">
        <v>45028</v>
      </c>
      <c r="C1890" s="1" t="n">
        <v>45576</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16196-2023</t>
        </is>
      </c>
      <c r="B1891" s="1" t="n">
        <v>45028</v>
      </c>
      <c r="C1891" s="1" t="n">
        <v>45576</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16370-2023</t>
        </is>
      </c>
      <c r="B1892" s="1" t="n">
        <v>45029</v>
      </c>
      <c r="C1892" s="1" t="n">
        <v>45576</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16376-2023</t>
        </is>
      </c>
      <c r="B1893" s="1" t="n">
        <v>45029</v>
      </c>
      <c r="C1893" s="1" t="n">
        <v>45576</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16562-2023</t>
        </is>
      </c>
      <c r="B1894" s="1" t="n">
        <v>45029</v>
      </c>
      <c r="C1894" s="1" t="n">
        <v>45576</v>
      </c>
      <c r="D1894" t="inlineStr">
        <is>
          <t>VÄSTERNORRLANDS LÄN</t>
        </is>
      </c>
      <c r="E1894" t="inlineStr">
        <is>
          <t>SOLLEFTEÅ</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16760-2023</t>
        </is>
      </c>
      <c r="B1895" s="1" t="n">
        <v>45030</v>
      </c>
      <c r="C1895" s="1" t="n">
        <v>45576</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17007-2023</t>
        </is>
      </c>
      <c r="B1896" s="1" t="n">
        <v>45034</v>
      </c>
      <c r="C1896" s="1" t="n">
        <v>45576</v>
      </c>
      <c r="D1896" t="inlineStr">
        <is>
          <t>VÄSTERNORRLANDS LÄN</t>
        </is>
      </c>
      <c r="E1896" t="inlineStr">
        <is>
          <t>SOLLEFTEÅ</t>
        </is>
      </c>
      <c r="F1896" t="inlineStr">
        <is>
          <t>SCA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17064-2023</t>
        </is>
      </c>
      <c r="B1897" s="1" t="n">
        <v>45034</v>
      </c>
      <c r="C1897" s="1" t="n">
        <v>45576</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17218-2023</t>
        </is>
      </c>
      <c r="B1898" s="1" t="n">
        <v>45035</v>
      </c>
      <c r="C1898" s="1" t="n">
        <v>45576</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17219-2023</t>
        </is>
      </c>
      <c r="B1899" s="1" t="n">
        <v>45034</v>
      </c>
      <c r="C1899" s="1" t="n">
        <v>45576</v>
      </c>
      <c r="D1899" t="inlineStr">
        <is>
          <t>VÄSTERNORRLANDS LÄN</t>
        </is>
      </c>
      <c r="E1899" t="inlineStr">
        <is>
          <t>SOLLEFTEÅ</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17416-2023</t>
        </is>
      </c>
      <c r="B1900" s="1" t="n">
        <v>45036</v>
      </c>
      <c r="C1900" s="1" t="n">
        <v>45576</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17683-2023</t>
        </is>
      </c>
      <c r="B1901" s="1" t="n">
        <v>45035</v>
      </c>
      <c r="C1901" s="1" t="n">
        <v>45576</v>
      </c>
      <c r="D1901" t="inlineStr">
        <is>
          <t>VÄSTERNORRLANDS LÄN</t>
        </is>
      </c>
      <c r="E1901" t="inlineStr">
        <is>
          <t>SOLLEFTEÅ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17664-2023</t>
        </is>
      </c>
      <c r="B1902" s="1" t="n">
        <v>45037</v>
      </c>
      <c r="C1902" s="1" t="n">
        <v>45576</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18149-2023</t>
        </is>
      </c>
      <c r="B1903" s="1" t="n">
        <v>45040</v>
      </c>
      <c r="C1903" s="1" t="n">
        <v>45576</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18160-2023</t>
        </is>
      </c>
      <c r="B1904" s="1" t="n">
        <v>45040</v>
      </c>
      <c r="C1904" s="1" t="n">
        <v>45576</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18167-2023</t>
        </is>
      </c>
      <c r="B1905" s="1" t="n">
        <v>45040</v>
      </c>
      <c r="C1905" s="1" t="n">
        <v>45576</v>
      </c>
      <c r="D1905" t="inlineStr">
        <is>
          <t>VÄSTERNORRLANDS LÄN</t>
        </is>
      </c>
      <c r="E1905" t="inlineStr">
        <is>
          <t>SOLLEFTEÅ</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18459-2023</t>
        </is>
      </c>
      <c r="B1906" s="1" t="n">
        <v>45041</v>
      </c>
      <c r="C1906" s="1" t="n">
        <v>45576</v>
      </c>
      <c r="D1906" t="inlineStr">
        <is>
          <t>VÄSTERNORRLANDS LÄN</t>
        </is>
      </c>
      <c r="E1906" t="inlineStr">
        <is>
          <t>SOLLEFTEÅ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18378-2023</t>
        </is>
      </c>
      <c r="B1907" s="1" t="n">
        <v>45041</v>
      </c>
      <c r="C1907" s="1" t="n">
        <v>45576</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18456-2023</t>
        </is>
      </c>
      <c r="B1908" s="1" t="n">
        <v>45041</v>
      </c>
      <c r="C1908" s="1" t="n">
        <v>45576</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18861-2023</t>
        </is>
      </c>
      <c r="B1909" s="1" t="n">
        <v>45042</v>
      </c>
      <c r="C1909" s="1" t="n">
        <v>45576</v>
      </c>
      <c r="D1909" t="inlineStr">
        <is>
          <t>VÄSTERNORRLANDS LÄN</t>
        </is>
      </c>
      <c r="E1909" t="inlineStr">
        <is>
          <t>SOLLEFTEÅ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18762-2023</t>
        </is>
      </c>
      <c r="B1910" s="1" t="n">
        <v>45043</v>
      </c>
      <c r="C1910" s="1" t="n">
        <v>45576</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18781-2023</t>
        </is>
      </c>
      <c r="B1911" s="1" t="n">
        <v>45043</v>
      </c>
      <c r="C1911" s="1" t="n">
        <v>45576</v>
      </c>
      <c r="D1911" t="inlineStr">
        <is>
          <t>VÄSTERNORRLANDS LÄN</t>
        </is>
      </c>
      <c r="E1911" t="inlineStr">
        <is>
          <t>SOLLEFTEÅ</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18785-2023</t>
        </is>
      </c>
      <c r="B1912" s="1" t="n">
        <v>45043</v>
      </c>
      <c r="C1912" s="1" t="n">
        <v>45576</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18753-2023</t>
        </is>
      </c>
      <c r="B1913" s="1" t="n">
        <v>45044</v>
      </c>
      <c r="C1913" s="1" t="n">
        <v>45576</v>
      </c>
      <c r="D1913" t="inlineStr">
        <is>
          <t>VÄSTERNORRLANDS LÄN</t>
        </is>
      </c>
      <c r="E1913" t="inlineStr">
        <is>
          <t>SOLLEFTEÅ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18761-2023</t>
        </is>
      </c>
      <c r="B1914" s="1" t="n">
        <v>45043</v>
      </c>
      <c r="C1914" s="1" t="n">
        <v>45576</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18782-2023</t>
        </is>
      </c>
      <c r="B1915" s="1" t="n">
        <v>45044</v>
      </c>
      <c r="C1915" s="1" t="n">
        <v>45576</v>
      </c>
      <c r="D1915" t="inlineStr">
        <is>
          <t>VÄSTERNORRLANDS LÄN</t>
        </is>
      </c>
      <c r="E1915" t="inlineStr">
        <is>
          <t>SOLLEFTEÅ</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18786-2023</t>
        </is>
      </c>
      <c r="B1916" s="1" t="n">
        <v>45043</v>
      </c>
      <c r="C1916" s="1" t="n">
        <v>45576</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18755-2023</t>
        </is>
      </c>
      <c r="B1917" s="1" t="n">
        <v>45043</v>
      </c>
      <c r="C1917" s="1" t="n">
        <v>45576</v>
      </c>
      <c r="D1917" t="inlineStr">
        <is>
          <t>VÄSTERNORRLANDS LÄN</t>
        </is>
      </c>
      <c r="E1917" t="inlineStr">
        <is>
          <t>SOLLEFTEÅ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18780-2023</t>
        </is>
      </c>
      <c r="B1918" s="1" t="n">
        <v>45044</v>
      </c>
      <c r="C1918" s="1" t="n">
        <v>45576</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18784-2023</t>
        </is>
      </c>
      <c r="B1919" s="1" t="n">
        <v>45044</v>
      </c>
      <c r="C1919" s="1" t="n">
        <v>45576</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18980-2023</t>
        </is>
      </c>
      <c r="B1920" s="1" t="n">
        <v>45044</v>
      </c>
      <c r="C1920" s="1" t="n">
        <v>45576</v>
      </c>
      <c r="D1920" t="inlineStr">
        <is>
          <t>VÄSTERNORRLANDS LÄN</t>
        </is>
      </c>
      <c r="E1920" t="inlineStr">
        <is>
          <t>SOLLEFTEÅ</t>
        </is>
      </c>
      <c r="F1920" t="inlineStr">
        <is>
          <t>Övriga statliga verk och myndigheter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18989-2023</t>
        </is>
      </c>
      <c r="B1921" s="1" t="n">
        <v>45044</v>
      </c>
      <c r="C1921" s="1" t="n">
        <v>45576</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19154-2023</t>
        </is>
      </c>
      <c r="B1922" s="1" t="n">
        <v>45044</v>
      </c>
      <c r="C1922" s="1" t="n">
        <v>45576</v>
      </c>
      <c r="D1922" t="inlineStr">
        <is>
          <t>VÄSTERNORRLANDS LÄN</t>
        </is>
      </c>
      <c r="E1922" t="inlineStr">
        <is>
          <t>SOLLEFTEÅ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19433-2023</t>
        </is>
      </c>
      <c r="B1923" s="1" t="n">
        <v>45049</v>
      </c>
      <c r="C1923" s="1" t="n">
        <v>45576</v>
      </c>
      <c r="D1923" t="inlineStr">
        <is>
          <t>VÄSTERNORRLANDS LÄN</t>
        </is>
      </c>
      <c r="E1923" t="inlineStr">
        <is>
          <t>SOLLEFTEÅ</t>
        </is>
      </c>
      <c r="F1923" t="inlineStr">
        <is>
          <t>SCA</t>
        </is>
      </c>
      <c r="G1923" t="n">
        <v>12.3</v>
      </c>
      <c r="H1923" t="n">
        <v>0</v>
      </c>
      <c r="I1923" t="n">
        <v>0</v>
      </c>
      <c r="J1923" t="n">
        <v>0</v>
      </c>
      <c r="K1923" t="n">
        <v>0</v>
      </c>
      <c r="L1923" t="n">
        <v>0</v>
      </c>
      <c r="M1923" t="n">
        <v>0</v>
      </c>
      <c r="N1923" t="n">
        <v>0</v>
      </c>
      <c r="O1923" t="n">
        <v>0</v>
      </c>
      <c r="P1923" t="n">
        <v>0</v>
      </c>
      <c r="Q1923" t="n">
        <v>0</v>
      </c>
      <c r="R1923" s="2" t="inlineStr"/>
    </row>
    <row r="1924" ht="15" customHeight="1">
      <c r="A1924" t="inlineStr">
        <is>
          <t>A 19434-2023</t>
        </is>
      </c>
      <c r="B1924" s="1" t="n">
        <v>45049</v>
      </c>
      <c r="C1924" s="1" t="n">
        <v>45576</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19609-2023</t>
        </is>
      </c>
      <c r="B1925" s="1" t="n">
        <v>45050</v>
      </c>
      <c r="C1925" s="1" t="n">
        <v>45576</v>
      </c>
      <c r="D1925" t="inlineStr">
        <is>
          <t>VÄSTERNORRLANDS LÄN</t>
        </is>
      </c>
      <c r="E1925" t="inlineStr">
        <is>
          <t>SOLLEFTEÅ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19610-2023</t>
        </is>
      </c>
      <c r="B1926" s="1" t="n">
        <v>45050</v>
      </c>
      <c r="C1926" s="1" t="n">
        <v>45576</v>
      </c>
      <c r="D1926" t="inlineStr">
        <is>
          <t>VÄSTERNORRLANDS LÄN</t>
        </is>
      </c>
      <c r="E1926" t="inlineStr">
        <is>
          <t>SOLLEFTEÅ</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19615-2023</t>
        </is>
      </c>
      <c r="B1927" s="1" t="n">
        <v>45051</v>
      </c>
      <c r="C1927" s="1" t="n">
        <v>45576</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19625-2023</t>
        </is>
      </c>
      <c r="B1928" s="1" t="n">
        <v>45050</v>
      </c>
      <c r="C1928" s="1" t="n">
        <v>45576</v>
      </c>
      <c r="D1928" t="inlineStr">
        <is>
          <t>VÄSTERNORRLANDS LÄN</t>
        </is>
      </c>
      <c r="E1928" t="inlineStr">
        <is>
          <t>SOLLEFTEÅ</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19614-2023</t>
        </is>
      </c>
      <c r="B1929" s="1" t="n">
        <v>45050</v>
      </c>
      <c r="C1929" s="1" t="n">
        <v>45576</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19816-2023</t>
        </is>
      </c>
      <c r="B1930" s="1" t="n">
        <v>45052</v>
      </c>
      <c r="C1930" s="1" t="n">
        <v>45576</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19829-2023</t>
        </is>
      </c>
      <c r="B1931" s="1" t="n">
        <v>45052</v>
      </c>
      <c r="C1931" s="1" t="n">
        <v>45576</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19830-2023</t>
        </is>
      </c>
      <c r="B1932" s="1" t="n">
        <v>45052</v>
      </c>
      <c r="C1932" s="1" t="n">
        <v>45576</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20089-2023</t>
        </is>
      </c>
      <c r="B1933" s="1" t="n">
        <v>45055</v>
      </c>
      <c r="C1933" s="1" t="n">
        <v>45576</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20269-2023</t>
        </is>
      </c>
      <c r="B1934" s="1" t="n">
        <v>45055</v>
      </c>
      <c r="C1934" s="1" t="n">
        <v>45576</v>
      </c>
      <c r="D1934" t="inlineStr">
        <is>
          <t>VÄSTERNORRLANDS LÄN</t>
        </is>
      </c>
      <c r="E1934" t="inlineStr">
        <is>
          <t>SOLLEFTEÅ</t>
        </is>
      </c>
      <c r="F1934" t="inlineStr">
        <is>
          <t>SCA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20268-2023</t>
        </is>
      </c>
      <c r="B1935" s="1" t="n">
        <v>45055</v>
      </c>
      <c r="C1935" s="1" t="n">
        <v>45576</v>
      </c>
      <c r="D1935" t="inlineStr">
        <is>
          <t>VÄSTERNORRLANDS LÄN</t>
        </is>
      </c>
      <c r="E1935" t="inlineStr">
        <is>
          <t>SOLLEFTEÅ</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20266-2023</t>
        </is>
      </c>
      <c r="B1936" s="1" t="n">
        <v>45055</v>
      </c>
      <c r="C1936" s="1" t="n">
        <v>45576</v>
      </c>
      <c r="D1936" t="inlineStr">
        <is>
          <t>VÄSTERNORRLANDS LÄN</t>
        </is>
      </c>
      <c r="E1936" t="inlineStr">
        <is>
          <t>SOLLEFTEÅ</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20271-2023</t>
        </is>
      </c>
      <c r="B1937" s="1" t="n">
        <v>45056</v>
      </c>
      <c r="C1937" s="1" t="n">
        <v>45576</v>
      </c>
      <c r="D1937" t="inlineStr">
        <is>
          <t>VÄSTERNORRLANDS LÄN</t>
        </is>
      </c>
      <c r="E1937" t="inlineStr">
        <is>
          <t>SOLLEFTEÅ</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20461-2023</t>
        </is>
      </c>
      <c r="B1938" s="1" t="n">
        <v>45057</v>
      </c>
      <c r="C1938" s="1" t="n">
        <v>45576</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20460-2023</t>
        </is>
      </c>
      <c r="B1939" s="1" t="n">
        <v>45057</v>
      </c>
      <c r="C1939" s="1" t="n">
        <v>45576</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20599-2023</t>
        </is>
      </c>
      <c r="B1940" s="1" t="n">
        <v>45058</v>
      </c>
      <c r="C1940" s="1" t="n">
        <v>45576</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20598-2023</t>
        </is>
      </c>
      <c r="B1941" s="1" t="n">
        <v>45058</v>
      </c>
      <c r="C1941" s="1" t="n">
        <v>45576</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21195-2023</t>
        </is>
      </c>
      <c r="B1942" s="1" t="n">
        <v>45057</v>
      </c>
      <c r="C1942" s="1" t="n">
        <v>45576</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20629-2023</t>
        </is>
      </c>
      <c r="B1943" s="1" t="n">
        <v>45058</v>
      </c>
      <c r="C1943" s="1" t="n">
        <v>45576</v>
      </c>
      <c r="D1943" t="inlineStr">
        <is>
          <t>VÄSTERNORRLANDS LÄN</t>
        </is>
      </c>
      <c r="E1943" t="inlineStr">
        <is>
          <t>SOLLEFTEÅ</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20628-2023</t>
        </is>
      </c>
      <c r="B1944" s="1" t="n">
        <v>45058</v>
      </c>
      <c r="C1944" s="1" t="n">
        <v>45576</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21230-2023</t>
        </is>
      </c>
      <c r="B1945" s="1" t="n">
        <v>45057</v>
      </c>
      <c r="C1945" s="1" t="n">
        <v>45576</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20754-2023</t>
        </is>
      </c>
      <c r="B1946" s="1" t="n">
        <v>45058</v>
      </c>
      <c r="C1946" s="1" t="n">
        <v>45576</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20859-2023</t>
        </is>
      </c>
      <c r="B1947" s="1" t="n">
        <v>45059</v>
      </c>
      <c r="C1947" s="1" t="n">
        <v>45576</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20862-2023</t>
        </is>
      </c>
      <c r="B1948" s="1" t="n">
        <v>45059</v>
      </c>
      <c r="C1948" s="1" t="n">
        <v>45576</v>
      </c>
      <c r="D1948" t="inlineStr">
        <is>
          <t>VÄSTERNORRLANDS LÄN</t>
        </is>
      </c>
      <c r="E1948" t="inlineStr">
        <is>
          <t>SOLLEFTEÅ</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20817-2023</t>
        </is>
      </c>
      <c r="B1949" s="1" t="n">
        <v>45058</v>
      </c>
      <c r="C1949" s="1" t="n">
        <v>45576</v>
      </c>
      <c r="D1949" t="inlineStr">
        <is>
          <t>VÄSTERNORRLANDS LÄN</t>
        </is>
      </c>
      <c r="E1949" t="inlineStr">
        <is>
          <t>SOLLEFTEÅ</t>
        </is>
      </c>
      <c r="G1949" t="n">
        <v>12.5</v>
      </c>
      <c r="H1949" t="n">
        <v>0</v>
      </c>
      <c r="I1949" t="n">
        <v>0</v>
      </c>
      <c r="J1949" t="n">
        <v>0</v>
      </c>
      <c r="K1949" t="n">
        <v>0</v>
      </c>
      <c r="L1949" t="n">
        <v>0</v>
      </c>
      <c r="M1949" t="n">
        <v>0</v>
      </c>
      <c r="N1949" t="n">
        <v>0</v>
      </c>
      <c r="O1949" t="n">
        <v>0</v>
      </c>
      <c r="P1949" t="n">
        <v>0</v>
      </c>
      <c r="Q1949" t="n">
        <v>0</v>
      </c>
      <c r="R1949" s="2" t="inlineStr"/>
    </row>
    <row r="1950" ht="15" customHeight="1">
      <c r="A1950" t="inlineStr">
        <is>
          <t>A 20873-2023</t>
        </is>
      </c>
      <c r="B1950" s="1" t="n">
        <v>45059</v>
      </c>
      <c r="C1950" s="1" t="n">
        <v>45576</v>
      </c>
      <c r="D1950" t="inlineStr">
        <is>
          <t>VÄSTERNORRLANDS LÄN</t>
        </is>
      </c>
      <c r="E1950" t="inlineStr">
        <is>
          <t>SOLLEFTEÅ</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20878-2023</t>
        </is>
      </c>
      <c r="B1951" s="1" t="n">
        <v>45059</v>
      </c>
      <c r="C1951" s="1" t="n">
        <v>45576</v>
      </c>
      <c r="D1951" t="inlineStr">
        <is>
          <t>VÄSTERNORRLANDS LÄN</t>
        </is>
      </c>
      <c r="E1951" t="inlineStr">
        <is>
          <t>SOLLEFTEÅ</t>
        </is>
      </c>
      <c r="F1951" t="inlineStr">
        <is>
          <t>SCA</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20872-2023</t>
        </is>
      </c>
      <c r="B1952" s="1" t="n">
        <v>45058</v>
      </c>
      <c r="C1952" s="1" t="n">
        <v>45576</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21513-2023</t>
        </is>
      </c>
      <c r="B1953" s="1" t="n">
        <v>45061</v>
      </c>
      <c r="C1953" s="1" t="n">
        <v>45576</v>
      </c>
      <c r="D1953" t="inlineStr">
        <is>
          <t>VÄSTERNORRLANDS LÄN</t>
        </is>
      </c>
      <c r="E1953" t="inlineStr">
        <is>
          <t>SOLLEFTEÅ</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21349-2023</t>
        </is>
      </c>
      <c r="B1954" s="1" t="n">
        <v>45063</v>
      </c>
      <c r="C1954" s="1" t="n">
        <v>45576</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21346-2023</t>
        </is>
      </c>
      <c r="B1955" s="1" t="n">
        <v>45063</v>
      </c>
      <c r="C1955" s="1" t="n">
        <v>45576</v>
      </c>
      <c r="D1955" t="inlineStr">
        <is>
          <t>VÄSTERNORRLANDS LÄN</t>
        </is>
      </c>
      <c r="E1955" t="inlineStr">
        <is>
          <t>SOLLEFTEÅ</t>
        </is>
      </c>
      <c r="F1955" t="inlineStr">
        <is>
          <t>SCA</t>
        </is>
      </c>
      <c r="G1955" t="n">
        <v>15.5</v>
      </c>
      <c r="H1955" t="n">
        <v>0</v>
      </c>
      <c r="I1955" t="n">
        <v>0</v>
      </c>
      <c r="J1955" t="n">
        <v>0</v>
      </c>
      <c r="K1955" t="n">
        <v>0</v>
      </c>
      <c r="L1955" t="n">
        <v>0</v>
      </c>
      <c r="M1955" t="n">
        <v>0</v>
      </c>
      <c r="N1955" t="n">
        <v>0</v>
      </c>
      <c r="O1955" t="n">
        <v>0</v>
      </c>
      <c r="P1955" t="n">
        <v>0</v>
      </c>
      <c r="Q1955" t="n">
        <v>0</v>
      </c>
      <c r="R1955" s="2" t="inlineStr"/>
    </row>
    <row r="1956" ht="15" customHeight="1">
      <c r="A1956" t="inlineStr">
        <is>
          <t>A 21340-2023</t>
        </is>
      </c>
      <c r="B1956" s="1" t="n">
        <v>45062</v>
      </c>
      <c r="C1956" s="1" t="n">
        <v>45576</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21344-2023</t>
        </is>
      </c>
      <c r="B1957" s="1" t="n">
        <v>45062</v>
      </c>
      <c r="C1957" s="1" t="n">
        <v>45576</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21361-2023</t>
        </is>
      </c>
      <c r="B1958" s="1" t="n">
        <v>45063</v>
      </c>
      <c r="C1958" s="1" t="n">
        <v>45576</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21690-2023</t>
        </is>
      </c>
      <c r="B1959" s="1" t="n">
        <v>45064</v>
      </c>
      <c r="C1959" s="1" t="n">
        <v>45576</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21674-2023</t>
        </is>
      </c>
      <c r="B1960" s="1" t="n">
        <v>45064</v>
      </c>
      <c r="C1960" s="1" t="n">
        <v>45576</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22008-2023</t>
        </is>
      </c>
      <c r="B1961" s="1" t="n">
        <v>45068</v>
      </c>
      <c r="C1961" s="1" t="n">
        <v>45576</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22220-2023</t>
        </is>
      </c>
      <c r="B1962" s="1" t="n">
        <v>45070</v>
      </c>
      <c r="C1962" s="1" t="n">
        <v>45576</v>
      </c>
      <c r="D1962" t="inlineStr">
        <is>
          <t>VÄSTERNORRLANDS LÄN</t>
        </is>
      </c>
      <c r="E1962" t="inlineStr">
        <is>
          <t>SOLLEFTEÅ</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22229-2023</t>
        </is>
      </c>
      <c r="B1963" s="1" t="n">
        <v>45070</v>
      </c>
      <c r="C1963" s="1" t="n">
        <v>45576</v>
      </c>
      <c r="D1963" t="inlineStr">
        <is>
          <t>VÄSTERNORRLANDS LÄN</t>
        </is>
      </c>
      <c r="E1963" t="inlineStr">
        <is>
          <t>SOLLEFTEÅ</t>
        </is>
      </c>
      <c r="F1963" t="inlineStr">
        <is>
          <t>SCA</t>
        </is>
      </c>
      <c r="G1963" t="n">
        <v>20.8</v>
      </c>
      <c r="H1963" t="n">
        <v>0</v>
      </c>
      <c r="I1963" t="n">
        <v>0</v>
      </c>
      <c r="J1963" t="n">
        <v>0</v>
      </c>
      <c r="K1963" t="n">
        <v>0</v>
      </c>
      <c r="L1963" t="n">
        <v>0</v>
      </c>
      <c r="M1963" t="n">
        <v>0</v>
      </c>
      <c r="N1963" t="n">
        <v>0</v>
      </c>
      <c r="O1963" t="n">
        <v>0</v>
      </c>
      <c r="P1963" t="n">
        <v>0</v>
      </c>
      <c r="Q1963" t="n">
        <v>0</v>
      </c>
      <c r="R1963" s="2" t="inlineStr"/>
    </row>
    <row r="1964" ht="15" customHeight="1">
      <c r="A1964" t="inlineStr">
        <is>
          <t>A 22750-2023</t>
        </is>
      </c>
      <c r="B1964" s="1" t="n">
        <v>45072</v>
      </c>
      <c r="C1964" s="1" t="n">
        <v>45576</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22994-2023</t>
        </is>
      </c>
      <c r="B1965" s="1" t="n">
        <v>45072</v>
      </c>
      <c r="C1965" s="1" t="n">
        <v>45576</v>
      </c>
      <c r="D1965" t="inlineStr">
        <is>
          <t>VÄSTERNORRLANDS LÄN</t>
        </is>
      </c>
      <c r="E1965" t="inlineStr">
        <is>
          <t>SOLLEFTEÅ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22992-2023</t>
        </is>
      </c>
      <c r="B1966" s="1" t="n">
        <v>45072</v>
      </c>
      <c r="C1966" s="1" t="n">
        <v>45576</v>
      </c>
      <c r="D1966" t="inlineStr">
        <is>
          <t>VÄSTERNORRLANDS LÄN</t>
        </is>
      </c>
      <c r="E1966" t="inlineStr">
        <is>
          <t>SOLLEFTEÅ</t>
        </is>
      </c>
      <c r="F1966" t="inlineStr">
        <is>
          <t>SCA</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22995-2023</t>
        </is>
      </c>
      <c r="B1967" s="1" t="n">
        <v>45073</v>
      </c>
      <c r="C1967" s="1" t="n">
        <v>45576</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23488-2023</t>
        </is>
      </c>
      <c r="B1968" s="1" t="n">
        <v>45072</v>
      </c>
      <c r="C1968" s="1" t="n">
        <v>45576</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23016-2023</t>
        </is>
      </c>
      <c r="B1969" s="1" t="n">
        <v>45073</v>
      </c>
      <c r="C1969" s="1" t="n">
        <v>45576</v>
      </c>
      <c r="D1969" t="inlineStr">
        <is>
          <t>VÄSTERNORRLANDS LÄN</t>
        </is>
      </c>
      <c r="E1969" t="inlineStr">
        <is>
          <t>SOLLEFTEÅ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23286-2023</t>
        </is>
      </c>
      <c r="B1970" s="1" t="n">
        <v>45075</v>
      </c>
      <c r="C1970" s="1" t="n">
        <v>45576</v>
      </c>
      <c r="D1970" t="inlineStr">
        <is>
          <t>VÄSTERNORRLANDS LÄN</t>
        </is>
      </c>
      <c r="E1970" t="inlineStr">
        <is>
          <t>SOLLEFTEÅ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23277-2023</t>
        </is>
      </c>
      <c r="B1971" s="1" t="n">
        <v>45075</v>
      </c>
      <c r="C1971" s="1" t="n">
        <v>45576</v>
      </c>
      <c r="D1971" t="inlineStr">
        <is>
          <t>VÄSTERNORRLANDS LÄN</t>
        </is>
      </c>
      <c r="E1971" t="inlineStr">
        <is>
          <t>SOLLEFTEÅ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23285-2023</t>
        </is>
      </c>
      <c r="B1972" s="1" t="n">
        <v>45075</v>
      </c>
      <c r="C1972" s="1" t="n">
        <v>45576</v>
      </c>
      <c r="D1972" t="inlineStr">
        <is>
          <t>VÄSTERNORRLANDS LÄN</t>
        </is>
      </c>
      <c r="E1972" t="inlineStr">
        <is>
          <t>SOLLEFTEÅ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23289-2023</t>
        </is>
      </c>
      <c r="B1973" s="1" t="n">
        <v>45075</v>
      </c>
      <c r="C1973" s="1" t="n">
        <v>45576</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23287-2023</t>
        </is>
      </c>
      <c r="B1974" s="1" t="n">
        <v>45075</v>
      </c>
      <c r="C1974" s="1" t="n">
        <v>45576</v>
      </c>
      <c r="D1974" t="inlineStr">
        <is>
          <t>VÄSTERNORRLANDS LÄN</t>
        </is>
      </c>
      <c r="E1974" t="inlineStr">
        <is>
          <t>SOLLEFTEÅ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23288-2023</t>
        </is>
      </c>
      <c r="B1975" s="1" t="n">
        <v>45075</v>
      </c>
      <c r="C1975" s="1" t="n">
        <v>45576</v>
      </c>
      <c r="D1975" t="inlineStr">
        <is>
          <t>VÄSTERNORRLANDS LÄN</t>
        </is>
      </c>
      <c r="E1975" t="inlineStr">
        <is>
          <t>SOLLEFTEÅ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23523-2023</t>
        </is>
      </c>
      <c r="B1976" s="1" t="n">
        <v>45076</v>
      </c>
      <c r="C1976" s="1" t="n">
        <v>45576</v>
      </c>
      <c r="D1976" t="inlineStr">
        <is>
          <t>VÄSTERNORRLANDS LÄN</t>
        </is>
      </c>
      <c r="E1976" t="inlineStr">
        <is>
          <t>SOLLEFTEÅ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23527-2023</t>
        </is>
      </c>
      <c r="B1977" s="1" t="n">
        <v>45076</v>
      </c>
      <c r="C1977" s="1" t="n">
        <v>45576</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24306-2023</t>
        </is>
      </c>
      <c r="B1978" s="1" t="n">
        <v>45080</v>
      </c>
      <c r="C1978" s="1" t="n">
        <v>45576</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24314-2023</t>
        </is>
      </c>
      <c r="B1979" s="1" t="n">
        <v>45079</v>
      </c>
      <c r="C1979" s="1" t="n">
        <v>45576</v>
      </c>
      <c r="D1979" t="inlineStr">
        <is>
          <t>VÄSTERNORRLANDS LÄN</t>
        </is>
      </c>
      <c r="E1979" t="inlineStr">
        <is>
          <t>SOLLEFTEÅ</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25259-2023</t>
        </is>
      </c>
      <c r="B1980" s="1" t="n">
        <v>45079</v>
      </c>
      <c r="C1980" s="1" t="n">
        <v>45576</v>
      </c>
      <c r="D1980" t="inlineStr">
        <is>
          <t>VÄSTERNORRLANDS LÄN</t>
        </is>
      </c>
      <c r="E1980" t="inlineStr">
        <is>
          <t>SOLLEFTEÅ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25267-2023</t>
        </is>
      </c>
      <c r="B1981" s="1" t="n">
        <v>45079</v>
      </c>
      <c r="C1981" s="1" t="n">
        <v>45576</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25550-2023</t>
        </is>
      </c>
      <c r="B1982" s="1" t="n">
        <v>45082</v>
      </c>
      <c r="C1982" s="1" t="n">
        <v>45576</v>
      </c>
      <c r="D1982" t="inlineStr">
        <is>
          <t>VÄSTERNORRLANDS LÄN</t>
        </is>
      </c>
      <c r="E1982" t="inlineStr">
        <is>
          <t>SOLLEFTEÅ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24595-2023</t>
        </is>
      </c>
      <c r="B1983" s="1" t="n">
        <v>45084</v>
      </c>
      <c r="C1983" s="1" t="n">
        <v>45576</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24597-2023</t>
        </is>
      </c>
      <c r="B1984" s="1" t="n">
        <v>45083</v>
      </c>
      <c r="C1984" s="1" t="n">
        <v>45576</v>
      </c>
      <c r="D1984" t="inlineStr">
        <is>
          <t>VÄSTERNORRLANDS LÄN</t>
        </is>
      </c>
      <c r="E1984" t="inlineStr">
        <is>
          <t>SOLLEFTEÅ</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24596-2023</t>
        </is>
      </c>
      <c r="B1985" s="1" t="n">
        <v>45084</v>
      </c>
      <c r="C1985" s="1" t="n">
        <v>45576</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25795-2023</t>
        </is>
      </c>
      <c r="B1986" s="1" t="n">
        <v>45085</v>
      </c>
      <c r="C1986" s="1" t="n">
        <v>45576</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25848-2023</t>
        </is>
      </c>
      <c r="B1987" s="1" t="n">
        <v>45085</v>
      </c>
      <c r="C1987" s="1" t="n">
        <v>45576</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25079-2023</t>
        </is>
      </c>
      <c r="B1988" s="1" t="n">
        <v>45086</v>
      </c>
      <c r="C1988" s="1" t="n">
        <v>45576</v>
      </c>
      <c r="D1988" t="inlineStr">
        <is>
          <t>VÄSTERNORRLANDS LÄN</t>
        </is>
      </c>
      <c r="E1988" t="inlineStr">
        <is>
          <t>SOLLEFTEÅ</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25314-2023</t>
        </is>
      </c>
      <c r="B1989" s="1" t="n">
        <v>45086</v>
      </c>
      <c r="C1989" s="1" t="n">
        <v>45576</v>
      </c>
      <c r="D1989" t="inlineStr">
        <is>
          <t>VÄSTERNORRLANDS LÄN</t>
        </is>
      </c>
      <c r="E1989" t="inlineStr">
        <is>
          <t>SOLLEFTEÅ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25392-2023</t>
        </is>
      </c>
      <c r="B1990" s="1" t="n">
        <v>45089</v>
      </c>
      <c r="C1990" s="1" t="n">
        <v>45576</v>
      </c>
      <c r="D1990" t="inlineStr">
        <is>
          <t>VÄSTERNORRLANDS LÄN</t>
        </is>
      </c>
      <c r="E1990" t="inlineStr">
        <is>
          <t>SOLLEFTEÅ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25987-2023</t>
        </is>
      </c>
      <c r="B1991" s="1" t="n">
        <v>45091</v>
      </c>
      <c r="C1991" s="1" t="n">
        <v>45576</v>
      </c>
      <c r="D1991" t="inlineStr">
        <is>
          <t>VÄSTERNORRLANDS LÄN</t>
        </is>
      </c>
      <c r="E1991" t="inlineStr">
        <is>
          <t>SOLLEFTEÅ</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26210-2023</t>
        </is>
      </c>
      <c r="B1992" s="1" t="n">
        <v>45090</v>
      </c>
      <c r="C1992" s="1" t="n">
        <v>45576</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25986-2023</t>
        </is>
      </c>
      <c r="B1993" s="1" t="n">
        <v>45090</v>
      </c>
      <c r="C1993" s="1" t="n">
        <v>45576</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26373-2023</t>
        </is>
      </c>
      <c r="B1994" s="1" t="n">
        <v>45092</v>
      </c>
      <c r="C1994" s="1" t="n">
        <v>45576</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27544-2023</t>
        </is>
      </c>
      <c r="B1995" s="1" t="n">
        <v>45092</v>
      </c>
      <c r="C1995" s="1" t="n">
        <v>45576</v>
      </c>
      <c r="D1995" t="inlineStr">
        <is>
          <t>VÄSTERNORRLANDS LÄN</t>
        </is>
      </c>
      <c r="E1995" t="inlineStr">
        <is>
          <t>SOLLEFTEÅ</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27534-2023</t>
        </is>
      </c>
      <c r="B1996" s="1" t="n">
        <v>45092</v>
      </c>
      <c r="C1996" s="1" t="n">
        <v>45576</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27381-2023</t>
        </is>
      </c>
      <c r="B1997" s="1" t="n">
        <v>45097</v>
      </c>
      <c r="C1997" s="1" t="n">
        <v>45576</v>
      </c>
      <c r="D1997" t="inlineStr">
        <is>
          <t>VÄSTERNORRLANDS LÄN</t>
        </is>
      </c>
      <c r="E1997" t="inlineStr">
        <is>
          <t>SOLLEFTEÅ</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27382-2023</t>
        </is>
      </c>
      <c r="B1998" s="1" t="n">
        <v>45097</v>
      </c>
      <c r="C1998" s="1" t="n">
        <v>45576</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27384-2023</t>
        </is>
      </c>
      <c r="B1999" s="1" t="n">
        <v>45097</v>
      </c>
      <c r="C1999" s="1" t="n">
        <v>45576</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27392-2023</t>
        </is>
      </c>
      <c r="B2000" s="1" t="n">
        <v>45097</v>
      </c>
      <c r="C2000" s="1" t="n">
        <v>45576</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28653-2023</t>
        </is>
      </c>
      <c r="B2001" s="1" t="n">
        <v>45096</v>
      </c>
      <c r="C2001" s="1" t="n">
        <v>45576</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27383-2023</t>
        </is>
      </c>
      <c r="B2002" s="1" t="n">
        <v>45097</v>
      </c>
      <c r="C2002" s="1" t="n">
        <v>45576</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27391-2023</t>
        </is>
      </c>
      <c r="B2003" s="1" t="n">
        <v>45097</v>
      </c>
      <c r="C2003" s="1" t="n">
        <v>45576</v>
      </c>
      <c r="D2003" t="inlineStr">
        <is>
          <t>VÄSTERNORRLANDS LÄN</t>
        </is>
      </c>
      <c r="E2003" t="inlineStr">
        <is>
          <t>SOLLEFTEÅ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27674-2023</t>
        </is>
      </c>
      <c r="B2004" s="1" t="n">
        <v>45097</v>
      </c>
      <c r="C2004" s="1" t="n">
        <v>45576</v>
      </c>
      <c r="D2004" t="inlineStr">
        <is>
          <t>VÄSTERNORRLANDS LÄN</t>
        </is>
      </c>
      <c r="E2004" t="inlineStr">
        <is>
          <t>SOLLEFTEÅ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29210-2023</t>
        </is>
      </c>
      <c r="B2005" s="1" t="n">
        <v>45097</v>
      </c>
      <c r="C2005" s="1" t="n">
        <v>45576</v>
      </c>
      <c r="D2005" t="inlineStr">
        <is>
          <t>VÄSTERNORRLANDS LÄN</t>
        </is>
      </c>
      <c r="E2005" t="inlineStr">
        <is>
          <t>SOLLEFTEÅ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29197-2023</t>
        </is>
      </c>
      <c r="B2006" s="1" t="n">
        <v>45097</v>
      </c>
      <c r="C2006" s="1" t="n">
        <v>45576</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28384-2023</t>
        </is>
      </c>
      <c r="B2007" s="1" t="n">
        <v>45100</v>
      </c>
      <c r="C2007" s="1" t="n">
        <v>45576</v>
      </c>
      <c r="D2007" t="inlineStr">
        <is>
          <t>VÄSTERNORRLANDS LÄN</t>
        </is>
      </c>
      <c r="E2007" t="inlineStr">
        <is>
          <t>SOLLEFTEÅ</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28385-2023</t>
        </is>
      </c>
      <c r="B2008" s="1" t="n">
        <v>45099</v>
      </c>
      <c r="C2008" s="1" t="n">
        <v>45576</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28374-2023</t>
        </is>
      </c>
      <c r="B2009" s="1" t="n">
        <v>45099</v>
      </c>
      <c r="C2009" s="1" t="n">
        <v>45576</v>
      </c>
      <c r="D2009" t="inlineStr">
        <is>
          <t>VÄSTERNORRLANDS LÄN</t>
        </is>
      </c>
      <c r="E2009" t="inlineStr">
        <is>
          <t>SOLLEFTEÅ</t>
        </is>
      </c>
      <c r="F2009" t="inlineStr">
        <is>
          <t>SCA</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28366-2023</t>
        </is>
      </c>
      <c r="B2010" s="1" t="n">
        <v>45099</v>
      </c>
      <c r="C2010" s="1" t="n">
        <v>45576</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28383-2023</t>
        </is>
      </c>
      <c r="B2011" s="1" t="n">
        <v>45099</v>
      </c>
      <c r="C2011" s="1" t="n">
        <v>45576</v>
      </c>
      <c r="D2011" t="inlineStr">
        <is>
          <t>VÄSTERNORRLANDS LÄN</t>
        </is>
      </c>
      <c r="E2011" t="inlineStr">
        <is>
          <t>SOLLEFTEÅ</t>
        </is>
      </c>
      <c r="F2011" t="inlineStr">
        <is>
          <t>SCA</t>
        </is>
      </c>
      <c r="G2011" t="n">
        <v>20.6</v>
      </c>
      <c r="H2011" t="n">
        <v>0</v>
      </c>
      <c r="I2011" t="n">
        <v>0</v>
      </c>
      <c r="J2011" t="n">
        <v>0</v>
      </c>
      <c r="K2011" t="n">
        <v>0</v>
      </c>
      <c r="L2011" t="n">
        <v>0</v>
      </c>
      <c r="M2011" t="n">
        <v>0</v>
      </c>
      <c r="N2011" t="n">
        <v>0</v>
      </c>
      <c r="O2011" t="n">
        <v>0</v>
      </c>
      <c r="P2011" t="n">
        <v>0</v>
      </c>
      <c r="Q2011" t="n">
        <v>0</v>
      </c>
      <c r="R2011" s="2" t="inlineStr"/>
    </row>
    <row r="2012" ht="15" customHeight="1">
      <c r="A2012" t="inlineStr">
        <is>
          <t>A 28375-2023</t>
        </is>
      </c>
      <c r="B2012" s="1" t="n">
        <v>45100</v>
      </c>
      <c r="C2012" s="1" t="n">
        <v>45576</v>
      </c>
      <c r="D2012" t="inlineStr">
        <is>
          <t>VÄSTERNORRLANDS LÄN</t>
        </is>
      </c>
      <c r="E2012" t="inlineStr">
        <is>
          <t>SOLLEFTEÅ</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30163-2023</t>
        </is>
      </c>
      <c r="B2013" s="1" t="n">
        <v>45099</v>
      </c>
      <c r="C2013" s="1" t="n">
        <v>45576</v>
      </c>
      <c r="D2013" t="inlineStr">
        <is>
          <t>VÄSTERNORRLANDS LÄN</t>
        </is>
      </c>
      <c r="E2013" t="inlineStr">
        <is>
          <t>SOLLEFTEÅ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28736-2023</t>
        </is>
      </c>
      <c r="B2014" s="1" t="n">
        <v>45104</v>
      </c>
      <c r="C2014" s="1" t="n">
        <v>45576</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28749-2023</t>
        </is>
      </c>
      <c r="B2015" s="1" t="n">
        <v>45103</v>
      </c>
      <c r="C2015" s="1" t="n">
        <v>45576</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29065-2023</t>
        </is>
      </c>
      <c r="B2016" s="1" t="n">
        <v>45105</v>
      </c>
      <c r="C2016" s="1" t="n">
        <v>45576</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29062-2023</t>
        </is>
      </c>
      <c r="B2017" s="1" t="n">
        <v>45104</v>
      </c>
      <c r="C2017" s="1" t="n">
        <v>45576</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29064-2023</t>
        </is>
      </c>
      <c r="B2018" s="1" t="n">
        <v>45105</v>
      </c>
      <c r="C2018" s="1" t="n">
        <v>45576</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29070-2023</t>
        </is>
      </c>
      <c r="B2019" s="1" t="n">
        <v>45105</v>
      </c>
      <c r="C2019" s="1" t="n">
        <v>45576</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29306-2023</t>
        </is>
      </c>
      <c r="B2020" s="1" t="n">
        <v>45106</v>
      </c>
      <c r="C2020" s="1" t="n">
        <v>45576</v>
      </c>
      <c r="D2020" t="inlineStr">
        <is>
          <t>VÄSTERNORRLANDS LÄN</t>
        </is>
      </c>
      <c r="E2020" t="inlineStr">
        <is>
          <t>SOLLEFTEÅ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29337-2023</t>
        </is>
      </c>
      <c r="B2021" s="1" t="n">
        <v>45105</v>
      </c>
      <c r="C2021" s="1" t="n">
        <v>45576</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29336-2023</t>
        </is>
      </c>
      <c r="B2022" s="1" t="n">
        <v>45105</v>
      </c>
      <c r="C2022" s="1" t="n">
        <v>45576</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29614-2023</t>
        </is>
      </c>
      <c r="B2023" s="1" t="n">
        <v>45107</v>
      </c>
      <c r="C2023" s="1" t="n">
        <v>45576</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29446-2023</t>
        </is>
      </c>
      <c r="B2024" s="1" t="n">
        <v>45106</v>
      </c>
      <c r="C2024" s="1" t="n">
        <v>45576</v>
      </c>
      <c r="D2024" t="inlineStr">
        <is>
          <t>VÄSTERNORRLANDS LÄN</t>
        </is>
      </c>
      <c r="E2024" t="inlineStr">
        <is>
          <t>SOLLEFTEÅ</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29612-2023</t>
        </is>
      </c>
      <c r="B2025" s="1" t="n">
        <v>45106</v>
      </c>
      <c r="C2025" s="1" t="n">
        <v>45576</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29619-2023</t>
        </is>
      </c>
      <c r="B2026" s="1" t="n">
        <v>45106</v>
      </c>
      <c r="C2026" s="1" t="n">
        <v>45576</v>
      </c>
      <c r="D2026" t="inlineStr">
        <is>
          <t>VÄSTERNORRLANDS LÄN</t>
        </is>
      </c>
      <c r="E2026" t="inlineStr">
        <is>
          <t>SOLLEFTEÅ</t>
        </is>
      </c>
      <c r="F2026" t="inlineStr">
        <is>
          <t>SCA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29611-2023</t>
        </is>
      </c>
      <c r="B2027" s="1" t="n">
        <v>45106</v>
      </c>
      <c r="C2027" s="1" t="n">
        <v>45576</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29832-2023</t>
        </is>
      </c>
      <c r="B2028" s="1" t="n">
        <v>45107</v>
      </c>
      <c r="C2028" s="1" t="n">
        <v>45576</v>
      </c>
      <c r="D2028" t="inlineStr">
        <is>
          <t>VÄSTERNORRLANDS LÄN</t>
        </is>
      </c>
      <c r="E2028" t="inlineStr">
        <is>
          <t>SOLLEFTEÅ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29952-2023</t>
        </is>
      </c>
      <c r="B2029" s="1" t="n">
        <v>45107</v>
      </c>
      <c r="C2029" s="1" t="n">
        <v>45576</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29944-2023</t>
        </is>
      </c>
      <c r="B2030" s="1" t="n">
        <v>45108</v>
      </c>
      <c r="C2030" s="1" t="n">
        <v>45576</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29956-2023</t>
        </is>
      </c>
      <c r="B2031" s="1" t="n">
        <v>45107</v>
      </c>
      <c r="C2031" s="1" t="n">
        <v>45576</v>
      </c>
      <c r="D2031" t="inlineStr">
        <is>
          <t>VÄSTERNORRLANDS LÄN</t>
        </is>
      </c>
      <c r="E2031" t="inlineStr">
        <is>
          <t>SOLLEFTEÅ</t>
        </is>
      </c>
      <c r="F2031" t="inlineStr">
        <is>
          <t>SCA</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29949-2023</t>
        </is>
      </c>
      <c r="B2032" s="1" t="n">
        <v>45107</v>
      </c>
      <c r="C2032" s="1" t="n">
        <v>45576</v>
      </c>
      <c r="D2032" t="inlineStr">
        <is>
          <t>VÄSTERNORRLANDS LÄN</t>
        </is>
      </c>
      <c r="E2032" t="inlineStr">
        <is>
          <t>SOLLEFTEÅ</t>
        </is>
      </c>
      <c r="F2032" t="inlineStr">
        <is>
          <t>SCA</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29957-2023</t>
        </is>
      </c>
      <c r="B2033" s="1" t="n">
        <v>45107</v>
      </c>
      <c r="C2033" s="1" t="n">
        <v>45576</v>
      </c>
      <c r="D2033" t="inlineStr">
        <is>
          <t>VÄSTERNORRLANDS LÄN</t>
        </is>
      </c>
      <c r="E2033" t="inlineStr">
        <is>
          <t>SOLLEFTEÅ</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29946-2023</t>
        </is>
      </c>
      <c r="B2034" s="1" t="n">
        <v>45108</v>
      </c>
      <c r="C2034" s="1" t="n">
        <v>45576</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29964-2023</t>
        </is>
      </c>
      <c r="B2035" s="1" t="n">
        <v>45108</v>
      </c>
      <c r="C2035" s="1" t="n">
        <v>45576</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30295-2023</t>
        </is>
      </c>
      <c r="B2036" s="1" t="n">
        <v>45110</v>
      </c>
      <c r="C2036" s="1" t="n">
        <v>45576</v>
      </c>
      <c r="D2036" t="inlineStr">
        <is>
          <t>VÄSTERNORRLANDS LÄN</t>
        </is>
      </c>
      <c r="E2036" t="inlineStr">
        <is>
          <t>SOLLEFTEÅ</t>
        </is>
      </c>
      <c r="F2036" t="inlineStr">
        <is>
          <t>SCA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30567-2023</t>
        </is>
      </c>
      <c r="B2037" s="1" t="n">
        <v>45112</v>
      </c>
      <c r="C2037" s="1" t="n">
        <v>45576</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30822-2023</t>
        </is>
      </c>
      <c r="B2038" s="1" t="n">
        <v>45113</v>
      </c>
      <c r="C2038" s="1" t="n">
        <v>45576</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30829-2023</t>
        </is>
      </c>
      <c r="B2039" s="1" t="n">
        <v>45113</v>
      </c>
      <c r="C2039" s="1" t="n">
        <v>45576</v>
      </c>
      <c r="D2039" t="inlineStr">
        <is>
          <t>VÄSTERNORRLANDS LÄN</t>
        </is>
      </c>
      <c r="E2039" t="inlineStr">
        <is>
          <t>SOLLEFTEÅ</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31177-2023</t>
        </is>
      </c>
      <c r="B2040" s="1" t="n">
        <v>45113</v>
      </c>
      <c r="C2040" s="1" t="n">
        <v>45576</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31179-2023</t>
        </is>
      </c>
      <c r="B2041" s="1" t="n">
        <v>45114</v>
      </c>
      <c r="C2041" s="1" t="n">
        <v>45576</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31178-2023</t>
        </is>
      </c>
      <c r="B2042" s="1" t="n">
        <v>45114</v>
      </c>
      <c r="C2042" s="1" t="n">
        <v>45576</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31387-2023</t>
        </is>
      </c>
      <c r="B2043" s="1" t="n">
        <v>45114</v>
      </c>
      <c r="C2043" s="1" t="n">
        <v>45576</v>
      </c>
      <c r="D2043" t="inlineStr">
        <is>
          <t>VÄSTERNORRLANDS LÄN</t>
        </is>
      </c>
      <c r="E2043" t="inlineStr">
        <is>
          <t>SOLLEFTEÅ</t>
        </is>
      </c>
      <c r="F2043" t="inlineStr">
        <is>
          <t>Övriga statliga verk och myndigheter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33203-2023</t>
        </is>
      </c>
      <c r="B2044" s="1" t="n">
        <v>45114</v>
      </c>
      <c r="C2044" s="1" t="n">
        <v>45576</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31913-2023</t>
        </is>
      </c>
      <c r="B2045" s="1" t="n">
        <v>45118</v>
      </c>
      <c r="C2045" s="1" t="n">
        <v>45576</v>
      </c>
      <c r="D2045" t="inlineStr">
        <is>
          <t>VÄSTERNORRLANDS LÄN</t>
        </is>
      </c>
      <c r="E2045" t="inlineStr">
        <is>
          <t>SOLLEFTEÅ</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31917-2023</t>
        </is>
      </c>
      <c r="B2046" s="1" t="n">
        <v>45119</v>
      </c>
      <c r="C2046" s="1" t="n">
        <v>45576</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31915-2023</t>
        </is>
      </c>
      <c r="B2047" s="1" t="n">
        <v>45119</v>
      </c>
      <c r="C2047" s="1" t="n">
        <v>45576</v>
      </c>
      <c r="D2047" t="inlineStr">
        <is>
          <t>VÄSTERNORRLANDS LÄN</t>
        </is>
      </c>
      <c r="E2047" t="inlineStr">
        <is>
          <t>SOLLEFTEÅ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31919-2023</t>
        </is>
      </c>
      <c r="B2048" s="1" t="n">
        <v>45118</v>
      </c>
      <c r="C2048" s="1" t="n">
        <v>45576</v>
      </c>
      <c r="D2048" t="inlineStr">
        <is>
          <t>VÄSTERNORRLANDS LÄN</t>
        </is>
      </c>
      <c r="E2048" t="inlineStr">
        <is>
          <t>SOLLEFTEÅ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31923-2023</t>
        </is>
      </c>
      <c r="B2049" s="1" t="n">
        <v>45118</v>
      </c>
      <c r="C2049" s="1" t="n">
        <v>45576</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31914-2023</t>
        </is>
      </c>
      <c r="B2050" s="1" t="n">
        <v>45118</v>
      </c>
      <c r="C2050" s="1" t="n">
        <v>45576</v>
      </c>
      <c r="D2050" t="inlineStr">
        <is>
          <t>VÄSTERNORRLANDS LÄN</t>
        </is>
      </c>
      <c r="E2050" t="inlineStr">
        <is>
          <t>SOLLEFTEÅ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31918-2023</t>
        </is>
      </c>
      <c r="B2051" s="1" t="n">
        <v>45118</v>
      </c>
      <c r="C2051" s="1" t="n">
        <v>45576</v>
      </c>
      <c r="D2051" t="inlineStr">
        <is>
          <t>VÄSTERNORRLANDS LÄN</t>
        </is>
      </c>
      <c r="E2051" t="inlineStr">
        <is>
          <t>SOLLEFTEÅ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31922-2023</t>
        </is>
      </c>
      <c r="B2052" s="1" t="n">
        <v>45119</v>
      </c>
      <c r="C2052" s="1" t="n">
        <v>45576</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31916-2023</t>
        </is>
      </c>
      <c r="B2053" s="1" t="n">
        <v>45119</v>
      </c>
      <c r="C2053" s="1" t="n">
        <v>45576</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31924-2023</t>
        </is>
      </c>
      <c r="B2054" s="1" t="n">
        <v>45118</v>
      </c>
      <c r="C2054" s="1" t="n">
        <v>45576</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31921-2023</t>
        </is>
      </c>
      <c r="B2055" s="1" t="n">
        <v>45119</v>
      </c>
      <c r="C2055" s="1" t="n">
        <v>45576</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31925-2023</t>
        </is>
      </c>
      <c r="B2056" s="1" t="n">
        <v>45118</v>
      </c>
      <c r="C2056" s="1" t="n">
        <v>45576</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33642-2023</t>
        </is>
      </c>
      <c r="B2057" s="1" t="n">
        <v>45119</v>
      </c>
      <c r="C2057" s="1" t="n">
        <v>45576</v>
      </c>
      <c r="D2057" t="inlineStr">
        <is>
          <t>VÄSTERNORRLANDS LÄN</t>
        </is>
      </c>
      <c r="E2057" t="inlineStr">
        <is>
          <t>SOLLEFTEÅ</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32466-2023</t>
        </is>
      </c>
      <c r="B2058" s="1" t="n">
        <v>45120</v>
      </c>
      <c r="C2058" s="1" t="n">
        <v>45576</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32726-2023</t>
        </is>
      </c>
      <c r="B2059" s="1" t="n">
        <v>45121</v>
      </c>
      <c r="C2059" s="1" t="n">
        <v>45576</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32728-2023</t>
        </is>
      </c>
      <c r="B2060" s="1" t="n">
        <v>45121</v>
      </c>
      <c r="C2060" s="1" t="n">
        <v>45576</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32733-2023</t>
        </is>
      </c>
      <c r="B2061" s="1" t="n">
        <v>45121</v>
      </c>
      <c r="C2061" s="1" t="n">
        <v>45576</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32727-2023</t>
        </is>
      </c>
      <c r="B2062" s="1" t="n">
        <v>45121</v>
      </c>
      <c r="C2062" s="1" t="n">
        <v>45576</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32735-2023</t>
        </is>
      </c>
      <c r="B2063" s="1" t="n">
        <v>45121</v>
      </c>
      <c r="C2063" s="1" t="n">
        <v>45576</v>
      </c>
      <c r="D2063" t="inlineStr">
        <is>
          <t>VÄSTERNORRLANDS LÄN</t>
        </is>
      </c>
      <c r="E2063" t="inlineStr">
        <is>
          <t>SOLLEFTEÅ</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32780-2023</t>
        </is>
      </c>
      <c r="B2064" s="1" t="n">
        <v>45123</v>
      </c>
      <c r="C2064" s="1" t="n">
        <v>45576</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33964-2023</t>
        </is>
      </c>
      <c r="B2065" s="1" t="n">
        <v>45124</v>
      </c>
      <c r="C2065" s="1" t="n">
        <v>45576</v>
      </c>
      <c r="D2065" t="inlineStr">
        <is>
          <t>VÄSTERNORRLANDS LÄN</t>
        </is>
      </c>
      <c r="E2065" t="inlineStr">
        <is>
          <t>SOLLEFTEÅ</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33037-2023</t>
        </is>
      </c>
      <c r="B2066" s="1" t="n">
        <v>45126</v>
      </c>
      <c r="C2066" s="1" t="n">
        <v>45576</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34100-2023</t>
        </is>
      </c>
      <c r="B2067" s="1" t="n">
        <v>45125</v>
      </c>
      <c r="C2067" s="1" t="n">
        <v>45576</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33175-2023</t>
        </is>
      </c>
      <c r="B2068" s="1" t="n">
        <v>45126</v>
      </c>
      <c r="C2068" s="1" t="n">
        <v>45576</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33328-2023</t>
        </is>
      </c>
      <c r="B2069" s="1" t="n">
        <v>45127</v>
      </c>
      <c r="C2069" s="1" t="n">
        <v>45576</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34284-2023</t>
        </is>
      </c>
      <c r="B2070" s="1" t="n">
        <v>45128</v>
      </c>
      <c r="C2070" s="1" t="n">
        <v>45576</v>
      </c>
      <c r="D2070" t="inlineStr">
        <is>
          <t>VÄSTERNORRLANDS LÄN</t>
        </is>
      </c>
      <c r="E2070" t="inlineStr">
        <is>
          <t>SOLLEFTEÅ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33591-2023</t>
        </is>
      </c>
      <c r="B2071" s="1" t="n">
        <v>45131</v>
      </c>
      <c r="C2071" s="1" t="n">
        <v>45576</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33709-2023</t>
        </is>
      </c>
      <c r="B2072" s="1" t="n">
        <v>45133</v>
      </c>
      <c r="C2072" s="1" t="n">
        <v>45576</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33713-2023</t>
        </is>
      </c>
      <c r="B2073" s="1" t="n">
        <v>45133</v>
      </c>
      <c r="C2073" s="1" t="n">
        <v>45576</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33999-2023</t>
        </is>
      </c>
      <c r="B2074" s="1" t="n">
        <v>45134</v>
      </c>
      <c r="C2074" s="1" t="n">
        <v>45576</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34309-2023</t>
        </is>
      </c>
      <c r="B2075" s="1" t="n">
        <v>45139</v>
      </c>
      <c r="C2075" s="1" t="n">
        <v>45576</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34306-2023</t>
        </is>
      </c>
      <c r="B2076" s="1" t="n">
        <v>45138</v>
      </c>
      <c r="C2076" s="1" t="n">
        <v>45576</v>
      </c>
      <c r="D2076" t="inlineStr">
        <is>
          <t>VÄSTERNORRLANDS LÄN</t>
        </is>
      </c>
      <c r="E2076" t="inlineStr">
        <is>
          <t>SOLLEFTEÅ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34310-2023</t>
        </is>
      </c>
      <c r="B2077" s="1" t="n">
        <v>45139</v>
      </c>
      <c r="C2077" s="1" t="n">
        <v>45576</v>
      </c>
      <c r="D2077" t="inlineStr">
        <is>
          <t>VÄSTERNORRLANDS LÄN</t>
        </is>
      </c>
      <c r="E2077" t="inlineStr">
        <is>
          <t>SOLLEFTEÅ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34308-2023</t>
        </is>
      </c>
      <c r="B2078" s="1" t="n">
        <v>45138</v>
      </c>
      <c r="C2078" s="1" t="n">
        <v>45576</v>
      </c>
      <c r="D2078" t="inlineStr">
        <is>
          <t>VÄSTERNORRLANDS LÄN</t>
        </is>
      </c>
      <c r="E2078" t="inlineStr">
        <is>
          <t>SOLLEFTEÅ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34329-2023</t>
        </is>
      </c>
      <c r="B2079" s="1" t="n">
        <v>45139</v>
      </c>
      <c r="C2079" s="1" t="n">
        <v>45576</v>
      </c>
      <c r="D2079" t="inlineStr">
        <is>
          <t>VÄSTERNORRLANDS LÄN</t>
        </is>
      </c>
      <c r="E2079" t="inlineStr">
        <is>
          <t>SOLLEFTEÅ</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34330-2023</t>
        </is>
      </c>
      <c r="B2080" s="1" t="n">
        <v>45138</v>
      </c>
      <c r="C2080" s="1" t="n">
        <v>45576</v>
      </c>
      <c r="D2080" t="inlineStr">
        <is>
          <t>VÄSTERNORRLANDS LÄN</t>
        </is>
      </c>
      <c r="E2080" t="inlineStr">
        <is>
          <t>SOLLEFTEÅ</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34328-2023</t>
        </is>
      </c>
      <c r="B2081" s="1" t="n">
        <v>45139</v>
      </c>
      <c r="C2081" s="1" t="n">
        <v>45576</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34307-2023</t>
        </is>
      </c>
      <c r="B2082" s="1" t="n">
        <v>45138</v>
      </c>
      <c r="C2082" s="1" t="n">
        <v>45576</v>
      </c>
      <c r="D2082" t="inlineStr">
        <is>
          <t>VÄSTERNORRLANDS LÄN</t>
        </is>
      </c>
      <c r="E2082" t="inlineStr">
        <is>
          <t>SOLLEFTEÅ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34311-2023</t>
        </is>
      </c>
      <c r="B2083" s="1" t="n">
        <v>45139</v>
      </c>
      <c r="C2083" s="1" t="n">
        <v>45576</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34327-2023</t>
        </is>
      </c>
      <c r="B2084" s="1" t="n">
        <v>45139</v>
      </c>
      <c r="C2084" s="1" t="n">
        <v>45576</v>
      </c>
      <c r="D2084" t="inlineStr">
        <is>
          <t>VÄSTERNORRLANDS LÄN</t>
        </is>
      </c>
      <c r="E2084" t="inlineStr">
        <is>
          <t>SOLLEFTEÅ</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34487-2023</t>
        </is>
      </c>
      <c r="B2085" s="1" t="n">
        <v>45140</v>
      </c>
      <c r="C2085" s="1" t="n">
        <v>45576</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34741-2023</t>
        </is>
      </c>
      <c r="B2086" s="1" t="n">
        <v>45139</v>
      </c>
      <c r="C2086" s="1" t="n">
        <v>45576</v>
      </c>
      <c r="D2086" t="inlineStr">
        <is>
          <t>VÄSTERNORRLANDS LÄN</t>
        </is>
      </c>
      <c r="E2086" t="inlineStr">
        <is>
          <t>SOLLEFTEÅ</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34737-2023</t>
        </is>
      </c>
      <c r="B2087" s="1" t="n">
        <v>45139</v>
      </c>
      <c r="C2087" s="1" t="n">
        <v>45576</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34687-2023</t>
        </is>
      </c>
      <c r="B2088" s="1" t="n">
        <v>45141</v>
      </c>
      <c r="C2088" s="1" t="n">
        <v>45576</v>
      </c>
      <c r="D2088" t="inlineStr">
        <is>
          <t>VÄSTERNORRLANDS LÄN</t>
        </is>
      </c>
      <c r="E2088" t="inlineStr">
        <is>
          <t>SOLLEFTEÅ</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34686-2023</t>
        </is>
      </c>
      <c r="B2089" s="1" t="n">
        <v>45141</v>
      </c>
      <c r="C2089" s="1" t="n">
        <v>45576</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34696-2023</t>
        </is>
      </c>
      <c r="B2090" s="1" t="n">
        <v>45141</v>
      </c>
      <c r="C2090" s="1" t="n">
        <v>45576</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34983-2023</t>
        </is>
      </c>
      <c r="B2091" s="1" t="n">
        <v>45141</v>
      </c>
      <c r="C2091" s="1" t="n">
        <v>45576</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34848-2023</t>
        </is>
      </c>
      <c r="B2092" s="1" t="n">
        <v>45142</v>
      </c>
      <c r="C2092" s="1" t="n">
        <v>45576</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35147-2023</t>
        </is>
      </c>
      <c r="B2093" s="1" t="n">
        <v>45142</v>
      </c>
      <c r="C2093" s="1" t="n">
        <v>45576</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35276-2023</t>
        </is>
      </c>
      <c r="B2094" s="1" t="n">
        <v>45146</v>
      </c>
      <c r="C2094" s="1" t="n">
        <v>45576</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35295-2023</t>
        </is>
      </c>
      <c r="B2095" s="1" t="n">
        <v>45145</v>
      </c>
      <c r="C2095" s="1" t="n">
        <v>45576</v>
      </c>
      <c r="D2095" t="inlineStr">
        <is>
          <t>VÄSTERNORRLANDS LÄN</t>
        </is>
      </c>
      <c r="E2095" t="inlineStr">
        <is>
          <t>SOLLEFTEÅ</t>
        </is>
      </c>
      <c r="F2095" t="inlineStr">
        <is>
          <t>SCA</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35277-2023</t>
        </is>
      </c>
      <c r="B2096" s="1" t="n">
        <v>45145</v>
      </c>
      <c r="C2096" s="1" t="n">
        <v>45576</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35352-2023</t>
        </is>
      </c>
      <c r="B2097" s="1" t="n">
        <v>45145</v>
      </c>
      <c r="C2097" s="1" t="n">
        <v>45576</v>
      </c>
      <c r="D2097" t="inlineStr">
        <is>
          <t>VÄSTERNORRLANDS LÄN</t>
        </is>
      </c>
      <c r="E2097" t="inlineStr">
        <is>
          <t>SOLLEFTEÅ</t>
        </is>
      </c>
      <c r="F2097" t="inlineStr">
        <is>
          <t>SCA</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35470-2023</t>
        </is>
      </c>
      <c r="B2098" s="1" t="n">
        <v>45146</v>
      </c>
      <c r="C2098" s="1" t="n">
        <v>45576</v>
      </c>
      <c r="D2098" t="inlineStr">
        <is>
          <t>VÄSTERNORRLANDS LÄN</t>
        </is>
      </c>
      <c r="E2098" t="inlineStr">
        <is>
          <t>SOLLEFTEÅ</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35511-2023</t>
        </is>
      </c>
      <c r="B2099" s="1" t="n">
        <v>45146</v>
      </c>
      <c r="C2099" s="1" t="n">
        <v>45576</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35509-2023</t>
        </is>
      </c>
      <c r="B2100" s="1" t="n">
        <v>45147</v>
      </c>
      <c r="C2100" s="1" t="n">
        <v>45576</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35569-2023</t>
        </is>
      </c>
      <c r="B2101" s="1" t="n">
        <v>45147</v>
      </c>
      <c r="C2101" s="1" t="n">
        <v>45576</v>
      </c>
      <c r="D2101" t="inlineStr">
        <is>
          <t>VÄSTERNORRLANDS LÄN</t>
        </is>
      </c>
      <c r="E2101" t="inlineStr">
        <is>
          <t>SOLLEFTEÅ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35746-2023</t>
        </is>
      </c>
      <c r="B2102" s="1" t="n">
        <v>45148</v>
      </c>
      <c r="C2102" s="1" t="n">
        <v>45576</v>
      </c>
      <c r="D2102" t="inlineStr">
        <is>
          <t>VÄSTERNORRLANDS LÄN</t>
        </is>
      </c>
      <c r="E2102" t="inlineStr">
        <is>
          <t>SOLLEFTEÅ</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35556-2023</t>
        </is>
      </c>
      <c r="B2103" s="1" t="n">
        <v>45147</v>
      </c>
      <c r="C2103" s="1" t="n">
        <v>45576</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35764-2023</t>
        </is>
      </c>
      <c r="B2104" s="1" t="n">
        <v>45147</v>
      </c>
      <c r="C2104" s="1" t="n">
        <v>45576</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35745-2023</t>
        </is>
      </c>
      <c r="B2105" s="1" t="n">
        <v>45148</v>
      </c>
      <c r="C2105" s="1" t="n">
        <v>45576</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35761-2023</t>
        </is>
      </c>
      <c r="B2106" s="1" t="n">
        <v>45148</v>
      </c>
      <c r="C2106" s="1" t="n">
        <v>45576</v>
      </c>
      <c r="D2106" t="inlineStr">
        <is>
          <t>VÄSTERNORRLANDS LÄN</t>
        </is>
      </c>
      <c r="E2106" t="inlineStr">
        <is>
          <t>SOLLEFTEÅ</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35945-2023</t>
        </is>
      </c>
      <c r="B2107" s="1" t="n">
        <v>45148</v>
      </c>
      <c r="C2107" s="1" t="n">
        <v>45576</v>
      </c>
      <c r="D2107" t="inlineStr">
        <is>
          <t>VÄSTERNORRLANDS LÄN</t>
        </is>
      </c>
      <c r="E2107" t="inlineStr">
        <is>
          <t>SOLLEFTEÅ</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35980-2023</t>
        </is>
      </c>
      <c r="B2108" s="1" t="n">
        <v>45149</v>
      </c>
      <c r="C2108" s="1" t="n">
        <v>45576</v>
      </c>
      <c r="D2108" t="inlineStr">
        <is>
          <t>VÄSTERNORRLANDS LÄN</t>
        </is>
      </c>
      <c r="E2108" t="inlineStr">
        <is>
          <t>SOLLEFTEÅ</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35975-2023</t>
        </is>
      </c>
      <c r="B2109" s="1" t="n">
        <v>45148</v>
      </c>
      <c r="C2109" s="1" t="n">
        <v>45576</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35974-2023</t>
        </is>
      </c>
      <c r="B2110" s="1" t="n">
        <v>45148</v>
      </c>
      <c r="C2110" s="1" t="n">
        <v>45576</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35978-2023</t>
        </is>
      </c>
      <c r="B2111" s="1" t="n">
        <v>45148</v>
      </c>
      <c r="C2111" s="1" t="n">
        <v>45576</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35977-2023</t>
        </is>
      </c>
      <c r="B2112" s="1" t="n">
        <v>45149</v>
      </c>
      <c r="C2112" s="1" t="n">
        <v>45576</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36211-2023</t>
        </is>
      </c>
      <c r="B2113" s="1" t="n">
        <v>45150</v>
      </c>
      <c r="C2113" s="1" t="n">
        <v>45576</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36222-2023</t>
        </is>
      </c>
      <c r="B2114" s="1" t="n">
        <v>45150</v>
      </c>
      <c r="C2114" s="1" t="n">
        <v>45576</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36511-2023</t>
        </is>
      </c>
      <c r="B2115" s="1" t="n">
        <v>45153</v>
      </c>
      <c r="C2115" s="1" t="n">
        <v>45576</v>
      </c>
      <c r="D2115" t="inlineStr">
        <is>
          <t>VÄSTERNORRLANDS LÄN</t>
        </is>
      </c>
      <c r="E2115" t="inlineStr">
        <is>
          <t>SOLLEFTEÅ</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36514-2023</t>
        </is>
      </c>
      <c r="B2116" s="1" t="n">
        <v>45153</v>
      </c>
      <c r="C2116" s="1" t="n">
        <v>45576</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36508-2023</t>
        </is>
      </c>
      <c r="B2117" s="1" t="n">
        <v>45153</v>
      </c>
      <c r="C2117" s="1" t="n">
        <v>45576</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36512-2023</t>
        </is>
      </c>
      <c r="B2118" s="1" t="n">
        <v>45152</v>
      </c>
      <c r="C2118" s="1" t="n">
        <v>45576</v>
      </c>
      <c r="D2118" t="inlineStr">
        <is>
          <t>VÄSTERNORRLANDS LÄN</t>
        </is>
      </c>
      <c r="E2118" t="inlineStr">
        <is>
          <t>SOLLEFTEÅ</t>
        </is>
      </c>
      <c r="F2118" t="inlineStr">
        <is>
          <t>SCA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36513-2023</t>
        </is>
      </c>
      <c r="B2119" s="1" t="n">
        <v>45153</v>
      </c>
      <c r="C2119" s="1" t="n">
        <v>45576</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36770-2023</t>
        </is>
      </c>
      <c r="B2120" s="1" t="n">
        <v>45153</v>
      </c>
      <c r="C2120" s="1" t="n">
        <v>45576</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36771-2023</t>
        </is>
      </c>
      <c r="B2121" s="1" t="n">
        <v>45153</v>
      </c>
      <c r="C2121" s="1" t="n">
        <v>45576</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36944-2023</t>
        </is>
      </c>
      <c r="B2122" s="1" t="n">
        <v>45154</v>
      </c>
      <c r="C2122" s="1" t="n">
        <v>45576</v>
      </c>
      <c r="D2122" t="inlineStr">
        <is>
          <t>VÄSTERNORRLANDS LÄN</t>
        </is>
      </c>
      <c r="E2122" t="inlineStr">
        <is>
          <t>SOLLEFTEÅ</t>
        </is>
      </c>
      <c r="F2122" t="inlineStr">
        <is>
          <t>Övriga Aktiebolag</t>
        </is>
      </c>
      <c r="G2122" t="n">
        <v>16.9</v>
      </c>
      <c r="H2122" t="n">
        <v>0</v>
      </c>
      <c r="I2122" t="n">
        <v>0</v>
      </c>
      <c r="J2122" t="n">
        <v>0</v>
      </c>
      <c r="K2122" t="n">
        <v>0</v>
      </c>
      <c r="L2122" t="n">
        <v>0</v>
      </c>
      <c r="M2122" t="n">
        <v>0</v>
      </c>
      <c r="N2122" t="n">
        <v>0</v>
      </c>
      <c r="O2122" t="n">
        <v>0</v>
      </c>
      <c r="P2122" t="n">
        <v>0</v>
      </c>
      <c r="Q2122" t="n">
        <v>0</v>
      </c>
      <c r="R2122" s="2" t="inlineStr"/>
    </row>
    <row r="2123" ht="15" customHeight="1">
      <c r="A2123" t="inlineStr">
        <is>
          <t>A 36976-2023</t>
        </is>
      </c>
      <c r="B2123" s="1" t="n">
        <v>45155</v>
      </c>
      <c r="C2123" s="1" t="n">
        <v>45576</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36977-2023</t>
        </is>
      </c>
      <c r="B2124" s="1" t="n">
        <v>45155</v>
      </c>
      <c r="C2124" s="1" t="n">
        <v>45576</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36967-2023</t>
        </is>
      </c>
      <c r="B2125" s="1" t="n">
        <v>45155</v>
      </c>
      <c r="C2125" s="1" t="n">
        <v>45576</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37269-2023</t>
        </is>
      </c>
      <c r="B2126" s="1" t="n">
        <v>45155</v>
      </c>
      <c r="C2126" s="1" t="n">
        <v>45576</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37412-2023</t>
        </is>
      </c>
      <c r="B2127" s="1" t="n">
        <v>45155</v>
      </c>
      <c r="C2127" s="1" t="n">
        <v>45576</v>
      </c>
      <c r="D2127" t="inlineStr">
        <is>
          <t>VÄSTERNORRLANDS LÄN</t>
        </is>
      </c>
      <c r="E2127" t="inlineStr">
        <is>
          <t>SOLLEFTEÅ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37381-2023</t>
        </is>
      </c>
      <c r="B2128" s="1" t="n">
        <v>45155</v>
      </c>
      <c r="C2128" s="1" t="n">
        <v>45576</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37484-2023</t>
        </is>
      </c>
      <c r="B2129" s="1" t="n">
        <v>45156</v>
      </c>
      <c r="C2129" s="1" t="n">
        <v>45576</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37615-2023</t>
        </is>
      </c>
      <c r="B2130" s="1" t="n">
        <v>45156</v>
      </c>
      <c r="C2130" s="1" t="n">
        <v>45576</v>
      </c>
      <c r="D2130" t="inlineStr">
        <is>
          <t>VÄSTERNORRLANDS LÄN</t>
        </is>
      </c>
      <c r="E2130" t="inlineStr">
        <is>
          <t>SOLLEFTEÅ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37711-2023</t>
        </is>
      </c>
      <c r="B2131" s="1" t="n">
        <v>45156</v>
      </c>
      <c r="C2131" s="1" t="n">
        <v>45576</v>
      </c>
      <c r="D2131" t="inlineStr">
        <is>
          <t>VÄSTERNORRLANDS LÄN</t>
        </is>
      </c>
      <c r="E2131" t="inlineStr">
        <is>
          <t>SOLLEFTEÅ</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37735-2023</t>
        </is>
      </c>
      <c r="B2132" s="1" t="n">
        <v>45156</v>
      </c>
      <c r="C2132" s="1" t="n">
        <v>45576</v>
      </c>
      <c r="D2132" t="inlineStr">
        <is>
          <t>VÄSTERNORRLANDS LÄN</t>
        </is>
      </c>
      <c r="E2132" t="inlineStr">
        <is>
          <t>SOLLEFTEÅ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37486-2023</t>
        </is>
      </c>
      <c r="B2133" s="1" t="n">
        <v>45157</v>
      </c>
      <c r="C2133" s="1" t="n">
        <v>45576</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37691-2023</t>
        </is>
      </c>
      <c r="B2134" s="1" t="n">
        <v>45156</v>
      </c>
      <c r="C2134" s="1" t="n">
        <v>45576</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37722-2023</t>
        </is>
      </c>
      <c r="B2135" s="1" t="n">
        <v>45156</v>
      </c>
      <c r="C2135" s="1" t="n">
        <v>45576</v>
      </c>
      <c r="D2135" t="inlineStr">
        <is>
          <t>VÄSTERNORRLANDS LÄN</t>
        </is>
      </c>
      <c r="E2135" t="inlineStr">
        <is>
          <t>SOLLEFTEÅ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37611-2023</t>
        </is>
      </c>
      <c r="B2136" s="1" t="n">
        <v>45156</v>
      </c>
      <c r="C2136" s="1" t="n">
        <v>45576</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37671-2023</t>
        </is>
      </c>
      <c r="B2137" s="1" t="n">
        <v>45156</v>
      </c>
      <c r="C2137" s="1" t="n">
        <v>45576</v>
      </c>
      <c r="D2137" t="inlineStr">
        <is>
          <t>VÄSTERNORRLANDS LÄN</t>
        </is>
      </c>
      <c r="E2137" t="inlineStr">
        <is>
          <t>SOLLEFTEÅ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37696-2023</t>
        </is>
      </c>
      <c r="B2138" s="1" t="n">
        <v>45156</v>
      </c>
      <c r="C2138" s="1" t="n">
        <v>45576</v>
      </c>
      <c r="D2138" t="inlineStr">
        <is>
          <t>VÄSTERNORRLANDS LÄN</t>
        </is>
      </c>
      <c r="E2138" t="inlineStr">
        <is>
          <t>SOLLEFTEÅ</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37726-2023</t>
        </is>
      </c>
      <c r="B2139" s="1" t="n">
        <v>45156</v>
      </c>
      <c r="C2139" s="1" t="n">
        <v>45576</v>
      </c>
      <c r="D2139" t="inlineStr">
        <is>
          <t>VÄSTERNORRLANDS LÄN</t>
        </is>
      </c>
      <c r="E2139" t="inlineStr">
        <is>
          <t>SOLLEFTEÅ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37483-2023</t>
        </is>
      </c>
      <c r="B2140" s="1" t="n">
        <v>45157</v>
      </c>
      <c r="C2140" s="1" t="n">
        <v>45576</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37487-2023</t>
        </is>
      </c>
      <c r="B2141" s="1" t="n">
        <v>45157</v>
      </c>
      <c r="C2141" s="1" t="n">
        <v>45576</v>
      </c>
      <c r="D2141" t="inlineStr">
        <is>
          <t>VÄSTERNORRLANDS LÄN</t>
        </is>
      </c>
      <c r="E2141" t="inlineStr">
        <is>
          <t>SOLLEFTEÅ</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37699-2023</t>
        </is>
      </c>
      <c r="B2142" s="1" t="n">
        <v>45156</v>
      </c>
      <c r="C2142" s="1" t="n">
        <v>45576</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37731-2023</t>
        </is>
      </c>
      <c r="B2143" s="1" t="n">
        <v>45156</v>
      </c>
      <c r="C2143" s="1" t="n">
        <v>45576</v>
      </c>
      <c r="D2143" t="inlineStr">
        <is>
          <t>VÄSTERNORRLANDS LÄN</t>
        </is>
      </c>
      <c r="E2143" t="inlineStr">
        <is>
          <t>SOLLEFTEÅ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37807-2023</t>
        </is>
      </c>
      <c r="B2144" s="1" t="n">
        <v>45160</v>
      </c>
      <c r="C2144" s="1" t="n">
        <v>45576</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38093-2023</t>
        </is>
      </c>
      <c r="B2145" s="1" t="n">
        <v>45160</v>
      </c>
      <c r="C2145" s="1" t="n">
        <v>45576</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38097-2023</t>
        </is>
      </c>
      <c r="B2146" s="1" t="n">
        <v>45160</v>
      </c>
      <c r="C2146" s="1" t="n">
        <v>45576</v>
      </c>
      <c r="D2146" t="inlineStr">
        <is>
          <t>VÄSTERNORRLANDS LÄN</t>
        </is>
      </c>
      <c r="E2146" t="inlineStr">
        <is>
          <t>SOLLEFTEÅ</t>
        </is>
      </c>
      <c r="F2146" t="inlineStr">
        <is>
          <t>SCA</t>
        </is>
      </c>
      <c r="G2146" t="n">
        <v>47.1</v>
      </c>
      <c r="H2146" t="n">
        <v>0</v>
      </c>
      <c r="I2146" t="n">
        <v>0</v>
      </c>
      <c r="J2146" t="n">
        <v>0</v>
      </c>
      <c r="K2146" t="n">
        <v>0</v>
      </c>
      <c r="L2146" t="n">
        <v>0</v>
      </c>
      <c r="M2146" t="n">
        <v>0</v>
      </c>
      <c r="N2146" t="n">
        <v>0</v>
      </c>
      <c r="O2146" t="n">
        <v>0</v>
      </c>
      <c r="P2146" t="n">
        <v>0</v>
      </c>
      <c r="Q2146" t="n">
        <v>0</v>
      </c>
      <c r="R2146" s="2" t="inlineStr"/>
    </row>
    <row r="2147" ht="15" customHeight="1">
      <c r="A2147" t="inlineStr">
        <is>
          <t>A 38092-2023</t>
        </is>
      </c>
      <c r="B2147" s="1" t="n">
        <v>45161</v>
      </c>
      <c r="C2147" s="1" t="n">
        <v>45576</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38100-2023</t>
        </is>
      </c>
      <c r="B2148" s="1" t="n">
        <v>45161</v>
      </c>
      <c r="C2148" s="1" t="n">
        <v>45576</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39077-2023</t>
        </is>
      </c>
      <c r="B2149" s="1" t="n">
        <v>45164</v>
      </c>
      <c r="C2149" s="1" t="n">
        <v>45576</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39399-2023</t>
        </is>
      </c>
      <c r="B2150" s="1" t="n">
        <v>45163</v>
      </c>
      <c r="C2150" s="1" t="n">
        <v>45576</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39058-2023</t>
        </is>
      </c>
      <c r="B2151" s="1" t="n">
        <v>45164</v>
      </c>
      <c r="C2151" s="1" t="n">
        <v>45576</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39379-2023</t>
        </is>
      </c>
      <c r="B2152" s="1" t="n">
        <v>45163</v>
      </c>
      <c r="C2152" s="1" t="n">
        <v>45576</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39496-2023</t>
        </is>
      </c>
      <c r="B2153" s="1" t="n">
        <v>45167</v>
      </c>
      <c r="C2153" s="1" t="n">
        <v>45576</v>
      </c>
      <c r="D2153" t="inlineStr">
        <is>
          <t>VÄSTERNORRLANDS LÄN</t>
        </is>
      </c>
      <c r="E2153" t="inlineStr">
        <is>
          <t>SOLLEFTEÅ</t>
        </is>
      </c>
      <c r="F2153" t="inlineStr">
        <is>
          <t>SCA</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39497-2023</t>
        </is>
      </c>
      <c r="B2154" s="1" t="n">
        <v>45167</v>
      </c>
      <c r="C2154" s="1" t="n">
        <v>45576</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39727-2023</t>
        </is>
      </c>
      <c r="B2155" s="1" t="n">
        <v>45166</v>
      </c>
      <c r="C2155" s="1" t="n">
        <v>45576</v>
      </c>
      <c r="D2155" t="inlineStr">
        <is>
          <t>VÄSTERNORRLANDS LÄN</t>
        </is>
      </c>
      <c r="E2155" t="inlineStr">
        <is>
          <t>SOLLEFTEÅ</t>
        </is>
      </c>
      <c r="F2155" t="inlineStr">
        <is>
          <t>SCA</t>
        </is>
      </c>
      <c r="G2155" t="n">
        <v>45.3</v>
      </c>
      <c r="H2155" t="n">
        <v>0</v>
      </c>
      <c r="I2155" t="n">
        <v>0</v>
      </c>
      <c r="J2155" t="n">
        <v>0</v>
      </c>
      <c r="K2155" t="n">
        <v>0</v>
      </c>
      <c r="L2155" t="n">
        <v>0</v>
      </c>
      <c r="M2155" t="n">
        <v>0</v>
      </c>
      <c r="N2155" t="n">
        <v>0</v>
      </c>
      <c r="O2155" t="n">
        <v>0</v>
      </c>
      <c r="P2155" t="n">
        <v>0</v>
      </c>
      <c r="Q2155" t="n">
        <v>0</v>
      </c>
      <c r="R2155" s="2" t="inlineStr"/>
    </row>
    <row r="2156" ht="15" customHeight="1">
      <c r="A2156" t="inlineStr">
        <is>
          <t>A 39495-2023</t>
        </is>
      </c>
      <c r="B2156" s="1" t="n">
        <v>45167</v>
      </c>
      <c r="C2156" s="1" t="n">
        <v>45576</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40098-2023</t>
        </is>
      </c>
      <c r="B2157" s="1" t="n">
        <v>45169</v>
      </c>
      <c r="C2157" s="1" t="n">
        <v>45576</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40099-2023</t>
        </is>
      </c>
      <c r="B2158" s="1" t="n">
        <v>45169</v>
      </c>
      <c r="C2158" s="1" t="n">
        <v>45576</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40115-2023</t>
        </is>
      </c>
      <c r="B2159" s="1" t="n">
        <v>45169</v>
      </c>
      <c r="C2159" s="1" t="n">
        <v>45576</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40202-2023</t>
        </is>
      </c>
      <c r="B2160" s="1" t="n">
        <v>45169</v>
      </c>
      <c r="C2160" s="1" t="n">
        <v>45576</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40403-2023</t>
        </is>
      </c>
      <c r="B2161" s="1" t="n">
        <v>45170</v>
      </c>
      <c r="C2161" s="1" t="n">
        <v>45576</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40404-2023</t>
        </is>
      </c>
      <c r="B2162" s="1" t="n">
        <v>45170</v>
      </c>
      <c r="C2162" s="1" t="n">
        <v>45576</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40429-2023</t>
        </is>
      </c>
      <c r="B2163" s="1" t="n">
        <v>45169</v>
      </c>
      <c r="C2163" s="1" t="n">
        <v>45576</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40421-2023</t>
        </is>
      </c>
      <c r="B2164" s="1" t="n">
        <v>45170</v>
      </c>
      <c r="C2164" s="1" t="n">
        <v>45576</v>
      </c>
      <c r="D2164" t="inlineStr">
        <is>
          <t>VÄSTERNORRLANDS LÄN</t>
        </is>
      </c>
      <c r="E2164" t="inlineStr">
        <is>
          <t>SOLLEFTEÅ</t>
        </is>
      </c>
      <c r="F2164" t="inlineStr">
        <is>
          <t>SCA</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40766-2023</t>
        </is>
      </c>
      <c r="B2165" s="1" t="n">
        <v>45170</v>
      </c>
      <c r="C2165" s="1" t="n">
        <v>45576</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40764-2023</t>
        </is>
      </c>
      <c r="B2166" s="1" t="n">
        <v>45170</v>
      </c>
      <c r="C2166" s="1" t="n">
        <v>45576</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41145-2023</t>
        </is>
      </c>
      <c r="B2167" s="1" t="n">
        <v>45174</v>
      </c>
      <c r="C2167" s="1" t="n">
        <v>45576</v>
      </c>
      <c r="D2167" t="inlineStr">
        <is>
          <t>VÄSTERNORRLANDS LÄN</t>
        </is>
      </c>
      <c r="E2167" t="inlineStr">
        <is>
          <t>SOLLEFTEÅ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41146-2023</t>
        </is>
      </c>
      <c r="B2168" s="1" t="n">
        <v>45174</v>
      </c>
      <c r="C2168" s="1" t="n">
        <v>45576</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41143-2023</t>
        </is>
      </c>
      <c r="B2169" s="1" t="n">
        <v>45174</v>
      </c>
      <c r="C2169" s="1" t="n">
        <v>45576</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41257-2023</t>
        </is>
      </c>
      <c r="B2170" s="1" t="n">
        <v>45174</v>
      </c>
      <c r="C2170" s="1" t="n">
        <v>45576</v>
      </c>
      <c r="D2170" t="inlineStr">
        <is>
          <t>VÄSTERNORRLANDS LÄN</t>
        </is>
      </c>
      <c r="E2170" t="inlineStr">
        <is>
          <t>SOLLEFTEÅ</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41655-2023</t>
        </is>
      </c>
      <c r="B2171" s="1" t="n">
        <v>45176</v>
      </c>
      <c r="C2171" s="1" t="n">
        <v>45576</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41933-2023</t>
        </is>
      </c>
      <c r="B2172" s="1" t="n">
        <v>45177</v>
      </c>
      <c r="C2172" s="1" t="n">
        <v>45576</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41924-2023</t>
        </is>
      </c>
      <c r="B2173" s="1" t="n">
        <v>45176</v>
      </c>
      <c r="C2173" s="1" t="n">
        <v>45576</v>
      </c>
      <c r="D2173" t="inlineStr">
        <is>
          <t>VÄSTERNORRLANDS LÄN</t>
        </is>
      </c>
      <c r="E2173" t="inlineStr">
        <is>
          <t>SOLLEFTEÅ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42150-2023</t>
        </is>
      </c>
      <c r="B2174" s="1" t="n">
        <v>45178</v>
      </c>
      <c r="C2174" s="1" t="n">
        <v>45576</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42162-2023</t>
        </is>
      </c>
      <c r="B2175" s="1" t="n">
        <v>45178</v>
      </c>
      <c r="C2175" s="1" t="n">
        <v>45576</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42140-2023</t>
        </is>
      </c>
      <c r="B2176" s="1" t="n">
        <v>45178</v>
      </c>
      <c r="C2176" s="1" t="n">
        <v>45576</v>
      </c>
      <c r="D2176" t="inlineStr">
        <is>
          <t>VÄSTERNORRLANDS LÄN</t>
        </is>
      </c>
      <c r="E2176" t="inlineStr">
        <is>
          <t>SOLLEFTEÅ</t>
        </is>
      </c>
      <c r="G2176" t="n">
        <v>13.3</v>
      </c>
      <c r="H2176" t="n">
        <v>0</v>
      </c>
      <c r="I2176" t="n">
        <v>0</v>
      </c>
      <c r="J2176" t="n">
        <v>0</v>
      </c>
      <c r="K2176" t="n">
        <v>0</v>
      </c>
      <c r="L2176" t="n">
        <v>0</v>
      </c>
      <c r="M2176" t="n">
        <v>0</v>
      </c>
      <c r="N2176" t="n">
        <v>0</v>
      </c>
      <c r="O2176" t="n">
        <v>0</v>
      </c>
      <c r="P2176" t="n">
        <v>0</v>
      </c>
      <c r="Q2176" t="n">
        <v>0</v>
      </c>
      <c r="R2176" s="2" t="inlineStr"/>
    </row>
    <row r="2177" ht="15" customHeight="1">
      <c r="A2177" t="inlineStr">
        <is>
          <t>A 42160-2023</t>
        </is>
      </c>
      <c r="B2177" s="1" t="n">
        <v>45177</v>
      </c>
      <c r="C2177" s="1" t="n">
        <v>45576</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42164-2023</t>
        </is>
      </c>
      <c r="B2178" s="1" t="n">
        <v>45178</v>
      </c>
      <c r="C2178" s="1" t="n">
        <v>45576</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42147-2023</t>
        </is>
      </c>
      <c r="B2179" s="1" t="n">
        <v>45177</v>
      </c>
      <c r="C2179" s="1" t="n">
        <v>45576</v>
      </c>
      <c r="D2179" t="inlineStr">
        <is>
          <t>VÄSTERNORRLANDS LÄN</t>
        </is>
      </c>
      <c r="E2179" t="inlineStr">
        <is>
          <t>SOLLEFTEÅ</t>
        </is>
      </c>
      <c r="G2179" t="n">
        <v>24.4</v>
      </c>
      <c r="H2179" t="n">
        <v>0</v>
      </c>
      <c r="I2179" t="n">
        <v>0</v>
      </c>
      <c r="J2179" t="n">
        <v>0</v>
      </c>
      <c r="K2179" t="n">
        <v>0</v>
      </c>
      <c r="L2179" t="n">
        <v>0</v>
      </c>
      <c r="M2179" t="n">
        <v>0</v>
      </c>
      <c r="N2179" t="n">
        <v>0</v>
      </c>
      <c r="O2179" t="n">
        <v>0</v>
      </c>
      <c r="P2179" t="n">
        <v>0</v>
      </c>
      <c r="Q2179" t="n">
        <v>0</v>
      </c>
      <c r="R2179" s="2" t="inlineStr"/>
    </row>
    <row r="2180" ht="15" customHeight="1">
      <c r="A2180" t="inlineStr">
        <is>
          <t>A 42440-2023</t>
        </is>
      </c>
      <c r="B2180" s="1" t="n">
        <v>45180</v>
      </c>
      <c r="C2180" s="1" t="n">
        <v>45576</v>
      </c>
      <c r="D2180" t="inlineStr">
        <is>
          <t>VÄSTERNORRLANDS LÄN</t>
        </is>
      </c>
      <c r="E2180" t="inlineStr">
        <is>
          <t>SOLLEFTEÅ</t>
        </is>
      </c>
      <c r="F2180" t="inlineStr">
        <is>
          <t>Holmen skog AB</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42514-2023</t>
        </is>
      </c>
      <c r="B2181" s="1" t="n">
        <v>45181</v>
      </c>
      <c r="C2181" s="1" t="n">
        <v>45576</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42512-2023</t>
        </is>
      </c>
      <c r="B2182" s="1" t="n">
        <v>45181</v>
      </c>
      <c r="C2182" s="1" t="n">
        <v>45576</v>
      </c>
      <c r="D2182" t="inlineStr">
        <is>
          <t>VÄSTERNORRLANDS LÄN</t>
        </is>
      </c>
      <c r="E2182" t="inlineStr">
        <is>
          <t>SOLLEFTEÅ</t>
        </is>
      </c>
      <c r="F2182" t="inlineStr">
        <is>
          <t>SCA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43487-2023</t>
        </is>
      </c>
      <c r="B2183" s="1" t="n">
        <v>45181</v>
      </c>
      <c r="C2183" s="1" t="n">
        <v>45576</v>
      </c>
      <c r="D2183" t="inlineStr">
        <is>
          <t>VÄSTERNORRLANDS LÄN</t>
        </is>
      </c>
      <c r="E2183" t="inlineStr">
        <is>
          <t>SOLLEFTEÅ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43177-2023</t>
        </is>
      </c>
      <c r="B2184" s="1" t="n">
        <v>45181</v>
      </c>
      <c r="C2184" s="1" t="n">
        <v>45576</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43512-2023</t>
        </is>
      </c>
      <c r="B2185" s="1" t="n">
        <v>45181</v>
      </c>
      <c r="C2185" s="1" t="n">
        <v>45576</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44533-2023</t>
        </is>
      </c>
      <c r="B2186" s="1" t="n">
        <v>45183</v>
      </c>
      <c r="C2186" s="1" t="n">
        <v>45576</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43531-2023</t>
        </is>
      </c>
      <c r="B2187" s="1" t="n">
        <v>45184</v>
      </c>
      <c r="C2187" s="1" t="n">
        <v>45576</v>
      </c>
      <c r="D2187" t="inlineStr">
        <is>
          <t>VÄSTERNORRLANDS LÄN</t>
        </is>
      </c>
      <c r="E2187" t="inlineStr">
        <is>
          <t>SOLLEFTEÅ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43504-2023</t>
        </is>
      </c>
      <c r="B2188" s="1" t="n">
        <v>45184</v>
      </c>
      <c r="C2188" s="1" t="n">
        <v>45576</v>
      </c>
      <c r="D2188" t="inlineStr">
        <is>
          <t>VÄSTERNORRLANDS LÄN</t>
        </is>
      </c>
      <c r="E2188" t="inlineStr">
        <is>
          <t>SOLLEFTEÅ</t>
        </is>
      </c>
      <c r="F2188" t="inlineStr">
        <is>
          <t>Holmen skog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45193-2023</t>
        </is>
      </c>
      <c r="B2189" s="1" t="n">
        <v>45187</v>
      </c>
      <c r="C2189" s="1" t="n">
        <v>45576</v>
      </c>
      <c r="D2189" t="inlineStr">
        <is>
          <t>VÄSTERNORRLANDS LÄN</t>
        </is>
      </c>
      <c r="E2189" t="inlineStr">
        <is>
          <t>SOLLEFTEÅ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44389-2023</t>
        </is>
      </c>
      <c r="B2190" s="1" t="n">
        <v>45189</v>
      </c>
      <c r="C2190" s="1" t="n">
        <v>45576</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44393-2023</t>
        </is>
      </c>
      <c r="B2191" s="1" t="n">
        <v>45189</v>
      </c>
      <c r="C2191" s="1" t="n">
        <v>45576</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44388-2023</t>
        </is>
      </c>
      <c r="B2192" s="1" t="n">
        <v>45189</v>
      </c>
      <c r="C2192" s="1" t="n">
        <v>45576</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44392-2023</t>
        </is>
      </c>
      <c r="B2193" s="1" t="n">
        <v>45189</v>
      </c>
      <c r="C2193" s="1" t="n">
        <v>45576</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44408-2023</t>
        </is>
      </c>
      <c r="B2194" s="1" t="n">
        <v>45189</v>
      </c>
      <c r="C2194" s="1" t="n">
        <v>45576</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44391-2023</t>
        </is>
      </c>
      <c r="B2195" s="1" t="n">
        <v>45189</v>
      </c>
      <c r="C2195" s="1" t="n">
        <v>45576</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44407-2023</t>
        </is>
      </c>
      <c r="B2196" s="1" t="n">
        <v>45189</v>
      </c>
      <c r="C2196" s="1" t="n">
        <v>45576</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45576</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44410-2023</t>
        </is>
      </c>
      <c r="B2198" s="1" t="n">
        <v>45189</v>
      </c>
      <c r="C2198" s="1" t="n">
        <v>45576</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44905-2023</t>
        </is>
      </c>
      <c r="B2199" s="1" t="n">
        <v>45189</v>
      </c>
      <c r="C2199" s="1" t="n">
        <v>45576</v>
      </c>
      <c r="D2199" t="inlineStr">
        <is>
          <t>VÄSTERNORRLANDS LÄN</t>
        </is>
      </c>
      <c r="E2199" t="inlineStr">
        <is>
          <t>SOLLEFTEÅ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44781-2023</t>
        </is>
      </c>
      <c r="B2200" s="1" t="n">
        <v>45190</v>
      </c>
      <c r="C2200" s="1" t="n">
        <v>45576</v>
      </c>
      <c r="D2200" t="inlineStr">
        <is>
          <t>VÄSTERNORRLANDS LÄN</t>
        </is>
      </c>
      <c r="E2200" t="inlineStr">
        <is>
          <t>SOLLEFTEÅ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45007-2023</t>
        </is>
      </c>
      <c r="B2201" s="1" t="n">
        <v>45190</v>
      </c>
      <c r="C2201" s="1" t="n">
        <v>45576</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45015-2023</t>
        </is>
      </c>
      <c r="B2202" s="1" t="n">
        <v>45191</v>
      </c>
      <c r="C2202" s="1" t="n">
        <v>45576</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44984-2023</t>
        </is>
      </c>
      <c r="B2203" s="1" t="n">
        <v>45191</v>
      </c>
      <c r="C2203" s="1" t="n">
        <v>45576</v>
      </c>
      <c r="D2203" t="inlineStr">
        <is>
          <t>VÄSTERNORRLANDS LÄN</t>
        </is>
      </c>
      <c r="E2203" t="inlineStr">
        <is>
          <t>SOLLEFTEÅ</t>
        </is>
      </c>
      <c r="F2203" t="inlineStr">
        <is>
          <t>SCA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45016-2023</t>
        </is>
      </c>
      <c r="B2204" s="1" t="n">
        <v>45191</v>
      </c>
      <c r="C2204" s="1" t="n">
        <v>45576</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44986-2023</t>
        </is>
      </c>
      <c r="B2205" s="1" t="n">
        <v>45190</v>
      </c>
      <c r="C2205" s="1" t="n">
        <v>45576</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44994-2023</t>
        </is>
      </c>
      <c r="B2206" s="1" t="n">
        <v>45190</v>
      </c>
      <c r="C2206" s="1" t="n">
        <v>45576</v>
      </c>
      <c r="D2206" t="inlineStr">
        <is>
          <t>VÄSTERNORRLANDS LÄN</t>
        </is>
      </c>
      <c r="E2206" t="inlineStr">
        <is>
          <t>SOLLEFTEÅ</t>
        </is>
      </c>
      <c r="F2206" t="inlineStr">
        <is>
          <t>SCA</t>
        </is>
      </c>
      <c r="G2206" t="n">
        <v>26.8</v>
      </c>
      <c r="H2206" t="n">
        <v>0</v>
      </c>
      <c r="I2206" t="n">
        <v>0</v>
      </c>
      <c r="J2206" t="n">
        <v>0</v>
      </c>
      <c r="K2206" t="n">
        <v>0</v>
      </c>
      <c r="L2206" t="n">
        <v>0</v>
      </c>
      <c r="M2206" t="n">
        <v>0</v>
      </c>
      <c r="N2206" t="n">
        <v>0</v>
      </c>
      <c r="O2206" t="n">
        <v>0</v>
      </c>
      <c r="P2206" t="n">
        <v>0</v>
      </c>
      <c r="Q2206" t="n">
        <v>0</v>
      </c>
      <c r="R2206" s="2" t="inlineStr"/>
    </row>
    <row r="2207" ht="15" customHeight="1">
      <c r="A2207" t="inlineStr">
        <is>
          <t>A 44998-2023</t>
        </is>
      </c>
      <c r="B2207" s="1" t="n">
        <v>45191</v>
      </c>
      <c r="C2207" s="1" t="n">
        <v>45576</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45014-2023</t>
        </is>
      </c>
      <c r="B2208" s="1" t="n">
        <v>45191</v>
      </c>
      <c r="C2208" s="1" t="n">
        <v>45576</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45017-2023</t>
        </is>
      </c>
      <c r="B2209" s="1" t="n">
        <v>45190</v>
      </c>
      <c r="C2209" s="1" t="n">
        <v>45576</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46212-2023</t>
        </is>
      </c>
      <c r="B2210" s="1" t="n">
        <v>45190</v>
      </c>
      <c r="C2210" s="1" t="n">
        <v>45576</v>
      </c>
      <c r="D2210" t="inlineStr">
        <is>
          <t>VÄSTERNORRLANDS LÄN</t>
        </is>
      </c>
      <c r="E2210" t="inlineStr">
        <is>
          <t>SOLLEFTEÅ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46207-2023</t>
        </is>
      </c>
      <c r="B2211" s="1" t="n">
        <v>45190</v>
      </c>
      <c r="C2211" s="1" t="n">
        <v>45576</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46357-2023</t>
        </is>
      </c>
      <c r="B2212" s="1" t="n">
        <v>45191</v>
      </c>
      <c r="C2212" s="1" t="n">
        <v>45576</v>
      </c>
      <c r="D2212" t="inlineStr">
        <is>
          <t>VÄSTERNORRLANDS LÄN</t>
        </is>
      </c>
      <c r="E2212" t="inlineStr">
        <is>
          <t>SOLLEFTEÅ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46344-2023</t>
        </is>
      </c>
      <c r="B2213" s="1" t="n">
        <v>45191</v>
      </c>
      <c r="C2213" s="1" t="n">
        <v>45576</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45570-2023</t>
        </is>
      </c>
      <c r="B2214" s="1" t="n">
        <v>45194</v>
      </c>
      <c r="C2214" s="1" t="n">
        <v>45576</v>
      </c>
      <c r="D2214" t="inlineStr">
        <is>
          <t>VÄSTERNORRLANDS LÄN</t>
        </is>
      </c>
      <c r="E2214" t="inlineStr">
        <is>
          <t>SOLLEFTEÅ</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45958-2023</t>
        </is>
      </c>
      <c r="B2215" s="1" t="n">
        <v>45195</v>
      </c>
      <c r="C2215" s="1" t="n">
        <v>45576</v>
      </c>
      <c r="D2215" t="inlineStr">
        <is>
          <t>VÄSTERNORRLANDS LÄN</t>
        </is>
      </c>
      <c r="E2215" t="inlineStr">
        <is>
          <t>SOLLEFTEÅ</t>
        </is>
      </c>
      <c r="F2215" t="inlineStr">
        <is>
          <t>SCA</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45973-2023</t>
        </is>
      </c>
      <c r="B2216" s="1" t="n">
        <v>45195</v>
      </c>
      <c r="C2216" s="1" t="n">
        <v>45576</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46256-2023</t>
        </is>
      </c>
      <c r="B2217" s="1" t="n">
        <v>45197</v>
      </c>
      <c r="C2217" s="1" t="n">
        <v>45576</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47329-2023</t>
        </is>
      </c>
      <c r="B2218" s="1" t="n">
        <v>45196</v>
      </c>
      <c r="C2218" s="1" t="n">
        <v>45576</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47327-2023</t>
        </is>
      </c>
      <c r="B2219" s="1" t="n">
        <v>45196</v>
      </c>
      <c r="C2219" s="1" t="n">
        <v>45576</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46553-2023</t>
        </is>
      </c>
      <c r="B2220" s="1" t="n">
        <v>45198</v>
      </c>
      <c r="C2220" s="1" t="n">
        <v>45576</v>
      </c>
      <c r="D2220" t="inlineStr">
        <is>
          <t>VÄSTERNORRLANDS LÄN</t>
        </is>
      </c>
      <c r="E2220" t="inlineStr">
        <is>
          <t>SOLLEFTEÅ</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46550-2023</t>
        </is>
      </c>
      <c r="B2221" s="1" t="n">
        <v>45198</v>
      </c>
      <c r="C2221" s="1" t="n">
        <v>45576</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46554-2023</t>
        </is>
      </c>
      <c r="B2222" s="1" t="n">
        <v>45198</v>
      </c>
      <c r="C2222" s="1" t="n">
        <v>45576</v>
      </c>
      <c r="D2222" t="inlineStr">
        <is>
          <t>VÄSTERNORRLANDS LÄN</t>
        </is>
      </c>
      <c r="E2222" t="inlineStr">
        <is>
          <t>SOLLEFTEÅ</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46555-2023</t>
        </is>
      </c>
      <c r="B2223" s="1" t="n">
        <v>45198</v>
      </c>
      <c r="C2223" s="1" t="n">
        <v>45576</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46804-2023</t>
        </is>
      </c>
      <c r="B2224" s="1" t="n">
        <v>45198</v>
      </c>
      <c r="C2224" s="1" t="n">
        <v>45576</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47741-2023</t>
        </is>
      </c>
      <c r="B2225" s="1" t="n">
        <v>45198</v>
      </c>
      <c r="C2225" s="1" t="n">
        <v>45576</v>
      </c>
      <c r="D2225" t="inlineStr">
        <is>
          <t>VÄSTERNORRLANDS LÄN</t>
        </is>
      </c>
      <c r="E2225" t="inlineStr">
        <is>
          <t>SOLLEFTEÅ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47159-2023</t>
        </is>
      </c>
      <c r="B2226" s="1" t="n">
        <v>45201</v>
      </c>
      <c r="C2226" s="1" t="n">
        <v>45576</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47167-2023</t>
        </is>
      </c>
      <c r="B2227" s="1" t="n">
        <v>45202</v>
      </c>
      <c r="C2227" s="1" t="n">
        <v>45576</v>
      </c>
      <c r="D2227" t="inlineStr">
        <is>
          <t>VÄSTERNORRLANDS LÄN</t>
        </is>
      </c>
      <c r="E2227" t="inlineStr">
        <is>
          <t>SOLLEFTEÅ</t>
        </is>
      </c>
      <c r="F2227" t="inlineStr">
        <is>
          <t>SCA</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47175-2023</t>
        </is>
      </c>
      <c r="B2228" s="1" t="n">
        <v>45202</v>
      </c>
      <c r="C2228" s="1" t="n">
        <v>45576</v>
      </c>
      <c r="D2228" t="inlineStr">
        <is>
          <t>VÄSTERNORRLANDS LÄN</t>
        </is>
      </c>
      <c r="E2228" t="inlineStr">
        <is>
          <t>SOLLEFTEÅ</t>
        </is>
      </c>
      <c r="F2228" t="inlineStr">
        <is>
          <t>SCA</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47170-2023</t>
        </is>
      </c>
      <c r="B2229" s="1" t="n">
        <v>45202</v>
      </c>
      <c r="C2229" s="1" t="n">
        <v>45576</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47174-2023</t>
        </is>
      </c>
      <c r="B2230" s="1" t="n">
        <v>45202</v>
      </c>
      <c r="C2230" s="1" t="n">
        <v>45576</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47177-2023</t>
        </is>
      </c>
      <c r="B2231" s="1" t="n">
        <v>45201</v>
      </c>
      <c r="C2231" s="1" t="n">
        <v>45576</v>
      </c>
      <c r="D2231" t="inlineStr">
        <is>
          <t>VÄSTERNORRLANDS LÄN</t>
        </is>
      </c>
      <c r="E2231" t="inlineStr">
        <is>
          <t>SOLLEFTEÅ</t>
        </is>
      </c>
      <c r="F2231" t="inlineStr">
        <is>
          <t>SCA</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47181-2023</t>
        </is>
      </c>
      <c r="B2232" s="1" t="n">
        <v>45202</v>
      </c>
      <c r="C2232" s="1" t="n">
        <v>45576</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47185-2023</t>
        </is>
      </c>
      <c r="B2233" s="1" t="n">
        <v>45201</v>
      </c>
      <c r="C2233" s="1" t="n">
        <v>45576</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47490-2023</t>
        </is>
      </c>
      <c r="B2234" s="1" t="n">
        <v>45203</v>
      </c>
      <c r="C2234" s="1" t="n">
        <v>45576</v>
      </c>
      <c r="D2234" t="inlineStr">
        <is>
          <t>VÄSTERNORRLANDS LÄN</t>
        </is>
      </c>
      <c r="E2234" t="inlineStr">
        <is>
          <t>SOLLEFTEÅ</t>
        </is>
      </c>
      <c r="F2234" t="inlineStr">
        <is>
          <t>SCA</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47457-2023</t>
        </is>
      </c>
      <c r="B2235" s="1" t="n">
        <v>45202</v>
      </c>
      <c r="C2235" s="1" t="n">
        <v>45576</v>
      </c>
      <c r="D2235" t="inlineStr">
        <is>
          <t>VÄSTERNORRLANDS LÄN</t>
        </is>
      </c>
      <c r="E2235" t="inlineStr">
        <is>
          <t>SOLLEFTEÅ</t>
        </is>
      </c>
      <c r="F2235" t="inlineStr">
        <is>
          <t>Holmen skog AB</t>
        </is>
      </c>
      <c r="G2235" t="n">
        <v>10.7</v>
      </c>
      <c r="H2235" t="n">
        <v>0</v>
      </c>
      <c r="I2235" t="n">
        <v>0</v>
      </c>
      <c r="J2235" t="n">
        <v>0</v>
      </c>
      <c r="K2235" t="n">
        <v>0</v>
      </c>
      <c r="L2235" t="n">
        <v>0</v>
      </c>
      <c r="M2235" t="n">
        <v>0</v>
      </c>
      <c r="N2235" t="n">
        <v>0</v>
      </c>
      <c r="O2235" t="n">
        <v>0</v>
      </c>
      <c r="P2235" t="n">
        <v>0</v>
      </c>
      <c r="Q2235" t="n">
        <v>0</v>
      </c>
      <c r="R2235" s="2" t="inlineStr"/>
    </row>
    <row r="2236" ht="15" customHeight="1">
      <c r="A2236" t="inlineStr">
        <is>
          <t>A 47477-2023</t>
        </is>
      </c>
      <c r="B2236" s="1" t="n">
        <v>45203</v>
      </c>
      <c r="C2236" s="1" t="n">
        <v>45576</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47794-2023</t>
        </is>
      </c>
      <c r="B2237" s="1" t="n">
        <v>45204</v>
      </c>
      <c r="C2237" s="1" t="n">
        <v>45576</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48077-2023</t>
        </is>
      </c>
      <c r="B2238" s="1" t="n">
        <v>45205</v>
      </c>
      <c r="C2238" s="1" t="n">
        <v>45576</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48085-2023</t>
        </is>
      </c>
      <c r="B2239" s="1" t="n">
        <v>45205</v>
      </c>
      <c r="C2239" s="1" t="n">
        <v>45576</v>
      </c>
      <c r="D2239" t="inlineStr">
        <is>
          <t>VÄSTERNORRLANDS LÄN</t>
        </is>
      </c>
      <c r="E2239" t="inlineStr">
        <is>
          <t>SOLLEFTEÅ</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48089-2023</t>
        </is>
      </c>
      <c r="B2240" s="1" t="n">
        <v>45204</v>
      </c>
      <c r="C2240" s="1" t="n">
        <v>45576</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48083-2023</t>
        </is>
      </c>
      <c r="B2241" s="1" t="n">
        <v>45204</v>
      </c>
      <c r="C2241" s="1" t="n">
        <v>45576</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48086-2023</t>
        </is>
      </c>
      <c r="B2242" s="1" t="n">
        <v>45205</v>
      </c>
      <c r="C2242" s="1" t="n">
        <v>45576</v>
      </c>
      <c r="D2242" t="inlineStr">
        <is>
          <t>VÄSTERNORRLANDS LÄN</t>
        </is>
      </c>
      <c r="E2242" t="inlineStr">
        <is>
          <t>SOLLEFTEÅ</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48090-2023</t>
        </is>
      </c>
      <c r="B2243" s="1" t="n">
        <v>45205</v>
      </c>
      <c r="C2243" s="1" t="n">
        <v>45576</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48072-2023</t>
        </is>
      </c>
      <c r="B2244" s="1" t="n">
        <v>45205</v>
      </c>
      <c r="C2244" s="1" t="n">
        <v>45576</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45205</v>
      </c>
      <c r="C2245" s="1" t="n">
        <v>45576</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48964-2023</t>
        </is>
      </c>
      <c r="B2246" s="1" t="n">
        <v>45204</v>
      </c>
      <c r="C2246" s="1" t="n">
        <v>45576</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49417-2023</t>
        </is>
      </c>
      <c r="B2247" s="1" t="n">
        <v>45205</v>
      </c>
      <c r="C2247" s="1" t="n">
        <v>45576</v>
      </c>
      <c r="D2247" t="inlineStr">
        <is>
          <t>VÄSTERNORRLANDS LÄN</t>
        </is>
      </c>
      <c r="E2247" t="inlineStr">
        <is>
          <t>SOLLEFTEÅ</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48767-2023</t>
        </is>
      </c>
      <c r="B2248" s="1" t="n">
        <v>45208</v>
      </c>
      <c r="C2248" s="1" t="n">
        <v>45576</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48528-2023</t>
        </is>
      </c>
      <c r="B2249" s="1" t="n">
        <v>45208</v>
      </c>
      <c r="C2249" s="1" t="n">
        <v>45576</v>
      </c>
      <c r="D2249" t="inlineStr">
        <is>
          <t>VÄSTERNORRLANDS LÄN</t>
        </is>
      </c>
      <c r="E2249" t="inlineStr">
        <is>
          <t>SOLLEFTEÅ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48570-2023</t>
        </is>
      </c>
      <c r="B2250" s="1" t="n">
        <v>45208</v>
      </c>
      <c r="C2250" s="1" t="n">
        <v>45576</v>
      </c>
      <c r="D2250" t="inlineStr">
        <is>
          <t>VÄSTERNORRLANDS LÄN</t>
        </is>
      </c>
      <c r="E2250" t="inlineStr">
        <is>
          <t>SOLLEFTEÅ</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48999-2023</t>
        </is>
      </c>
      <c r="B2251" s="1" t="n">
        <v>45209</v>
      </c>
      <c r="C2251" s="1" t="n">
        <v>45576</v>
      </c>
      <c r="D2251" t="inlineStr">
        <is>
          <t>VÄSTERNORRLANDS LÄN</t>
        </is>
      </c>
      <c r="E2251" t="inlineStr">
        <is>
          <t>SOLLEFTEÅ</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49036-2023</t>
        </is>
      </c>
      <c r="B2252" s="1" t="n">
        <v>45210</v>
      </c>
      <c r="C2252" s="1" t="n">
        <v>45576</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50313-2023</t>
        </is>
      </c>
      <c r="B2253" s="1" t="n">
        <v>45209</v>
      </c>
      <c r="C2253" s="1" t="n">
        <v>45576</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49313-2023</t>
        </is>
      </c>
      <c r="B2254" s="1" t="n">
        <v>45211</v>
      </c>
      <c r="C2254" s="1" t="n">
        <v>45576</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49317-2023</t>
        </is>
      </c>
      <c r="B2255" s="1" t="n">
        <v>45210</v>
      </c>
      <c r="C2255" s="1" t="n">
        <v>45576</v>
      </c>
      <c r="D2255" t="inlineStr">
        <is>
          <t>VÄSTERNORRLANDS LÄN</t>
        </is>
      </c>
      <c r="E2255" t="inlineStr">
        <is>
          <t>SOLLEFTEÅ</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49323-2023</t>
        </is>
      </c>
      <c r="B2256" s="1" t="n">
        <v>45211</v>
      </c>
      <c r="C2256" s="1" t="n">
        <v>45576</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49324-2023</t>
        </is>
      </c>
      <c r="B2257" s="1" t="n">
        <v>45210</v>
      </c>
      <c r="C2257" s="1" t="n">
        <v>45576</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45576</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50745-2023</t>
        </is>
      </c>
      <c r="B2259" s="1" t="n">
        <v>45210</v>
      </c>
      <c r="C2259" s="1" t="n">
        <v>45576</v>
      </c>
      <c r="D2259" t="inlineStr">
        <is>
          <t>VÄSTERNORRLANDS LÄN</t>
        </is>
      </c>
      <c r="E2259" t="inlineStr">
        <is>
          <t>SOLLEFTEÅ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50716-2023</t>
        </is>
      </c>
      <c r="B2260" s="1" t="n">
        <v>45210</v>
      </c>
      <c r="C2260" s="1" t="n">
        <v>45576</v>
      </c>
      <c r="D2260" t="inlineStr">
        <is>
          <t>VÄSTERNORRLANDS LÄN</t>
        </is>
      </c>
      <c r="E2260" t="inlineStr">
        <is>
          <t>SOLLEFTEÅ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50674-2023</t>
        </is>
      </c>
      <c r="B2261" s="1" t="n">
        <v>45210</v>
      </c>
      <c r="C2261" s="1" t="n">
        <v>45576</v>
      </c>
      <c r="D2261" t="inlineStr">
        <is>
          <t>VÄSTERNORRLANDS LÄN</t>
        </is>
      </c>
      <c r="E2261" t="inlineStr">
        <is>
          <t>SOLLEFTEÅ</t>
        </is>
      </c>
      <c r="G2261" t="n">
        <v>11.8</v>
      </c>
      <c r="H2261" t="n">
        <v>0</v>
      </c>
      <c r="I2261" t="n">
        <v>0</v>
      </c>
      <c r="J2261" t="n">
        <v>0</v>
      </c>
      <c r="K2261" t="n">
        <v>0</v>
      </c>
      <c r="L2261" t="n">
        <v>0</v>
      </c>
      <c r="M2261" t="n">
        <v>0</v>
      </c>
      <c r="N2261" t="n">
        <v>0</v>
      </c>
      <c r="O2261" t="n">
        <v>0</v>
      </c>
      <c r="P2261" t="n">
        <v>0</v>
      </c>
      <c r="Q2261" t="n">
        <v>0</v>
      </c>
      <c r="R2261" s="2" t="inlineStr"/>
    </row>
    <row r="2262" ht="15" customHeight="1">
      <c r="A2262" t="inlineStr">
        <is>
          <t>A 50688-2023</t>
        </is>
      </c>
      <c r="B2262" s="1" t="n">
        <v>45210</v>
      </c>
      <c r="C2262" s="1" t="n">
        <v>45576</v>
      </c>
      <c r="D2262" t="inlineStr">
        <is>
          <t>VÄSTERNORRLANDS LÄN</t>
        </is>
      </c>
      <c r="E2262" t="inlineStr">
        <is>
          <t>SOLLEFTEÅ</t>
        </is>
      </c>
      <c r="G2262" t="n">
        <v>15.6</v>
      </c>
      <c r="H2262" t="n">
        <v>0</v>
      </c>
      <c r="I2262" t="n">
        <v>0</v>
      </c>
      <c r="J2262" t="n">
        <v>0</v>
      </c>
      <c r="K2262" t="n">
        <v>0</v>
      </c>
      <c r="L2262" t="n">
        <v>0</v>
      </c>
      <c r="M2262" t="n">
        <v>0</v>
      </c>
      <c r="N2262" t="n">
        <v>0</v>
      </c>
      <c r="O2262" t="n">
        <v>0</v>
      </c>
      <c r="P2262" t="n">
        <v>0</v>
      </c>
      <c r="Q2262" t="n">
        <v>0</v>
      </c>
      <c r="R2262" s="2" t="inlineStr"/>
    </row>
    <row r="2263" ht="15" customHeight="1">
      <c r="A2263" t="inlineStr">
        <is>
          <t>A 50708-2023</t>
        </is>
      </c>
      <c r="B2263" s="1" t="n">
        <v>45210</v>
      </c>
      <c r="C2263" s="1" t="n">
        <v>45576</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49649-2023</t>
        </is>
      </c>
      <c r="B2264" s="1" t="n">
        <v>45212</v>
      </c>
      <c r="C2264" s="1" t="n">
        <v>45576</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49810-2023</t>
        </is>
      </c>
      <c r="B2265" s="1" t="n">
        <v>45212</v>
      </c>
      <c r="C2265" s="1" t="n">
        <v>45576</v>
      </c>
      <c r="D2265" t="inlineStr">
        <is>
          <t>VÄSTERNORRLANDS LÄN</t>
        </is>
      </c>
      <c r="E2265" t="inlineStr">
        <is>
          <t>SOLLEFTEÅ</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50226-2023</t>
        </is>
      </c>
      <c r="B2266" s="1" t="n">
        <v>45216</v>
      </c>
      <c r="C2266" s="1" t="n">
        <v>45576</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51522-2023</t>
        </is>
      </c>
      <c r="B2267" s="1" t="n">
        <v>45215</v>
      </c>
      <c r="C2267" s="1" t="n">
        <v>45576</v>
      </c>
      <c r="D2267" t="inlineStr">
        <is>
          <t>VÄSTERNORRLANDS LÄN</t>
        </is>
      </c>
      <c r="E2267" t="inlineStr">
        <is>
          <t>SOLLEFTEÅ</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51515-2023</t>
        </is>
      </c>
      <c r="B2268" s="1" t="n">
        <v>45215</v>
      </c>
      <c r="C2268" s="1" t="n">
        <v>45576</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51681-2023</t>
        </is>
      </c>
      <c r="B2269" s="1" t="n">
        <v>45215</v>
      </c>
      <c r="C2269" s="1" t="n">
        <v>45576</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51677-2023</t>
        </is>
      </c>
      <c r="B2270" s="1" t="n">
        <v>45215</v>
      </c>
      <c r="C2270" s="1" t="n">
        <v>45576</v>
      </c>
      <c r="D2270" t="inlineStr">
        <is>
          <t>VÄSTERNORRLANDS LÄN</t>
        </is>
      </c>
      <c r="E2270" t="inlineStr">
        <is>
          <t>SOLLEFTEÅ</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51690-2023</t>
        </is>
      </c>
      <c r="B2271" s="1" t="n">
        <v>45215</v>
      </c>
      <c r="C2271" s="1" t="n">
        <v>45576</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50507-2023</t>
        </is>
      </c>
      <c r="B2272" s="1" t="n">
        <v>45217</v>
      </c>
      <c r="C2272" s="1" t="n">
        <v>45576</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50767-2023</t>
        </is>
      </c>
      <c r="B2273" s="1" t="n">
        <v>45217</v>
      </c>
      <c r="C2273" s="1" t="n">
        <v>45576</v>
      </c>
      <c r="D2273" t="inlineStr">
        <is>
          <t>VÄSTERNORRLANDS LÄN</t>
        </is>
      </c>
      <c r="E2273" t="inlineStr">
        <is>
          <t>SOLLEFTEÅ</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50841-2023</t>
        </is>
      </c>
      <c r="B2274" s="1" t="n">
        <v>45217</v>
      </c>
      <c r="C2274" s="1" t="n">
        <v>45576</v>
      </c>
      <c r="D2274" t="inlineStr">
        <is>
          <t>VÄSTERNORRLANDS LÄN</t>
        </is>
      </c>
      <c r="E2274" t="inlineStr">
        <is>
          <t>SOLLEFTEÅ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50615-2023</t>
        </is>
      </c>
      <c r="B2275" s="1" t="n">
        <v>45217</v>
      </c>
      <c r="C2275" s="1" t="n">
        <v>45576</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50757-2023</t>
        </is>
      </c>
      <c r="B2276" s="1" t="n">
        <v>45217</v>
      </c>
      <c r="C2276" s="1" t="n">
        <v>45576</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50844-2023</t>
        </is>
      </c>
      <c r="B2277" s="1" t="n">
        <v>45217</v>
      </c>
      <c r="C2277" s="1" t="n">
        <v>45576</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52266-2023</t>
        </is>
      </c>
      <c r="B2278" s="1" t="n">
        <v>45217</v>
      </c>
      <c r="C2278" s="1" t="n">
        <v>45576</v>
      </c>
      <c r="D2278" t="inlineStr">
        <is>
          <t>VÄSTERNORRLANDS LÄN</t>
        </is>
      </c>
      <c r="E2278" t="inlineStr">
        <is>
          <t>SOLLEFTEÅ</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52267-2023</t>
        </is>
      </c>
      <c r="B2279" s="1" t="n">
        <v>45217</v>
      </c>
      <c r="C2279" s="1" t="n">
        <v>45576</v>
      </c>
      <c r="D2279" t="inlineStr">
        <is>
          <t>VÄSTERNORRLANDS LÄN</t>
        </is>
      </c>
      <c r="E2279" t="inlineStr">
        <is>
          <t>SOLLEFTEÅ</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51107-2023</t>
        </is>
      </c>
      <c r="B2280" s="1" t="n">
        <v>45219</v>
      </c>
      <c r="C2280" s="1" t="n">
        <v>45576</v>
      </c>
      <c r="D2280" t="inlineStr">
        <is>
          <t>VÄSTERNORRLANDS LÄN</t>
        </is>
      </c>
      <c r="E2280" t="inlineStr">
        <is>
          <t>SOLLEFTEÅ</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51106-2023</t>
        </is>
      </c>
      <c r="B2281" s="1" t="n">
        <v>45219</v>
      </c>
      <c r="C2281" s="1" t="n">
        <v>45576</v>
      </c>
      <c r="D2281" t="inlineStr">
        <is>
          <t>VÄSTERNORRLANDS LÄN</t>
        </is>
      </c>
      <c r="E2281" t="inlineStr">
        <is>
          <t>SOLLEFTEÅ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51800-2023</t>
        </is>
      </c>
      <c r="B2282" s="1" t="n">
        <v>45222</v>
      </c>
      <c r="C2282" s="1" t="n">
        <v>45576</v>
      </c>
      <c r="D2282" t="inlineStr">
        <is>
          <t>VÄSTERNORRLANDS LÄN</t>
        </is>
      </c>
      <c r="E2282" t="inlineStr">
        <is>
          <t>SOLLEFTEÅ</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51801-2023</t>
        </is>
      </c>
      <c r="B2283" s="1" t="n">
        <v>45222</v>
      </c>
      <c r="C2283" s="1" t="n">
        <v>45576</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53375-2023</t>
        </is>
      </c>
      <c r="B2284" s="1" t="n">
        <v>45222</v>
      </c>
      <c r="C2284" s="1" t="n">
        <v>45576</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53224-2023</t>
        </is>
      </c>
      <c r="B2285" s="1" t="n">
        <v>45222</v>
      </c>
      <c r="C2285" s="1" t="n">
        <v>45576</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53231-2023</t>
        </is>
      </c>
      <c r="B2286" s="1" t="n">
        <v>45222</v>
      </c>
      <c r="C2286" s="1" t="n">
        <v>45576</v>
      </c>
      <c r="D2286" t="inlineStr">
        <is>
          <t>VÄSTERNORRLANDS LÄN</t>
        </is>
      </c>
      <c r="E2286" t="inlineStr">
        <is>
          <t>SOLLEFTEÅ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53379-2023</t>
        </is>
      </c>
      <c r="B2287" s="1" t="n">
        <v>45222</v>
      </c>
      <c r="C2287" s="1" t="n">
        <v>45576</v>
      </c>
      <c r="D2287" t="inlineStr">
        <is>
          <t>VÄSTERNORRLANDS LÄN</t>
        </is>
      </c>
      <c r="E2287" t="inlineStr">
        <is>
          <t>SOLLEFTEÅ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51802-2023</t>
        </is>
      </c>
      <c r="B2288" s="1" t="n">
        <v>45223</v>
      </c>
      <c r="C2288" s="1" t="n">
        <v>45576</v>
      </c>
      <c r="D2288" t="inlineStr">
        <is>
          <t>VÄSTERNORRLANDS LÄN</t>
        </is>
      </c>
      <c r="E2288" t="inlineStr">
        <is>
          <t>SOLLEFTEÅ</t>
        </is>
      </c>
      <c r="F2288" t="inlineStr">
        <is>
          <t>SCA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53394-2023</t>
        </is>
      </c>
      <c r="B2289" s="1" t="n">
        <v>45222</v>
      </c>
      <c r="C2289" s="1" t="n">
        <v>45576</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45224</v>
      </c>
      <c r="C2290" s="1" t="n">
        <v>45576</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52087-2023</t>
        </is>
      </c>
      <c r="B2291" s="1" t="n">
        <v>45223</v>
      </c>
      <c r="C2291" s="1" t="n">
        <v>45576</v>
      </c>
      <c r="D2291" t="inlineStr">
        <is>
          <t>VÄSTERNORRLANDS LÄN</t>
        </is>
      </c>
      <c r="E2291" t="inlineStr">
        <is>
          <t>SOLLEFTEÅ</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53550-2023</t>
        </is>
      </c>
      <c r="B2292" s="1" t="n">
        <v>45223</v>
      </c>
      <c r="C2292" s="1" t="n">
        <v>45576</v>
      </c>
      <c r="D2292" t="inlineStr">
        <is>
          <t>VÄSTERNORRLANDS LÄN</t>
        </is>
      </c>
      <c r="E2292" t="inlineStr">
        <is>
          <t>SOLLEFTEÅ</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53855-2023</t>
        </is>
      </c>
      <c r="B2293" s="1" t="n">
        <v>45224</v>
      </c>
      <c r="C2293" s="1" t="n">
        <v>45576</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53850-2023</t>
        </is>
      </c>
      <c r="B2294" s="1" t="n">
        <v>45224</v>
      </c>
      <c r="C2294" s="1" t="n">
        <v>45576</v>
      </c>
      <c r="D2294" t="inlineStr">
        <is>
          <t>VÄSTERNORRLANDS LÄN</t>
        </is>
      </c>
      <c r="E2294" t="inlineStr">
        <is>
          <t>SOLLEFTEÅ</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53939-2023</t>
        </is>
      </c>
      <c r="B2295" s="1" t="n">
        <v>45224</v>
      </c>
      <c r="C2295" s="1" t="n">
        <v>45576</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52445-2023</t>
        </is>
      </c>
      <c r="B2296" s="1" t="n">
        <v>45225</v>
      </c>
      <c r="C2296" s="1" t="n">
        <v>45576</v>
      </c>
      <c r="D2296" t="inlineStr">
        <is>
          <t>VÄSTERNORRLANDS LÄN</t>
        </is>
      </c>
      <c r="E2296" t="inlineStr">
        <is>
          <t>SOLLEFTEÅ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54307-2023</t>
        </is>
      </c>
      <c r="B2297" s="1" t="n">
        <v>45225</v>
      </c>
      <c r="C2297" s="1" t="n">
        <v>45576</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53040-2023</t>
        </is>
      </c>
      <c r="B2298" s="1" t="n">
        <v>45226</v>
      </c>
      <c r="C2298" s="1" t="n">
        <v>45576</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54526-2023</t>
        </is>
      </c>
      <c r="B2299" s="1" t="n">
        <v>45226</v>
      </c>
      <c r="C2299" s="1" t="n">
        <v>45576</v>
      </c>
      <c r="D2299" t="inlineStr">
        <is>
          <t>VÄSTERNORRLANDS LÄN</t>
        </is>
      </c>
      <c r="E2299" t="inlineStr">
        <is>
          <t>SOLLEFTEÅ</t>
        </is>
      </c>
      <c r="G2299" t="n">
        <v>23.8</v>
      </c>
      <c r="H2299" t="n">
        <v>0</v>
      </c>
      <c r="I2299" t="n">
        <v>0</v>
      </c>
      <c r="J2299" t="n">
        <v>0</v>
      </c>
      <c r="K2299" t="n">
        <v>0</v>
      </c>
      <c r="L2299" t="n">
        <v>0</v>
      </c>
      <c r="M2299" t="n">
        <v>0</v>
      </c>
      <c r="N2299" t="n">
        <v>0</v>
      </c>
      <c r="O2299" t="n">
        <v>0</v>
      </c>
      <c r="P2299" t="n">
        <v>0</v>
      </c>
      <c r="Q2299" t="n">
        <v>0</v>
      </c>
      <c r="R2299" s="2" t="inlineStr"/>
    </row>
    <row r="2300" ht="15" customHeight="1">
      <c r="A2300" t="inlineStr">
        <is>
          <t>A 53057-2023</t>
        </is>
      </c>
      <c r="B2300" s="1" t="n">
        <v>45226</v>
      </c>
      <c r="C2300" s="1" t="n">
        <v>45576</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53041-2023</t>
        </is>
      </c>
      <c r="B2301" s="1" t="n">
        <v>45226</v>
      </c>
      <c r="C2301" s="1" t="n">
        <v>45576</v>
      </c>
      <c r="D2301" t="inlineStr">
        <is>
          <t>VÄSTERNORRLANDS LÄN</t>
        </is>
      </c>
      <c r="E2301" t="inlineStr">
        <is>
          <t>SOLLEFTEÅ</t>
        </is>
      </c>
      <c r="F2301" t="inlineStr">
        <is>
          <t>SCA</t>
        </is>
      </c>
      <c r="G2301" t="n">
        <v>50.2</v>
      </c>
      <c r="H2301" t="n">
        <v>0</v>
      </c>
      <c r="I2301" t="n">
        <v>0</v>
      </c>
      <c r="J2301" t="n">
        <v>0</v>
      </c>
      <c r="K2301" t="n">
        <v>0</v>
      </c>
      <c r="L2301" t="n">
        <v>0</v>
      </c>
      <c r="M2301" t="n">
        <v>0</v>
      </c>
      <c r="N2301" t="n">
        <v>0</v>
      </c>
      <c r="O2301" t="n">
        <v>0</v>
      </c>
      <c r="P2301" t="n">
        <v>0</v>
      </c>
      <c r="Q2301" t="n">
        <v>0</v>
      </c>
      <c r="R2301" s="2" t="inlineStr"/>
    </row>
    <row r="2302" ht="15" customHeight="1">
      <c r="A2302" t="inlineStr">
        <is>
          <t>A 53048-2023</t>
        </is>
      </c>
      <c r="B2302" s="1" t="n">
        <v>45226</v>
      </c>
      <c r="C2302" s="1" t="n">
        <v>45576</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53452-2023</t>
        </is>
      </c>
      <c r="B2303" s="1" t="n">
        <v>45229</v>
      </c>
      <c r="C2303" s="1" t="n">
        <v>45576</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53453-2023</t>
        </is>
      </c>
      <c r="B2304" s="1" t="n">
        <v>45230</v>
      </c>
      <c r="C2304" s="1" t="n">
        <v>45576</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53669-2023</t>
        </is>
      </c>
      <c r="B2305" s="1" t="n">
        <v>45230</v>
      </c>
      <c r="C2305" s="1" t="n">
        <v>45576</v>
      </c>
      <c r="D2305" t="inlineStr">
        <is>
          <t>VÄSTERNORRLANDS LÄN</t>
        </is>
      </c>
      <c r="E2305" t="inlineStr">
        <is>
          <t>SOLLEFTEÅ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54016-2023</t>
        </is>
      </c>
      <c r="B2306" s="1" t="n">
        <v>45231</v>
      </c>
      <c r="C2306" s="1" t="n">
        <v>45576</v>
      </c>
      <c r="D2306" t="inlineStr">
        <is>
          <t>VÄSTERNORRLANDS LÄN</t>
        </is>
      </c>
      <c r="E2306" t="inlineStr">
        <is>
          <t>SOLLEFTEÅ</t>
        </is>
      </c>
      <c r="F2306" t="inlineStr">
        <is>
          <t>Holmen skog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54020-2023</t>
        </is>
      </c>
      <c r="B2307" s="1" t="n">
        <v>45231</v>
      </c>
      <c r="C2307" s="1" t="n">
        <v>45576</v>
      </c>
      <c r="D2307" t="inlineStr">
        <is>
          <t>VÄSTERNORRLANDS LÄN</t>
        </is>
      </c>
      <c r="E2307" t="inlineStr">
        <is>
          <t>SOLLEFTEÅ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54034-2023</t>
        </is>
      </c>
      <c r="B2308" s="1" t="n">
        <v>45231</v>
      </c>
      <c r="C2308" s="1" t="n">
        <v>45576</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54033-2023</t>
        </is>
      </c>
      <c r="B2309" s="1" t="n">
        <v>45231</v>
      </c>
      <c r="C2309" s="1" t="n">
        <v>45576</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54035-2023</t>
        </is>
      </c>
      <c r="B2310" s="1" t="n">
        <v>45231</v>
      </c>
      <c r="C2310" s="1" t="n">
        <v>45576</v>
      </c>
      <c r="D2310" t="inlineStr">
        <is>
          <t>VÄSTERNORRLANDS LÄN</t>
        </is>
      </c>
      <c r="E2310" t="inlineStr">
        <is>
          <t>SOLLEFTEÅ</t>
        </is>
      </c>
      <c r="G2310" t="n">
        <v>12.7</v>
      </c>
      <c r="H2310" t="n">
        <v>0</v>
      </c>
      <c r="I2310" t="n">
        <v>0</v>
      </c>
      <c r="J2310" t="n">
        <v>0</v>
      </c>
      <c r="K2310" t="n">
        <v>0</v>
      </c>
      <c r="L2310" t="n">
        <v>0</v>
      </c>
      <c r="M2310" t="n">
        <v>0</v>
      </c>
      <c r="N2310" t="n">
        <v>0</v>
      </c>
      <c r="O2310" t="n">
        <v>0</v>
      </c>
      <c r="P2310" t="n">
        <v>0</v>
      </c>
      <c r="Q2310" t="n">
        <v>0</v>
      </c>
      <c r="R2310" s="2" t="inlineStr"/>
    </row>
    <row r="2311" ht="15" customHeight="1">
      <c r="A2311" t="inlineStr">
        <is>
          <t>A 54048-2023</t>
        </is>
      </c>
      <c r="B2311" s="1" t="n">
        <v>45232</v>
      </c>
      <c r="C2311" s="1" t="n">
        <v>45576</v>
      </c>
      <c r="D2311" t="inlineStr">
        <is>
          <t>VÄSTERNORRLANDS LÄN</t>
        </is>
      </c>
      <c r="E2311" t="inlineStr">
        <is>
          <t>SOLLEFTEÅ</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54036-2023</t>
        </is>
      </c>
      <c r="B2312" s="1" t="n">
        <v>45231</v>
      </c>
      <c r="C2312" s="1" t="n">
        <v>45576</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54045-2023</t>
        </is>
      </c>
      <c r="B2313" s="1" t="n">
        <v>45232</v>
      </c>
      <c r="C2313" s="1" t="n">
        <v>45576</v>
      </c>
      <c r="D2313" t="inlineStr">
        <is>
          <t>VÄSTERNORRLANDS LÄN</t>
        </is>
      </c>
      <c r="E2313" t="inlineStr">
        <is>
          <t>SOLLEFTEÅ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54092-2023</t>
        </is>
      </c>
      <c r="B2314" s="1" t="n">
        <v>45232</v>
      </c>
      <c r="C2314" s="1" t="n">
        <v>45576</v>
      </c>
      <c r="D2314" t="inlineStr">
        <is>
          <t>VÄSTERNORRLANDS LÄN</t>
        </is>
      </c>
      <c r="E2314" t="inlineStr">
        <is>
          <t>SOLLEFTEÅ</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54088-2023</t>
        </is>
      </c>
      <c r="B2315" s="1" t="n">
        <v>45232</v>
      </c>
      <c r="C2315" s="1" t="n">
        <v>45576</v>
      </c>
      <c r="D2315" t="inlineStr">
        <is>
          <t>VÄSTERNORRLANDS LÄN</t>
        </is>
      </c>
      <c r="E2315" t="inlineStr">
        <is>
          <t>SOLLEFTEÅ</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54198-2023</t>
        </is>
      </c>
      <c r="B2316" s="1" t="n">
        <v>45232</v>
      </c>
      <c r="C2316" s="1" t="n">
        <v>45576</v>
      </c>
      <c r="D2316" t="inlineStr">
        <is>
          <t>VÄSTERNORRLANDS LÄN</t>
        </is>
      </c>
      <c r="E2316" t="inlineStr">
        <is>
          <t>SOLLEFTEÅ</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54330-2023</t>
        </is>
      </c>
      <c r="B2317" s="1" t="n">
        <v>45232</v>
      </c>
      <c r="C2317" s="1" t="n">
        <v>45576</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54351-2023</t>
        </is>
      </c>
      <c r="B2318" s="1" t="n">
        <v>45232</v>
      </c>
      <c r="C2318" s="1" t="n">
        <v>45576</v>
      </c>
      <c r="D2318" t="inlineStr">
        <is>
          <t>VÄSTERNORRLANDS LÄN</t>
        </is>
      </c>
      <c r="E2318" t="inlineStr">
        <is>
          <t>SOLLEFTEÅ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54195-2023</t>
        </is>
      </c>
      <c r="B2319" s="1" t="n">
        <v>45232</v>
      </c>
      <c r="C2319" s="1" t="n">
        <v>45576</v>
      </c>
      <c r="D2319" t="inlineStr">
        <is>
          <t>VÄSTERNORRLANDS LÄN</t>
        </is>
      </c>
      <c r="E2319" t="inlineStr">
        <is>
          <t>SOLLEFTEÅ</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54620-2023</t>
        </is>
      </c>
      <c r="B2320" s="1" t="n">
        <v>45233</v>
      </c>
      <c r="C2320" s="1" t="n">
        <v>45576</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54617-2023</t>
        </is>
      </c>
      <c r="B2321" s="1" t="n">
        <v>45234</v>
      </c>
      <c r="C2321" s="1" t="n">
        <v>45576</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54607-2023</t>
        </is>
      </c>
      <c r="B2322" s="1" t="n">
        <v>45233</v>
      </c>
      <c r="C2322" s="1" t="n">
        <v>45576</v>
      </c>
      <c r="D2322" t="inlineStr">
        <is>
          <t>VÄSTERNORRLANDS LÄN</t>
        </is>
      </c>
      <c r="E2322" t="inlineStr">
        <is>
          <t>SOLLEFTEÅ</t>
        </is>
      </c>
      <c r="F2322" t="inlineStr">
        <is>
          <t>SCA</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54622-2023</t>
        </is>
      </c>
      <c r="B2323" s="1" t="n">
        <v>45233</v>
      </c>
      <c r="C2323" s="1" t="n">
        <v>45576</v>
      </c>
      <c r="D2323" t="inlineStr">
        <is>
          <t>VÄSTERNORRLANDS LÄN</t>
        </is>
      </c>
      <c r="E2323" t="inlineStr">
        <is>
          <t>SOLLEFTEÅ</t>
        </is>
      </c>
      <c r="F2323" t="inlineStr">
        <is>
          <t>SCA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54618-2023</t>
        </is>
      </c>
      <c r="B2324" s="1" t="n">
        <v>45233</v>
      </c>
      <c r="C2324" s="1" t="n">
        <v>45576</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54642-2023</t>
        </is>
      </c>
      <c r="B2325" s="1" t="n">
        <v>45234</v>
      </c>
      <c r="C2325" s="1" t="n">
        <v>45576</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54641-2023</t>
        </is>
      </c>
      <c r="B2326" s="1" t="n">
        <v>45234</v>
      </c>
      <c r="C2326" s="1" t="n">
        <v>45576</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54979-2023</t>
        </is>
      </c>
      <c r="B2327" s="1" t="n">
        <v>45236</v>
      </c>
      <c r="C2327" s="1" t="n">
        <v>45576</v>
      </c>
      <c r="D2327" t="inlineStr">
        <is>
          <t>VÄSTERNORRLANDS LÄN</t>
        </is>
      </c>
      <c r="E2327" t="inlineStr">
        <is>
          <t>SOLLEFTEÅ</t>
        </is>
      </c>
      <c r="F2327" t="inlineStr">
        <is>
          <t>SCA</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56148-2023</t>
        </is>
      </c>
      <c r="B2328" s="1" t="n">
        <v>45236</v>
      </c>
      <c r="C2328" s="1" t="n">
        <v>45576</v>
      </c>
      <c r="D2328" t="inlineStr">
        <is>
          <t>VÄSTERNORRLANDS LÄN</t>
        </is>
      </c>
      <c r="E2328" t="inlineStr">
        <is>
          <t>SOLLEFTEÅ</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54978-2023</t>
        </is>
      </c>
      <c r="B2329" s="1" t="n">
        <v>45237</v>
      </c>
      <c r="C2329" s="1" t="n">
        <v>45576</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55005-2023</t>
        </is>
      </c>
      <c r="B2330" s="1" t="n">
        <v>45236</v>
      </c>
      <c r="C2330" s="1" t="n">
        <v>45576</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56356-2023</t>
        </is>
      </c>
      <c r="B2331" s="1" t="n">
        <v>45236</v>
      </c>
      <c r="C2331" s="1" t="n">
        <v>45576</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56416-2023</t>
        </is>
      </c>
      <c r="B2332" s="1" t="n">
        <v>45237</v>
      </c>
      <c r="C2332" s="1" t="n">
        <v>45576</v>
      </c>
      <c r="D2332" t="inlineStr">
        <is>
          <t>VÄSTERNORRLANDS LÄN</t>
        </is>
      </c>
      <c r="E2332" t="inlineStr">
        <is>
          <t>SOLLEFTEÅ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56431-2023</t>
        </is>
      </c>
      <c r="B2333" s="1" t="n">
        <v>45237</v>
      </c>
      <c r="C2333" s="1" t="n">
        <v>45576</v>
      </c>
      <c r="D2333" t="inlineStr">
        <is>
          <t>VÄSTERNORRLANDS LÄN</t>
        </is>
      </c>
      <c r="E2333" t="inlineStr">
        <is>
          <t>SOLLEFTEÅ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55338-2023</t>
        </is>
      </c>
      <c r="B2334" s="1" t="n">
        <v>45238</v>
      </c>
      <c r="C2334" s="1" t="n">
        <v>45576</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56424-2023</t>
        </is>
      </c>
      <c r="B2335" s="1" t="n">
        <v>45237</v>
      </c>
      <c r="C2335" s="1" t="n">
        <v>45576</v>
      </c>
      <c r="D2335" t="inlineStr">
        <is>
          <t>VÄSTERNORRLANDS LÄN</t>
        </is>
      </c>
      <c r="E2335" t="inlineStr">
        <is>
          <t>SOLLEFTEÅ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55637-2023</t>
        </is>
      </c>
      <c r="B2336" s="1" t="n">
        <v>45238</v>
      </c>
      <c r="C2336" s="1" t="n">
        <v>45576</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55653-2023</t>
        </is>
      </c>
      <c r="B2337" s="1" t="n">
        <v>45239</v>
      </c>
      <c r="C2337" s="1" t="n">
        <v>45576</v>
      </c>
      <c r="D2337" t="inlineStr">
        <is>
          <t>VÄSTERNORRLANDS LÄN</t>
        </is>
      </c>
      <c r="E2337" t="inlineStr">
        <is>
          <t>SOLLEFTEÅ</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55622-2023</t>
        </is>
      </c>
      <c r="B2338" s="1" t="n">
        <v>45238</v>
      </c>
      <c r="C2338" s="1" t="n">
        <v>45576</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55638-2023</t>
        </is>
      </c>
      <c r="B2339" s="1" t="n">
        <v>45238</v>
      </c>
      <c r="C2339" s="1" t="n">
        <v>45576</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55650-2023</t>
        </is>
      </c>
      <c r="B2340" s="1" t="n">
        <v>45239</v>
      </c>
      <c r="C2340" s="1" t="n">
        <v>45576</v>
      </c>
      <c r="D2340" t="inlineStr">
        <is>
          <t>VÄSTERNORRLANDS LÄN</t>
        </is>
      </c>
      <c r="E2340" t="inlineStr">
        <is>
          <t>SOLLEFTEÅ</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55654-2023</t>
        </is>
      </c>
      <c r="B2341" s="1" t="n">
        <v>45239</v>
      </c>
      <c r="C2341" s="1" t="n">
        <v>45576</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55652-2023</t>
        </is>
      </c>
      <c r="B2342" s="1" t="n">
        <v>45238</v>
      </c>
      <c r="C2342" s="1" t="n">
        <v>45576</v>
      </c>
      <c r="D2342" t="inlineStr">
        <is>
          <t>VÄSTERNORRLANDS LÄN</t>
        </is>
      </c>
      <c r="E2342" t="inlineStr">
        <is>
          <t>SOLLEFTEÅ</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55651-2023</t>
        </is>
      </c>
      <c r="B2343" s="1" t="n">
        <v>45238</v>
      </c>
      <c r="C2343" s="1" t="n">
        <v>45576</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55687-2023</t>
        </is>
      </c>
      <c r="B2344" s="1" t="n">
        <v>45239</v>
      </c>
      <c r="C2344" s="1" t="n">
        <v>45576</v>
      </c>
      <c r="D2344" t="inlineStr">
        <is>
          <t>VÄSTERNORRLANDS LÄN</t>
        </is>
      </c>
      <c r="E2344" t="inlineStr">
        <is>
          <t>SOLLEFTEÅ</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55859-2023</t>
        </is>
      </c>
      <c r="B2345" s="1" t="n">
        <v>45239</v>
      </c>
      <c r="C2345" s="1" t="n">
        <v>45576</v>
      </c>
      <c r="D2345" t="inlineStr">
        <is>
          <t>VÄSTERNORRLANDS LÄN</t>
        </is>
      </c>
      <c r="E2345" t="inlineStr">
        <is>
          <t>SOLLEFTEÅ</t>
        </is>
      </c>
      <c r="F2345" t="inlineStr">
        <is>
          <t>Kommuner</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55910-2023</t>
        </is>
      </c>
      <c r="B2346" s="1" t="n">
        <v>45239</v>
      </c>
      <c r="C2346" s="1" t="n">
        <v>45576</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55912-2023</t>
        </is>
      </c>
      <c r="B2347" s="1" t="n">
        <v>45239</v>
      </c>
      <c r="C2347" s="1" t="n">
        <v>45576</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55929-2023</t>
        </is>
      </c>
      <c r="B2348" s="1" t="n">
        <v>45239</v>
      </c>
      <c r="C2348" s="1" t="n">
        <v>45576</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57010-2023</t>
        </is>
      </c>
      <c r="B2349" s="1" t="n">
        <v>45239</v>
      </c>
      <c r="C2349" s="1" t="n">
        <v>45576</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56261-2023</t>
        </is>
      </c>
      <c r="B2350" s="1" t="n">
        <v>45240</v>
      </c>
      <c r="C2350" s="1" t="n">
        <v>45576</v>
      </c>
      <c r="D2350" t="inlineStr">
        <is>
          <t>VÄSTERNORRLANDS LÄN</t>
        </is>
      </c>
      <c r="E2350" t="inlineStr">
        <is>
          <t>SOLLEFTEÅ</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56249-2023</t>
        </is>
      </c>
      <c r="B2351" s="1" t="n">
        <v>45240</v>
      </c>
      <c r="C2351" s="1" t="n">
        <v>45576</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56201-2023</t>
        </is>
      </c>
      <c r="B2352" s="1" t="n">
        <v>45240</v>
      </c>
      <c r="C2352" s="1" t="n">
        <v>45576</v>
      </c>
      <c r="D2352" t="inlineStr">
        <is>
          <t>VÄSTERNORRLANDS LÄN</t>
        </is>
      </c>
      <c r="E2352" t="inlineStr">
        <is>
          <t>SOLLEFTEÅ</t>
        </is>
      </c>
      <c r="G2352" t="n">
        <v>43.3</v>
      </c>
      <c r="H2352" t="n">
        <v>0</v>
      </c>
      <c r="I2352" t="n">
        <v>0</v>
      </c>
      <c r="J2352" t="n">
        <v>0</v>
      </c>
      <c r="K2352" t="n">
        <v>0</v>
      </c>
      <c r="L2352" t="n">
        <v>0</v>
      </c>
      <c r="M2352" t="n">
        <v>0</v>
      </c>
      <c r="N2352" t="n">
        <v>0</v>
      </c>
      <c r="O2352" t="n">
        <v>0</v>
      </c>
      <c r="P2352" t="n">
        <v>0</v>
      </c>
      <c r="Q2352" t="n">
        <v>0</v>
      </c>
      <c r="R2352" s="2" t="inlineStr"/>
    </row>
    <row r="2353" ht="15" customHeight="1">
      <c r="A2353" t="inlineStr">
        <is>
          <t>A 56262-2023</t>
        </is>
      </c>
      <c r="B2353" s="1" t="n">
        <v>45240</v>
      </c>
      <c r="C2353" s="1" t="n">
        <v>45576</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56234-2023</t>
        </is>
      </c>
      <c r="B2354" s="1" t="n">
        <v>45240</v>
      </c>
      <c r="C2354" s="1" t="n">
        <v>45576</v>
      </c>
      <c r="D2354" t="inlineStr">
        <is>
          <t>VÄSTERNORRLANDS LÄN</t>
        </is>
      </c>
      <c r="E2354" t="inlineStr">
        <is>
          <t>SOLLEFTEÅ</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56260-2023</t>
        </is>
      </c>
      <c r="B2355" s="1" t="n">
        <v>45240</v>
      </c>
      <c r="C2355" s="1" t="n">
        <v>45576</v>
      </c>
      <c r="D2355" t="inlineStr">
        <is>
          <t>VÄSTERNORRLANDS LÄN</t>
        </is>
      </c>
      <c r="E2355" t="inlineStr">
        <is>
          <t>SOLLEFTEÅ</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56256-2023</t>
        </is>
      </c>
      <c r="B2356" s="1" t="n">
        <v>45240</v>
      </c>
      <c r="C2356" s="1" t="n">
        <v>45576</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56244-2023</t>
        </is>
      </c>
      <c r="B2357" s="1" t="n">
        <v>45240</v>
      </c>
      <c r="C2357" s="1" t="n">
        <v>45576</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56134-2023</t>
        </is>
      </c>
      <c r="B2358" s="1" t="n">
        <v>45240</v>
      </c>
      <c r="C2358" s="1" t="n">
        <v>45576</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56137-2023</t>
        </is>
      </c>
      <c r="B2359" s="1" t="n">
        <v>45240</v>
      </c>
      <c r="C2359" s="1" t="n">
        <v>45576</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56139-2023</t>
        </is>
      </c>
      <c r="B2360" s="1" t="n">
        <v>45240</v>
      </c>
      <c r="C2360" s="1" t="n">
        <v>45576</v>
      </c>
      <c r="D2360" t="inlineStr">
        <is>
          <t>VÄSTERNORRLANDS LÄN</t>
        </is>
      </c>
      <c r="E2360" t="inlineStr">
        <is>
          <t>SOLLEFTEÅ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56310-2023</t>
        </is>
      </c>
      <c r="B2361" s="1" t="n">
        <v>45242</v>
      </c>
      <c r="C2361" s="1" t="n">
        <v>45576</v>
      </c>
      <c r="D2361" t="inlineStr">
        <is>
          <t>VÄSTERNORRLANDS LÄN</t>
        </is>
      </c>
      <c r="E2361" t="inlineStr">
        <is>
          <t>SOLLEFTEÅ</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57518-2023</t>
        </is>
      </c>
      <c r="B2362" s="1" t="n">
        <v>45242</v>
      </c>
      <c r="C2362" s="1" t="n">
        <v>45576</v>
      </c>
      <c r="D2362" t="inlineStr">
        <is>
          <t>VÄSTERNORRLANDS LÄN</t>
        </is>
      </c>
      <c r="E2362" t="inlineStr">
        <is>
          <t>SOLLEFTEÅ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56311-2023</t>
        </is>
      </c>
      <c r="B2363" s="1" t="n">
        <v>45242</v>
      </c>
      <c r="C2363" s="1" t="n">
        <v>45576</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56684-2023</t>
        </is>
      </c>
      <c r="B2364" s="1" t="n">
        <v>45244</v>
      </c>
      <c r="C2364" s="1" t="n">
        <v>45576</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56685-2023</t>
        </is>
      </c>
      <c r="B2365" s="1" t="n">
        <v>45244</v>
      </c>
      <c r="C2365" s="1" t="n">
        <v>45576</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57080-2023</t>
        </is>
      </c>
      <c r="B2366" s="1" t="n">
        <v>45244</v>
      </c>
      <c r="C2366" s="1" t="n">
        <v>45576</v>
      </c>
      <c r="D2366" t="inlineStr">
        <is>
          <t>VÄSTERNORRLANDS LÄN</t>
        </is>
      </c>
      <c r="E2366" t="inlineStr">
        <is>
          <t>SOLLEFTEÅ</t>
        </is>
      </c>
      <c r="F2366" t="inlineStr">
        <is>
          <t>SCA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57066-2023</t>
        </is>
      </c>
      <c r="B2367" s="1" t="n">
        <v>45245</v>
      </c>
      <c r="C2367" s="1" t="n">
        <v>45576</v>
      </c>
      <c r="D2367" t="inlineStr">
        <is>
          <t>VÄSTERNORRLANDS LÄN</t>
        </is>
      </c>
      <c r="E2367" t="inlineStr">
        <is>
          <t>SOLLEFTEÅ</t>
        </is>
      </c>
      <c r="F2367" t="inlineStr">
        <is>
          <t>SCA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57837-2023</t>
        </is>
      </c>
      <c r="B2368" s="1" t="n">
        <v>45244</v>
      </c>
      <c r="C2368" s="1" t="n">
        <v>45576</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57384-2023</t>
        </is>
      </c>
      <c r="B2369" s="1" t="n">
        <v>45245</v>
      </c>
      <c r="C2369" s="1" t="n">
        <v>45576</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57394-2023</t>
        </is>
      </c>
      <c r="B2370" s="1" t="n">
        <v>45246</v>
      </c>
      <c r="C2370" s="1" t="n">
        <v>45576</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57395-2023</t>
        </is>
      </c>
      <c r="B2371" s="1" t="n">
        <v>45246</v>
      </c>
      <c r="C2371" s="1" t="n">
        <v>45576</v>
      </c>
      <c r="D2371" t="inlineStr">
        <is>
          <t>VÄSTERNORRLANDS LÄN</t>
        </is>
      </c>
      <c r="E2371" t="inlineStr">
        <is>
          <t>SOLLEFTEÅ</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57411-2023</t>
        </is>
      </c>
      <c r="B2372" s="1" t="n">
        <v>45245</v>
      </c>
      <c r="C2372" s="1" t="n">
        <v>45576</v>
      </c>
      <c r="D2372" t="inlineStr">
        <is>
          <t>VÄSTERNORRLANDS LÄN</t>
        </is>
      </c>
      <c r="E2372" t="inlineStr">
        <is>
          <t>SOLLEFTEÅ</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58298-2023</t>
        </is>
      </c>
      <c r="B2373" s="1" t="n">
        <v>45245</v>
      </c>
      <c r="C2373" s="1" t="n">
        <v>45576</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57655-2023</t>
        </is>
      </c>
      <c r="B2374" s="1" t="n">
        <v>45246</v>
      </c>
      <c r="C2374" s="1" t="n">
        <v>45576</v>
      </c>
      <c r="D2374" t="inlineStr">
        <is>
          <t>VÄSTERNORRLANDS LÄN</t>
        </is>
      </c>
      <c r="E2374" t="inlineStr">
        <is>
          <t>SOLLEFTEÅ</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58085-2023</t>
        </is>
      </c>
      <c r="B2375" s="1" t="n">
        <v>45247</v>
      </c>
      <c r="C2375" s="1" t="n">
        <v>45576</v>
      </c>
      <c r="D2375" t="inlineStr">
        <is>
          <t>VÄSTERNORRLANDS LÄN</t>
        </is>
      </c>
      <c r="E2375" t="inlineStr">
        <is>
          <t>SOLLEFTEÅ</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58155-2023</t>
        </is>
      </c>
      <c r="B2376" s="1" t="n">
        <v>45250</v>
      </c>
      <c r="C2376" s="1" t="n">
        <v>45576</v>
      </c>
      <c r="D2376" t="inlineStr">
        <is>
          <t>VÄSTERNORRLANDS LÄN</t>
        </is>
      </c>
      <c r="E2376" t="inlineStr">
        <is>
          <t>SOLLEFTEÅ</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58923-2023</t>
        </is>
      </c>
      <c r="B2377" s="1" t="n">
        <v>45250</v>
      </c>
      <c r="C2377" s="1" t="n">
        <v>45576</v>
      </c>
      <c r="D2377" t="inlineStr">
        <is>
          <t>VÄSTERNORRLANDS LÄN</t>
        </is>
      </c>
      <c r="E2377" t="inlineStr">
        <is>
          <t>SOLLEFTEÅ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58938-2023</t>
        </is>
      </c>
      <c r="B2378" s="1" t="n">
        <v>45250</v>
      </c>
      <c r="C2378" s="1" t="n">
        <v>45576</v>
      </c>
      <c r="D2378" t="inlineStr">
        <is>
          <t>VÄSTERNORRLANDS LÄN</t>
        </is>
      </c>
      <c r="E2378" t="inlineStr">
        <is>
          <t>SOLLEFTEÅ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58427-2023</t>
        </is>
      </c>
      <c r="B2379" s="1" t="n">
        <v>45250</v>
      </c>
      <c r="C2379" s="1" t="n">
        <v>45576</v>
      </c>
      <c r="D2379" t="inlineStr">
        <is>
          <t>VÄSTERNORRLANDS LÄN</t>
        </is>
      </c>
      <c r="E2379" t="inlineStr">
        <is>
          <t>SOLLEFTEÅ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58891-2023</t>
        </is>
      </c>
      <c r="B2380" s="1" t="n">
        <v>45250</v>
      </c>
      <c r="C2380" s="1" t="n">
        <v>45576</v>
      </c>
      <c r="D2380" t="inlineStr">
        <is>
          <t>VÄSTERNORRLANDS LÄN</t>
        </is>
      </c>
      <c r="E2380" t="inlineStr">
        <is>
          <t>SOLLEFTEÅ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58933-2023</t>
        </is>
      </c>
      <c r="B2381" s="1" t="n">
        <v>45250</v>
      </c>
      <c r="C2381" s="1" t="n">
        <v>45576</v>
      </c>
      <c r="D2381" t="inlineStr">
        <is>
          <t>VÄSTERNORRLANDS LÄN</t>
        </is>
      </c>
      <c r="E2381" t="inlineStr">
        <is>
          <t>SOLLEFTEÅ</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59098-2023</t>
        </is>
      </c>
      <c r="B2382" s="1" t="n">
        <v>45253</v>
      </c>
      <c r="C2382" s="1" t="n">
        <v>45576</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59339-2023</t>
        </is>
      </c>
      <c r="B2383" s="1" t="n">
        <v>45253</v>
      </c>
      <c r="C2383" s="1" t="n">
        <v>45576</v>
      </c>
      <c r="D2383" t="inlineStr">
        <is>
          <t>VÄSTERNORRLANDS LÄN</t>
        </is>
      </c>
      <c r="E2383" t="inlineStr">
        <is>
          <t>SOLLEFTEÅ</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59346-2023</t>
        </is>
      </c>
      <c r="B2384" s="1" t="n">
        <v>45253</v>
      </c>
      <c r="C2384" s="1" t="n">
        <v>45576</v>
      </c>
      <c r="D2384" t="inlineStr">
        <is>
          <t>VÄSTERNORRLANDS LÄN</t>
        </is>
      </c>
      <c r="E2384" t="inlineStr">
        <is>
          <t>SOLLEFTEÅ</t>
        </is>
      </c>
      <c r="F2384" t="inlineStr">
        <is>
          <t>Holmen skog AB</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59461-2023</t>
        </is>
      </c>
      <c r="B2385" s="1" t="n">
        <v>45253</v>
      </c>
      <c r="C2385" s="1" t="n">
        <v>45576</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59579-2023</t>
        </is>
      </c>
      <c r="B2386" s="1" t="n">
        <v>45253</v>
      </c>
      <c r="C2386" s="1" t="n">
        <v>45576</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59501-2023</t>
        </is>
      </c>
      <c r="B2387" s="1" t="n">
        <v>45254</v>
      </c>
      <c r="C2387" s="1" t="n">
        <v>45576</v>
      </c>
      <c r="D2387" t="inlineStr">
        <is>
          <t>VÄSTERNORRLANDS LÄN</t>
        </is>
      </c>
      <c r="E2387" t="inlineStr">
        <is>
          <t>SOLLEFTEÅ</t>
        </is>
      </c>
      <c r="F2387" t="inlineStr">
        <is>
          <t>Holmen skog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59583-2023</t>
        </is>
      </c>
      <c r="B2388" s="1" t="n">
        <v>45254</v>
      </c>
      <c r="C2388" s="1" t="n">
        <v>45576</v>
      </c>
      <c r="D2388" t="inlineStr">
        <is>
          <t>VÄSTERNORRLANDS LÄN</t>
        </is>
      </c>
      <c r="E2388" t="inlineStr">
        <is>
          <t>SOLLEFTEÅ</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59657-2023</t>
        </is>
      </c>
      <c r="B2389" s="1" t="n">
        <v>45255</v>
      </c>
      <c r="C2389" s="1" t="n">
        <v>45576</v>
      </c>
      <c r="D2389" t="inlineStr">
        <is>
          <t>VÄSTERNORRLANDS LÄN</t>
        </is>
      </c>
      <c r="E2389" t="inlineStr">
        <is>
          <t>SOLLEFTEÅ</t>
        </is>
      </c>
      <c r="F2389" t="inlineStr">
        <is>
          <t>SCA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59593-2023</t>
        </is>
      </c>
      <c r="B2390" s="1" t="n">
        <v>45254</v>
      </c>
      <c r="C2390" s="1" t="n">
        <v>45576</v>
      </c>
      <c r="D2390" t="inlineStr">
        <is>
          <t>VÄSTERNORRLANDS LÄN</t>
        </is>
      </c>
      <c r="E2390" t="inlineStr">
        <is>
          <t>SOLLEFTEÅ</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59879-2023</t>
        </is>
      </c>
      <c r="B2391" s="1" t="n">
        <v>45254</v>
      </c>
      <c r="C2391" s="1" t="n">
        <v>45576</v>
      </c>
      <c r="D2391" t="inlineStr">
        <is>
          <t>VÄSTERNORRLANDS LÄN</t>
        </is>
      </c>
      <c r="E2391" t="inlineStr">
        <is>
          <t>SOLLEFTEÅ</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60039-2023</t>
        </is>
      </c>
      <c r="B2392" s="1" t="n">
        <v>45254</v>
      </c>
      <c r="C2392" s="1" t="n">
        <v>45576</v>
      </c>
      <c r="D2392" t="inlineStr">
        <is>
          <t>VÄSTERNORRLANDS LÄN</t>
        </is>
      </c>
      <c r="E2392" t="inlineStr">
        <is>
          <t>SOLLEFTEÅ</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59794-2023</t>
        </is>
      </c>
      <c r="B2393" s="1" t="n">
        <v>45257</v>
      </c>
      <c r="C2393" s="1" t="n">
        <v>45576</v>
      </c>
      <c r="D2393" t="inlineStr">
        <is>
          <t>VÄSTERNORRLANDS LÄN</t>
        </is>
      </c>
      <c r="E2393" t="inlineStr">
        <is>
          <t>SOLLEFTEÅ</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60099-2023</t>
        </is>
      </c>
      <c r="B2394" s="1" t="n">
        <v>45257</v>
      </c>
      <c r="C2394" s="1" t="n">
        <v>45576</v>
      </c>
      <c r="D2394" t="inlineStr">
        <is>
          <t>VÄSTERNORRLANDS LÄN</t>
        </is>
      </c>
      <c r="E2394" t="inlineStr">
        <is>
          <t>SOLLEFTEÅ</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60329-2023</t>
        </is>
      </c>
      <c r="B2395" s="1" t="n">
        <v>45258</v>
      </c>
      <c r="C2395" s="1" t="n">
        <v>45576</v>
      </c>
      <c r="D2395" t="inlineStr">
        <is>
          <t>VÄSTERNORRLANDS LÄN</t>
        </is>
      </c>
      <c r="E2395" t="inlineStr">
        <is>
          <t>SOLLEFTEÅ</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60328-2023</t>
        </is>
      </c>
      <c r="B2396" s="1" t="n">
        <v>45258</v>
      </c>
      <c r="C2396" s="1" t="n">
        <v>45576</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60462-2023</t>
        </is>
      </c>
      <c r="B2397" s="1" t="n">
        <v>45258</v>
      </c>
      <c r="C2397" s="1" t="n">
        <v>45576</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60480-2023</t>
        </is>
      </c>
      <c r="B2398" s="1" t="n">
        <v>45258</v>
      </c>
      <c r="C2398" s="1" t="n">
        <v>45576</v>
      </c>
      <c r="D2398" t="inlineStr">
        <is>
          <t>VÄSTERNORRLANDS LÄN</t>
        </is>
      </c>
      <c r="E2398" t="inlineStr">
        <is>
          <t>SOLLEFTEÅ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60883-2023</t>
        </is>
      </c>
      <c r="B2399" s="1" t="n">
        <v>45259</v>
      </c>
      <c r="C2399" s="1" t="n">
        <v>45576</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61028-2023</t>
        </is>
      </c>
      <c r="B2400" s="1" t="n">
        <v>45259</v>
      </c>
      <c r="C2400" s="1" t="n">
        <v>45576</v>
      </c>
      <c r="D2400" t="inlineStr">
        <is>
          <t>VÄSTERNORRLANDS LÄN</t>
        </is>
      </c>
      <c r="E2400" t="inlineStr">
        <is>
          <t>SOLLEFTEÅ</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61034-2023</t>
        </is>
      </c>
      <c r="B2401" s="1" t="n">
        <v>45259</v>
      </c>
      <c r="C2401" s="1" t="n">
        <v>45576</v>
      </c>
      <c r="D2401" t="inlineStr">
        <is>
          <t>VÄSTERNORRLANDS LÄN</t>
        </is>
      </c>
      <c r="E2401" t="inlineStr">
        <is>
          <t>SOLLEFTEÅ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60861-2023</t>
        </is>
      </c>
      <c r="B2402" s="1" t="n">
        <v>45260</v>
      </c>
      <c r="C2402" s="1" t="n">
        <v>45576</v>
      </c>
      <c r="D2402" t="inlineStr">
        <is>
          <t>VÄSTERNORRLANDS LÄN</t>
        </is>
      </c>
      <c r="E2402" t="inlineStr">
        <is>
          <t>SOLLEFTEÅ</t>
        </is>
      </c>
      <c r="F2402" t="inlineStr">
        <is>
          <t>SCA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61213-2023</t>
        </is>
      </c>
      <c r="B2403" s="1" t="n">
        <v>45260</v>
      </c>
      <c r="C2403" s="1" t="n">
        <v>45576</v>
      </c>
      <c r="D2403" t="inlineStr">
        <is>
          <t>VÄSTERNORRLANDS LÄN</t>
        </is>
      </c>
      <c r="E2403" t="inlineStr">
        <is>
          <t>SOLLEFTEÅ</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61081-2023</t>
        </is>
      </c>
      <c r="B2404" s="1" t="n">
        <v>45261</v>
      </c>
      <c r="C2404" s="1" t="n">
        <v>45576</v>
      </c>
      <c r="D2404" t="inlineStr">
        <is>
          <t>VÄSTERNORRLANDS LÄN</t>
        </is>
      </c>
      <c r="E2404" t="inlineStr">
        <is>
          <t>SOLLEFTEÅ</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61137-2023</t>
        </is>
      </c>
      <c r="B2405" s="1" t="n">
        <v>45261</v>
      </c>
      <c r="C2405" s="1" t="n">
        <v>45576</v>
      </c>
      <c r="D2405" t="inlineStr">
        <is>
          <t>VÄSTERNORRLANDS LÄN</t>
        </is>
      </c>
      <c r="E2405" t="inlineStr">
        <is>
          <t>SOLLEFTEÅ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61138-2023</t>
        </is>
      </c>
      <c r="B2406" s="1" t="n">
        <v>45261</v>
      </c>
      <c r="C2406" s="1" t="n">
        <v>45576</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61469-2023</t>
        </is>
      </c>
      <c r="B2407" s="1" t="n">
        <v>45264</v>
      </c>
      <c r="C2407" s="1" t="n">
        <v>45576</v>
      </c>
      <c r="D2407" t="inlineStr">
        <is>
          <t>VÄSTERNORRLANDS LÄN</t>
        </is>
      </c>
      <c r="E2407" t="inlineStr">
        <is>
          <t>SOLLEFTEÅ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61473-2023</t>
        </is>
      </c>
      <c r="B2408" s="1" t="n">
        <v>45264</v>
      </c>
      <c r="C2408" s="1" t="n">
        <v>45576</v>
      </c>
      <c r="D2408" t="inlineStr">
        <is>
          <t>VÄSTERNORRLANDS LÄN</t>
        </is>
      </c>
      <c r="E2408" t="inlineStr">
        <is>
          <t>SOLLEFTEÅ</t>
        </is>
      </c>
      <c r="G2408" t="n">
        <v>18.8</v>
      </c>
      <c r="H2408" t="n">
        <v>0</v>
      </c>
      <c r="I2408" t="n">
        <v>0</v>
      </c>
      <c r="J2408" t="n">
        <v>0</v>
      </c>
      <c r="K2408" t="n">
        <v>0</v>
      </c>
      <c r="L2408" t="n">
        <v>0</v>
      </c>
      <c r="M2408" t="n">
        <v>0</v>
      </c>
      <c r="N2408" t="n">
        <v>0</v>
      </c>
      <c r="O2408" t="n">
        <v>0</v>
      </c>
      <c r="P2408" t="n">
        <v>0</v>
      </c>
      <c r="Q2408" t="n">
        <v>0</v>
      </c>
      <c r="R2408" s="2" t="inlineStr"/>
    </row>
    <row r="2409" ht="15" customHeight="1">
      <c r="A2409" t="inlineStr">
        <is>
          <t>A 61462-2023</t>
        </is>
      </c>
      <c r="B2409" s="1" t="n">
        <v>45264</v>
      </c>
      <c r="C2409" s="1" t="n">
        <v>45576</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61470-2023</t>
        </is>
      </c>
      <c r="B2410" s="1" t="n">
        <v>45264</v>
      </c>
      <c r="C2410" s="1" t="n">
        <v>45576</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61809-2023</t>
        </is>
      </c>
      <c r="B2411" s="1" t="n">
        <v>45264</v>
      </c>
      <c r="C2411" s="1" t="n">
        <v>45576</v>
      </c>
      <c r="D2411" t="inlineStr">
        <is>
          <t>VÄSTERNORRLANDS LÄN</t>
        </is>
      </c>
      <c r="E2411" t="inlineStr">
        <is>
          <t>SOLLEFTEÅ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61805-2023</t>
        </is>
      </c>
      <c r="B2412" s="1" t="n">
        <v>45264</v>
      </c>
      <c r="C2412" s="1" t="n">
        <v>45576</v>
      </c>
      <c r="D2412" t="inlineStr">
        <is>
          <t>VÄSTERNORRLANDS LÄN</t>
        </is>
      </c>
      <c r="E2412" t="inlineStr">
        <is>
          <t>SOLLEFTEÅ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61485-2023</t>
        </is>
      </c>
      <c r="B2413" s="1" t="n">
        <v>45264</v>
      </c>
      <c r="C2413" s="1" t="n">
        <v>45576</v>
      </c>
      <c r="D2413" t="inlineStr">
        <is>
          <t>VÄSTERNORRLANDS LÄN</t>
        </is>
      </c>
      <c r="E2413" t="inlineStr">
        <is>
          <t>SOLLEFTEÅ</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61784-2023</t>
        </is>
      </c>
      <c r="B2414" s="1" t="n">
        <v>45265</v>
      </c>
      <c r="C2414" s="1" t="n">
        <v>45576</v>
      </c>
      <c r="D2414" t="inlineStr">
        <is>
          <t>VÄSTERNORRLANDS LÄN</t>
        </is>
      </c>
      <c r="E2414" t="inlineStr">
        <is>
          <t>SOLLEFTEÅ</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62099-2023</t>
        </is>
      </c>
      <c r="B2415" s="1" t="n">
        <v>45266</v>
      </c>
      <c r="C2415" s="1" t="n">
        <v>45576</v>
      </c>
      <c r="D2415" t="inlineStr">
        <is>
          <t>VÄSTERNORRLANDS LÄN</t>
        </is>
      </c>
      <c r="E2415" t="inlineStr">
        <is>
          <t>SOLLEFTEÅ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62098-2023</t>
        </is>
      </c>
      <c r="B2416" s="1" t="n">
        <v>45266</v>
      </c>
      <c r="C2416" s="1" t="n">
        <v>45576</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62096-2023</t>
        </is>
      </c>
      <c r="B2417" s="1" t="n">
        <v>45266</v>
      </c>
      <c r="C2417" s="1" t="n">
        <v>45576</v>
      </c>
      <c r="D2417" t="inlineStr">
        <is>
          <t>VÄSTERNORRLANDS LÄN</t>
        </is>
      </c>
      <c r="E2417" t="inlineStr">
        <is>
          <t>SOLLEFTEÅ</t>
        </is>
      </c>
      <c r="F2417" t="inlineStr">
        <is>
          <t>Kyrkan</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62100-2023</t>
        </is>
      </c>
      <c r="B2418" s="1" t="n">
        <v>45266</v>
      </c>
      <c r="C2418" s="1" t="n">
        <v>45576</v>
      </c>
      <c r="D2418" t="inlineStr">
        <is>
          <t>VÄSTERNORRLANDS LÄN</t>
        </is>
      </c>
      <c r="E2418" t="inlineStr">
        <is>
          <t>SOLLEFTEÅ</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62115-2023</t>
        </is>
      </c>
      <c r="B2419" s="1" t="n">
        <v>45266</v>
      </c>
      <c r="C2419" s="1" t="n">
        <v>45576</v>
      </c>
      <c r="D2419" t="inlineStr">
        <is>
          <t>VÄSTERNORRLANDS LÄN</t>
        </is>
      </c>
      <c r="E2419" t="inlineStr">
        <is>
          <t>SOLLEFTEÅ</t>
        </is>
      </c>
      <c r="F2419" t="inlineStr">
        <is>
          <t>SCA</t>
        </is>
      </c>
      <c r="G2419" t="n">
        <v>43.1</v>
      </c>
      <c r="H2419" t="n">
        <v>0</v>
      </c>
      <c r="I2419" t="n">
        <v>0</v>
      </c>
      <c r="J2419" t="n">
        <v>0</v>
      </c>
      <c r="K2419" t="n">
        <v>0</v>
      </c>
      <c r="L2419" t="n">
        <v>0</v>
      </c>
      <c r="M2419" t="n">
        <v>0</v>
      </c>
      <c r="N2419" t="n">
        <v>0</v>
      </c>
      <c r="O2419" t="n">
        <v>0</v>
      </c>
      <c r="P2419" t="n">
        <v>0</v>
      </c>
      <c r="Q2419" t="n">
        <v>0</v>
      </c>
      <c r="R2419" s="2" t="inlineStr"/>
    </row>
    <row r="2420" ht="15" customHeight="1">
      <c r="A2420" t="inlineStr">
        <is>
          <t>A 62097-2023</t>
        </is>
      </c>
      <c r="B2420" s="1" t="n">
        <v>45266</v>
      </c>
      <c r="C2420" s="1" t="n">
        <v>45576</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62093-2023</t>
        </is>
      </c>
      <c r="B2421" s="1" t="n">
        <v>45266</v>
      </c>
      <c r="C2421" s="1" t="n">
        <v>45576</v>
      </c>
      <c r="D2421" t="inlineStr">
        <is>
          <t>VÄSTERNORRLANDS LÄN</t>
        </is>
      </c>
      <c r="E2421" t="inlineStr">
        <is>
          <t>SOLLEFTEÅ</t>
        </is>
      </c>
      <c r="G2421" t="n">
        <v>18.1</v>
      </c>
      <c r="H2421" t="n">
        <v>0</v>
      </c>
      <c r="I2421" t="n">
        <v>0</v>
      </c>
      <c r="J2421" t="n">
        <v>0</v>
      </c>
      <c r="K2421" t="n">
        <v>0</v>
      </c>
      <c r="L2421" t="n">
        <v>0</v>
      </c>
      <c r="M2421" t="n">
        <v>0</v>
      </c>
      <c r="N2421" t="n">
        <v>0</v>
      </c>
      <c r="O2421" t="n">
        <v>0</v>
      </c>
      <c r="P2421" t="n">
        <v>0</v>
      </c>
      <c r="Q2421" t="n">
        <v>0</v>
      </c>
      <c r="R2421" s="2" t="inlineStr"/>
    </row>
    <row r="2422" ht="15" customHeight="1">
      <c r="A2422" t="inlineStr">
        <is>
          <t>A 62343-2023</t>
        </is>
      </c>
      <c r="B2422" s="1" t="n">
        <v>45267</v>
      </c>
      <c r="C2422" s="1" t="n">
        <v>45576</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62363-2023</t>
        </is>
      </c>
      <c r="B2423" s="1" t="n">
        <v>45267</v>
      </c>
      <c r="C2423" s="1" t="n">
        <v>45576</v>
      </c>
      <c r="D2423" t="inlineStr">
        <is>
          <t>VÄSTERNORRLANDS LÄN</t>
        </is>
      </c>
      <c r="E2423" t="inlineStr">
        <is>
          <t>SOLLEFTEÅ</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62364-2023</t>
        </is>
      </c>
      <c r="B2424" s="1" t="n">
        <v>45267</v>
      </c>
      <c r="C2424" s="1" t="n">
        <v>45576</v>
      </c>
      <c r="D2424" t="inlineStr">
        <is>
          <t>VÄSTERNORRLANDS LÄN</t>
        </is>
      </c>
      <c r="E2424" t="inlineStr">
        <is>
          <t>SOLLEFTEÅ</t>
        </is>
      </c>
      <c r="F2424" t="inlineStr">
        <is>
          <t>SCA</t>
        </is>
      </c>
      <c r="G2424" t="n">
        <v>22.1</v>
      </c>
      <c r="H2424" t="n">
        <v>0</v>
      </c>
      <c r="I2424" t="n">
        <v>0</v>
      </c>
      <c r="J2424" t="n">
        <v>0</v>
      </c>
      <c r="K2424" t="n">
        <v>0</v>
      </c>
      <c r="L2424" t="n">
        <v>0</v>
      </c>
      <c r="M2424" t="n">
        <v>0</v>
      </c>
      <c r="N2424" t="n">
        <v>0</v>
      </c>
      <c r="O2424" t="n">
        <v>0</v>
      </c>
      <c r="P2424" t="n">
        <v>0</v>
      </c>
      <c r="Q2424" t="n">
        <v>0</v>
      </c>
      <c r="R2424" s="2" t="inlineStr"/>
    </row>
    <row r="2425" ht="15" customHeight="1">
      <c r="A2425" t="inlineStr">
        <is>
          <t>A 62523-2023</t>
        </is>
      </c>
      <c r="B2425" s="1" t="n">
        <v>45267</v>
      </c>
      <c r="C2425" s="1" t="n">
        <v>45576</v>
      </c>
      <c r="D2425" t="inlineStr">
        <is>
          <t>VÄSTERNORRLANDS LÄN</t>
        </is>
      </c>
      <c r="E2425" t="inlineStr">
        <is>
          <t>SOLLEFTEÅ</t>
        </is>
      </c>
      <c r="G2425" t="n">
        <v>33.6</v>
      </c>
      <c r="H2425" t="n">
        <v>0</v>
      </c>
      <c r="I2425" t="n">
        <v>0</v>
      </c>
      <c r="J2425" t="n">
        <v>0</v>
      </c>
      <c r="K2425" t="n">
        <v>0</v>
      </c>
      <c r="L2425" t="n">
        <v>0</v>
      </c>
      <c r="M2425" t="n">
        <v>0</v>
      </c>
      <c r="N2425" t="n">
        <v>0</v>
      </c>
      <c r="O2425" t="n">
        <v>0</v>
      </c>
      <c r="P2425" t="n">
        <v>0</v>
      </c>
      <c r="Q2425" t="n">
        <v>0</v>
      </c>
      <c r="R2425" s="2" t="inlineStr"/>
    </row>
    <row r="2426" ht="15" customHeight="1">
      <c r="A2426" t="inlineStr">
        <is>
          <t>A 62357-2023</t>
        </is>
      </c>
      <c r="B2426" s="1" t="n">
        <v>45267</v>
      </c>
      <c r="C2426" s="1" t="n">
        <v>45576</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62527-2023</t>
        </is>
      </c>
      <c r="B2427" s="1" t="n">
        <v>45267</v>
      </c>
      <c r="C2427" s="1" t="n">
        <v>45576</v>
      </c>
      <c r="D2427" t="inlineStr">
        <is>
          <t>VÄSTERNORRLANDS LÄN</t>
        </is>
      </c>
      <c r="E2427" t="inlineStr">
        <is>
          <t>SOLLEFTEÅ</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62827-2023</t>
        </is>
      </c>
      <c r="B2428" s="1" t="n">
        <v>45271</v>
      </c>
      <c r="C2428" s="1" t="n">
        <v>45576</v>
      </c>
      <c r="D2428" t="inlineStr">
        <is>
          <t>VÄSTERNORRLANDS LÄN</t>
        </is>
      </c>
      <c r="E2428" t="inlineStr">
        <is>
          <t>SOLLEFTEÅ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63138-2023</t>
        </is>
      </c>
      <c r="B2429" s="1" t="n">
        <v>45272</v>
      </c>
      <c r="C2429" s="1" t="n">
        <v>45576</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63144-2023</t>
        </is>
      </c>
      <c r="B2430" s="1" t="n">
        <v>45272</v>
      </c>
      <c r="C2430" s="1" t="n">
        <v>45576</v>
      </c>
      <c r="D2430" t="inlineStr">
        <is>
          <t>VÄSTERNORRLANDS LÄN</t>
        </is>
      </c>
      <c r="E2430" t="inlineStr">
        <is>
          <t>SOLLEFTEÅ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63261-2023</t>
        </is>
      </c>
      <c r="B2431" s="1" t="n">
        <v>45273</v>
      </c>
      <c r="C2431" s="1" t="n">
        <v>45576</v>
      </c>
      <c r="D2431" t="inlineStr">
        <is>
          <t>VÄSTERNORRLANDS LÄN</t>
        </is>
      </c>
      <c r="E2431" t="inlineStr">
        <is>
          <t>SOLLEFTEÅ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63259-2023</t>
        </is>
      </c>
      <c r="B2432" s="1" t="n">
        <v>45273</v>
      </c>
      <c r="C2432" s="1" t="n">
        <v>45576</v>
      </c>
      <c r="D2432" t="inlineStr">
        <is>
          <t>VÄSTERNORRLANDS LÄN</t>
        </is>
      </c>
      <c r="E2432" t="inlineStr">
        <is>
          <t>SOLLEFTEÅ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63529-2023</t>
        </is>
      </c>
      <c r="B2433" s="1" t="n">
        <v>45274</v>
      </c>
      <c r="C2433" s="1" t="n">
        <v>45576</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63422-2023</t>
        </is>
      </c>
      <c r="B2434" s="1" t="n">
        <v>45274</v>
      </c>
      <c r="C2434" s="1" t="n">
        <v>45576</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63462-2023</t>
        </is>
      </c>
      <c r="B2435" s="1" t="n">
        <v>45274</v>
      </c>
      <c r="C2435" s="1" t="n">
        <v>45576</v>
      </c>
      <c r="D2435" t="inlineStr">
        <is>
          <t>VÄSTERNORRLANDS LÄN</t>
        </is>
      </c>
      <c r="E2435" t="inlineStr">
        <is>
          <t>SOLLEFTEÅ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63413-2023</t>
        </is>
      </c>
      <c r="B2436" s="1" t="n">
        <v>45274</v>
      </c>
      <c r="C2436" s="1" t="n">
        <v>45576</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63547-2023</t>
        </is>
      </c>
      <c r="B2437" s="1" t="n">
        <v>45274</v>
      </c>
      <c r="C2437" s="1" t="n">
        <v>45576</v>
      </c>
      <c r="D2437" t="inlineStr">
        <is>
          <t>VÄSTERNORRLANDS LÄN</t>
        </is>
      </c>
      <c r="E2437" t="inlineStr">
        <is>
          <t>SOLLEFTEÅ</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63652-2023</t>
        </is>
      </c>
      <c r="B2438" s="1" t="n">
        <v>45275</v>
      </c>
      <c r="C2438" s="1" t="n">
        <v>45576</v>
      </c>
      <c r="D2438" t="inlineStr">
        <is>
          <t>VÄSTERNORRLANDS LÄN</t>
        </is>
      </c>
      <c r="E2438" t="inlineStr">
        <is>
          <t>SOLLEFTEÅ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63712-2023</t>
        </is>
      </c>
      <c r="B2439" s="1" t="n">
        <v>45275</v>
      </c>
      <c r="C2439" s="1" t="n">
        <v>45576</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63707-2023</t>
        </is>
      </c>
      <c r="B2440" s="1" t="n">
        <v>45275</v>
      </c>
      <c r="C2440" s="1" t="n">
        <v>45576</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64013-2023</t>
        </is>
      </c>
      <c r="B2441" s="1" t="n">
        <v>45278</v>
      </c>
      <c r="C2441" s="1" t="n">
        <v>45576</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64014-2023</t>
        </is>
      </c>
      <c r="B2442" s="1" t="n">
        <v>45278</v>
      </c>
      <c r="C2442" s="1" t="n">
        <v>45576</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63979-2023</t>
        </is>
      </c>
      <c r="B2443" s="1" t="n">
        <v>45278</v>
      </c>
      <c r="C2443" s="1" t="n">
        <v>45576</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64111-2023</t>
        </is>
      </c>
      <c r="B2444" s="1" t="n">
        <v>45279</v>
      </c>
      <c r="C2444" s="1" t="n">
        <v>45576</v>
      </c>
      <c r="D2444" t="inlineStr">
        <is>
          <t>VÄSTERNORRLANDS LÄN</t>
        </is>
      </c>
      <c r="E2444" t="inlineStr">
        <is>
          <t>SOLLEFTEÅ</t>
        </is>
      </c>
      <c r="G2444" t="n">
        <v>19.9</v>
      </c>
      <c r="H2444" t="n">
        <v>0</v>
      </c>
      <c r="I2444" t="n">
        <v>0</v>
      </c>
      <c r="J2444" t="n">
        <v>0</v>
      </c>
      <c r="K2444" t="n">
        <v>0</v>
      </c>
      <c r="L2444" t="n">
        <v>0</v>
      </c>
      <c r="M2444" t="n">
        <v>0</v>
      </c>
      <c r="N2444" t="n">
        <v>0</v>
      </c>
      <c r="O2444" t="n">
        <v>0</v>
      </c>
      <c r="P2444" t="n">
        <v>0</v>
      </c>
      <c r="Q2444" t="n">
        <v>0</v>
      </c>
      <c r="R2444" s="2" t="inlineStr"/>
    </row>
    <row r="2445" ht="15" customHeight="1">
      <c r="A2445" t="inlineStr">
        <is>
          <t>A 64115-2023</t>
        </is>
      </c>
      <c r="B2445" s="1" t="n">
        <v>45279</v>
      </c>
      <c r="C2445" s="1" t="n">
        <v>45576</v>
      </c>
      <c r="D2445" t="inlineStr">
        <is>
          <t>VÄSTERNORRLANDS LÄN</t>
        </is>
      </c>
      <c r="E2445" t="inlineStr">
        <is>
          <t>SOLLEFTEÅ</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64120-2023</t>
        </is>
      </c>
      <c r="B2446" s="1" t="n">
        <v>45279</v>
      </c>
      <c r="C2446" s="1" t="n">
        <v>45576</v>
      </c>
      <c r="D2446" t="inlineStr">
        <is>
          <t>VÄSTERNORRLANDS LÄN</t>
        </is>
      </c>
      <c r="E2446" t="inlineStr">
        <is>
          <t>SOLLEFTEÅ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64133-2023</t>
        </is>
      </c>
      <c r="B2447" s="1" t="n">
        <v>45279</v>
      </c>
      <c r="C2447" s="1" t="n">
        <v>45576</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64131-2023</t>
        </is>
      </c>
      <c r="B2448" s="1" t="n">
        <v>45279</v>
      </c>
      <c r="C2448" s="1" t="n">
        <v>45576</v>
      </c>
      <c r="D2448" t="inlineStr">
        <is>
          <t>VÄSTERNORRLANDS LÄN</t>
        </is>
      </c>
      <c r="E2448" t="inlineStr">
        <is>
          <t>SOLLEFTEÅ</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64502-2023</t>
        </is>
      </c>
      <c r="B2449" s="1" t="n">
        <v>45280</v>
      </c>
      <c r="C2449" s="1" t="n">
        <v>45576</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64617-2023</t>
        </is>
      </c>
      <c r="B2450" s="1" t="n">
        <v>45281</v>
      </c>
      <c r="C2450" s="1" t="n">
        <v>45576</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64891-2023</t>
        </is>
      </c>
      <c r="B2451" s="1" t="n">
        <v>45282</v>
      </c>
      <c r="C2451" s="1" t="n">
        <v>45576</v>
      </c>
      <c r="D2451" t="inlineStr">
        <is>
          <t>VÄSTERNORRLANDS LÄN</t>
        </is>
      </c>
      <c r="E2451" t="inlineStr">
        <is>
          <t>SOLLEFTEÅ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64961-2023</t>
        </is>
      </c>
      <c r="B2452" s="1" t="n">
        <v>45282</v>
      </c>
      <c r="C2452" s="1" t="n">
        <v>45576</v>
      </c>
      <c r="D2452" t="inlineStr">
        <is>
          <t>VÄSTERNORRLANDS LÄN</t>
        </is>
      </c>
      <c r="E2452" t="inlineStr">
        <is>
          <t>SOLLEFTEÅ</t>
        </is>
      </c>
      <c r="F2452" t="inlineStr">
        <is>
          <t>SCA</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64959-2023</t>
        </is>
      </c>
      <c r="B2453" s="1" t="n">
        <v>45282</v>
      </c>
      <c r="C2453" s="1" t="n">
        <v>45576</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65148-2023</t>
        </is>
      </c>
      <c r="B2454" s="1" t="n">
        <v>45288</v>
      </c>
      <c r="C2454" s="1" t="n">
        <v>45576</v>
      </c>
      <c r="D2454" t="inlineStr">
        <is>
          <t>VÄSTERNORRLANDS LÄN</t>
        </is>
      </c>
      <c r="E2454" t="inlineStr">
        <is>
          <t>SOLLEFTEÅ</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388-2024</t>
        </is>
      </c>
      <c r="B2455" s="1" t="n">
        <v>45296</v>
      </c>
      <c r="C2455" s="1" t="n">
        <v>45576</v>
      </c>
      <c r="D2455" t="inlineStr">
        <is>
          <t>VÄSTERNORRLANDS LÄN</t>
        </is>
      </c>
      <c r="E2455" t="inlineStr">
        <is>
          <t>SOLLEFTEÅ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394-2024</t>
        </is>
      </c>
      <c r="B2456" s="1" t="n">
        <v>45296</v>
      </c>
      <c r="C2456" s="1" t="n">
        <v>45576</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457-2024</t>
        </is>
      </c>
      <c r="B2457" s="1" t="n">
        <v>45297</v>
      </c>
      <c r="C2457" s="1" t="n">
        <v>45576</v>
      </c>
      <c r="D2457" t="inlineStr">
        <is>
          <t>VÄSTERNORRLANDS LÄN</t>
        </is>
      </c>
      <c r="E2457" t="inlineStr">
        <is>
          <t>SOLLEFTEÅ</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656-2024</t>
        </is>
      </c>
      <c r="B2458" s="1" t="n">
        <v>45299</v>
      </c>
      <c r="C2458" s="1" t="n">
        <v>45576</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858-2024</t>
        </is>
      </c>
      <c r="B2459" s="1" t="n">
        <v>45301</v>
      </c>
      <c r="C2459" s="1" t="n">
        <v>45576</v>
      </c>
      <c r="D2459" t="inlineStr">
        <is>
          <t>VÄSTERNORRLANDS LÄN</t>
        </is>
      </c>
      <c r="E2459" t="inlineStr">
        <is>
          <t>SOLLEFTEÅ</t>
        </is>
      </c>
      <c r="F2459" t="inlineStr">
        <is>
          <t>SCA</t>
        </is>
      </c>
      <c r="G2459" t="n">
        <v>56.2</v>
      </c>
      <c r="H2459" t="n">
        <v>0</v>
      </c>
      <c r="I2459" t="n">
        <v>0</v>
      </c>
      <c r="J2459" t="n">
        <v>0</v>
      </c>
      <c r="K2459" t="n">
        <v>0</v>
      </c>
      <c r="L2459" t="n">
        <v>0</v>
      </c>
      <c r="M2459" t="n">
        <v>0</v>
      </c>
      <c r="N2459" t="n">
        <v>0</v>
      </c>
      <c r="O2459" t="n">
        <v>0</v>
      </c>
      <c r="P2459" t="n">
        <v>0</v>
      </c>
      <c r="Q2459" t="n">
        <v>0</v>
      </c>
      <c r="R2459" s="2" t="inlineStr"/>
    </row>
    <row r="2460" ht="15" customHeight="1">
      <c r="A2460" t="inlineStr">
        <is>
          <t>A 1006-2024</t>
        </is>
      </c>
      <c r="B2460" s="1" t="n">
        <v>45301</v>
      </c>
      <c r="C2460" s="1" t="n">
        <v>45576</v>
      </c>
      <c r="D2460" t="inlineStr">
        <is>
          <t>VÄSTERNORRLANDS LÄN</t>
        </is>
      </c>
      <c r="E2460" t="inlineStr">
        <is>
          <t>SOLLEFTEÅ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1047-2024</t>
        </is>
      </c>
      <c r="B2461" s="1" t="n">
        <v>45301</v>
      </c>
      <c r="C2461" s="1" t="n">
        <v>45576</v>
      </c>
      <c r="D2461" t="inlineStr">
        <is>
          <t>VÄSTERNORRLANDS LÄN</t>
        </is>
      </c>
      <c r="E2461" t="inlineStr">
        <is>
          <t>SOLLEFTEÅ</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1054-2024</t>
        </is>
      </c>
      <c r="B2462" s="1" t="n">
        <v>45302</v>
      </c>
      <c r="C2462" s="1" t="n">
        <v>45576</v>
      </c>
      <c r="D2462" t="inlineStr">
        <is>
          <t>VÄSTERNORRLANDS LÄN</t>
        </is>
      </c>
      <c r="E2462" t="inlineStr">
        <is>
          <t>SOLLEFTEÅ</t>
        </is>
      </c>
      <c r="F2462" t="inlineStr">
        <is>
          <t>SCA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1269-2024</t>
        </is>
      </c>
      <c r="B2463" s="1" t="n">
        <v>45302</v>
      </c>
      <c r="C2463" s="1" t="n">
        <v>45576</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1173-2024</t>
        </is>
      </c>
      <c r="B2464" s="1" t="n">
        <v>45302</v>
      </c>
      <c r="C2464" s="1" t="n">
        <v>45576</v>
      </c>
      <c r="D2464" t="inlineStr">
        <is>
          <t>VÄSTERNORRLANDS LÄN</t>
        </is>
      </c>
      <c r="E2464" t="inlineStr">
        <is>
          <t>SOLLEFTEÅ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1268-2024</t>
        </is>
      </c>
      <c r="B2465" s="1" t="n">
        <v>45302</v>
      </c>
      <c r="C2465" s="1" t="n">
        <v>45576</v>
      </c>
      <c r="D2465" t="inlineStr">
        <is>
          <t>VÄSTERNORRLANDS LÄN</t>
        </is>
      </c>
      <c r="E2465" t="inlineStr">
        <is>
          <t>SOLLEFTEÅ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1459-2024</t>
        </is>
      </c>
      <c r="B2466" s="1" t="n">
        <v>45303</v>
      </c>
      <c r="C2466" s="1" t="n">
        <v>45576</v>
      </c>
      <c r="D2466" t="inlineStr">
        <is>
          <t>VÄSTERNORRLANDS LÄN</t>
        </is>
      </c>
      <c r="E2466" t="inlineStr">
        <is>
          <t>SOLLEFTEÅ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1678-2024</t>
        </is>
      </c>
      <c r="B2467" s="1" t="n">
        <v>45307</v>
      </c>
      <c r="C2467" s="1" t="n">
        <v>45576</v>
      </c>
      <c r="D2467" t="inlineStr">
        <is>
          <t>VÄSTERNORRLANDS LÄN</t>
        </is>
      </c>
      <c r="E2467" t="inlineStr">
        <is>
          <t>SOLLEFTEÅ</t>
        </is>
      </c>
      <c r="F2467" t="inlineStr">
        <is>
          <t>SCA</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1679-2024</t>
        </is>
      </c>
      <c r="B2468" s="1" t="n">
        <v>45306</v>
      </c>
      <c r="C2468" s="1" t="n">
        <v>45576</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1840-2024</t>
        </is>
      </c>
      <c r="B2469" s="1" t="n">
        <v>45307</v>
      </c>
      <c r="C2469" s="1" t="n">
        <v>45576</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1844-2024</t>
        </is>
      </c>
      <c r="B2470" s="1" t="n">
        <v>45307</v>
      </c>
      <c r="C2470" s="1" t="n">
        <v>45576</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1848-2024</t>
        </is>
      </c>
      <c r="B2471" s="1" t="n">
        <v>45307</v>
      </c>
      <c r="C2471" s="1" t="n">
        <v>45576</v>
      </c>
      <c r="D2471" t="inlineStr">
        <is>
          <t>VÄSTERNORRLANDS LÄN</t>
        </is>
      </c>
      <c r="E2471" t="inlineStr">
        <is>
          <t>SOLLEFTEÅ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1880-2024</t>
        </is>
      </c>
      <c r="B2472" s="1" t="n">
        <v>45307</v>
      </c>
      <c r="C2472" s="1" t="n">
        <v>45576</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1878-2024</t>
        </is>
      </c>
      <c r="B2473" s="1" t="n">
        <v>45307</v>
      </c>
      <c r="C2473" s="1" t="n">
        <v>45576</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2223-2024</t>
        </is>
      </c>
      <c r="B2474" s="1" t="n">
        <v>45309</v>
      </c>
      <c r="C2474" s="1" t="n">
        <v>45576</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2232-2024</t>
        </is>
      </c>
      <c r="B2475" s="1" t="n">
        <v>45309</v>
      </c>
      <c r="C2475" s="1" t="n">
        <v>45576</v>
      </c>
      <c r="D2475" t="inlineStr">
        <is>
          <t>VÄSTERNORRLANDS LÄN</t>
        </is>
      </c>
      <c r="E2475" t="inlineStr">
        <is>
          <t>SOLLEFTEÅ</t>
        </is>
      </c>
      <c r="F2475" t="inlineStr">
        <is>
          <t>SCA</t>
        </is>
      </c>
      <c r="G2475" t="n">
        <v>58.3</v>
      </c>
      <c r="H2475" t="n">
        <v>0</v>
      </c>
      <c r="I2475" t="n">
        <v>0</v>
      </c>
      <c r="J2475" t="n">
        <v>0</v>
      </c>
      <c r="K2475" t="n">
        <v>0</v>
      </c>
      <c r="L2475" t="n">
        <v>0</v>
      </c>
      <c r="M2475" t="n">
        <v>0</v>
      </c>
      <c r="N2475" t="n">
        <v>0</v>
      </c>
      <c r="O2475" t="n">
        <v>0</v>
      </c>
      <c r="P2475" t="n">
        <v>0</v>
      </c>
      <c r="Q2475" t="n">
        <v>0</v>
      </c>
      <c r="R2475" s="2" t="inlineStr"/>
    </row>
    <row r="2476" ht="15" customHeight="1">
      <c r="A2476" t="inlineStr">
        <is>
          <t>A 2229-2024</t>
        </is>
      </c>
      <c r="B2476" s="1" t="n">
        <v>45309</v>
      </c>
      <c r="C2476" s="1" t="n">
        <v>45576</v>
      </c>
      <c r="D2476" t="inlineStr">
        <is>
          <t>VÄSTERNORRLANDS LÄN</t>
        </is>
      </c>
      <c r="E2476" t="inlineStr">
        <is>
          <t>SOLLEFTEÅ</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2233-2024</t>
        </is>
      </c>
      <c r="B2477" s="1" t="n">
        <v>45309</v>
      </c>
      <c r="C2477" s="1" t="n">
        <v>45576</v>
      </c>
      <c r="D2477" t="inlineStr">
        <is>
          <t>VÄSTERNORRLANDS LÄN</t>
        </is>
      </c>
      <c r="E2477" t="inlineStr">
        <is>
          <t>SOLLEFTEÅ</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2425-2024</t>
        </is>
      </c>
      <c r="B2478" s="1" t="n">
        <v>45310</v>
      </c>
      <c r="C2478" s="1" t="n">
        <v>45576</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2703-2024</t>
        </is>
      </c>
      <c r="B2479" s="1" t="n">
        <v>45314</v>
      </c>
      <c r="C2479" s="1" t="n">
        <v>45576</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2816-2024</t>
        </is>
      </c>
      <c r="B2480" s="1" t="n">
        <v>45314</v>
      </c>
      <c r="C2480" s="1" t="n">
        <v>45576</v>
      </c>
      <c r="D2480" t="inlineStr">
        <is>
          <t>VÄSTERNORRLANDS LÄN</t>
        </is>
      </c>
      <c r="E2480" t="inlineStr">
        <is>
          <t>SOLLEFTEÅ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2850-2024</t>
        </is>
      </c>
      <c r="B2481" s="1" t="n">
        <v>45315</v>
      </c>
      <c r="C2481" s="1" t="n">
        <v>45576</v>
      </c>
      <c r="D2481" t="inlineStr">
        <is>
          <t>VÄSTERNORRLANDS LÄN</t>
        </is>
      </c>
      <c r="E2481" t="inlineStr">
        <is>
          <t>SOLLEFTEÅ</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3211-2024</t>
        </is>
      </c>
      <c r="B2482" s="1" t="n">
        <v>45316</v>
      </c>
      <c r="C2482" s="1" t="n">
        <v>45576</v>
      </c>
      <c r="D2482" t="inlineStr">
        <is>
          <t>VÄSTERNORRLANDS LÄN</t>
        </is>
      </c>
      <c r="E2482" t="inlineStr">
        <is>
          <t>SOLLEFTEÅ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3231-2024</t>
        </is>
      </c>
      <c r="B2483" s="1" t="n">
        <v>45316</v>
      </c>
      <c r="C2483" s="1" t="n">
        <v>45576</v>
      </c>
      <c r="D2483" t="inlineStr">
        <is>
          <t>VÄSTERNORRLANDS LÄN</t>
        </is>
      </c>
      <c r="E2483" t="inlineStr">
        <is>
          <t>SOLLEFTEÅ</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3234-2024</t>
        </is>
      </c>
      <c r="B2484" s="1" t="n">
        <v>45316</v>
      </c>
      <c r="C2484" s="1" t="n">
        <v>45576</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3241-2024</t>
        </is>
      </c>
      <c r="B2485" s="1" t="n">
        <v>45316</v>
      </c>
      <c r="C2485" s="1" t="n">
        <v>45576</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3252-2024</t>
        </is>
      </c>
      <c r="B2486" s="1" t="n">
        <v>45316</v>
      </c>
      <c r="C2486" s="1" t="n">
        <v>45576</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3388-2024</t>
        </is>
      </c>
      <c r="B2487" s="1" t="n">
        <v>45317</v>
      </c>
      <c r="C2487" s="1" t="n">
        <v>45576</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3621-2024</t>
        </is>
      </c>
      <c r="B2488" s="1" t="n">
        <v>45320</v>
      </c>
      <c r="C2488" s="1" t="n">
        <v>45576</v>
      </c>
      <c r="D2488" t="inlineStr">
        <is>
          <t>VÄSTERNORRLANDS LÄN</t>
        </is>
      </c>
      <c r="E2488" t="inlineStr">
        <is>
          <t>SOLLEFTEÅ</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3633-2024</t>
        </is>
      </c>
      <c r="B2489" s="1" t="n">
        <v>45320</v>
      </c>
      <c r="C2489" s="1" t="n">
        <v>45576</v>
      </c>
      <c r="D2489" t="inlineStr">
        <is>
          <t>VÄSTERNORRLANDS LÄN</t>
        </is>
      </c>
      <c r="E2489" t="inlineStr">
        <is>
          <t>SOLLEFTEÅ</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3832-2024</t>
        </is>
      </c>
      <c r="B2490" s="1" t="n">
        <v>45321</v>
      </c>
      <c r="C2490" s="1" t="n">
        <v>45576</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3847-2024</t>
        </is>
      </c>
      <c r="B2491" s="1" t="n">
        <v>45322</v>
      </c>
      <c r="C2491" s="1" t="n">
        <v>45576</v>
      </c>
      <c r="D2491" t="inlineStr">
        <is>
          <t>VÄSTERNORRLANDS LÄN</t>
        </is>
      </c>
      <c r="E2491" t="inlineStr">
        <is>
          <t>SOLLEFTEÅ</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3990-2024</t>
        </is>
      </c>
      <c r="B2492" s="1" t="n">
        <v>45322</v>
      </c>
      <c r="C2492" s="1" t="n">
        <v>45576</v>
      </c>
      <c r="D2492" t="inlineStr">
        <is>
          <t>VÄSTERNORRLANDS LÄN</t>
        </is>
      </c>
      <c r="E2492" t="inlineStr">
        <is>
          <t>SOLLEFTEÅ</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3998-2024</t>
        </is>
      </c>
      <c r="B2493" s="1" t="n">
        <v>45322</v>
      </c>
      <c r="C2493" s="1" t="n">
        <v>45576</v>
      </c>
      <c r="D2493" t="inlineStr">
        <is>
          <t>VÄSTERNORRLANDS LÄN</t>
        </is>
      </c>
      <c r="E2493" t="inlineStr">
        <is>
          <t>SOLLEFTEÅ</t>
        </is>
      </c>
      <c r="F2493" t="inlineStr">
        <is>
          <t>SCA</t>
        </is>
      </c>
      <c r="G2493" t="n">
        <v>23.9</v>
      </c>
      <c r="H2493" t="n">
        <v>0</v>
      </c>
      <c r="I2493" t="n">
        <v>0</v>
      </c>
      <c r="J2493" t="n">
        <v>0</v>
      </c>
      <c r="K2493" t="n">
        <v>0</v>
      </c>
      <c r="L2493" t="n">
        <v>0</v>
      </c>
      <c r="M2493" t="n">
        <v>0</v>
      </c>
      <c r="N2493" t="n">
        <v>0</v>
      </c>
      <c r="O2493" t="n">
        <v>0</v>
      </c>
      <c r="P2493" t="n">
        <v>0</v>
      </c>
      <c r="Q2493" t="n">
        <v>0</v>
      </c>
      <c r="R2493" s="2" t="inlineStr"/>
    </row>
    <row r="2494" ht="15" customHeight="1">
      <c r="A2494" t="inlineStr">
        <is>
          <t>A 3991-2024</t>
        </is>
      </c>
      <c r="B2494" s="1" t="n">
        <v>45322</v>
      </c>
      <c r="C2494" s="1" t="n">
        <v>45576</v>
      </c>
      <c r="D2494" t="inlineStr">
        <is>
          <t>VÄSTERNORRLANDS LÄN</t>
        </is>
      </c>
      <c r="E2494" t="inlineStr">
        <is>
          <t>SOLLEFTEÅ</t>
        </is>
      </c>
      <c r="F2494" t="inlineStr">
        <is>
          <t>SCA</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4061-2024</t>
        </is>
      </c>
      <c r="B2495" s="1" t="n">
        <v>45323</v>
      </c>
      <c r="C2495" s="1" t="n">
        <v>45576</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4064-2024</t>
        </is>
      </c>
      <c r="B2496" s="1" t="n">
        <v>45323</v>
      </c>
      <c r="C2496" s="1" t="n">
        <v>45576</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4167-2024</t>
        </is>
      </c>
      <c r="B2497" s="1" t="n">
        <v>45323</v>
      </c>
      <c r="C2497" s="1" t="n">
        <v>45576</v>
      </c>
      <c r="D2497" t="inlineStr">
        <is>
          <t>VÄSTERNORRLANDS LÄN</t>
        </is>
      </c>
      <c r="E2497" t="inlineStr">
        <is>
          <t>SOLLEFTEÅ</t>
        </is>
      </c>
      <c r="F2497" t="inlineStr">
        <is>
          <t>SCA</t>
        </is>
      </c>
      <c r="G2497" t="n">
        <v>13.7</v>
      </c>
      <c r="H2497" t="n">
        <v>0</v>
      </c>
      <c r="I2497" t="n">
        <v>0</v>
      </c>
      <c r="J2497" t="n">
        <v>0</v>
      </c>
      <c r="K2497" t="n">
        <v>0</v>
      </c>
      <c r="L2497" t="n">
        <v>0</v>
      </c>
      <c r="M2497" t="n">
        <v>0</v>
      </c>
      <c r="N2497" t="n">
        <v>0</v>
      </c>
      <c r="O2497" t="n">
        <v>0</v>
      </c>
      <c r="P2497" t="n">
        <v>0</v>
      </c>
      <c r="Q2497" t="n">
        <v>0</v>
      </c>
      <c r="R2497" s="2" t="inlineStr"/>
    </row>
    <row r="2498" ht="15" customHeight="1">
      <c r="A2498" t="inlineStr">
        <is>
          <t>A 4168-2024</t>
        </is>
      </c>
      <c r="B2498" s="1" t="n">
        <v>45323</v>
      </c>
      <c r="C2498" s="1" t="n">
        <v>45576</v>
      </c>
      <c r="D2498" t="inlineStr">
        <is>
          <t>VÄSTERNORRLANDS LÄN</t>
        </is>
      </c>
      <c r="E2498" t="inlineStr">
        <is>
          <t>SOLLEFTEÅ</t>
        </is>
      </c>
      <c r="F2498" t="inlineStr">
        <is>
          <t>SCA</t>
        </is>
      </c>
      <c r="G2498" t="n">
        <v>22.1</v>
      </c>
      <c r="H2498" t="n">
        <v>0</v>
      </c>
      <c r="I2498" t="n">
        <v>0</v>
      </c>
      <c r="J2498" t="n">
        <v>0</v>
      </c>
      <c r="K2498" t="n">
        <v>0</v>
      </c>
      <c r="L2498" t="n">
        <v>0</v>
      </c>
      <c r="M2498" t="n">
        <v>0</v>
      </c>
      <c r="N2498" t="n">
        <v>0</v>
      </c>
      <c r="O2498" t="n">
        <v>0</v>
      </c>
      <c r="P2498" t="n">
        <v>0</v>
      </c>
      <c r="Q2498" t="n">
        <v>0</v>
      </c>
      <c r="R2498" s="2" t="inlineStr"/>
    </row>
    <row r="2499" ht="15" customHeight="1">
      <c r="A2499" t="inlineStr">
        <is>
          <t>A 4348-2024</t>
        </is>
      </c>
      <c r="B2499" s="1" t="n">
        <v>45324</v>
      </c>
      <c r="C2499" s="1" t="n">
        <v>45576</v>
      </c>
      <c r="D2499" t="inlineStr">
        <is>
          <t>VÄSTERNORRLANDS LÄN</t>
        </is>
      </c>
      <c r="E2499" t="inlineStr">
        <is>
          <t>SOLLEFTEÅ</t>
        </is>
      </c>
      <c r="F2499" t="inlineStr">
        <is>
          <t>SCA</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4352-2024</t>
        </is>
      </c>
      <c r="B2500" s="1" t="n">
        <v>45324</v>
      </c>
      <c r="C2500" s="1" t="n">
        <v>45576</v>
      </c>
      <c r="D2500" t="inlineStr">
        <is>
          <t>VÄSTERNORRLANDS LÄN</t>
        </is>
      </c>
      <c r="E2500" t="inlineStr">
        <is>
          <t>SOLLEFTEÅ</t>
        </is>
      </c>
      <c r="F2500" t="inlineStr">
        <is>
          <t>SCA</t>
        </is>
      </c>
      <c r="G2500" t="n">
        <v>24.7</v>
      </c>
      <c r="H2500" t="n">
        <v>0</v>
      </c>
      <c r="I2500" t="n">
        <v>0</v>
      </c>
      <c r="J2500" t="n">
        <v>0</v>
      </c>
      <c r="K2500" t="n">
        <v>0</v>
      </c>
      <c r="L2500" t="n">
        <v>0</v>
      </c>
      <c r="M2500" t="n">
        <v>0</v>
      </c>
      <c r="N2500" t="n">
        <v>0</v>
      </c>
      <c r="O2500" t="n">
        <v>0</v>
      </c>
      <c r="P2500" t="n">
        <v>0</v>
      </c>
      <c r="Q2500" t="n">
        <v>0</v>
      </c>
      <c r="R2500" s="2" t="inlineStr"/>
    </row>
    <row r="2501" ht="15" customHeight="1">
      <c r="A2501" t="inlineStr">
        <is>
          <t>A 4347-2024</t>
        </is>
      </c>
      <c r="B2501" s="1" t="n">
        <v>45324</v>
      </c>
      <c r="C2501" s="1" t="n">
        <v>45576</v>
      </c>
      <c r="D2501" t="inlineStr">
        <is>
          <t>VÄSTERNORRLANDS LÄN</t>
        </is>
      </c>
      <c r="E2501" t="inlineStr">
        <is>
          <t>SOLLEFTEÅ</t>
        </is>
      </c>
      <c r="F2501" t="inlineStr">
        <is>
          <t>SCA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4349-2024</t>
        </is>
      </c>
      <c r="B2502" s="1" t="n">
        <v>45324</v>
      </c>
      <c r="C2502" s="1" t="n">
        <v>45576</v>
      </c>
      <c r="D2502" t="inlineStr">
        <is>
          <t>VÄSTERNORRLANDS LÄN</t>
        </is>
      </c>
      <c r="E2502" t="inlineStr">
        <is>
          <t>SOLLEFTEÅ</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4546-2024</t>
        </is>
      </c>
      <c r="B2503" s="1" t="n">
        <v>45327</v>
      </c>
      <c r="C2503" s="1" t="n">
        <v>45576</v>
      </c>
      <c r="D2503" t="inlineStr">
        <is>
          <t>VÄSTERNORRLANDS LÄN</t>
        </is>
      </c>
      <c r="E2503" t="inlineStr">
        <is>
          <t>SOLLEFTEÅ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4595-2024</t>
        </is>
      </c>
      <c r="B2504" s="1" t="n">
        <v>45327</v>
      </c>
      <c r="C2504" s="1" t="n">
        <v>45576</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4809-2024</t>
        </is>
      </c>
      <c r="B2505" s="1" t="n">
        <v>45328</v>
      </c>
      <c r="C2505" s="1" t="n">
        <v>45576</v>
      </c>
      <c r="D2505" t="inlineStr">
        <is>
          <t>VÄSTERNORRLANDS LÄN</t>
        </is>
      </c>
      <c r="E2505" t="inlineStr">
        <is>
          <t>SOLLEFTEÅ</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4813-2024</t>
        </is>
      </c>
      <c r="B2506" s="1" t="n">
        <v>45328</v>
      </c>
      <c r="C2506" s="1" t="n">
        <v>45576</v>
      </c>
      <c r="D2506" t="inlineStr">
        <is>
          <t>VÄSTERNORRLANDS LÄN</t>
        </is>
      </c>
      <c r="E2506" t="inlineStr">
        <is>
          <t>SOLLEFTEÅ</t>
        </is>
      </c>
      <c r="F2506" t="inlineStr">
        <is>
          <t>SCA</t>
        </is>
      </c>
      <c r="G2506" t="n">
        <v>26.6</v>
      </c>
      <c r="H2506" t="n">
        <v>0</v>
      </c>
      <c r="I2506" t="n">
        <v>0</v>
      </c>
      <c r="J2506" t="n">
        <v>0</v>
      </c>
      <c r="K2506" t="n">
        <v>0</v>
      </c>
      <c r="L2506" t="n">
        <v>0</v>
      </c>
      <c r="M2506" t="n">
        <v>0</v>
      </c>
      <c r="N2506" t="n">
        <v>0</v>
      </c>
      <c r="O2506" t="n">
        <v>0</v>
      </c>
      <c r="P2506" t="n">
        <v>0</v>
      </c>
      <c r="Q2506" t="n">
        <v>0</v>
      </c>
      <c r="R2506" s="2" t="inlineStr"/>
    </row>
    <row r="2507" ht="15" customHeight="1">
      <c r="A2507" t="inlineStr">
        <is>
          <t>A 4808-2024</t>
        </is>
      </c>
      <c r="B2507" s="1" t="n">
        <v>45328</v>
      </c>
      <c r="C2507" s="1" t="n">
        <v>45576</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4812-2024</t>
        </is>
      </c>
      <c r="B2508" s="1" t="n">
        <v>45328</v>
      </c>
      <c r="C2508" s="1" t="n">
        <v>45576</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4857-2024</t>
        </is>
      </c>
      <c r="B2509" s="1" t="n">
        <v>45329</v>
      </c>
      <c r="C2509" s="1" t="n">
        <v>45576</v>
      </c>
      <c r="D2509" t="inlineStr">
        <is>
          <t>VÄSTERNORRLANDS LÄN</t>
        </is>
      </c>
      <c r="E2509" t="inlineStr">
        <is>
          <t>SOLLEFTEÅ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5035-2024</t>
        </is>
      </c>
      <c r="B2510" s="1" t="n">
        <v>45329</v>
      </c>
      <c r="C2510" s="1" t="n">
        <v>45576</v>
      </c>
      <c r="D2510" t="inlineStr">
        <is>
          <t>VÄSTERNORRLANDS LÄN</t>
        </is>
      </c>
      <c r="E2510" t="inlineStr">
        <is>
          <t>SOLLEFTEÅ</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5057-2024</t>
        </is>
      </c>
      <c r="B2511" s="1" t="n">
        <v>45329</v>
      </c>
      <c r="C2511" s="1" t="n">
        <v>45576</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5036-2024</t>
        </is>
      </c>
      <c r="B2512" s="1" t="n">
        <v>45329</v>
      </c>
      <c r="C2512" s="1" t="n">
        <v>45576</v>
      </c>
      <c r="D2512" t="inlineStr">
        <is>
          <t>VÄSTERNORRLANDS LÄN</t>
        </is>
      </c>
      <c r="E2512" t="inlineStr">
        <is>
          <t>SOLLEFTEÅ</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5040-2024</t>
        </is>
      </c>
      <c r="B2513" s="1" t="n">
        <v>45329</v>
      </c>
      <c r="C2513" s="1" t="n">
        <v>45576</v>
      </c>
      <c r="D2513" t="inlineStr">
        <is>
          <t>VÄSTERNORRLANDS LÄN</t>
        </is>
      </c>
      <c r="E2513" t="inlineStr">
        <is>
          <t>SOLLEFTEÅ</t>
        </is>
      </c>
      <c r="F2513" t="inlineStr">
        <is>
          <t>Övriga Aktiebolag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5072-2024</t>
        </is>
      </c>
      <c r="B2514" s="1" t="n">
        <v>45330</v>
      </c>
      <c r="C2514" s="1" t="n">
        <v>45576</v>
      </c>
      <c r="D2514" t="inlineStr">
        <is>
          <t>VÄSTERNORRLANDS LÄN</t>
        </is>
      </c>
      <c r="E2514" t="inlineStr">
        <is>
          <t>SOLLEFTEÅ</t>
        </is>
      </c>
      <c r="F2514" t="inlineStr">
        <is>
          <t>Övriga Aktiebolag</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5064-2024</t>
        </is>
      </c>
      <c r="B2515" s="1" t="n">
        <v>45329</v>
      </c>
      <c r="C2515" s="1" t="n">
        <v>45576</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5061-2024</t>
        </is>
      </c>
      <c r="B2516" s="1" t="n">
        <v>45329</v>
      </c>
      <c r="C2516" s="1" t="n">
        <v>45576</v>
      </c>
      <c r="D2516" t="inlineStr">
        <is>
          <t>VÄSTERNORRLANDS LÄN</t>
        </is>
      </c>
      <c r="E2516" t="inlineStr">
        <is>
          <t>SOLLEFTEÅ</t>
        </is>
      </c>
      <c r="F2516" t="inlineStr">
        <is>
          <t>SCA</t>
        </is>
      </c>
      <c r="G2516" t="n">
        <v>34.1</v>
      </c>
      <c r="H2516" t="n">
        <v>0</v>
      </c>
      <c r="I2516" t="n">
        <v>0</v>
      </c>
      <c r="J2516" t="n">
        <v>0</v>
      </c>
      <c r="K2516" t="n">
        <v>0</v>
      </c>
      <c r="L2516" t="n">
        <v>0</v>
      </c>
      <c r="M2516" t="n">
        <v>0</v>
      </c>
      <c r="N2516" t="n">
        <v>0</v>
      </c>
      <c r="O2516" t="n">
        <v>0</v>
      </c>
      <c r="P2516" t="n">
        <v>0</v>
      </c>
      <c r="Q2516" t="n">
        <v>0</v>
      </c>
      <c r="R2516" s="2" t="inlineStr"/>
    </row>
    <row r="2517" ht="15" customHeight="1">
      <c r="A2517" t="inlineStr">
        <is>
          <t>A 5073-2024</t>
        </is>
      </c>
      <c r="B2517" s="1" t="n">
        <v>45330</v>
      </c>
      <c r="C2517" s="1" t="n">
        <v>45576</v>
      </c>
      <c r="D2517" t="inlineStr">
        <is>
          <t>VÄSTERNORRLANDS LÄN</t>
        </is>
      </c>
      <c r="E2517" t="inlineStr">
        <is>
          <t>SOLLEFTEÅ</t>
        </is>
      </c>
      <c r="F2517" t="inlineStr">
        <is>
          <t>Övriga Aktiebolag</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5034-2024</t>
        </is>
      </c>
      <c r="B2518" s="1" t="n">
        <v>45329</v>
      </c>
      <c r="C2518" s="1" t="n">
        <v>45576</v>
      </c>
      <c r="D2518" t="inlineStr">
        <is>
          <t>VÄSTERNORRLANDS LÄN</t>
        </is>
      </c>
      <c r="E2518" t="inlineStr">
        <is>
          <t>SOLLEFTEÅ</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5038-2024</t>
        </is>
      </c>
      <c r="B2519" s="1" t="n">
        <v>45329</v>
      </c>
      <c r="C2519" s="1" t="n">
        <v>45576</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5062-2024</t>
        </is>
      </c>
      <c r="B2520" s="1" t="n">
        <v>45329</v>
      </c>
      <c r="C2520" s="1" t="n">
        <v>45576</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5058-2024</t>
        </is>
      </c>
      <c r="B2521" s="1" t="n">
        <v>45329</v>
      </c>
      <c r="C2521" s="1" t="n">
        <v>45576</v>
      </c>
      <c r="D2521" t="inlineStr">
        <is>
          <t>VÄSTERNORRLANDS LÄN</t>
        </is>
      </c>
      <c r="E2521" t="inlineStr">
        <is>
          <t>SOLLEFTEÅ</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5074-2024</t>
        </is>
      </c>
      <c r="B2522" s="1" t="n">
        <v>45330</v>
      </c>
      <c r="C2522" s="1" t="n">
        <v>45576</v>
      </c>
      <c r="D2522" t="inlineStr">
        <is>
          <t>VÄSTERNORRLANDS LÄN</t>
        </is>
      </c>
      <c r="E2522" t="inlineStr">
        <is>
          <t>SOLLEFTEÅ</t>
        </is>
      </c>
      <c r="F2522" t="inlineStr">
        <is>
          <t>Övriga Aktiebolag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5059-2024</t>
        </is>
      </c>
      <c r="B2523" s="1" t="n">
        <v>45329</v>
      </c>
      <c r="C2523" s="1" t="n">
        <v>45576</v>
      </c>
      <c r="D2523" t="inlineStr">
        <is>
          <t>VÄSTERNORRLANDS LÄN</t>
        </is>
      </c>
      <c r="E2523" t="inlineStr">
        <is>
          <t>SOLLEFTEÅ</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5075-2024</t>
        </is>
      </c>
      <c r="B2524" s="1" t="n">
        <v>45329</v>
      </c>
      <c r="C2524" s="1" t="n">
        <v>45576</v>
      </c>
      <c r="D2524" t="inlineStr">
        <is>
          <t>VÄSTERNORRLANDS LÄN</t>
        </is>
      </c>
      <c r="E2524" t="inlineStr">
        <is>
          <t>SOLLEFTEÅ</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5063-2024</t>
        </is>
      </c>
      <c r="B2525" s="1" t="n">
        <v>45329</v>
      </c>
      <c r="C2525" s="1" t="n">
        <v>45576</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5256-2024</t>
        </is>
      </c>
      <c r="B2526" s="1" t="n">
        <v>45330</v>
      </c>
      <c r="C2526" s="1" t="n">
        <v>45576</v>
      </c>
      <c r="D2526" t="inlineStr">
        <is>
          <t>VÄSTERNORRLANDS LÄN</t>
        </is>
      </c>
      <c r="E2526" t="inlineStr">
        <is>
          <t>SOLLEFTEÅ</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5255-2024</t>
        </is>
      </c>
      <c r="B2527" s="1" t="n">
        <v>45330</v>
      </c>
      <c r="C2527" s="1" t="n">
        <v>45576</v>
      </c>
      <c r="D2527" t="inlineStr">
        <is>
          <t>VÄSTERNORRLANDS LÄN</t>
        </is>
      </c>
      <c r="E2527" t="inlineStr">
        <is>
          <t>SOLLEFTEÅ</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5254-2024</t>
        </is>
      </c>
      <c r="B2528" s="1" t="n">
        <v>45330</v>
      </c>
      <c r="C2528" s="1" t="n">
        <v>45576</v>
      </c>
      <c r="D2528" t="inlineStr">
        <is>
          <t>VÄSTERNORRLANDS LÄN</t>
        </is>
      </c>
      <c r="E2528" t="inlineStr">
        <is>
          <t>SOLLEFTEÅ</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5253-2024</t>
        </is>
      </c>
      <c r="B2529" s="1" t="n">
        <v>45330</v>
      </c>
      <c r="C2529" s="1" t="n">
        <v>45576</v>
      </c>
      <c r="D2529" t="inlineStr">
        <is>
          <t>VÄSTERNORRLANDS LÄN</t>
        </is>
      </c>
      <c r="E2529" t="inlineStr">
        <is>
          <t>SOLLEFTEÅ</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5446-2024</t>
        </is>
      </c>
      <c r="B2530" s="1" t="n">
        <v>45331</v>
      </c>
      <c r="C2530" s="1" t="n">
        <v>45576</v>
      </c>
      <c r="D2530" t="inlineStr">
        <is>
          <t>VÄSTERNORRLANDS LÄN</t>
        </is>
      </c>
      <c r="E2530" t="inlineStr">
        <is>
          <t>SOLLEFTEÅ</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5452-2024</t>
        </is>
      </c>
      <c r="B2531" s="1" t="n">
        <v>45331</v>
      </c>
      <c r="C2531" s="1" t="n">
        <v>45576</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5854-2024</t>
        </is>
      </c>
      <c r="B2532" s="1" t="n">
        <v>45335</v>
      </c>
      <c r="C2532" s="1" t="n">
        <v>45576</v>
      </c>
      <c r="D2532" t="inlineStr">
        <is>
          <t>VÄSTERNORRLANDS LÄN</t>
        </is>
      </c>
      <c r="E2532" t="inlineStr">
        <is>
          <t>SOLLEFTEÅ</t>
        </is>
      </c>
      <c r="F2532" t="inlineStr">
        <is>
          <t>Övriga Aktiebolag</t>
        </is>
      </c>
      <c r="G2532" t="n">
        <v>24.9</v>
      </c>
      <c r="H2532" t="n">
        <v>0</v>
      </c>
      <c r="I2532" t="n">
        <v>0</v>
      </c>
      <c r="J2532" t="n">
        <v>0</v>
      </c>
      <c r="K2532" t="n">
        <v>0</v>
      </c>
      <c r="L2532" t="n">
        <v>0</v>
      </c>
      <c r="M2532" t="n">
        <v>0</v>
      </c>
      <c r="N2532" t="n">
        <v>0</v>
      </c>
      <c r="O2532" t="n">
        <v>0</v>
      </c>
      <c r="P2532" t="n">
        <v>0</v>
      </c>
      <c r="Q2532" t="n">
        <v>0</v>
      </c>
      <c r="R2532" s="2" t="inlineStr"/>
    </row>
    <row r="2533" ht="15" customHeight="1">
      <c r="A2533" t="inlineStr">
        <is>
          <t>A 5874-2024</t>
        </is>
      </c>
      <c r="B2533" s="1" t="n">
        <v>45335</v>
      </c>
      <c r="C2533" s="1" t="n">
        <v>45576</v>
      </c>
      <c r="D2533" t="inlineStr">
        <is>
          <t>VÄSTERNORRLANDS LÄN</t>
        </is>
      </c>
      <c r="E2533" t="inlineStr">
        <is>
          <t>SOLLEFTEÅ</t>
        </is>
      </c>
      <c r="F2533" t="inlineStr">
        <is>
          <t>Övriga Aktiebolag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5867-2024</t>
        </is>
      </c>
      <c r="B2534" s="1" t="n">
        <v>45335</v>
      </c>
      <c r="C2534" s="1" t="n">
        <v>45576</v>
      </c>
      <c r="D2534" t="inlineStr">
        <is>
          <t>VÄSTERNORRLANDS LÄN</t>
        </is>
      </c>
      <c r="E2534" t="inlineStr">
        <is>
          <t>SOLLEFTEÅ</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5871-2024</t>
        </is>
      </c>
      <c r="B2535" s="1" t="n">
        <v>45335</v>
      </c>
      <c r="C2535" s="1" t="n">
        <v>45576</v>
      </c>
      <c r="D2535" t="inlineStr">
        <is>
          <t>VÄSTERNORRLANDS LÄN</t>
        </is>
      </c>
      <c r="E2535" t="inlineStr">
        <is>
          <t>SOLLEFTEÅ</t>
        </is>
      </c>
      <c r="F2535" t="inlineStr">
        <is>
          <t>Övriga Aktiebolag</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5882-2024</t>
        </is>
      </c>
      <c r="B2536" s="1" t="n">
        <v>45335</v>
      </c>
      <c r="C2536" s="1" t="n">
        <v>45576</v>
      </c>
      <c r="D2536" t="inlineStr">
        <is>
          <t>VÄSTERNORRLANDS LÄN</t>
        </is>
      </c>
      <c r="E2536" t="inlineStr">
        <is>
          <t>SOLLEFTEÅ</t>
        </is>
      </c>
      <c r="F2536" t="inlineStr">
        <is>
          <t>Övriga Aktiebolag</t>
        </is>
      </c>
      <c r="G2536" t="n">
        <v>13.2</v>
      </c>
      <c r="H2536" t="n">
        <v>0</v>
      </c>
      <c r="I2536" t="n">
        <v>0</v>
      </c>
      <c r="J2536" t="n">
        <v>0</v>
      </c>
      <c r="K2536" t="n">
        <v>0</v>
      </c>
      <c r="L2536" t="n">
        <v>0</v>
      </c>
      <c r="M2536" t="n">
        <v>0</v>
      </c>
      <c r="N2536" t="n">
        <v>0</v>
      </c>
      <c r="O2536" t="n">
        <v>0</v>
      </c>
      <c r="P2536" t="n">
        <v>0</v>
      </c>
      <c r="Q2536" t="n">
        <v>0</v>
      </c>
      <c r="R2536" s="2" t="inlineStr"/>
    </row>
    <row r="2537" ht="15" customHeight="1">
      <c r="A2537" t="inlineStr">
        <is>
          <t>A 5919-2024</t>
        </is>
      </c>
      <c r="B2537" s="1" t="n">
        <v>45335</v>
      </c>
      <c r="C2537" s="1" t="n">
        <v>45576</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5909-2024</t>
        </is>
      </c>
      <c r="B2538" s="1" t="n">
        <v>45335</v>
      </c>
      <c r="C2538" s="1" t="n">
        <v>45576</v>
      </c>
      <c r="D2538" t="inlineStr">
        <is>
          <t>VÄSTERNORRLANDS LÄN</t>
        </is>
      </c>
      <c r="E2538" t="inlineStr">
        <is>
          <t>SOLLEFTEÅ</t>
        </is>
      </c>
      <c r="F2538" t="inlineStr">
        <is>
          <t>SCA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5917-2024</t>
        </is>
      </c>
      <c r="B2539" s="1" t="n">
        <v>45335</v>
      </c>
      <c r="C2539" s="1" t="n">
        <v>45576</v>
      </c>
      <c r="D2539" t="inlineStr">
        <is>
          <t>VÄSTERNORRLANDS LÄN</t>
        </is>
      </c>
      <c r="E2539" t="inlineStr">
        <is>
          <t>SOLLEFTEÅ</t>
        </is>
      </c>
      <c r="F2539" t="inlineStr">
        <is>
          <t>SCA</t>
        </is>
      </c>
      <c r="G2539" t="n">
        <v>21.2</v>
      </c>
      <c r="H2539" t="n">
        <v>0</v>
      </c>
      <c r="I2539" t="n">
        <v>0</v>
      </c>
      <c r="J2539" t="n">
        <v>0</v>
      </c>
      <c r="K2539" t="n">
        <v>0</v>
      </c>
      <c r="L2539" t="n">
        <v>0</v>
      </c>
      <c r="M2539" t="n">
        <v>0</v>
      </c>
      <c r="N2539" t="n">
        <v>0</v>
      </c>
      <c r="O2539" t="n">
        <v>0</v>
      </c>
      <c r="P2539" t="n">
        <v>0</v>
      </c>
      <c r="Q2539" t="n">
        <v>0</v>
      </c>
      <c r="R2539" s="2" t="inlineStr"/>
    </row>
    <row r="2540" ht="15" customHeight="1">
      <c r="A2540" t="inlineStr">
        <is>
          <t>A 5934-2024</t>
        </is>
      </c>
      <c r="B2540" s="1" t="n">
        <v>45336</v>
      </c>
      <c r="C2540" s="1" t="n">
        <v>45576</v>
      </c>
      <c r="D2540" t="inlineStr">
        <is>
          <t>VÄSTERNORRLANDS LÄN</t>
        </is>
      </c>
      <c r="E2540" t="inlineStr">
        <is>
          <t>SOLLEFTEÅ</t>
        </is>
      </c>
      <c r="F2540" t="inlineStr">
        <is>
          <t>Holmen skog AB</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6059-2024</t>
        </is>
      </c>
      <c r="B2541" s="1" t="n">
        <v>45336</v>
      </c>
      <c r="C2541" s="1" t="n">
        <v>45576</v>
      </c>
      <c r="D2541" t="inlineStr">
        <is>
          <t>VÄSTERNORRLANDS LÄN</t>
        </is>
      </c>
      <c r="E2541" t="inlineStr">
        <is>
          <t>SOLLEFTEÅ</t>
        </is>
      </c>
      <c r="F2541" t="inlineStr">
        <is>
          <t>Övriga Aktiebolag</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6063-2024</t>
        </is>
      </c>
      <c r="B2542" s="1" t="n">
        <v>45336</v>
      </c>
      <c r="C2542" s="1" t="n">
        <v>45576</v>
      </c>
      <c r="D2542" t="inlineStr">
        <is>
          <t>VÄSTERNORRLANDS LÄN</t>
        </is>
      </c>
      <c r="E2542" t="inlineStr">
        <is>
          <t>SOLLEFTEÅ</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6067-2024</t>
        </is>
      </c>
      <c r="B2543" s="1" t="n">
        <v>45336</v>
      </c>
      <c r="C2543" s="1" t="n">
        <v>45576</v>
      </c>
      <c r="D2543" t="inlineStr">
        <is>
          <t>VÄSTERNORRLANDS LÄN</t>
        </is>
      </c>
      <c r="E2543" t="inlineStr">
        <is>
          <t>SOLLEFTEÅ</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6058-2024</t>
        </is>
      </c>
      <c r="B2544" s="1" t="n">
        <v>45336</v>
      </c>
      <c r="C2544" s="1" t="n">
        <v>45576</v>
      </c>
      <c r="D2544" t="inlineStr">
        <is>
          <t>VÄSTERNORRLANDS LÄN</t>
        </is>
      </c>
      <c r="E2544" t="inlineStr">
        <is>
          <t>SOLLEFTEÅ</t>
        </is>
      </c>
      <c r="F2544" t="inlineStr">
        <is>
          <t>Övriga Aktiebolag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6064-2024</t>
        </is>
      </c>
      <c r="B2545" s="1" t="n">
        <v>45336</v>
      </c>
      <c r="C2545" s="1" t="n">
        <v>45576</v>
      </c>
      <c r="D2545" t="inlineStr">
        <is>
          <t>VÄSTERNORRLANDS LÄN</t>
        </is>
      </c>
      <c r="E2545" t="inlineStr">
        <is>
          <t>SOLLEFTEÅ</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6066-2024</t>
        </is>
      </c>
      <c r="B2546" s="1" t="n">
        <v>45336</v>
      </c>
      <c r="C2546" s="1" t="n">
        <v>45576</v>
      </c>
      <c r="D2546" t="inlineStr">
        <is>
          <t>VÄSTERNORRLANDS LÄN</t>
        </is>
      </c>
      <c r="E2546" t="inlineStr">
        <is>
          <t>SOLLEFTEÅ</t>
        </is>
      </c>
      <c r="F2546" t="inlineStr">
        <is>
          <t>Övriga Aktiebolag</t>
        </is>
      </c>
      <c r="G2546" t="n">
        <v>14.8</v>
      </c>
      <c r="H2546" t="n">
        <v>0</v>
      </c>
      <c r="I2546" t="n">
        <v>0</v>
      </c>
      <c r="J2546" t="n">
        <v>0</v>
      </c>
      <c r="K2546" t="n">
        <v>0</v>
      </c>
      <c r="L2546" t="n">
        <v>0</v>
      </c>
      <c r="M2546" t="n">
        <v>0</v>
      </c>
      <c r="N2546" t="n">
        <v>0</v>
      </c>
      <c r="O2546" t="n">
        <v>0</v>
      </c>
      <c r="P2546" t="n">
        <v>0</v>
      </c>
      <c r="Q2546" t="n">
        <v>0</v>
      </c>
      <c r="R2546" s="2" t="inlineStr"/>
    </row>
    <row r="2547" ht="15" customHeight="1">
      <c r="A2547" t="inlineStr">
        <is>
          <t>A 6068-2024</t>
        </is>
      </c>
      <c r="B2547" s="1" t="n">
        <v>45336</v>
      </c>
      <c r="C2547" s="1" t="n">
        <v>45576</v>
      </c>
      <c r="D2547" t="inlineStr">
        <is>
          <t>VÄSTERNORRLANDS LÄN</t>
        </is>
      </c>
      <c r="E2547" t="inlineStr">
        <is>
          <t>SOLLEFTEÅ</t>
        </is>
      </c>
      <c r="F2547" t="inlineStr">
        <is>
          <t>Övriga Aktiebolag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6057-2024</t>
        </is>
      </c>
      <c r="B2548" s="1" t="n">
        <v>45336</v>
      </c>
      <c r="C2548" s="1" t="n">
        <v>45576</v>
      </c>
      <c r="D2548" t="inlineStr">
        <is>
          <t>VÄSTERNORRLANDS LÄN</t>
        </is>
      </c>
      <c r="E2548" t="inlineStr">
        <is>
          <t>SOLLEFTEÅ</t>
        </is>
      </c>
      <c r="F2548" t="inlineStr">
        <is>
          <t>Övriga Aktiebolag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6065-2024</t>
        </is>
      </c>
      <c r="B2549" s="1" t="n">
        <v>45336</v>
      </c>
      <c r="C2549" s="1" t="n">
        <v>45576</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6139-2024</t>
        </is>
      </c>
      <c r="B2550" s="1" t="n">
        <v>45337</v>
      </c>
      <c r="C2550" s="1" t="n">
        <v>45576</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6279-2024</t>
        </is>
      </c>
      <c r="B2551" s="1" t="n">
        <v>45337</v>
      </c>
      <c r="C2551" s="1" t="n">
        <v>45576</v>
      </c>
      <c r="D2551" t="inlineStr">
        <is>
          <t>VÄSTERNORRLANDS LÄN</t>
        </is>
      </c>
      <c r="E2551" t="inlineStr">
        <is>
          <t>SOLLEFTEÅ</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6125-2024</t>
        </is>
      </c>
      <c r="B2552" s="1" t="n">
        <v>45337</v>
      </c>
      <c r="C2552" s="1" t="n">
        <v>45576</v>
      </c>
      <c r="D2552" t="inlineStr">
        <is>
          <t>VÄSTERNORRLANDS LÄN</t>
        </is>
      </c>
      <c r="E2552" t="inlineStr">
        <is>
          <t>SOLLEFTEÅ</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6282-2024</t>
        </is>
      </c>
      <c r="B2553" s="1" t="n">
        <v>45337</v>
      </c>
      <c r="C2553" s="1" t="n">
        <v>45576</v>
      </c>
      <c r="D2553" t="inlineStr">
        <is>
          <t>VÄSTERNORRLANDS LÄN</t>
        </is>
      </c>
      <c r="E2553" t="inlineStr">
        <is>
          <t>SOLLEFTEÅ</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6352-2024</t>
        </is>
      </c>
      <c r="B2554" s="1" t="n">
        <v>45338</v>
      </c>
      <c r="C2554" s="1" t="n">
        <v>45576</v>
      </c>
      <c r="D2554" t="inlineStr">
        <is>
          <t>VÄSTERNORRLANDS LÄN</t>
        </is>
      </c>
      <c r="E2554" t="inlineStr">
        <is>
          <t>SOLLEFTEÅ</t>
        </is>
      </c>
      <c r="F2554" t="inlineStr">
        <is>
          <t>Holmen skog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6480-2024</t>
        </is>
      </c>
      <c r="B2555" s="1" t="n">
        <v>45338</v>
      </c>
      <c r="C2555" s="1" t="n">
        <v>45576</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6633-2024</t>
        </is>
      </c>
      <c r="B2556" s="1" t="n">
        <v>45341</v>
      </c>
      <c r="C2556" s="1" t="n">
        <v>45576</v>
      </c>
      <c r="D2556" t="inlineStr">
        <is>
          <t>VÄSTERNORRLANDS LÄN</t>
        </is>
      </c>
      <c r="E2556" t="inlineStr">
        <is>
          <t>SOLLEFTEÅ</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6692-2024</t>
        </is>
      </c>
      <c r="B2557" s="1" t="n">
        <v>45341</v>
      </c>
      <c r="C2557" s="1" t="n">
        <v>45576</v>
      </c>
      <c r="D2557" t="inlineStr">
        <is>
          <t>VÄSTERNORRLANDS LÄN</t>
        </is>
      </c>
      <c r="E2557" t="inlineStr">
        <is>
          <t>SOLLEFTEÅ</t>
        </is>
      </c>
      <c r="F2557" t="inlineStr">
        <is>
          <t>SCA</t>
        </is>
      </c>
      <c r="G2557" t="n">
        <v>15.4</v>
      </c>
      <c r="H2557" t="n">
        <v>0</v>
      </c>
      <c r="I2557" t="n">
        <v>0</v>
      </c>
      <c r="J2557" t="n">
        <v>0</v>
      </c>
      <c r="K2557" t="n">
        <v>0</v>
      </c>
      <c r="L2557" t="n">
        <v>0</v>
      </c>
      <c r="M2557" t="n">
        <v>0</v>
      </c>
      <c r="N2557" t="n">
        <v>0</v>
      </c>
      <c r="O2557" t="n">
        <v>0</v>
      </c>
      <c r="P2557" t="n">
        <v>0</v>
      </c>
      <c r="Q2557" t="n">
        <v>0</v>
      </c>
      <c r="R2557" s="2" t="inlineStr"/>
    </row>
    <row r="2558" ht="15" customHeight="1">
      <c r="A2558" t="inlineStr">
        <is>
          <t>A 6700-2024</t>
        </is>
      </c>
      <c r="B2558" s="1" t="n">
        <v>45341</v>
      </c>
      <c r="C2558" s="1" t="n">
        <v>45576</v>
      </c>
      <c r="D2558" t="inlineStr">
        <is>
          <t>VÄSTERNORRLANDS LÄN</t>
        </is>
      </c>
      <c r="E2558" t="inlineStr">
        <is>
          <t>SOLLEFTEÅ</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6799-2024</t>
        </is>
      </c>
      <c r="B2559" s="1" t="n">
        <v>45342</v>
      </c>
      <c r="C2559" s="1" t="n">
        <v>45576</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6857-2024</t>
        </is>
      </c>
      <c r="B2560" s="1" t="n">
        <v>45342</v>
      </c>
      <c r="C2560" s="1" t="n">
        <v>45576</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6816-2024</t>
        </is>
      </c>
      <c r="B2561" s="1" t="n">
        <v>45342</v>
      </c>
      <c r="C2561" s="1" t="n">
        <v>45576</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6891-2024</t>
        </is>
      </c>
      <c r="B2562" s="1" t="n">
        <v>45342</v>
      </c>
      <c r="C2562" s="1" t="n">
        <v>45576</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6909-2024</t>
        </is>
      </c>
      <c r="B2563" s="1" t="n">
        <v>45342</v>
      </c>
      <c r="C2563" s="1" t="n">
        <v>45576</v>
      </c>
      <c r="D2563" t="inlineStr">
        <is>
          <t>VÄSTERNORRLANDS LÄN</t>
        </is>
      </c>
      <c r="E2563" t="inlineStr">
        <is>
          <t>SOLLEFTEÅ</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6932-2024</t>
        </is>
      </c>
      <c r="B2564" s="1" t="n">
        <v>45343</v>
      </c>
      <c r="C2564" s="1" t="n">
        <v>45576</v>
      </c>
      <c r="D2564" t="inlineStr">
        <is>
          <t>VÄSTERNORRLANDS LÄN</t>
        </is>
      </c>
      <c r="E2564" t="inlineStr">
        <is>
          <t>SOLLEFTEÅ</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6934-2024</t>
        </is>
      </c>
      <c r="B2565" s="1" t="n">
        <v>45343</v>
      </c>
      <c r="C2565" s="1" t="n">
        <v>45576</v>
      </c>
      <c r="D2565" t="inlineStr">
        <is>
          <t>VÄSTERNORRLANDS LÄN</t>
        </is>
      </c>
      <c r="E2565" t="inlineStr">
        <is>
          <t>SOLLEFTEÅ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7001-2024</t>
        </is>
      </c>
      <c r="B2566" s="1" t="n">
        <v>45343</v>
      </c>
      <c r="C2566" s="1" t="n">
        <v>45576</v>
      </c>
      <c r="D2566" t="inlineStr">
        <is>
          <t>VÄSTERNORRLANDS LÄN</t>
        </is>
      </c>
      <c r="E2566" t="inlineStr">
        <is>
          <t>SOLLEFTEÅ</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7107-2024</t>
        </is>
      </c>
      <c r="B2567" s="1" t="n">
        <v>45343</v>
      </c>
      <c r="C2567" s="1" t="n">
        <v>45576</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7113-2024</t>
        </is>
      </c>
      <c r="B2568" s="1" t="n">
        <v>45343</v>
      </c>
      <c r="C2568" s="1" t="n">
        <v>45576</v>
      </c>
      <c r="D2568" t="inlineStr">
        <is>
          <t>VÄSTERNORRLANDS LÄN</t>
        </is>
      </c>
      <c r="E2568" t="inlineStr">
        <is>
          <t>SOLLEFTEÅ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7106-2024</t>
        </is>
      </c>
      <c r="B2569" s="1" t="n">
        <v>45343</v>
      </c>
      <c r="C2569" s="1" t="n">
        <v>45576</v>
      </c>
      <c r="D2569" t="inlineStr">
        <is>
          <t>VÄSTERNORRLANDS LÄN</t>
        </is>
      </c>
      <c r="E2569" t="inlineStr">
        <is>
          <t>SOLLEFTEÅ</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7257-2024</t>
        </is>
      </c>
      <c r="B2570" s="1" t="n">
        <v>45344</v>
      </c>
      <c r="C2570" s="1" t="n">
        <v>45576</v>
      </c>
      <c r="D2570" t="inlineStr">
        <is>
          <t>VÄSTERNORRLANDS LÄN</t>
        </is>
      </c>
      <c r="E2570" t="inlineStr">
        <is>
          <t>SOLLEFTEÅ</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7261-2024</t>
        </is>
      </c>
      <c r="B2571" s="1" t="n">
        <v>45344</v>
      </c>
      <c r="C2571" s="1" t="n">
        <v>45576</v>
      </c>
      <c r="D2571" t="inlineStr">
        <is>
          <t>VÄSTERNORRLANDS LÄN</t>
        </is>
      </c>
      <c r="E2571" t="inlineStr">
        <is>
          <t>SOLLEFTEÅ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7295-2024</t>
        </is>
      </c>
      <c r="B2572" s="1" t="n">
        <v>45344</v>
      </c>
      <c r="C2572" s="1" t="n">
        <v>45576</v>
      </c>
      <c r="D2572" t="inlineStr">
        <is>
          <t>VÄSTERNORRLANDS LÄN</t>
        </is>
      </c>
      <c r="E2572" t="inlineStr">
        <is>
          <t>SOLLEFTEÅ</t>
        </is>
      </c>
      <c r="F2572" t="inlineStr">
        <is>
          <t>SCA</t>
        </is>
      </c>
      <c r="G2572" t="n">
        <v>16.7</v>
      </c>
      <c r="H2572" t="n">
        <v>0</v>
      </c>
      <c r="I2572" t="n">
        <v>0</v>
      </c>
      <c r="J2572" t="n">
        <v>0</v>
      </c>
      <c r="K2572" t="n">
        <v>0</v>
      </c>
      <c r="L2572" t="n">
        <v>0</v>
      </c>
      <c r="M2572" t="n">
        <v>0</v>
      </c>
      <c r="N2572" t="n">
        <v>0</v>
      </c>
      <c r="O2572" t="n">
        <v>0</v>
      </c>
      <c r="P2572" t="n">
        <v>0</v>
      </c>
      <c r="Q2572" t="n">
        <v>0</v>
      </c>
      <c r="R2572" s="2" t="inlineStr"/>
    </row>
    <row r="2573" ht="15" customHeight="1">
      <c r="A2573" t="inlineStr">
        <is>
          <t>A 7234-2024</t>
        </is>
      </c>
      <c r="B2573" s="1" t="n">
        <v>45344</v>
      </c>
      <c r="C2573" s="1" t="n">
        <v>45576</v>
      </c>
      <c r="D2573" t="inlineStr">
        <is>
          <t>VÄSTERNORRLANDS LÄN</t>
        </is>
      </c>
      <c r="E2573" t="inlineStr">
        <is>
          <t>SOLLEFTEÅ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7258-2024</t>
        </is>
      </c>
      <c r="B2574" s="1" t="n">
        <v>45344</v>
      </c>
      <c r="C2574" s="1" t="n">
        <v>45576</v>
      </c>
      <c r="D2574" t="inlineStr">
        <is>
          <t>VÄSTERNORRLANDS LÄN</t>
        </is>
      </c>
      <c r="E2574" t="inlineStr">
        <is>
          <t>SOLLEFTEÅ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7294-2024</t>
        </is>
      </c>
      <c r="B2575" s="1" t="n">
        <v>45344</v>
      </c>
      <c r="C2575" s="1" t="n">
        <v>45576</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7463-2024</t>
        </is>
      </c>
      <c r="B2576" s="1" t="n">
        <v>45345</v>
      </c>
      <c r="C2576" s="1" t="n">
        <v>45576</v>
      </c>
      <c r="D2576" t="inlineStr">
        <is>
          <t>VÄSTERNORRLANDS LÄN</t>
        </is>
      </c>
      <c r="E2576" t="inlineStr">
        <is>
          <t>SOLLEFTEÅ</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7467-2024</t>
        </is>
      </c>
      <c r="B2577" s="1" t="n">
        <v>45345</v>
      </c>
      <c r="C2577" s="1" t="n">
        <v>45576</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7464-2024</t>
        </is>
      </c>
      <c r="B2578" s="1" t="n">
        <v>45345</v>
      </c>
      <c r="C2578" s="1" t="n">
        <v>45576</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7475-2024</t>
        </is>
      </c>
      <c r="B2579" s="1" t="n">
        <v>45345</v>
      </c>
      <c r="C2579" s="1" t="n">
        <v>45576</v>
      </c>
      <c r="D2579" t="inlineStr">
        <is>
          <t>VÄSTERNORRLANDS LÄN</t>
        </is>
      </c>
      <c r="E2579" t="inlineStr">
        <is>
          <t>SOLLEFTEÅ</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7462-2024</t>
        </is>
      </c>
      <c r="B2580" s="1" t="n">
        <v>45345</v>
      </c>
      <c r="C2580" s="1" t="n">
        <v>45576</v>
      </c>
      <c r="D2580" t="inlineStr">
        <is>
          <t>VÄSTERNORRLANDS LÄN</t>
        </is>
      </c>
      <c r="E2580" t="inlineStr">
        <is>
          <t>SOLLEFTEÅ</t>
        </is>
      </c>
      <c r="F2580" t="inlineStr">
        <is>
          <t>SCA</t>
        </is>
      </c>
      <c r="G2580" t="n">
        <v>42.1</v>
      </c>
      <c r="H2580" t="n">
        <v>0</v>
      </c>
      <c r="I2580" t="n">
        <v>0</v>
      </c>
      <c r="J2580" t="n">
        <v>0</v>
      </c>
      <c r="K2580" t="n">
        <v>0</v>
      </c>
      <c r="L2580" t="n">
        <v>0</v>
      </c>
      <c r="M2580" t="n">
        <v>0</v>
      </c>
      <c r="N2580" t="n">
        <v>0</v>
      </c>
      <c r="O2580" t="n">
        <v>0</v>
      </c>
      <c r="P2580" t="n">
        <v>0</v>
      </c>
      <c r="Q2580" t="n">
        <v>0</v>
      </c>
      <c r="R2580" s="2" t="inlineStr"/>
    </row>
    <row r="2581" ht="15" customHeight="1">
      <c r="A2581" t="inlineStr">
        <is>
          <t>A 7585-2024</t>
        </is>
      </c>
      <c r="B2581" s="1" t="n">
        <v>45348</v>
      </c>
      <c r="C2581" s="1" t="n">
        <v>45576</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7704-2024</t>
        </is>
      </c>
      <c r="B2582" s="1" t="n">
        <v>45349</v>
      </c>
      <c r="C2582" s="1" t="n">
        <v>45576</v>
      </c>
      <c r="D2582" t="inlineStr">
        <is>
          <t>VÄSTERNORRLANDS LÄN</t>
        </is>
      </c>
      <c r="E2582" t="inlineStr">
        <is>
          <t>SOLLEFTEÅ</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7809-2024</t>
        </is>
      </c>
      <c r="B2583" s="1" t="n">
        <v>45349</v>
      </c>
      <c r="C2583" s="1" t="n">
        <v>45576</v>
      </c>
      <c r="D2583" t="inlineStr">
        <is>
          <t>VÄSTERNORRLANDS LÄN</t>
        </is>
      </c>
      <c r="E2583" t="inlineStr">
        <is>
          <t>SOLLEFTEÅ</t>
        </is>
      </c>
      <c r="G2583" t="n">
        <v>23.2</v>
      </c>
      <c r="H2583" t="n">
        <v>0</v>
      </c>
      <c r="I2583" t="n">
        <v>0</v>
      </c>
      <c r="J2583" t="n">
        <v>0</v>
      </c>
      <c r="K2583" t="n">
        <v>0</v>
      </c>
      <c r="L2583" t="n">
        <v>0</v>
      </c>
      <c r="M2583" t="n">
        <v>0</v>
      </c>
      <c r="N2583" t="n">
        <v>0</v>
      </c>
      <c r="O2583" t="n">
        <v>0</v>
      </c>
      <c r="P2583" t="n">
        <v>0</v>
      </c>
      <c r="Q2583" t="n">
        <v>0</v>
      </c>
      <c r="R2583" s="2" t="inlineStr"/>
    </row>
    <row r="2584" ht="15" customHeight="1">
      <c r="A2584" t="inlineStr">
        <is>
          <t>A 7825-2024</t>
        </is>
      </c>
      <c r="B2584" s="1" t="n">
        <v>45349</v>
      </c>
      <c r="C2584" s="1" t="n">
        <v>45576</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7810-2024</t>
        </is>
      </c>
      <c r="B2585" s="1" t="n">
        <v>45349</v>
      </c>
      <c r="C2585" s="1" t="n">
        <v>45576</v>
      </c>
      <c r="D2585" t="inlineStr">
        <is>
          <t>VÄSTERNORRLANDS LÄN</t>
        </is>
      </c>
      <c r="E2585" t="inlineStr">
        <is>
          <t>SOLLEFTEÅ</t>
        </is>
      </c>
      <c r="F2585" t="inlineStr">
        <is>
          <t>Övriga Aktiebolag</t>
        </is>
      </c>
      <c r="G2585" t="n">
        <v>23.6</v>
      </c>
      <c r="H2585" t="n">
        <v>0</v>
      </c>
      <c r="I2585" t="n">
        <v>0</v>
      </c>
      <c r="J2585" t="n">
        <v>0</v>
      </c>
      <c r="K2585" t="n">
        <v>0</v>
      </c>
      <c r="L2585" t="n">
        <v>0</v>
      </c>
      <c r="M2585" t="n">
        <v>0</v>
      </c>
      <c r="N2585" t="n">
        <v>0</v>
      </c>
      <c r="O2585" t="n">
        <v>0</v>
      </c>
      <c r="P2585" t="n">
        <v>0</v>
      </c>
      <c r="Q2585" t="n">
        <v>0</v>
      </c>
      <c r="R2585" s="2" t="inlineStr"/>
    </row>
    <row r="2586" ht="15" customHeight="1">
      <c r="A2586" t="inlineStr">
        <is>
          <t>A 7858-2024</t>
        </is>
      </c>
      <c r="B2586" s="1" t="n">
        <v>45350</v>
      </c>
      <c r="C2586" s="1" t="n">
        <v>45576</v>
      </c>
      <c r="D2586" t="inlineStr">
        <is>
          <t>VÄSTERNORRLANDS LÄN</t>
        </is>
      </c>
      <c r="E2586" t="inlineStr">
        <is>
          <t>SOLLEFTEÅ</t>
        </is>
      </c>
      <c r="F2586" t="inlineStr">
        <is>
          <t>SCA</t>
        </is>
      </c>
      <c r="G2586" t="n">
        <v>38.8</v>
      </c>
      <c r="H2586" t="n">
        <v>0</v>
      </c>
      <c r="I2586" t="n">
        <v>0</v>
      </c>
      <c r="J2586" t="n">
        <v>0</v>
      </c>
      <c r="K2586" t="n">
        <v>0</v>
      </c>
      <c r="L2586" t="n">
        <v>0</v>
      </c>
      <c r="M2586" t="n">
        <v>0</v>
      </c>
      <c r="N2586" t="n">
        <v>0</v>
      </c>
      <c r="O2586" t="n">
        <v>0</v>
      </c>
      <c r="P2586" t="n">
        <v>0</v>
      </c>
      <c r="Q2586" t="n">
        <v>0</v>
      </c>
      <c r="R2586" s="2" t="inlineStr"/>
    </row>
    <row r="2587" ht="15" customHeight="1">
      <c r="A2587" t="inlineStr">
        <is>
          <t>A 8033-2024</t>
        </is>
      </c>
      <c r="B2587" s="1" t="n">
        <v>45350</v>
      </c>
      <c r="C2587" s="1" t="n">
        <v>45576</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8038-2024</t>
        </is>
      </c>
      <c r="B2588" s="1" t="n">
        <v>45350</v>
      </c>
      <c r="C2588" s="1" t="n">
        <v>45576</v>
      </c>
      <c r="D2588" t="inlineStr">
        <is>
          <t>VÄSTERNORRLANDS LÄN</t>
        </is>
      </c>
      <c r="E2588" t="inlineStr">
        <is>
          <t>SOLLEFTEÅ</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8039-2024</t>
        </is>
      </c>
      <c r="B2589" s="1" t="n">
        <v>45350</v>
      </c>
      <c r="C2589" s="1" t="n">
        <v>45576</v>
      </c>
      <c r="D2589" t="inlineStr">
        <is>
          <t>VÄSTERNORRLANDS LÄN</t>
        </is>
      </c>
      <c r="E2589" t="inlineStr">
        <is>
          <t>SOLLEFTEÅ</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8236-2024</t>
        </is>
      </c>
      <c r="B2590" s="1" t="n">
        <v>45352</v>
      </c>
      <c r="C2590" s="1" t="n">
        <v>45576</v>
      </c>
      <c r="D2590" t="inlineStr">
        <is>
          <t>VÄSTERNORRLANDS LÄN</t>
        </is>
      </c>
      <c r="E2590" t="inlineStr">
        <is>
          <t>SOLLEFTEÅ</t>
        </is>
      </c>
      <c r="F2590" t="inlineStr">
        <is>
          <t>SCA</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8244-2024</t>
        </is>
      </c>
      <c r="B2591" s="1" t="n">
        <v>45351</v>
      </c>
      <c r="C2591" s="1" t="n">
        <v>45576</v>
      </c>
      <c r="D2591" t="inlineStr">
        <is>
          <t>VÄSTERNORRLANDS LÄN</t>
        </is>
      </c>
      <c r="E2591" t="inlineStr">
        <is>
          <t>SOLLEFTEÅ</t>
        </is>
      </c>
      <c r="F2591" t="inlineStr">
        <is>
          <t>SCA</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8234-2024</t>
        </is>
      </c>
      <c r="B2592" s="1" t="n">
        <v>45352</v>
      </c>
      <c r="C2592" s="1" t="n">
        <v>45576</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8235-2024</t>
        </is>
      </c>
      <c r="B2593" s="1" t="n">
        <v>45352</v>
      </c>
      <c r="C2593" s="1" t="n">
        <v>45576</v>
      </c>
      <c r="D2593" t="inlineStr">
        <is>
          <t>VÄSTERNORRLANDS LÄN</t>
        </is>
      </c>
      <c r="E2593" t="inlineStr">
        <is>
          <t>SOLLEFTEÅ</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8414-2024</t>
        </is>
      </c>
      <c r="B2594" s="1" t="n">
        <v>45352</v>
      </c>
      <c r="C2594" s="1" t="n">
        <v>45576</v>
      </c>
      <c r="D2594" t="inlineStr">
        <is>
          <t>VÄSTERNORRLANDS LÄN</t>
        </is>
      </c>
      <c r="E2594" t="inlineStr">
        <is>
          <t>SOLLEFTEÅ</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8608-2024</t>
        </is>
      </c>
      <c r="B2595" s="1" t="n">
        <v>45355</v>
      </c>
      <c r="C2595" s="1" t="n">
        <v>45576</v>
      </c>
      <c r="D2595" t="inlineStr">
        <is>
          <t>VÄSTERNORRLANDS LÄN</t>
        </is>
      </c>
      <c r="E2595" t="inlineStr">
        <is>
          <t>SOLLEFTEÅ</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8918-2024</t>
        </is>
      </c>
      <c r="B2596" s="1" t="n">
        <v>45355</v>
      </c>
      <c r="C2596" s="1" t="n">
        <v>45576</v>
      </c>
      <c r="D2596" t="inlineStr">
        <is>
          <t>VÄSTERNORRLANDS LÄN</t>
        </is>
      </c>
      <c r="E2596" t="inlineStr">
        <is>
          <t>SOLLEFTEÅ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8653-2024</t>
        </is>
      </c>
      <c r="B2597" s="1" t="n">
        <v>45356</v>
      </c>
      <c r="C2597" s="1" t="n">
        <v>45576</v>
      </c>
      <c r="D2597" t="inlineStr">
        <is>
          <t>VÄSTERNORRLANDS LÄN</t>
        </is>
      </c>
      <c r="E2597" t="inlineStr">
        <is>
          <t>SOLLEFTEÅ</t>
        </is>
      </c>
      <c r="F2597" t="inlineStr">
        <is>
          <t>SCA</t>
        </is>
      </c>
      <c r="G2597" t="n">
        <v>67.8</v>
      </c>
      <c r="H2597" t="n">
        <v>0</v>
      </c>
      <c r="I2597" t="n">
        <v>0</v>
      </c>
      <c r="J2597" t="n">
        <v>0</v>
      </c>
      <c r="K2597" t="n">
        <v>0</v>
      </c>
      <c r="L2597" t="n">
        <v>0</v>
      </c>
      <c r="M2597" t="n">
        <v>0</v>
      </c>
      <c r="N2597" t="n">
        <v>0</v>
      </c>
      <c r="O2597" t="n">
        <v>0</v>
      </c>
      <c r="P2597" t="n">
        <v>0</v>
      </c>
      <c r="Q2597" t="n">
        <v>0</v>
      </c>
      <c r="R2597" s="2" t="inlineStr"/>
    </row>
    <row r="2598" ht="15" customHeight="1">
      <c r="A2598" t="inlineStr">
        <is>
          <t>A 8636-2024</t>
        </is>
      </c>
      <c r="B2598" s="1" t="n">
        <v>45356</v>
      </c>
      <c r="C2598" s="1" t="n">
        <v>45576</v>
      </c>
      <c r="D2598" t="inlineStr">
        <is>
          <t>VÄSTERNORRLANDS LÄN</t>
        </is>
      </c>
      <c r="E2598" t="inlineStr">
        <is>
          <t>SOLLEFTEÅ</t>
        </is>
      </c>
      <c r="F2598" t="inlineStr">
        <is>
          <t>SCA</t>
        </is>
      </c>
      <c r="G2598" t="n">
        <v>31.3</v>
      </c>
      <c r="H2598" t="n">
        <v>0</v>
      </c>
      <c r="I2598" t="n">
        <v>0</v>
      </c>
      <c r="J2598" t="n">
        <v>0</v>
      </c>
      <c r="K2598" t="n">
        <v>0</v>
      </c>
      <c r="L2598" t="n">
        <v>0</v>
      </c>
      <c r="M2598" t="n">
        <v>0</v>
      </c>
      <c r="N2598" t="n">
        <v>0</v>
      </c>
      <c r="O2598" t="n">
        <v>0</v>
      </c>
      <c r="P2598" t="n">
        <v>0</v>
      </c>
      <c r="Q2598" t="n">
        <v>0</v>
      </c>
      <c r="R2598" s="2" t="inlineStr"/>
    </row>
    <row r="2599" ht="15" customHeight="1">
      <c r="A2599" t="inlineStr">
        <is>
          <t>A 8729-2024</t>
        </is>
      </c>
      <c r="B2599" s="1" t="n">
        <v>45356</v>
      </c>
      <c r="C2599" s="1" t="n">
        <v>45576</v>
      </c>
      <c r="D2599" t="inlineStr">
        <is>
          <t>VÄSTERNORRLANDS LÄN</t>
        </is>
      </c>
      <c r="E2599" t="inlineStr">
        <is>
          <t>SOLLEFTEÅ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8652-2024</t>
        </is>
      </c>
      <c r="B2600" s="1" t="n">
        <v>45356</v>
      </c>
      <c r="C2600" s="1" t="n">
        <v>45576</v>
      </c>
      <c r="D2600" t="inlineStr">
        <is>
          <t>VÄSTERNORRLANDS LÄN</t>
        </is>
      </c>
      <c r="E2600" t="inlineStr">
        <is>
          <t>SOLLEFTEÅ</t>
        </is>
      </c>
      <c r="F2600" t="inlineStr">
        <is>
          <t>SCA</t>
        </is>
      </c>
      <c r="G2600" t="n">
        <v>38.6</v>
      </c>
      <c r="H2600" t="n">
        <v>0</v>
      </c>
      <c r="I2600" t="n">
        <v>0</v>
      </c>
      <c r="J2600" t="n">
        <v>0</v>
      </c>
      <c r="K2600" t="n">
        <v>0</v>
      </c>
      <c r="L2600" t="n">
        <v>0</v>
      </c>
      <c r="M2600" t="n">
        <v>0</v>
      </c>
      <c r="N2600" t="n">
        <v>0</v>
      </c>
      <c r="O2600" t="n">
        <v>0</v>
      </c>
      <c r="P2600" t="n">
        <v>0</v>
      </c>
      <c r="Q2600" t="n">
        <v>0</v>
      </c>
      <c r="R2600" s="2" t="inlineStr"/>
    </row>
    <row r="2601" ht="15" customHeight="1">
      <c r="A2601" t="inlineStr">
        <is>
          <t>A 8656-2024</t>
        </is>
      </c>
      <c r="B2601" s="1" t="n">
        <v>45356</v>
      </c>
      <c r="C2601" s="1" t="n">
        <v>45576</v>
      </c>
      <c r="D2601" t="inlineStr">
        <is>
          <t>VÄSTERNORRLANDS LÄN</t>
        </is>
      </c>
      <c r="E2601" t="inlineStr">
        <is>
          <t>SOLLEFTEÅ</t>
        </is>
      </c>
      <c r="F2601" t="inlineStr">
        <is>
          <t>SCA</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8885-2024</t>
        </is>
      </c>
      <c r="B2602" s="1" t="n">
        <v>45357</v>
      </c>
      <c r="C2602" s="1" t="n">
        <v>45576</v>
      </c>
      <c r="D2602" t="inlineStr">
        <is>
          <t>VÄSTERNORRLANDS LÄN</t>
        </is>
      </c>
      <c r="E2602" t="inlineStr">
        <is>
          <t>SOLLEFTEÅ</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9145-2024</t>
        </is>
      </c>
      <c r="B2603" s="1" t="n">
        <v>45357</v>
      </c>
      <c r="C2603" s="1" t="n">
        <v>45576</v>
      </c>
      <c r="D2603" t="inlineStr">
        <is>
          <t>VÄSTERNORRLANDS LÄN</t>
        </is>
      </c>
      <c r="E2603" t="inlineStr">
        <is>
          <t>SOLLEFTEÅ</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9120-2024</t>
        </is>
      </c>
      <c r="B2604" s="1" t="n">
        <v>45358</v>
      </c>
      <c r="C2604" s="1" t="n">
        <v>45576</v>
      </c>
      <c r="D2604" t="inlineStr">
        <is>
          <t>VÄSTERNORRLANDS LÄN</t>
        </is>
      </c>
      <c r="E2604" t="inlineStr">
        <is>
          <t>SOLLEFTEÅ</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9121-2024</t>
        </is>
      </c>
      <c r="B2605" s="1" t="n">
        <v>45358</v>
      </c>
      <c r="C2605" s="1" t="n">
        <v>45576</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9122-2024</t>
        </is>
      </c>
      <c r="B2606" s="1" t="n">
        <v>45358</v>
      </c>
      <c r="C2606" s="1" t="n">
        <v>45576</v>
      </c>
      <c r="D2606" t="inlineStr">
        <is>
          <t>VÄSTERNORRLANDS LÄN</t>
        </is>
      </c>
      <c r="E2606" t="inlineStr">
        <is>
          <t>SOLLEFTEÅ</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9306-2024</t>
        </is>
      </c>
      <c r="B2607" s="1" t="n">
        <v>45358</v>
      </c>
      <c r="C2607" s="1" t="n">
        <v>45576</v>
      </c>
      <c r="D2607" t="inlineStr">
        <is>
          <t>VÄSTERNORRLANDS LÄN</t>
        </is>
      </c>
      <c r="E2607" t="inlineStr">
        <is>
          <t>SOLLEFTEÅ</t>
        </is>
      </c>
      <c r="G2607" t="n">
        <v>19.6</v>
      </c>
      <c r="H2607" t="n">
        <v>0</v>
      </c>
      <c r="I2607" t="n">
        <v>0</v>
      </c>
      <c r="J2607" t="n">
        <v>0</v>
      </c>
      <c r="K2607" t="n">
        <v>0</v>
      </c>
      <c r="L2607" t="n">
        <v>0</v>
      </c>
      <c r="M2607" t="n">
        <v>0</v>
      </c>
      <c r="N2607" t="n">
        <v>0</v>
      </c>
      <c r="O2607" t="n">
        <v>0</v>
      </c>
      <c r="P2607" t="n">
        <v>0</v>
      </c>
      <c r="Q2607" t="n">
        <v>0</v>
      </c>
      <c r="R2607" s="2" t="inlineStr"/>
    </row>
    <row r="2608" ht="15" customHeight="1">
      <c r="A2608" t="inlineStr">
        <is>
          <t>A 9342-2024</t>
        </is>
      </c>
      <c r="B2608" s="1" t="n">
        <v>45359</v>
      </c>
      <c r="C2608" s="1" t="n">
        <v>45576</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9346-2024</t>
        </is>
      </c>
      <c r="B2609" s="1" t="n">
        <v>45359</v>
      </c>
      <c r="C2609" s="1" t="n">
        <v>45576</v>
      </c>
      <c r="D2609" t="inlineStr">
        <is>
          <t>VÄSTERNORRLANDS LÄN</t>
        </is>
      </c>
      <c r="E2609" t="inlineStr">
        <is>
          <t>SOLLEFTEÅ</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9304-2024</t>
        </is>
      </c>
      <c r="B2610" s="1" t="n">
        <v>45358</v>
      </c>
      <c r="C2610" s="1" t="n">
        <v>45576</v>
      </c>
      <c r="D2610" t="inlineStr">
        <is>
          <t>VÄSTERNORRLANDS LÄN</t>
        </is>
      </c>
      <c r="E2610" t="inlineStr">
        <is>
          <t>SOLLEFTEÅ</t>
        </is>
      </c>
      <c r="G2610" t="n">
        <v>30.7</v>
      </c>
      <c r="H2610" t="n">
        <v>0</v>
      </c>
      <c r="I2610" t="n">
        <v>0</v>
      </c>
      <c r="J2610" t="n">
        <v>0</v>
      </c>
      <c r="K2610" t="n">
        <v>0</v>
      </c>
      <c r="L2610" t="n">
        <v>0</v>
      </c>
      <c r="M2610" t="n">
        <v>0</v>
      </c>
      <c r="N2610" t="n">
        <v>0</v>
      </c>
      <c r="O2610" t="n">
        <v>0</v>
      </c>
      <c r="P2610" t="n">
        <v>0</v>
      </c>
      <c r="Q2610" t="n">
        <v>0</v>
      </c>
      <c r="R2610" s="2" t="inlineStr"/>
    </row>
    <row r="2611" ht="15" customHeight="1">
      <c r="A2611" t="inlineStr">
        <is>
          <t>A 9328-2024</t>
        </is>
      </c>
      <c r="B2611" s="1" t="n">
        <v>45359</v>
      </c>
      <c r="C2611" s="1" t="n">
        <v>45576</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9309-2024</t>
        </is>
      </c>
      <c r="B2612" s="1" t="n">
        <v>45358</v>
      </c>
      <c r="C2612" s="1" t="n">
        <v>45576</v>
      </c>
      <c r="D2612" t="inlineStr">
        <is>
          <t>VÄSTERNORRLANDS LÄN</t>
        </is>
      </c>
      <c r="E2612" t="inlineStr">
        <is>
          <t>SOLLEFTEÅ</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9339-2024</t>
        </is>
      </c>
      <c r="B2613" s="1" t="n">
        <v>45358</v>
      </c>
      <c r="C2613" s="1" t="n">
        <v>45576</v>
      </c>
      <c r="D2613" t="inlineStr">
        <is>
          <t>VÄSTERNORRLANDS LÄN</t>
        </is>
      </c>
      <c r="E2613" t="inlineStr">
        <is>
          <t>SOLLEFTEÅ</t>
        </is>
      </c>
      <c r="F2613" t="inlineStr">
        <is>
          <t>SCA</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9341-2024</t>
        </is>
      </c>
      <c r="B2614" s="1" t="n">
        <v>45358</v>
      </c>
      <c r="C2614" s="1" t="n">
        <v>45576</v>
      </c>
      <c r="D2614" t="inlineStr">
        <is>
          <t>VÄSTERNORRLANDS LÄN</t>
        </is>
      </c>
      <c r="E2614" t="inlineStr">
        <is>
          <t>SOLLEFTEÅ</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9340-2024</t>
        </is>
      </c>
      <c r="B2615" s="1" t="n">
        <v>45359</v>
      </c>
      <c r="C2615" s="1" t="n">
        <v>45576</v>
      </c>
      <c r="D2615" t="inlineStr">
        <is>
          <t>VÄSTERNORRLANDS LÄN</t>
        </is>
      </c>
      <c r="E2615" t="inlineStr">
        <is>
          <t>SOLLEFTEÅ</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9555-2024</t>
        </is>
      </c>
      <c r="B2616" s="1" t="n">
        <v>45360</v>
      </c>
      <c r="C2616" s="1" t="n">
        <v>45576</v>
      </c>
      <c r="D2616" t="inlineStr">
        <is>
          <t>VÄSTERNORRLANDS LÄN</t>
        </is>
      </c>
      <c r="E2616" t="inlineStr">
        <is>
          <t>SOLLEFTEÅ</t>
        </is>
      </c>
      <c r="F2616" t="inlineStr">
        <is>
          <t>SCA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9557-2024</t>
        </is>
      </c>
      <c r="B2617" s="1" t="n">
        <v>45360</v>
      </c>
      <c r="C2617" s="1" t="n">
        <v>45576</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9558-2024</t>
        </is>
      </c>
      <c r="B2618" s="1" t="n">
        <v>45360</v>
      </c>
      <c r="C2618" s="1" t="n">
        <v>45576</v>
      </c>
      <c r="D2618" t="inlineStr">
        <is>
          <t>VÄSTERNORRLANDS LÄN</t>
        </is>
      </c>
      <c r="E2618" t="inlineStr">
        <is>
          <t>SOLLEFTEÅ</t>
        </is>
      </c>
      <c r="F2618" t="inlineStr">
        <is>
          <t>SCA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9689-2024</t>
        </is>
      </c>
      <c r="B2619" s="1" t="n">
        <v>45362</v>
      </c>
      <c r="C2619" s="1" t="n">
        <v>45576</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9820-2024</t>
        </is>
      </c>
      <c r="B2620" s="1" t="n">
        <v>45363</v>
      </c>
      <c r="C2620" s="1" t="n">
        <v>45576</v>
      </c>
      <c r="D2620" t="inlineStr">
        <is>
          <t>VÄSTERNORRLANDS LÄN</t>
        </is>
      </c>
      <c r="E2620" t="inlineStr">
        <is>
          <t>SOLLEFTEÅ</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9828-2024</t>
        </is>
      </c>
      <c r="B2621" s="1" t="n">
        <v>45363</v>
      </c>
      <c r="C2621" s="1" t="n">
        <v>45576</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9822-2024</t>
        </is>
      </c>
      <c r="B2622" s="1" t="n">
        <v>45363</v>
      </c>
      <c r="C2622" s="1" t="n">
        <v>45576</v>
      </c>
      <c r="D2622" t="inlineStr">
        <is>
          <t>VÄSTERNORRLANDS LÄN</t>
        </is>
      </c>
      <c r="E2622" t="inlineStr">
        <is>
          <t>SOLLEFTEÅ</t>
        </is>
      </c>
      <c r="F2622" t="inlineStr">
        <is>
          <t>SCA</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9831-2024</t>
        </is>
      </c>
      <c r="B2623" s="1" t="n">
        <v>45363</v>
      </c>
      <c r="C2623" s="1" t="n">
        <v>45576</v>
      </c>
      <c r="D2623" t="inlineStr">
        <is>
          <t>VÄSTERNORRLANDS LÄN</t>
        </is>
      </c>
      <c r="E2623" t="inlineStr">
        <is>
          <t>SOLLEFTEÅ</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10038-2024</t>
        </is>
      </c>
      <c r="B2624" s="1" t="n">
        <v>45364</v>
      </c>
      <c r="C2624" s="1" t="n">
        <v>45576</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10415-2024</t>
        </is>
      </c>
      <c r="B2625" s="1" t="n">
        <v>45365</v>
      </c>
      <c r="C2625" s="1" t="n">
        <v>45576</v>
      </c>
      <c r="D2625" t="inlineStr">
        <is>
          <t>VÄSTERNORRLANDS LÄN</t>
        </is>
      </c>
      <c r="E2625" t="inlineStr">
        <is>
          <t>SOLLEFTEÅ</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10526-2024</t>
        </is>
      </c>
      <c r="B2626" s="1" t="n">
        <v>45366</v>
      </c>
      <c r="C2626" s="1" t="n">
        <v>45576</v>
      </c>
      <c r="D2626" t="inlineStr">
        <is>
          <t>VÄSTERNORRLANDS LÄN</t>
        </is>
      </c>
      <c r="E2626" t="inlineStr">
        <is>
          <t>SOLLEFTEÅ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10532-2024</t>
        </is>
      </c>
      <c r="B2627" s="1" t="n">
        <v>45366</v>
      </c>
      <c r="C2627" s="1" t="n">
        <v>45576</v>
      </c>
      <c r="D2627" t="inlineStr">
        <is>
          <t>VÄSTERNORRLANDS LÄN</t>
        </is>
      </c>
      <c r="E2627" t="inlineStr">
        <is>
          <t>SOLLEFTEÅ</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10539-2024</t>
        </is>
      </c>
      <c r="B2628" s="1" t="n">
        <v>45366</v>
      </c>
      <c r="C2628" s="1" t="n">
        <v>45576</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10537-2024</t>
        </is>
      </c>
      <c r="B2629" s="1" t="n">
        <v>45366</v>
      </c>
      <c r="C2629" s="1" t="n">
        <v>45576</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10569-2024</t>
        </is>
      </c>
      <c r="B2630" s="1" t="n">
        <v>45366</v>
      </c>
      <c r="C2630" s="1" t="n">
        <v>45576</v>
      </c>
      <c r="D2630" t="inlineStr">
        <is>
          <t>VÄSTERNORRLANDS LÄN</t>
        </is>
      </c>
      <c r="E2630" t="inlineStr">
        <is>
          <t>SOLLEFTEÅ</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10618-2024</t>
        </is>
      </c>
      <c r="B2631" s="1" t="n">
        <v>45367</v>
      </c>
      <c r="C2631" s="1" t="n">
        <v>45576</v>
      </c>
      <c r="D2631" t="inlineStr">
        <is>
          <t>VÄSTERNORRLANDS LÄN</t>
        </is>
      </c>
      <c r="E2631" t="inlineStr">
        <is>
          <t>SOLLEFTEÅ</t>
        </is>
      </c>
      <c r="F2631" t="inlineStr">
        <is>
          <t>SCA</t>
        </is>
      </c>
      <c r="G2631" t="n">
        <v>21.1</v>
      </c>
      <c r="H2631" t="n">
        <v>0</v>
      </c>
      <c r="I2631" t="n">
        <v>0</v>
      </c>
      <c r="J2631" t="n">
        <v>0</v>
      </c>
      <c r="K2631" t="n">
        <v>0</v>
      </c>
      <c r="L2631" t="n">
        <v>0</v>
      </c>
      <c r="M2631" t="n">
        <v>0</v>
      </c>
      <c r="N2631" t="n">
        <v>0</v>
      </c>
      <c r="O2631" t="n">
        <v>0</v>
      </c>
      <c r="P2631" t="n">
        <v>0</v>
      </c>
      <c r="Q2631" t="n">
        <v>0</v>
      </c>
      <c r="R2631" s="2" t="inlineStr"/>
    </row>
    <row r="2632" ht="15" customHeight="1">
      <c r="A2632" t="inlineStr">
        <is>
          <t>A 10687-2024</t>
        </is>
      </c>
      <c r="B2632" s="1" t="n">
        <v>45369</v>
      </c>
      <c r="C2632" s="1" t="n">
        <v>45576</v>
      </c>
      <c r="D2632" t="inlineStr">
        <is>
          <t>VÄSTERNORRLANDS LÄN</t>
        </is>
      </c>
      <c r="E2632" t="inlineStr">
        <is>
          <t>SOLLEFTEÅ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10870-2024</t>
        </is>
      </c>
      <c r="B2633" s="1" t="n">
        <v>45370</v>
      </c>
      <c r="C2633" s="1" t="n">
        <v>45576</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10853-2024</t>
        </is>
      </c>
      <c r="B2634" s="1" t="n">
        <v>45370</v>
      </c>
      <c r="C2634" s="1" t="n">
        <v>45576</v>
      </c>
      <c r="D2634" t="inlineStr">
        <is>
          <t>VÄSTERNORRLANDS LÄN</t>
        </is>
      </c>
      <c r="E2634" t="inlineStr">
        <is>
          <t>SOLLEFTEÅ</t>
        </is>
      </c>
      <c r="F2634" t="inlineStr">
        <is>
          <t>SCA</t>
        </is>
      </c>
      <c r="G2634" t="n">
        <v>37.7</v>
      </c>
      <c r="H2634" t="n">
        <v>0</v>
      </c>
      <c r="I2634" t="n">
        <v>0</v>
      </c>
      <c r="J2634" t="n">
        <v>0</v>
      </c>
      <c r="K2634" t="n">
        <v>0</v>
      </c>
      <c r="L2634" t="n">
        <v>0</v>
      </c>
      <c r="M2634" t="n">
        <v>0</v>
      </c>
      <c r="N2634" t="n">
        <v>0</v>
      </c>
      <c r="O2634" t="n">
        <v>0</v>
      </c>
      <c r="P2634" t="n">
        <v>0</v>
      </c>
      <c r="Q2634" t="n">
        <v>0</v>
      </c>
      <c r="R2634" s="2" t="inlineStr"/>
    </row>
    <row r="2635" ht="15" customHeight="1">
      <c r="A2635" t="inlineStr">
        <is>
          <t>A 10869-2024</t>
        </is>
      </c>
      <c r="B2635" s="1" t="n">
        <v>45370</v>
      </c>
      <c r="C2635" s="1" t="n">
        <v>45576</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11009-2024</t>
        </is>
      </c>
      <c r="B2636" s="1" t="n">
        <v>45370</v>
      </c>
      <c r="C2636" s="1" t="n">
        <v>45576</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11090-2024</t>
        </is>
      </c>
      <c r="B2637" s="1" t="n">
        <v>45370</v>
      </c>
      <c r="C2637" s="1" t="n">
        <v>45576</v>
      </c>
      <c r="D2637" t="inlineStr">
        <is>
          <t>VÄSTERNORRLANDS LÄN</t>
        </is>
      </c>
      <c r="E2637" t="inlineStr">
        <is>
          <t>SOLLEFTEÅ</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11083-2024</t>
        </is>
      </c>
      <c r="B2638" s="1" t="n">
        <v>45370</v>
      </c>
      <c r="C2638" s="1" t="n">
        <v>45576</v>
      </c>
      <c r="D2638" t="inlineStr">
        <is>
          <t>VÄSTERNORRLANDS LÄN</t>
        </is>
      </c>
      <c r="E2638" t="inlineStr">
        <is>
          <t>SOLLEFTEÅ</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11087-2024</t>
        </is>
      </c>
      <c r="B2639" s="1" t="n">
        <v>45370</v>
      </c>
      <c r="C2639" s="1" t="n">
        <v>45576</v>
      </c>
      <c r="D2639" t="inlineStr">
        <is>
          <t>VÄSTERNORRLANDS LÄN</t>
        </is>
      </c>
      <c r="E2639" t="inlineStr">
        <is>
          <t>SOLLEFTEÅ</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11043-2024</t>
        </is>
      </c>
      <c r="B2640" s="1" t="n">
        <v>45370</v>
      </c>
      <c r="C2640" s="1" t="n">
        <v>45576</v>
      </c>
      <c r="D2640" t="inlineStr">
        <is>
          <t>VÄSTERNORRLANDS LÄN</t>
        </is>
      </c>
      <c r="E2640" t="inlineStr">
        <is>
          <t>SOLLEFTEÅ</t>
        </is>
      </c>
      <c r="G2640" t="n">
        <v>36.5</v>
      </c>
      <c r="H2640" t="n">
        <v>0</v>
      </c>
      <c r="I2640" t="n">
        <v>0</v>
      </c>
      <c r="J2640" t="n">
        <v>0</v>
      </c>
      <c r="K2640" t="n">
        <v>0</v>
      </c>
      <c r="L2640" t="n">
        <v>0</v>
      </c>
      <c r="M2640" t="n">
        <v>0</v>
      </c>
      <c r="N2640" t="n">
        <v>0</v>
      </c>
      <c r="O2640" t="n">
        <v>0</v>
      </c>
      <c r="P2640" t="n">
        <v>0</v>
      </c>
      <c r="Q2640" t="n">
        <v>0</v>
      </c>
      <c r="R2640" s="2" t="inlineStr"/>
    </row>
    <row r="2641" ht="15" customHeight="1">
      <c r="A2641" t="inlineStr">
        <is>
          <t>A 11089-2024</t>
        </is>
      </c>
      <c r="B2641" s="1" t="n">
        <v>45370</v>
      </c>
      <c r="C2641" s="1" t="n">
        <v>45576</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11334-2024</t>
        </is>
      </c>
      <c r="B2642" s="1" t="n">
        <v>45372</v>
      </c>
      <c r="C2642" s="1" t="n">
        <v>45576</v>
      </c>
      <c r="D2642" t="inlineStr">
        <is>
          <t>VÄSTERNORRLANDS LÄN</t>
        </is>
      </c>
      <c r="E2642" t="inlineStr">
        <is>
          <t>SOLLEFTEÅ</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11332-2024</t>
        </is>
      </c>
      <c r="B2643" s="1" t="n">
        <v>45372</v>
      </c>
      <c r="C2643" s="1" t="n">
        <v>45576</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11333-2024</t>
        </is>
      </c>
      <c r="B2644" s="1" t="n">
        <v>45372</v>
      </c>
      <c r="C2644" s="1" t="n">
        <v>45576</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11394-2024</t>
        </is>
      </c>
      <c r="B2645" s="1" t="n">
        <v>45372</v>
      </c>
      <c r="C2645" s="1" t="n">
        <v>45576</v>
      </c>
      <c r="D2645" t="inlineStr">
        <is>
          <t>VÄSTERNORRLANDS LÄN</t>
        </is>
      </c>
      <c r="E2645" t="inlineStr">
        <is>
          <t>SOLLEFTEÅ</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11539-2024</t>
        </is>
      </c>
      <c r="B2646" s="1" t="n">
        <v>45372</v>
      </c>
      <c r="C2646" s="1" t="n">
        <v>45576</v>
      </c>
      <c r="D2646" t="inlineStr">
        <is>
          <t>VÄSTERNORRLANDS LÄN</t>
        </is>
      </c>
      <c r="E2646" t="inlineStr">
        <is>
          <t>SOLLEFTEÅ</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11542-2024</t>
        </is>
      </c>
      <c r="B2647" s="1" t="n">
        <v>45372</v>
      </c>
      <c r="C2647" s="1" t="n">
        <v>45576</v>
      </c>
      <c r="D2647" t="inlineStr">
        <is>
          <t>VÄSTERNORRLANDS LÄN</t>
        </is>
      </c>
      <c r="E2647" t="inlineStr">
        <is>
          <t>SOLLEFTEÅ</t>
        </is>
      </c>
      <c r="F2647" t="inlineStr">
        <is>
          <t>SCA</t>
        </is>
      </c>
      <c r="G2647" t="n">
        <v>13.1</v>
      </c>
      <c r="H2647" t="n">
        <v>0</v>
      </c>
      <c r="I2647" t="n">
        <v>0</v>
      </c>
      <c r="J2647" t="n">
        <v>0</v>
      </c>
      <c r="K2647" t="n">
        <v>0</v>
      </c>
      <c r="L2647" t="n">
        <v>0</v>
      </c>
      <c r="M2647" t="n">
        <v>0</v>
      </c>
      <c r="N2647" t="n">
        <v>0</v>
      </c>
      <c r="O2647" t="n">
        <v>0</v>
      </c>
      <c r="P2647" t="n">
        <v>0</v>
      </c>
      <c r="Q2647" t="n">
        <v>0</v>
      </c>
      <c r="R2647" s="2" t="inlineStr"/>
    </row>
    <row r="2648" ht="15" customHeight="1">
      <c r="A2648" t="inlineStr">
        <is>
          <t>A 11767-2024</t>
        </is>
      </c>
      <c r="B2648" s="1" t="n">
        <v>45373</v>
      </c>
      <c r="C2648" s="1" t="n">
        <v>45576</v>
      </c>
      <c r="D2648" t="inlineStr">
        <is>
          <t>VÄSTERNORRLANDS LÄN</t>
        </is>
      </c>
      <c r="E2648" t="inlineStr">
        <is>
          <t>SOLLEFTEÅ</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11749-2024</t>
        </is>
      </c>
      <c r="B2649" s="1" t="n">
        <v>45373</v>
      </c>
      <c r="C2649" s="1" t="n">
        <v>45576</v>
      </c>
      <c r="D2649" t="inlineStr">
        <is>
          <t>VÄSTERNORRLANDS LÄN</t>
        </is>
      </c>
      <c r="E2649" t="inlineStr">
        <is>
          <t>SOLLEFTEÅ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11976-2024</t>
        </is>
      </c>
      <c r="B2650" s="1" t="n">
        <v>45376</v>
      </c>
      <c r="C2650" s="1" t="n">
        <v>45576</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11988-2024</t>
        </is>
      </c>
      <c r="B2651" s="1" t="n">
        <v>45376</v>
      </c>
      <c r="C2651" s="1" t="n">
        <v>45576</v>
      </c>
      <c r="D2651" t="inlineStr">
        <is>
          <t>VÄSTERNORRLANDS LÄN</t>
        </is>
      </c>
      <c r="E2651" t="inlineStr">
        <is>
          <t>SOLLEFTEÅ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12184-2024</t>
        </is>
      </c>
      <c r="B2652" s="1" t="n">
        <v>45377</v>
      </c>
      <c r="C2652" s="1" t="n">
        <v>45576</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12186-2024</t>
        </is>
      </c>
      <c r="B2653" s="1" t="n">
        <v>45377</v>
      </c>
      <c r="C2653" s="1" t="n">
        <v>45576</v>
      </c>
      <c r="D2653" t="inlineStr">
        <is>
          <t>VÄSTERNORRLANDS LÄN</t>
        </is>
      </c>
      <c r="E2653" t="inlineStr">
        <is>
          <t>SOLLEFTEÅ</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12187-2024</t>
        </is>
      </c>
      <c r="B2654" s="1" t="n">
        <v>45377</v>
      </c>
      <c r="C2654" s="1" t="n">
        <v>45576</v>
      </c>
      <c r="D2654" t="inlineStr">
        <is>
          <t>VÄSTERNORRLANDS LÄN</t>
        </is>
      </c>
      <c r="E2654" t="inlineStr">
        <is>
          <t>SOLLEFTEÅ</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12354-2024</t>
        </is>
      </c>
      <c r="B2655" s="1" t="n">
        <v>45378</v>
      </c>
      <c r="C2655" s="1" t="n">
        <v>45576</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12368-2024</t>
        </is>
      </c>
      <c r="B2656" s="1" t="n">
        <v>45378</v>
      </c>
      <c r="C2656" s="1" t="n">
        <v>45576</v>
      </c>
      <c r="D2656" t="inlineStr">
        <is>
          <t>VÄSTERNORRLANDS LÄN</t>
        </is>
      </c>
      <c r="E2656" t="inlineStr">
        <is>
          <t>SOLLEFTEÅ</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12351-2024</t>
        </is>
      </c>
      <c r="B2657" s="1" t="n">
        <v>45378</v>
      </c>
      <c r="C2657" s="1" t="n">
        <v>45576</v>
      </c>
      <c r="D2657" t="inlineStr">
        <is>
          <t>VÄSTERNORRLANDS LÄN</t>
        </is>
      </c>
      <c r="E2657" t="inlineStr">
        <is>
          <t>SOLLEFTEÅ</t>
        </is>
      </c>
      <c r="G2657" t="n">
        <v>23.9</v>
      </c>
      <c r="H2657" t="n">
        <v>0</v>
      </c>
      <c r="I2657" t="n">
        <v>0</v>
      </c>
      <c r="J2657" t="n">
        <v>0</v>
      </c>
      <c r="K2657" t="n">
        <v>0</v>
      </c>
      <c r="L2657" t="n">
        <v>0</v>
      </c>
      <c r="M2657" t="n">
        <v>0</v>
      </c>
      <c r="N2657" t="n">
        <v>0</v>
      </c>
      <c r="O2657" t="n">
        <v>0</v>
      </c>
      <c r="P2657" t="n">
        <v>0</v>
      </c>
      <c r="Q2657" t="n">
        <v>0</v>
      </c>
      <c r="R2657" s="2" t="inlineStr"/>
    </row>
    <row r="2658" ht="15" customHeight="1">
      <c r="A2658" t="inlineStr">
        <is>
          <t>A 12355-2024</t>
        </is>
      </c>
      <c r="B2658" s="1" t="n">
        <v>45378</v>
      </c>
      <c r="C2658" s="1" t="n">
        <v>45576</v>
      </c>
      <c r="D2658" t="inlineStr">
        <is>
          <t>VÄSTERNORRLANDS LÄN</t>
        </is>
      </c>
      <c r="E2658" t="inlineStr">
        <is>
          <t>SOLLEFTEÅ</t>
        </is>
      </c>
      <c r="F2658" t="inlineStr">
        <is>
          <t>SCA</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12363-2024</t>
        </is>
      </c>
      <c r="B2659" s="1" t="n">
        <v>45378</v>
      </c>
      <c r="C2659" s="1" t="n">
        <v>45576</v>
      </c>
      <c r="D2659" t="inlineStr">
        <is>
          <t>VÄSTERNORRLANDS LÄN</t>
        </is>
      </c>
      <c r="E2659" t="inlineStr">
        <is>
          <t>SOLLEFTEÅ</t>
        </is>
      </c>
      <c r="F2659" t="inlineStr">
        <is>
          <t>SCA</t>
        </is>
      </c>
      <c r="G2659" t="n">
        <v>16.3</v>
      </c>
      <c r="H2659" t="n">
        <v>0</v>
      </c>
      <c r="I2659" t="n">
        <v>0</v>
      </c>
      <c r="J2659" t="n">
        <v>0</v>
      </c>
      <c r="K2659" t="n">
        <v>0</v>
      </c>
      <c r="L2659" t="n">
        <v>0</v>
      </c>
      <c r="M2659" t="n">
        <v>0</v>
      </c>
      <c r="N2659" t="n">
        <v>0</v>
      </c>
      <c r="O2659" t="n">
        <v>0</v>
      </c>
      <c r="P2659" t="n">
        <v>0</v>
      </c>
      <c r="Q2659" t="n">
        <v>0</v>
      </c>
      <c r="R2659" s="2" t="inlineStr"/>
    </row>
    <row r="2660" ht="15" customHeight="1">
      <c r="A2660" t="inlineStr">
        <is>
          <t>A 12590-2024</t>
        </is>
      </c>
      <c r="B2660" s="1" t="n">
        <v>45379</v>
      </c>
      <c r="C2660" s="1" t="n">
        <v>45576</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12582-2024</t>
        </is>
      </c>
      <c r="B2661" s="1" t="n">
        <v>45379</v>
      </c>
      <c r="C2661" s="1" t="n">
        <v>45576</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12865-2024</t>
        </is>
      </c>
      <c r="B2662" s="1" t="n">
        <v>45384</v>
      </c>
      <c r="C2662" s="1" t="n">
        <v>45576</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13138-2024</t>
        </is>
      </c>
      <c r="B2663" s="1" t="n">
        <v>45386</v>
      </c>
      <c r="C2663" s="1" t="n">
        <v>45576</v>
      </c>
      <c r="D2663" t="inlineStr">
        <is>
          <t>VÄSTERNORRLANDS LÄN</t>
        </is>
      </c>
      <c r="E2663" t="inlineStr">
        <is>
          <t>SOLLEFTEÅ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13154-2024</t>
        </is>
      </c>
      <c r="B2664" s="1" t="n">
        <v>45386</v>
      </c>
      <c r="C2664" s="1" t="n">
        <v>45576</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13546-2024</t>
        </is>
      </c>
      <c r="B2665" s="1" t="n">
        <v>45388</v>
      </c>
      <c r="C2665" s="1" t="n">
        <v>45576</v>
      </c>
      <c r="D2665" t="inlineStr">
        <is>
          <t>VÄSTERNORRLANDS LÄN</t>
        </is>
      </c>
      <c r="E2665" t="inlineStr">
        <is>
          <t>SOLLEFTEÅ</t>
        </is>
      </c>
      <c r="F2665" t="inlineStr">
        <is>
          <t>SCA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13539-2024</t>
        </is>
      </c>
      <c r="B2666" s="1" t="n">
        <v>45388</v>
      </c>
      <c r="C2666" s="1" t="n">
        <v>45576</v>
      </c>
      <c r="D2666" t="inlineStr">
        <is>
          <t>VÄSTERNORRLANDS LÄN</t>
        </is>
      </c>
      <c r="E2666" t="inlineStr">
        <is>
          <t>SOLLEFTEÅ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13942-2024</t>
        </is>
      </c>
      <c r="B2667" s="1" t="n">
        <v>45392</v>
      </c>
      <c r="C2667" s="1" t="n">
        <v>45576</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14109-2024</t>
        </is>
      </c>
      <c r="B2668" s="1" t="n">
        <v>45392</v>
      </c>
      <c r="C2668" s="1" t="n">
        <v>45576</v>
      </c>
      <c r="D2668" t="inlineStr">
        <is>
          <t>VÄSTERNORRLANDS LÄN</t>
        </is>
      </c>
      <c r="E2668" t="inlineStr">
        <is>
          <t>SOLLEFTEÅ</t>
        </is>
      </c>
      <c r="F2668" t="inlineStr">
        <is>
          <t>Övriga Aktiebolag</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14110-2024</t>
        </is>
      </c>
      <c r="B2669" s="1" t="n">
        <v>45392</v>
      </c>
      <c r="C2669" s="1" t="n">
        <v>45576</v>
      </c>
      <c r="D2669" t="inlineStr">
        <is>
          <t>VÄSTERNORRLANDS LÄN</t>
        </is>
      </c>
      <c r="E2669" t="inlineStr">
        <is>
          <t>SOLLEFTEÅ</t>
        </is>
      </c>
      <c r="F2669" t="inlineStr">
        <is>
          <t>Övriga Aktiebolag</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14087-2024</t>
        </is>
      </c>
      <c r="B2670" s="1" t="n">
        <v>45392</v>
      </c>
      <c r="C2670" s="1" t="n">
        <v>45576</v>
      </c>
      <c r="D2670" t="inlineStr">
        <is>
          <t>VÄSTERNORRLANDS LÄN</t>
        </is>
      </c>
      <c r="E2670" t="inlineStr">
        <is>
          <t>SOLLEFTEÅ</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14165-2024</t>
        </is>
      </c>
      <c r="B2671" s="1" t="n">
        <v>45393</v>
      </c>
      <c r="C2671" s="1" t="n">
        <v>45576</v>
      </c>
      <c r="D2671" t="inlineStr">
        <is>
          <t>VÄSTERNORRLANDS LÄN</t>
        </is>
      </c>
      <c r="E2671" t="inlineStr">
        <is>
          <t>SOLLEFTEÅ</t>
        </is>
      </c>
      <c r="F2671" t="inlineStr">
        <is>
          <t>SCA</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14169-2024</t>
        </is>
      </c>
      <c r="B2672" s="1" t="n">
        <v>45393</v>
      </c>
      <c r="C2672" s="1" t="n">
        <v>45576</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14344-2024</t>
        </is>
      </c>
      <c r="B2673" s="1" t="n">
        <v>45393</v>
      </c>
      <c r="C2673" s="1" t="n">
        <v>45576</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14365-2024</t>
        </is>
      </c>
      <c r="B2674" s="1" t="n">
        <v>45394</v>
      </c>
      <c r="C2674" s="1" t="n">
        <v>45576</v>
      </c>
      <c r="D2674" t="inlineStr">
        <is>
          <t>VÄSTERNORRLANDS LÄN</t>
        </is>
      </c>
      <c r="E2674" t="inlineStr">
        <is>
          <t>SOLLEFTEÅ</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14554-2024</t>
        </is>
      </c>
      <c r="B2675" s="1" t="n">
        <v>45394</v>
      </c>
      <c r="C2675" s="1" t="n">
        <v>45576</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14581-2024</t>
        </is>
      </c>
      <c r="B2676" s="1" t="n">
        <v>45395</v>
      </c>
      <c r="C2676" s="1" t="n">
        <v>45576</v>
      </c>
      <c r="D2676" t="inlineStr">
        <is>
          <t>VÄSTERNORRLANDS LÄN</t>
        </is>
      </c>
      <c r="E2676" t="inlineStr">
        <is>
          <t>SOLLEFTEÅ</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14571-2024</t>
        </is>
      </c>
      <c r="B2677" s="1" t="n">
        <v>45394</v>
      </c>
      <c r="C2677" s="1" t="n">
        <v>45576</v>
      </c>
      <c r="D2677" t="inlineStr">
        <is>
          <t>VÄSTERNORRLANDS LÄN</t>
        </is>
      </c>
      <c r="E2677" t="inlineStr">
        <is>
          <t>SOLLEFTEÅ</t>
        </is>
      </c>
      <c r="F2677" t="inlineStr">
        <is>
          <t>SCA</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14577-2024</t>
        </is>
      </c>
      <c r="B2678" s="1" t="n">
        <v>45395</v>
      </c>
      <c r="C2678" s="1" t="n">
        <v>45576</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14819-2024</t>
        </is>
      </c>
      <c r="B2679" s="1" t="n">
        <v>45397</v>
      </c>
      <c r="C2679" s="1" t="n">
        <v>45576</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14970-2024</t>
        </is>
      </c>
      <c r="B2680" s="1" t="n">
        <v>45398</v>
      </c>
      <c r="C2680" s="1" t="n">
        <v>45576</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14982-2024</t>
        </is>
      </c>
      <c r="B2681" s="1" t="n">
        <v>45399</v>
      </c>
      <c r="C2681" s="1" t="n">
        <v>45576</v>
      </c>
      <c r="D2681" t="inlineStr">
        <is>
          <t>VÄSTERNORRLANDS LÄN</t>
        </is>
      </c>
      <c r="E2681" t="inlineStr">
        <is>
          <t>SOLLEFTEÅ</t>
        </is>
      </c>
      <c r="F2681" t="inlineStr">
        <is>
          <t>SCA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14971-2024</t>
        </is>
      </c>
      <c r="B2682" s="1" t="n">
        <v>45399</v>
      </c>
      <c r="C2682" s="1" t="n">
        <v>45576</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14975-2024</t>
        </is>
      </c>
      <c r="B2683" s="1" t="n">
        <v>45399</v>
      </c>
      <c r="C2683" s="1" t="n">
        <v>45576</v>
      </c>
      <c r="D2683" t="inlineStr">
        <is>
          <t>VÄSTERNORRLANDS LÄN</t>
        </is>
      </c>
      <c r="E2683" t="inlineStr">
        <is>
          <t>SOLLEFTEÅ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14983-2024</t>
        </is>
      </c>
      <c r="B2684" s="1" t="n">
        <v>45399</v>
      </c>
      <c r="C2684" s="1" t="n">
        <v>45576</v>
      </c>
      <c r="D2684" t="inlineStr">
        <is>
          <t>VÄSTERNORRLANDS LÄN</t>
        </is>
      </c>
      <c r="E2684" t="inlineStr">
        <is>
          <t>SOLLEFTEÅ</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15154-2024</t>
        </is>
      </c>
      <c r="B2685" s="1" t="n">
        <v>45400</v>
      </c>
      <c r="C2685" s="1" t="n">
        <v>45576</v>
      </c>
      <c r="D2685" t="inlineStr">
        <is>
          <t>VÄSTERNORRLANDS LÄN</t>
        </is>
      </c>
      <c r="E2685" t="inlineStr">
        <is>
          <t>SOLLEFTEÅ</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15147-2024</t>
        </is>
      </c>
      <c r="B2686" s="1" t="n">
        <v>45400</v>
      </c>
      <c r="C2686" s="1" t="n">
        <v>45576</v>
      </c>
      <c r="D2686" t="inlineStr">
        <is>
          <t>VÄSTERNORRLANDS LÄN</t>
        </is>
      </c>
      <c r="E2686" t="inlineStr">
        <is>
          <t>SOLLEFTEÅ</t>
        </is>
      </c>
      <c r="F2686" t="inlineStr">
        <is>
          <t>SCA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15380-2024</t>
        </is>
      </c>
      <c r="B2687" s="1" t="n">
        <v>45401</v>
      </c>
      <c r="C2687" s="1" t="n">
        <v>45576</v>
      </c>
      <c r="D2687" t="inlineStr">
        <is>
          <t>VÄSTERNORRLANDS LÄN</t>
        </is>
      </c>
      <c r="E2687" t="inlineStr">
        <is>
          <t>SOLLEFTEÅ</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15377-2024</t>
        </is>
      </c>
      <c r="B2688" s="1" t="n">
        <v>45400</v>
      </c>
      <c r="C2688" s="1" t="n">
        <v>45576</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15616-2024</t>
        </is>
      </c>
      <c r="B2689" s="1" t="n">
        <v>45402</v>
      </c>
      <c r="C2689" s="1" t="n">
        <v>45576</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15614-2024</t>
        </is>
      </c>
      <c r="B2690" s="1" t="n">
        <v>45402</v>
      </c>
      <c r="C2690" s="1" t="n">
        <v>45576</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15613-2024</t>
        </is>
      </c>
      <c r="B2691" s="1" t="n">
        <v>45402</v>
      </c>
      <c r="C2691" s="1" t="n">
        <v>45576</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15859-2024</t>
        </is>
      </c>
      <c r="B2692" s="1" t="n">
        <v>45405</v>
      </c>
      <c r="C2692" s="1" t="n">
        <v>45576</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15863-2024</t>
        </is>
      </c>
      <c r="B2693" s="1" t="n">
        <v>45405</v>
      </c>
      <c r="C2693" s="1" t="n">
        <v>45576</v>
      </c>
      <c r="D2693" t="inlineStr">
        <is>
          <t>VÄSTERNORRLANDS LÄN</t>
        </is>
      </c>
      <c r="E2693" t="inlineStr">
        <is>
          <t>SOLLEFTEÅ</t>
        </is>
      </c>
      <c r="F2693" t="inlineStr">
        <is>
          <t>SCA</t>
        </is>
      </c>
      <c r="G2693" t="n">
        <v>32.2</v>
      </c>
      <c r="H2693" t="n">
        <v>0</v>
      </c>
      <c r="I2693" t="n">
        <v>0</v>
      </c>
      <c r="J2693" t="n">
        <v>0</v>
      </c>
      <c r="K2693" t="n">
        <v>0</v>
      </c>
      <c r="L2693" t="n">
        <v>0</v>
      </c>
      <c r="M2693" t="n">
        <v>0</v>
      </c>
      <c r="N2693" t="n">
        <v>0</v>
      </c>
      <c r="O2693" t="n">
        <v>0</v>
      </c>
      <c r="P2693" t="n">
        <v>0</v>
      </c>
      <c r="Q2693" t="n">
        <v>0</v>
      </c>
      <c r="R2693" s="2" t="inlineStr"/>
    </row>
    <row r="2694" ht="15" customHeight="1">
      <c r="A2694" t="inlineStr">
        <is>
          <t>A 15872-2024</t>
        </is>
      </c>
      <c r="B2694" s="1" t="n">
        <v>45405</v>
      </c>
      <c r="C2694" s="1" t="n">
        <v>45576</v>
      </c>
      <c r="D2694" t="inlineStr">
        <is>
          <t>VÄSTERNORRLANDS LÄN</t>
        </is>
      </c>
      <c r="E2694" t="inlineStr">
        <is>
          <t>SOLLEFTEÅ</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15875-2024</t>
        </is>
      </c>
      <c r="B2695" s="1" t="n">
        <v>45405</v>
      </c>
      <c r="C2695" s="1" t="n">
        <v>45576</v>
      </c>
      <c r="D2695" t="inlineStr">
        <is>
          <t>VÄSTERNORRLANDS LÄN</t>
        </is>
      </c>
      <c r="E2695" t="inlineStr">
        <is>
          <t>SOLLEFTEÅ</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15983-2024</t>
        </is>
      </c>
      <c r="B2696" s="1" t="n">
        <v>45405</v>
      </c>
      <c r="C2696" s="1" t="n">
        <v>45576</v>
      </c>
      <c r="D2696" t="inlineStr">
        <is>
          <t>VÄSTERNORRLANDS LÄN</t>
        </is>
      </c>
      <c r="E2696" t="inlineStr">
        <is>
          <t>SOLLEFTEÅ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16052-2024</t>
        </is>
      </c>
      <c r="B2697" s="1" t="n">
        <v>45406</v>
      </c>
      <c r="C2697" s="1" t="n">
        <v>45576</v>
      </c>
      <c r="D2697" t="inlineStr">
        <is>
          <t>VÄSTERNORRLANDS LÄN</t>
        </is>
      </c>
      <c r="E2697" t="inlineStr">
        <is>
          <t>SOLLEFTEÅ</t>
        </is>
      </c>
      <c r="F2697" t="inlineStr">
        <is>
          <t>SCA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16051-2024</t>
        </is>
      </c>
      <c r="B2698" s="1" t="n">
        <v>45406</v>
      </c>
      <c r="C2698" s="1" t="n">
        <v>45576</v>
      </c>
      <c r="D2698" t="inlineStr">
        <is>
          <t>VÄSTERNORRLANDS LÄN</t>
        </is>
      </c>
      <c r="E2698" t="inlineStr">
        <is>
          <t>SOLLEFTEÅ</t>
        </is>
      </c>
      <c r="F2698" t="inlineStr">
        <is>
          <t>SCA</t>
        </is>
      </c>
      <c r="G2698" t="n">
        <v>15.7</v>
      </c>
      <c r="H2698" t="n">
        <v>0</v>
      </c>
      <c r="I2698" t="n">
        <v>0</v>
      </c>
      <c r="J2698" t="n">
        <v>0</v>
      </c>
      <c r="K2698" t="n">
        <v>0</v>
      </c>
      <c r="L2698" t="n">
        <v>0</v>
      </c>
      <c r="M2698" t="n">
        <v>0</v>
      </c>
      <c r="N2698" t="n">
        <v>0</v>
      </c>
      <c r="O2698" t="n">
        <v>0</v>
      </c>
      <c r="P2698" t="n">
        <v>0</v>
      </c>
      <c r="Q2698" t="n">
        <v>0</v>
      </c>
      <c r="R2698" s="2" t="inlineStr"/>
    </row>
    <row r="2699" ht="15" customHeight="1">
      <c r="A2699" t="inlineStr">
        <is>
          <t>A 16165-2024</t>
        </is>
      </c>
      <c r="B2699" s="1" t="n">
        <v>45406</v>
      </c>
      <c r="C2699" s="1" t="n">
        <v>45576</v>
      </c>
      <c r="D2699" t="inlineStr">
        <is>
          <t>VÄSTERNORRLANDS LÄN</t>
        </is>
      </c>
      <c r="E2699" t="inlineStr">
        <is>
          <t>SOLLEFTEÅ</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16061-2024</t>
        </is>
      </c>
      <c r="B2700" s="1" t="n">
        <v>45406</v>
      </c>
      <c r="C2700" s="1" t="n">
        <v>45576</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16086-2024</t>
        </is>
      </c>
      <c r="B2701" s="1" t="n">
        <v>45406</v>
      </c>
      <c r="C2701" s="1" t="n">
        <v>45576</v>
      </c>
      <c r="D2701" t="inlineStr">
        <is>
          <t>VÄSTERNORRLANDS LÄN</t>
        </is>
      </c>
      <c r="E2701" t="inlineStr">
        <is>
          <t>SOLLEFTEÅ</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16238-2024</t>
        </is>
      </c>
      <c r="B2702" s="1" t="n">
        <v>45407</v>
      </c>
      <c r="C2702" s="1" t="n">
        <v>45576</v>
      </c>
      <c r="D2702" t="inlineStr">
        <is>
          <t>VÄSTERNORRLANDS LÄN</t>
        </is>
      </c>
      <c r="E2702" t="inlineStr">
        <is>
          <t>SOLLEFTEÅ</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16239-2024</t>
        </is>
      </c>
      <c r="B2703" s="1" t="n">
        <v>45407</v>
      </c>
      <c r="C2703" s="1" t="n">
        <v>45576</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16237-2024</t>
        </is>
      </c>
      <c r="B2704" s="1" t="n">
        <v>45407</v>
      </c>
      <c r="C2704" s="1" t="n">
        <v>45576</v>
      </c>
      <c r="D2704" t="inlineStr">
        <is>
          <t>VÄSTERNORRLANDS LÄN</t>
        </is>
      </c>
      <c r="E2704" t="inlineStr">
        <is>
          <t>SOLLEFTEÅ</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16241-2024</t>
        </is>
      </c>
      <c r="B2705" s="1" t="n">
        <v>45407</v>
      </c>
      <c r="C2705" s="1" t="n">
        <v>45576</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16253-2024</t>
        </is>
      </c>
      <c r="B2706" s="1" t="n">
        <v>45407</v>
      </c>
      <c r="C2706" s="1" t="n">
        <v>45576</v>
      </c>
      <c r="D2706" t="inlineStr">
        <is>
          <t>VÄSTERNORRLANDS LÄN</t>
        </is>
      </c>
      <c r="E2706" t="inlineStr">
        <is>
          <t>SOLLEFTEÅ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16468-2024</t>
        </is>
      </c>
      <c r="B2707" s="1" t="n">
        <v>45408</v>
      </c>
      <c r="C2707" s="1" t="n">
        <v>45576</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16463-2024</t>
        </is>
      </c>
      <c r="B2708" s="1" t="n">
        <v>45408</v>
      </c>
      <c r="C2708" s="1" t="n">
        <v>45576</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16467-2024</t>
        </is>
      </c>
      <c r="B2709" s="1" t="n">
        <v>45408</v>
      </c>
      <c r="C2709" s="1" t="n">
        <v>45576</v>
      </c>
      <c r="D2709" t="inlineStr">
        <is>
          <t>VÄSTERNORRLANDS LÄN</t>
        </is>
      </c>
      <c r="E2709" t="inlineStr">
        <is>
          <t>SOLLEFTEÅ</t>
        </is>
      </c>
      <c r="F2709" t="inlineStr">
        <is>
          <t>SCA</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16470-2024</t>
        </is>
      </c>
      <c r="B2710" s="1" t="n">
        <v>45408</v>
      </c>
      <c r="C2710" s="1" t="n">
        <v>45576</v>
      </c>
      <c r="D2710" t="inlineStr">
        <is>
          <t>VÄSTERNORRLANDS LÄN</t>
        </is>
      </c>
      <c r="E2710" t="inlineStr">
        <is>
          <t>SOLLEFTEÅ</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16691-2024</t>
        </is>
      </c>
      <c r="B2711" s="1" t="n">
        <v>45408</v>
      </c>
      <c r="C2711" s="1" t="n">
        <v>45576</v>
      </c>
      <c r="D2711" t="inlineStr">
        <is>
          <t>VÄSTERNORRLANDS LÄN</t>
        </is>
      </c>
      <c r="E2711" t="inlineStr">
        <is>
          <t>SOLLEFTEÅ</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16693-2024</t>
        </is>
      </c>
      <c r="B2712" s="1" t="n">
        <v>45408</v>
      </c>
      <c r="C2712" s="1" t="n">
        <v>45576</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16710-2024</t>
        </is>
      </c>
      <c r="B2713" s="1" t="n">
        <v>45409</v>
      </c>
      <c r="C2713" s="1" t="n">
        <v>45576</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16703-2024</t>
        </is>
      </c>
      <c r="B2714" s="1" t="n">
        <v>45409</v>
      </c>
      <c r="C2714" s="1" t="n">
        <v>45576</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16701-2024</t>
        </is>
      </c>
      <c r="B2715" s="1" t="n">
        <v>45409</v>
      </c>
      <c r="C2715" s="1" t="n">
        <v>45576</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16709-2024</t>
        </is>
      </c>
      <c r="B2716" s="1" t="n">
        <v>45409</v>
      </c>
      <c r="C2716" s="1" t="n">
        <v>45576</v>
      </c>
      <c r="D2716" t="inlineStr">
        <is>
          <t>VÄSTERNORRLANDS LÄN</t>
        </is>
      </c>
      <c r="E2716" t="inlineStr">
        <is>
          <t>SOLLEFTEÅ</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16717-2024</t>
        </is>
      </c>
      <c r="B2717" s="1" t="n">
        <v>45409</v>
      </c>
      <c r="C2717" s="1" t="n">
        <v>45576</v>
      </c>
      <c r="D2717" t="inlineStr">
        <is>
          <t>VÄSTERNORRLANDS LÄN</t>
        </is>
      </c>
      <c r="E2717" t="inlineStr">
        <is>
          <t>SOLLEFTEÅ</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16726-2024</t>
        </is>
      </c>
      <c r="B2718" s="1" t="n">
        <v>45410</v>
      </c>
      <c r="C2718" s="1" t="n">
        <v>45576</v>
      </c>
      <c r="D2718" t="inlineStr">
        <is>
          <t>VÄSTERNORRLANDS LÄN</t>
        </is>
      </c>
      <c r="E2718" t="inlineStr">
        <is>
          <t>SOLLEFTEÅ</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17172-2024</t>
        </is>
      </c>
      <c r="B2719" s="1" t="n">
        <v>45413</v>
      </c>
      <c r="C2719" s="1" t="n">
        <v>45576</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17120-2024</t>
        </is>
      </c>
      <c r="B2720" s="1" t="n">
        <v>45412</v>
      </c>
      <c r="C2720" s="1" t="n">
        <v>45576</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17173-2024</t>
        </is>
      </c>
      <c r="B2721" s="1" t="n">
        <v>45413</v>
      </c>
      <c r="C2721" s="1" t="n">
        <v>45576</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17111-2024</t>
        </is>
      </c>
      <c r="B2722" s="1" t="n">
        <v>45412</v>
      </c>
      <c r="C2722" s="1" t="n">
        <v>45576</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17170-2024</t>
        </is>
      </c>
      <c r="B2723" s="1" t="n">
        <v>45413</v>
      </c>
      <c r="C2723" s="1" t="n">
        <v>45576</v>
      </c>
      <c r="D2723" t="inlineStr">
        <is>
          <t>VÄSTERNORRLANDS LÄN</t>
        </is>
      </c>
      <c r="E2723" t="inlineStr">
        <is>
          <t>SOLLEFTEÅ</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17209-2024</t>
        </is>
      </c>
      <c r="B2724" s="1" t="n">
        <v>45414</v>
      </c>
      <c r="C2724" s="1" t="n">
        <v>45576</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17263-2024</t>
        </is>
      </c>
      <c r="B2725" s="1" t="n">
        <v>45414</v>
      </c>
      <c r="C2725" s="1" t="n">
        <v>45576</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17585-2024</t>
        </is>
      </c>
      <c r="B2726" s="1" t="n">
        <v>45416</v>
      </c>
      <c r="C2726" s="1" t="n">
        <v>45576</v>
      </c>
      <c r="D2726" t="inlineStr">
        <is>
          <t>VÄSTERNORRLANDS LÄN</t>
        </is>
      </c>
      <c r="E2726" t="inlineStr">
        <is>
          <t>SOLLEFTEÅ</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17512-2024</t>
        </is>
      </c>
      <c r="B2727" s="1" t="n">
        <v>45415</v>
      </c>
      <c r="C2727" s="1" t="n">
        <v>45576</v>
      </c>
      <c r="D2727" t="inlineStr">
        <is>
          <t>VÄSTERNORRLANDS LÄN</t>
        </is>
      </c>
      <c r="E2727" t="inlineStr">
        <is>
          <t>SOLLEFTEÅ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17822-2024</t>
        </is>
      </c>
      <c r="B2728" s="1" t="n">
        <v>45419</v>
      </c>
      <c r="C2728" s="1" t="n">
        <v>45576</v>
      </c>
      <c r="D2728" t="inlineStr">
        <is>
          <t>VÄSTERNORRLANDS LÄN</t>
        </is>
      </c>
      <c r="E2728" t="inlineStr">
        <is>
          <t>SOLLEFTEÅ</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17826-2024</t>
        </is>
      </c>
      <c r="B2729" s="1" t="n">
        <v>45419</v>
      </c>
      <c r="C2729" s="1" t="n">
        <v>45576</v>
      </c>
      <c r="D2729" t="inlineStr">
        <is>
          <t>VÄSTERNORRLANDS LÄN</t>
        </is>
      </c>
      <c r="E2729" t="inlineStr">
        <is>
          <t>SOLLEFTEÅ</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18003-2024</t>
        </is>
      </c>
      <c r="B2730" s="1" t="n">
        <v>45420</v>
      </c>
      <c r="C2730" s="1" t="n">
        <v>45576</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18226-2024</t>
        </is>
      </c>
      <c r="B2731" s="1" t="n">
        <v>45420</v>
      </c>
      <c r="C2731" s="1" t="n">
        <v>45576</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18220-2024</t>
        </is>
      </c>
      <c r="B2732" s="1" t="n">
        <v>45420</v>
      </c>
      <c r="C2732" s="1" t="n">
        <v>45576</v>
      </c>
      <c r="D2732" t="inlineStr">
        <is>
          <t>VÄSTERNORRLANDS LÄN</t>
        </is>
      </c>
      <c r="E2732" t="inlineStr">
        <is>
          <t>SOLLEFTEÅ</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18224-2024</t>
        </is>
      </c>
      <c r="B2733" s="1" t="n">
        <v>45421</v>
      </c>
      <c r="C2733" s="1" t="n">
        <v>45576</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18362-2024</t>
        </is>
      </c>
      <c r="B2734" s="1" t="n">
        <v>45422</v>
      </c>
      <c r="C2734" s="1" t="n">
        <v>45576</v>
      </c>
      <c r="D2734" t="inlineStr">
        <is>
          <t>VÄSTERNORRLANDS LÄN</t>
        </is>
      </c>
      <c r="E2734" t="inlineStr">
        <is>
          <t>SOLLEFTEÅ</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18366-2024</t>
        </is>
      </c>
      <c r="B2735" s="1" t="n">
        <v>45422</v>
      </c>
      <c r="C2735" s="1" t="n">
        <v>45576</v>
      </c>
      <c r="D2735" t="inlineStr">
        <is>
          <t>VÄSTERNORRLANDS LÄN</t>
        </is>
      </c>
      <c r="E2735" t="inlineStr">
        <is>
          <t>SOLLEFTEÅ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18363-2024</t>
        </is>
      </c>
      <c r="B2736" s="1" t="n">
        <v>45422</v>
      </c>
      <c r="C2736" s="1" t="n">
        <v>45576</v>
      </c>
      <c r="D2736" t="inlineStr">
        <is>
          <t>VÄSTERNORRLANDS LÄN</t>
        </is>
      </c>
      <c r="E2736" t="inlineStr">
        <is>
          <t>SOLLEFTEÅ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18299-2024</t>
        </is>
      </c>
      <c r="B2737" s="1" t="n">
        <v>45422</v>
      </c>
      <c r="C2737" s="1" t="n">
        <v>45576</v>
      </c>
      <c r="D2737" t="inlineStr">
        <is>
          <t>VÄSTERNORRLANDS LÄN</t>
        </is>
      </c>
      <c r="E2737" t="inlineStr">
        <is>
          <t>SOLLEFTEÅ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18365-2024</t>
        </is>
      </c>
      <c r="B2738" s="1" t="n">
        <v>45422</v>
      </c>
      <c r="C2738" s="1" t="n">
        <v>45576</v>
      </c>
      <c r="D2738" t="inlineStr">
        <is>
          <t>VÄSTERNORRLANDS LÄN</t>
        </is>
      </c>
      <c r="E2738" t="inlineStr">
        <is>
          <t>SOLLEFTEÅ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18364-2024</t>
        </is>
      </c>
      <c r="B2739" s="1" t="n">
        <v>45422</v>
      </c>
      <c r="C2739" s="1" t="n">
        <v>45576</v>
      </c>
      <c r="D2739" t="inlineStr">
        <is>
          <t>VÄSTERNORRLANDS LÄN</t>
        </is>
      </c>
      <c r="E2739" t="inlineStr">
        <is>
          <t>SOLLEFTEÅ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18623-2024</t>
        </is>
      </c>
      <c r="B2740" s="1" t="n">
        <v>45426</v>
      </c>
      <c r="C2740" s="1" t="n">
        <v>45576</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18436-2024</t>
        </is>
      </c>
      <c r="B2741" s="1" t="n">
        <v>45425</v>
      </c>
      <c r="C2741" s="1" t="n">
        <v>45576</v>
      </c>
      <c r="D2741" t="inlineStr">
        <is>
          <t>VÄSTERNORRLANDS LÄN</t>
        </is>
      </c>
      <c r="E2741" t="inlineStr">
        <is>
          <t>SOLLEFTEÅ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18587-2024</t>
        </is>
      </c>
      <c r="B2742" s="1" t="n">
        <v>45425</v>
      </c>
      <c r="C2742" s="1" t="n">
        <v>45576</v>
      </c>
      <c r="D2742" t="inlineStr">
        <is>
          <t>VÄSTERNORRLANDS LÄN</t>
        </is>
      </c>
      <c r="E2742" t="inlineStr">
        <is>
          <t>SOLLEFTEÅ</t>
        </is>
      </c>
      <c r="G2742" t="n">
        <v>15.7</v>
      </c>
      <c r="H2742" t="n">
        <v>0</v>
      </c>
      <c r="I2742" t="n">
        <v>0</v>
      </c>
      <c r="J2742" t="n">
        <v>0</v>
      </c>
      <c r="K2742" t="n">
        <v>0</v>
      </c>
      <c r="L2742" t="n">
        <v>0</v>
      </c>
      <c r="M2742" t="n">
        <v>0</v>
      </c>
      <c r="N2742" t="n">
        <v>0</v>
      </c>
      <c r="O2742" t="n">
        <v>0</v>
      </c>
      <c r="P2742" t="n">
        <v>0</v>
      </c>
      <c r="Q2742" t="n">
        <v>0</v>
      </c>
      <c r="R2742" s="2" t="inlineStr"/>
    </row>
    <row r="2743" ht="15" customHeight="1">
      <c r="A2743" t="inlineStr">
        <is>
          <t>A 18620-2024</t>
        </is>
      </c>
      <c r="B2743" s="1" t="n">
        <v>45425</v>
      </c>
      <c r="C2743" s="1" t="n">
        <v>45576</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18648-2024</t>
        </is>
      </c>
      <c r="B2744" s="1" t="n">
        <v>45426</v>
      </c>
      <c r="C2744" s="1" t="n">
        <v>45576</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18621-2024</t>
        </is>
      </c>
      <c r="B2745" s="1" t="n">
        <v>45425</v>
      </c>
      <c r="C2745" s="1" t="n">
        <v>45576</v>
      </c>
      <c r="D2745" t="inlineStr">
        <is>
          <t>VÄSTERNORRLANDS LÄN</t>
        </is>
      </c>
      <c r="E2745" t="inlineStr">
        <is>
          <t>SOLLEFTEÅ</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18649-2024</t>
        </is>
      </c>
      <c r="B2746" s="1" t="n">
        <v>45426</v>
      </c>
      <c r="C2746" s="1" t="n">
        <v>45576</v>
      </c>
      <c r="D2746" t="inlineStr">
        <is>
          <t>VÄSTERNORRLANDS LÄN</t>
        </is>
      </c>
      <c r="E2746" t="inlineStr">
        <is>
          <t>SOLLEFTEÅ</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18622-2024</t>
        </is>
      </c>
      <c r="B2747" s="1" t="n">
        <v>45426</v>
      </c>
      <c r="C2747" s="1" t="n">
        <v>45576</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18672-2024</t>
        </is>
      </c>
      <c r="B2748" s="1" t="n">
        <v>45425</v>
      </c>
      <c r="C2748" s="1" t="n">
        <v>45576</v>
      </c>
      <c r="D2748" t="inlineStr">
        <is>
          <t>VÄSTERNORRLANDS LÄN</t>
        </is>
      </c>
      <c r="E2748" t="inlineStr">
        <is>
          <t>SOLLEFTEÅ</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19067-2024</t>
        </is>
      </c>
      <c r="B2749" s="1" t="n">
        <v>45427</v>
      </c>
      <c r="C2749" s="1" t="n">
        <v>45576</v>
      </c>
      <c r="D2749" t="inlineStr">
        <is>
          <t>VÄSTERNORRLANDS LÄN</t>
        </is>
      </c>
      <c r="E2749" t="inlineStr">
        <is>
          <t>SOLLEFTEÅ</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19064-2024</t>
        </is>
      </c>
      <c r="B2750" s="1" t="n">
        <v>45427</v>
      </c>
      <c r="C2750" s="1" t="n">
        <v>45576</v>
      </c>
      <c r="D2750" t="inlineStr">
        <is>
          <t>VÄSTERNORRLANDS LÄN</t>
        </is>
      </c>
      <c r="E2750" t="inlineStr">
        <is>
          <t>SOLLEFTEÅ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19065-2024</t>
        </is>
      </c>
      <c r="B2751" s="1" t="n">
        <v>45427</v>
      </c>
      <c r="C2751" s="1" t="n">
        <v>45576</v>
      </c>
      <c r="D2751" t="inlineStr">
        <is>
          <t>VÄSTERNORRLANDS LÄN</t>
        </is>
      </c>
      <c r="E2751" t="inlineStr">
        <is>
          <t>SOLLEFTEÅ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19082-2024</t>
        </is>
      </c>
      <c r="B2752" s="1" t="n">
        <v>45428</v>
      </c>
      <c r="C2752" s="1" t="n">
        <v>45576</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19207-2024</t>
        </is>
      </c>
      <c r="B2753" s="1" t="n">
        <v>45428</v>
      </c>
      <c r="C2753" s="1" t="n">
        <v>45576</v>
      </c>
      <c r="D2753" t="inlineStr">
        <is>
          <t>VÄSTERNORRLANDS LÄN</t>
        </is>
      </c>
      <c r="E2753" t="inlineStr">
        <is>
          <t>SOLLEFTEÅ</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19347-2024</t>
        </is>
      </c>
      <c r="B2754" s="1" t="n">
        <v>45429</v>
      </c>
      <c r="C2754" s="1" t="n">
        <v>45576</v>
      </c>
      <c r="D2754" t="inlineStr">
        <is>
          <t>VÄSTERNORRLANDS LÄN</t>
        </is>
      </c>
      <c r="E2754" t="inlineStr">
        <is>
          <t>SOLLEFTEÅ</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19326-2024</t>
        </is>
      </c>
      <c r="B2755" s="1" t="n">
        <v>45428</v>
      </c>
      <c r="C2755" s="1" t="n">
        <v>45576</v>
      </c>
      <c r="D2755" t="inlineStr">
        <is>
          <t>VÄSTERNORRLANDS LÄN</t>
        </is>
      </c>
      <c r="E2755" t="inlineStr">
        <is>
          <t>SOLLEFTEÅ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19429-2024</t>
        </is>
      </c>
      <c r="B2756" s="1" t="n">
        <v>45429</v>
      </c>
      <c r="C2756" s="1" t="n">
        <v>45576</v>
      </c>
      <c r="D2756" t="inlineStr">
        <is>
          <t>VÄSTERNORRLANDS LÄN</t>
        </is>
      </c>
      <c r="E2756" t="inlineStr">
        <is>
          <t>SOLLEFTEÅ</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19577-2024</t>
        </is>
      </c>
      <c r="B2757" s="1" t="n">
        <v>45429</v>
      </c>
      <c r="C2757" s="1" t="n">
        <v>45576</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19556-2024</t>
        </is>
      </c>
      <c r="B2758" s="1" t="n">
        <v>45429</v>
      </c>
      <c r="C2758" s="1" t="n">
        <v>45576</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19580-2024</t>
        </is>
      </c>
      <c r="B2759" s="1" t="n">
        <v>45429</v>
      </c>
      <c r="C2759" s="1" t="n">
        <v>45576</v>
      </c>
      <c r="D2759" t="inlineStr">
        <is>
          <t>VÄSTERNORRLANDS LÄN</t>
        </is>
      </c>
      <c r="E2759" t="inlineStr">
        <is>
          <t>SOLLEFTEÅ</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19571-2024</t>
        </is>
      </c>
      <c r="B2760" s="1" t="n">
        <v>45429</v>
      </c>
      <c r="C2760" s="1" t="n">
        <v>45576</v>
      </c>
      <c r="D2760" t="inlineStr">
        <is>
          <t>VÄSTERNORRLANDS LÄN</t>
        </is>
      </c>
      <c r="E2760" t="inlineStr">
        <is>
          <t>SOLLEFTEÅ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19602-2024</t>
        </is>
      </c>
      <c r="B2761" s="1" t="n">
        <v>45431</v>
      </c>
      <c r="C2761" s="1" t="n">
        <v>45576</v>
      </c>
      <c r="D2761" t="inlineStr">
        <is>
          <t>VÄSTERNORRLANDS LÄN</t>
        </is>
      </c>
      <c r="E2761" t="inlineStr">
        <is>
          <t>SOLLEFTEÅ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19994-2024</t>
        </is>
      </c>
      <c r="B2762" s="1" t="n">
        <v>45434</v>
      </c>
      <c r="C2762" s="1" t="n">
        <v>45576</v>
      </c>
      <c r="D2762" t="inlineStr">
        <is>
          <t>VÄSTERNORRLANDS LÄN</t>
        </is>
      </c>
      <c r="E2762" t="inlineStr">
        <is>
          <t>SOLLEFTEÅ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20002-2024</t>
        </is>
      </c>
      <c r="B2763" s="1" t="n">
        <v>45433</v>
      </c>
      <c r="C2763" s="1" t="n">
        <v>45576</v>
      </c>
      <c r="D2763" t="inlineStr">
        <is>
          <t>VÄSTERNORRLANDS LÄN</t>
        </is>
      </c>
      <c r="E2763" t="inlineStr">
        <is>
          <t>SOLLEFTEÅ</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20022-2024</t>
        </is>
      </c>
      <c r="B2764" s="1" t="n">
        <v>45434</v>
      </c>
      <c r="C2764" s="1" t="n">
        <v>45576</v>
      </c>
      <c r="D2764" t="inlineStr">
        <is>
          <t>VÄSTERNORRLANDS LÄN</t>
        </is>
      </c>
      <c r="E2764" t="inlineStr">
        <is>
          <t>SOLLEFTEÅ</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20025-2024</t>
        </is>
      </c>
      <c r="B2765" s="1" t="n">
        <v>45434</v>
      </c>
      <c r="C2765" s="1" t="n">
        <v>45576</v>
      </c>
      <c r="D2765" t="inlineStr">
        <is>
          <t>VÄSTERNORRLANDS LÄN</t>
        </is>
      </c>
      <c r="E2765" t="inlineStr">
        <is>
          <t>SOLLEFTEÅ</t>
        </is>
      </c>
      <c r="F2765" t="inlineStr">
        <is>
          <t>Holmen skog AB</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20066-2024</t>
        </is>
      </c>
      <c r="B2766" s="1" t="n">
        <v>45434</v>
      </c>
      <c r="C2766" s="1" t="n">
        <v>45576</v>
      </c>
      <c r="D2766" t="inlineStr">
        <is>
          <t>VÄSTERNORRLANDS LÄN</t>
        </is>
      </c>
      <c r="E2766" t="inlineStr">
        <is>
          <t>SOLLEFTEÅ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20223-2024</t>
        </is>
      </c>
      <c r="B2767" s="1" t="n">
        <v>45434</v>
      </c>
      <c r="C2767" s="1" t="n">
        <v>45576</v>
      </c>
      <c r="D2767" t="inlineStr">
        <is>
          <t>VÄSTERNORRLANDS LÄN</t>
        </is>
      </c>
      <c r="E2767" t="inlineStr">
        <is>
          <t>SOLLEFTEÅ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20281-2024</t>
        </is>
      </c>
      <c r="B2768" s="1" t="n">
        <v>45435</v>
      </c>
      <c r="C2768" s="1" t="n">
        <v>45576</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20280-2024</t>
        </is>
      </c>
      <c r="B2769" s="1" t="n">
        <v>45435</v>
      </c>
      <c r="C2769" s="1" t="n">
        <v>45576</v>
      </c>
      <c r="D2769" t="inlineStr">
        <is>
          <t>VÄSTERNORRLANDS LÄN</t>
        </is>
      </c>
      <c r="E2769" t="inlineStr">
        <is>
          <t>SOLLEFTEÅ</t>
        </is>
      </c>
      <c r="F2769" t="inlineStr">
        <is>
          <t>SCA</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20506-2024</t>
        </is>
      </c>
      <c r="B2770" s="1" t="n">
        <v>45436</v>
      </c>
      <c r="C2770" s="1" t="n">
        <v>45576</v>
      </c>
      <c r="D2770" t="inlineStr">
        <is>
          <t>VÄSTERNORRLANDS LÄN</t>
        </is>
      </c>
      <c r="E2770" t="inlineStr">
        <is>
          <t>SOLLEFTEÅ</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20354-2024</t>
        </is>
      </c>
      <c r="B2771" s="1" t="n">
        <v>45435</v>
      </c>
      <c r="C2771" s="1" t="n">
        <v>45576</v>
      </c>
      <c r="D2771" t="inlineStr">
        <is>
          <t>VÄSTERNORRLANDS LÄN</t>
        </is>
      </c>
      <c r="E2771" t="inlineStr">
        <is>
          <t>SOLLEFTEÅ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20516-2024</t>
        </is>
      </c>
      <c r="B2772" s="1" t="n">
        <v>45435</v>
      </c>
      <c r="C2772" s="1" t="n">
        <v>45576</v>
      </c>
      <c r="D2772" t="inlineStr">
        <is>
          <t>VÄSTERNORRLANDS LÄN</t>
        </is>
      </c>
      <c r="E2772" t="inlineStr">
        <is>
          <t>SOLLEFTEÅ</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20507-2024</t>
        </is>
      </c>
      <c r="B2773" s="1" t="n">
        <v>45435</v>
      </c>
      <c r="C2773" s="1" t="n">
        <v>45576</v>
      </c>
      <c r="D2773" t="inlineStr">
        <is>
          <t>VÄSTERNORRLANDS LÄN</t>
        </is>
      </c>
      <c r="E2773" t="inlineStr">
        <is>
          <t>SOLLEFTEÅ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20515-2024</t>
        </is>
      </c>
      <c r="B2774" s="1" t="n">
        <v>45435</v>
      </c>
      <c r="C2774" s="1" t="n">
        <v>45576</v>
      </c>
      <c r="D2774" t="inlineStr">
        <is>
          <t>VÄSTERNORRLANDS LÄN</t>
        </is>
      </c>
      <c r="E2774" t="inlineStr">
        <is>
          <t>SOLLEFTEÅ</t>
        </is>
      </c>
      <c r="F2774" t="inlineStr">
        <is>
          <t>SCA</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20520-2024</t>
        </is>
      </c>
      <c r="B2775" s="1" t="n">
        <v>45435</v>
      </c>
      <c r="C2775" s="1" t="n">
        <v>45576</v>
      </c>
      <c r="D2775" t="inlineStr">
        <is>
          <t>VÄSTERNORRLANDS LÄN</t>
        </is>
      </c>
      <c r="E2775" t="inlineStr">
        <is>
          <t>SOLLEFTEÅ</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20604-2024</t>
        </is>
      </c>
      <c r="B2776" s="1" t="n">
        <v>45436</v>
      </c>
      <c r="C2776" s="1" t="n">
        <v>45576</v>
      </c>
      <c r="D2776" t="inlineStr">
        <is>
          <t>VÄSTERNORRLANDS LÄN</t>
        </is>
      </c>
      <c r="E2776" t="inlineStr">
        <is>
          <t>SOLLEFTEÅ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20764-2024</t>
        </is>
      </c>
      <c r="B2777" s="1" t="n">
        <v>45436</v>
      </c>
      <c r="C2777" s="1" t="n">
        <v>45576</v>
      </c>
      <c r="D2777" t="inlineStr">
        <is>
          <t>VÄSTERNORRLANDS LÄN</t>
        </is>
      </c>
      <c r="E2777" t="inlineStr">
        <is>
          <t>SOLLEFTEÅ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20799-2024</t>
        </is>
      </c>
      <c r="B2778" s="1" t="n">
        <v>45438</v>
      </c>
      <c r="C2778" s="1" t="n">
        <v>45576</v>
      </c>
      <c r="D2778" t="inlineStr">
        <is>
          <t>VÄSTERNORRLANDS LÄN</t>
        </is>
      </c>
      <c r="E2778" t="inlineStr">
        <is>
          <t>SOLLEFTEÅ</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21031-2024</t>
        </is>
      </c>
      <c r="B2779" s="1" t="n">
        <v>45439</v>
      </c>
      <c r="C2779" s="1" t="n">
        <v>45576</v>
      </c>
      <c r="D2779" t="inlineStr">
        <is>
          <t>VÄSTERNORRLANDS LÄN</t>
        </is>
      </c>
      <c r="E2779" t="inlineStr">
        <is>
          <t>SOLLEFTEÅ</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21098-2024</t>
        </is>
      </c>
      <c r="B2780" s="1" t="n">
        <v>45440</v>
      </c>
      <c r="C2780" s="1" t="n">
        <v>45576</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21106-2024</t>
        </is>
      </c>
      <c r="B2781" s="1" t="n">
        <v>45440</v>
      </c>
      <c r="C2781" s="1" t="n">
        <v>45576</v>
      </c>
      <c r="D2781" t="inlineStr">
        <is>
          <t>VÄSTERNORRLANDS LÄN</t>
        </is>
      </c>
      <c r="E2781" t="inlineStr">
        <is>
          <t>SOLLEFTEÅ</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21096-2024</t>
        </is>
      </c>
      <c r="B2782" s="1" t="n">
        <v>45440</v>
      </c>
      <c r="C2782" s="1" t="n">
        <v>45576</v>
      </c>
      <c r="D2782" t="inlineStr">
        <is>
          <t>VÄSTERNORRLANDS LÄN</t>
        </is>
      </c>
      <c r="E2782" t="inlineStr">
        <is>
          <t>SOLLEFTEÅ</t>
        </is>
      </c>
      <c r="F2782" t="inlineStr">
        <is>
          <t>SCA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21100-2024</t>
        </is>
      </c>
      <c r="B2783" s="1" t="n">
        <v>45440</v>
      </c>
      <c r="C2783" s="1" t="n">
        <v>45576</v>
      </c>
      <c r="D2783" t="inlineStr">
        <is>
          <t>VÄSTERNORRLANDS LÄN</t>
        </is>
      </c>
      <c r="E2783" t="inlineStr">
        <is>
          <t>SOLLEFTEÅ</t>
        </is>
      </c>
      <c r="F2783" t="inlineStr">
        <is>
          <t>SCA</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21092-2024</t>
        </is>
      </c>
      <c r="B2784" s="1" t="n">
        <v>45440</v>
      </c>
      <c r="C2784" s="1" t="n">
        <v>45576</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21099-2024</t>
        </is>
      </c>
      <c r="B2785" s="1" t="n">
        <v>45439</v>
      </c>
      <c r="C2785" s="1" t="n">
        <v>45576</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45440</v>
      </c>
      <c r="C2786" s="1" t="n">
        <v>45576</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21087-2024</t>
        </is>
      </c>
      <c r="B2787" s="1" t="n">
        <v>45440</v>
      </c>
      <c r="C2787" s="1" t="n">
        <v>45576</v>
      </c>
      <c r="D2787" t="inlineStr">
        <is>
          <t>VÄSTERNORRLANDS LÄN</t>
        </is>
      </c>
      <c r="E2787" t="inlineStr">
        <is>
          <t>SOLLEFTEÅ</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21101-2024</t>
        </is>
      </c>
      <c r="B2788" s="1" t="n">
        <v>45439</v>
      </c>
      <c r="C2788" s="1" t="n">
        <v>45576</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21137-2024</t>
        </is>
      </c>
      <c r="B2789" s="1" t="n">
        <v>45440</v>
      </c>
      <c r="C2789" s="1" t="n">
        <v>45576</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21364-2024</t>
        </is>
      </c>
      <c r="B2790" s="1" t="n">
        <v>45441</v>
      </c>
      <c r="C2790" s="1" t="n">
        <v>45576</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21363-2024</t>
        </is>
      </c>
      <c r="B2791" s="1" t="n">
        <v>45441</v>
      </c>
      <c r="C2791" s="1" t="n">
        <v>45576</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21384-2024</t>
        </is>
      </c>
      <c r="B2792" s="1" t="n">
        <v>45440</v>
      </c>
      <c r="C2792" s="1" t="n">
        <v>45576</v>
      </c>
      <c r="D2792" t="inlineStr">
        <is>
          <t>VÄSTERNORRLANDS LÄN</t>
        </is>
      </c>
      <c r="E2792" t="inlineStr">
        <is>
          <t>SOLLEFTEÅ</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21852-2024</t>
        </is>
      </c>
      <c r="B2793" s="1" t="n">
        <v>45443</v>
      </c>
      <c r="C2793" s="1" t="n">
        <v>45576</v>
      </c>
      <c r="D2793" t="inlineStr">
        <is>
          <t>VÄSTERNORRLANDS LÄN</t>
        </is>
      </c>
      <c r="E2793" t="inlineStr">
        <is>
          <t>SOLLEFTEÅ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22100-2024</t>
        </is>
      </c>
      <c r="B2794" s="1" t="n">
        <v>45444</v>
      </c>
      <c r="C2794" s="1" t="n">
        <v>45576</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22119-2024</t>
        </is>
      </c>
      <c r="B2795" s="1" t="n">
        <v>45443</v>
      </c>
      <c r="C2795" s="1" t="n">
        <v>45576</v>
      </c>
      <c r="D2795" t="inlineStr">
        <is>
          <t>VÄSTERNORRLANDS LÄN</t>
        </is>
      </c>
      <c r="E2795" t="inlineStr">
        <is>
          <t>SOLLEFTEÅ</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22118-2024</t>
        </is>
      </c>
      <c r="B2796" s="1" t="n">
        <v>45443</v>
      </c>
      <c r="C2796" s="1" t="n">
        <v>45576</v>
      </c>
      <c r="D2796" t="inlineStr">
        <is>
          <t>VÄSTERNORRLANDS LÄN</t>
        </is>
      </c>
      <c r="E2796" t="inlineStr">
        <is>
          <t>SOLLEFTEÅ</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22471-2024</t>
        </is>
      </c>
      <c r="B2797" s="1" t="n">
        <v>45446</v>
      </c>
      <c r="C2797" s="1" t="n">
        <v>45576</v>
      </c>
      <c r="D2797" t="inlineStr">
        <is>
          <t>VÄSTERNORRLANDS LÄN</t>
        </is>
      </c>
      <c r="E2797" t="inlineStr">
        <is>
          <t>SOLLEFTEÅ</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22475-2024</t>
        </is>
      </c>
      <c r="B2798" s="1" t="n">
        <v>45447</v>
      </c>
      <c r="C2798" s="1" t="n">
        <v>45576</v>
      </c>
      <c r="D2798" t="inlineStr">
        <is>
          <t>VÄSTERNORRLANDS LÄN</t>
        </is>
      </c>
      <c r="E2798" t="inlineStr">
        <is>
          <t>SOLLEFTEÅ</t>
        </is>
      </c>
      <c r="F2798" t="inlineStr">
        <is>
          <t>SCA</t>
        </is>
      </c>
      <c r="G2798" t="n">
        <v>18.5</v>
      </c>
      <c r="H2798" t="n">
        <v>0</v>
      </c>
      <c r="I2798" t="n">
        <v>0</v>
      </c>
      <c r="J2798" t="n">
        <v>0</v>
      </c>
      <c r="K2798" t="n">
        <v>0</v>
      </c>
      <c r="L2798" t="n">
        <v>0</v>
      </c>
      <c r="M2798" t="n">
        <v>0</v>
      </c>
      <c r="N2798" t="n">
        <v>0</v>
      </c>
      <c r="O2798" t="n">
        <v>0</v>
      </c>
      <c r="P2798" t="n">
        <v>0</v>
      </c>
      <c r="Q2798" t="n">
        <v>0</v>
      </c>
      <c r="R2798" s="2" t="inlineStr"/>
    </row>
    <row r="2799" ht="15" customHeight="1">
      <c r="A2799" t="inlineStr">
        <is>
          <t>A 22473-2024</t>
        </is>
      </c>
      <c r="B2799" s="1" t="n">
        <v>45446</v>
      </c>
      <c r="C2799" s="1" t="n">
        <v>45576</v>
      </c>
      <c r="D2799" t="inlineStr">
        <is>
          <t>VÄSTERNORRLANDS LÄN</t>
        </is>
      </c>
      <c r="E2799" t="inlineStr">
        <is>
          <t>SOLLEFTEÅ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22457-2024</t>
        </is>
      </c>
      <c r="B2800" s="1" t="n">
        <v>45446</v>
      </c>
      <c r="C2800" s="1" t="n">
        <v>45576</v>
      </c>
      <c r="D2800" t="inlineStr">
        <is>
          <t>VÄSTERNORRLANDS LÄN</t>
        </is>
      </c>
      <c r="E2800" t="inlineStr">
        <is>
          <t>SOLLEFTEÅ</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22208-2024</t>
        </is>
      </c>
      <c r="B2801" s="1" t="n">
        <v>45446</v>
      </c>
      <c r="C2801" s="1" t="n">
        <v>45576</v>
      </c>
      <c r="D2801" t="inlineStr">
        <is>
          <t>VÄSTERNORRLANDS LÄN</t>
        </is>
      </c>
      <c r="E2801" t="inlineStr">
        <is>
          <t>SOLLEFTEÅ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22456-2024</t>
        </is>
      </c>
      <c r="B2802" s="1" t="n">
        <v>45447</v>
      </c>
      <c r="C2802" s="1" t="n">
        <v>45576</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22468-2024</t>
        </is>
      </c>
      <c r="B2803" s="1" t="n">
        <v>45447</v>
      </c>
      <c r="C2803" s="1" t="n">
        <v>45576</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22472-2024</t>
        </is>
      </c>
      <c r="B2804" s="1" t="n">
        <v>45447</v>
      </c>
      <c r="C2804" s="1" t="n">
        <v>45576</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22476-2024</t>
        </is>
      </c>
      <c r="B2805" s="1" t="n">
        <v>45446</v>
      </c>
      <c r="C2805" s="1" t="n">
        <v>45576</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22462-2024</t>
        </is>
      </c>
      <c r="B2806" s="1" t="n">
        <v>45446</v>
      </c>
      <c r="C2806" s="1" t="n">
        <v>45576</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22243-2024</t>
        </is>
      </c>
      <c r="B2807" s="1" t="n">
        <v>45446</v>
      </c>
      <c r="C2807" s="1" t="n">
        <v>45576</v>
      </c>
      <c r="D2807" t="inlineStr">
        <is>
          <t>VÄSTERNORRLANDS LÄN</t>
        </is>
      </c>
      <c r="E2807" t="inlineStr">
        <is>
          <t>SOLLEFTEÅ</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22235-2024</t>
        </is>
      </c>
      <c r="B2808" s="1" t="n">
        <v>45446</v>
      </c>
      <c r="C2808" s="1" t="n">
        <v>45576</v>
      </c>
      <c r="D2808" t="inlineStr">
        <is>
          <t>VÄSTERNORRLANDS LÄN</t>
        </is>
      </c>
      <c r="E2808" t="inlineStr">
        <is>
          <t>SOLLEFTEÅ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22671-2024</t>
        </is>
      </c>
      <c r="B2809" s="1" t="n">
        <v>45448</v>
      </c>
      <c r="C2809" s="1" t="n">
        <v>45576</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22675-2024</t>
        </is>
      </c>
      <c r="B2810" s="1" t="n">
        <v>45448</v>
      </c>
      <c r="C2810" s="1" t="n">
        <v>45576</v>
      </c>
      <c r="D2810" t="inlineStr">
        <is>
          <t>VÄSTERNORRLANDS LÄN</t>
        </is>
      </c>
      <c r="E2810" t="inlineStr">
        <is>
          <t>SOLLEFTEÅ</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22666-2024</t>
        </is>
      </c>
      <c r="B2811" s="1" t="n">
        <v>45447</v>
      </c>
      <c r="C2811" s="1" t="n">
        <v>45576</v>
      </c>
      <c r="D2811" t="inlineStr">
        <is>
          <t>VÄSTERNORRLANDS LÄN</t>
        </is>
      </c>
      <c r="E2811" t="inlineStr">
        <is>
          <t>SOLLEFTEÅ</t>
        </is>
      </c>
      <c r="F2811" t="inlineStr">
        <is>
          <t>SCA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22661-2024</t>
        </is>
      </c>
      <c r="B2812" s="1" t="n">
        <v>45448</v>
      </c>
      <c r="C2812" s="1" t="n">
        <v>45576</v>
      </c>
      <c r="D2812" t="inlineStr">
        <is>
          <t>VÄSTERNORRLANDS LÄN</t>
        </is>
      </c>
      <c r="E2812" t="inlineStr">
        <is>
          <t>SOLLEFTEÅ</t>
        </is>
      </c>
      <c r="F2812" t="inlineStr">
        <is>
          <t>SCA</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22665-2024</t>
        </is>
      </c>
      <c r="B2813" s="1" t="n">
        <v>45448</v>
      </c>
      <c r="C2813" s="1" t="n">
        <v>45576</v>
      </c>
      <c r="D2813" t="inlineStr">
        <is>
          <t>VÄSTERNORRLANDS LÄN</t>
        </is>
      </c>
      <c r="E2813" t="inlineStr">
        <is>
          <t>SOLLEFTEÅ</t>
        </is>
      </c>
      <c r="F2813" t="inlineStr">
        <is>
          <t>SCA</t>
        </is>
      </c>
      <c r="G2813" t="n">
        <v>35.6</v>
      </c>
      <c r="H2813" t="n">
        <v>0</v>
      </c>
      <c r="I2813" t="n">
        <v>0</v>
      </c>
      <c r="J2813" t="n">
        <v>0</v>
      </c>
      <c r="K2813" t="n">
        <v>0</v>
      </c>
      <c r="L2813" t="n">
        <v>0</v>
      </c>
      <c r="M2813" t="n">
        <v>0</v>
      </c>
      <c r="N2813" t="n">
        <v>0</v>
      </c>
      <c r="O2813" t="n">
        <v>0</v>
      </c>
      <c r="P2813" t="n">
        <v>0</v>
      </c>
      <c r="Q2813" t="n">
        <v>0</v>
      </c>
      <c r="R2813" s="2" t="inlineStr"/>
    </row>
    <row r="2814" ht="15" customHeight="1">
      <c r="A2814" t="inlineStr">
        <is>
          <t>A 22664-2024</t>
        </is>
      </c>
      <c r="B2814" s="1" t="n">
        <v>45448</v>
      </c>
      <c r="C2814" s="1" t="n">
        <v>45576</v>
      </c>
      <c r="D2814" t="inlineStr">
        <is>
          <t>VÄSTERNORRLANDS LÄN</t>
        </is>
      </c>
      <c r="E2814" t="inlineStr">
        <is>
          <t>SOLLEFTEÅ</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22668-2024</t>
        </is>
      </c>
      <c r="B2815" s="1" t="n">
        <v>45448</v>
      </c>
      <c r="C2815" s="1" t="n">
        <v>45576</v>
      </c>
      <c r="D2815" t="inlineStr">
        <is>
          <t>VÄSTERNORRLANDS LÄN</t>
        </is>
      </c>
      <c r="E2815" t="inlineStr">
        <is>
          <t>SOLLEFTEÅ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22673-2024</t>
        </is>
      </c>
      <c r="B2816" s="1" t="n">
        <v>45448</v>
      </c>
      <c r="C2816" s="1" t="n">
        <v>45576</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22682-2024</t>
        </is>
      </c>
      <c r="B2817" s="1" t="n">
        <v>45447</v>
      </c>
      <c r="C2817" s="1" t="n">
        <v>45576</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22672-2024</t>
        </is>
      </c>
      <c r="B2818" s="1" t="n">
        <v>45448</v>
      </c>
      <c r="C2818" s="1" t="n">
        <v>45576</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22690-2024</t>
        </is>
      </c>
      <c r="B2819" s="1" t="n">
        <v>45448</v>
      </c>
      <c r="C2819" s="1" t="n">
        <v>45576</v>
      </c>
      <c r="D2819" t="inlineStr">
        <is>
          <t>VÄSTERNORRLANDS LÄN</t>
        </is>
      </c>
      <c r="E2819" t="inlineStr">
        <is>
          <t>SOLLEFTEÅ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22938-2024</t>
        </is>
      </c>
      <c r="B2820" s="1" t="n">
        <v>45448</v>
      </c>
      <c r="C2820" s="1" t="n">
        <v>45576</v>
      </c>
      <c r="D2820" t="inlineStr">
        <is>
          <t>VÄSTERNORRLANDS LÄN</t>
        </is>
      </c>
      <c r="E2820" t="inlineStr">
        <is>
          <t>SOLLEFTEÅ</t>
        </is>
      </c>
      <c r="F2820" t="inlineStr">
        <is>
          <t>SCA</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22939-2024</t>
        </is>
      </c>
      <c r="B2821" s="1" t="n">
        <v>45449</v>
      </c>
      <c r="C2821" s="1" t="n">
        <v>45576</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23021-2024</t>
        </is>
      </c>
      <c r="B2822" s="1" t="n">
        <v>45450</v>
      </c>
      <c r="C2822" s="1" t="n">
        <v>45576</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23025-2024</t>
        </is>
      </c>
      <c r="B2823" s="1" t="n">
        <v>45450</v>
      </c>
      <c r="C2823" s="1" t="n">
        <v>45576</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23175-2024</t>
        </is>
      </c>
      <c r="B2824" s="1" t="n">
        <v>45451</v>
      </c>
      <c r="C2824" s="1" t="n">
        <v>45576</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23542-2024</t>
        </is>
      </c>
      <c r="B2825" s="1" t="n">
        <v>45454</v>
      </c>
      <c r="C2825" s="1" t="n">
        <v>45576</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23530-2024</t>
        </is>
      </c>
      <c r="B2826" s="1" t="n">
        <v>45454</v>
      </c>
      <c r="C2826" s="1" t="n">
        <v>45576</v>
      </c>
      <c r="D2826" t="inlineStr">
        <is>
          <t>VÄSTERNORRLANDS LÄN</t>
        </is>
      </c>
      <c r="E2826" t="inlineStr">
        <is>
          <t>SOLLEFTEÅ</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23540-2024</t>
        </is>
      </c>
      <c r="B2827" s="1" t="n">
        <v>45454</v>
      </c>
      <c r="C2827" s="1" t="n">
        <v>45576</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23532-2024</t>
        </is>
      </c>
      <c r="B2828" s="1" t="n">
        <v>45454</v>
      </c>
      <c r="C2828" s="1" t="n">
        <v>45576</v>
      </c>
      <c r="D2828" t="inlineStr">
        <is>
          <t>VÄSTERNORRLANDS LÄN</t>
        </is>
      </c>
      <c r="E2828" t="inlineStr">
        <is>
          <t>SOLLEFTEÅ</t>
        </is>
      </c>
      <c r="F2828" t="inlineStr">
        <is>
          <t>SCA</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23547-2024</t>
        </is>
      </c>
      <c r="B2829" s="1" t="n">
        <v>45454</v>
      </c>
      <c r="C2829" s="1" t="n">
        <v>45576</v>
      </c>
      <c r="D2829" t="inlineStr">
        <is>
          <t>VÄSTERNORRLANDS LÄN</t>
        </is>
      </c>
      <c r="E2829" t="inlineStr">
        <is>
          <t>SOLLEFTEÅ</t>
        </is>
      </c>
      <c r="F2829" t="inlineStr">
        <is>
          <t>SCA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23529-2024</t>
        </is>
      </c>
      <c r="B2830" s="1" t="n">
        <v>45454</v>
      </c>
      <c r="C2830" s="1" t="n">
        <v>45576</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23541-2024</t>
        </is>
      </c>
      <c r="B2831" s="1" t="n">
        <v>45454</v>
      </c>
      <c r="C2831" s="1" t="n">
        <v>45576</v>
      </c>
      <c r="D2831" t="inlineStr">
        <is>
          <t>VÄSTERNORRLANDS LÄN</t>
        </is>
      </c>
      <c r="E2831" t="inlineStr">
        <is>
          <t>SOLLEFTEÅ</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23731-2024</t>
        </is>
      </c>
      <c r="B2832" s="1" t="n">
        <v>45455</v>
      </c>
      <c r="C2832" s="1" t="n">
        <v>45576</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23730-2024</t>
        </is>
      </c>
      <c r="B2833" s="1" t="n">
        <v>45455</v>
      </c>
      <c r="C2833" s="1" t="n">
        <v>45576</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23936-2024</t>
        </is>
      </c>
      <c r="B2834" s="1" t="n">
        <v>45456</v>
      </c>
      <c r="C2834" s="1" t="n">
        <v>45576</v>
      </c>
      <c r="D2834" t="inlineStr">
        <is>
          <t>VÄSTERNORRLANDS LÄN</t>
        </is>
      </c>
      <c r="E2834" t="inlineStr">
        <is>
          <t>SOLLEFTEÅ</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23969-2024</t>
        </is>
      </c>
      <c r="B2835" s="1" t="n">
        <v>45456</v>
      </c>
      <c r="C2835" s="1" t="n">
        <v>45576</v>
      </c>
      <c r="D2835" t="inlineStr">
        <is>
          <t>VÄSTERNORRLANDS LÄN</t>
        </is>
      </c>
      <c r="E2835" t="inlineStr">
        <is>
          <t>SOLLEFTEÅ</t>
        </is>
      </c>
      <c r="F2835" t="inlineStr">
        <is>
          <t>SCA</t>
        </is>
      </c>
      <c r="G2835" t="n">
        <v>16.7</v>
      </c>
      <c r="H2835" t="n">
        <v>0</v>
      </c>
      <c r="I2835" t="n">
        <v>0</v>
      </c>
      <c r="J2835" t="n">
        <v>0</v>
      </c>
      <c r="K2835" t="n">
        <v>0</v>
      </c>
      <c r="L2835" t="n">
        <v>0</v>
      </c>
      <c r="M2835" t="n">
        <v>0</v>
      </c>
      <c r="N2835" t="n">
        <v>0</v>
      </c>
      <c r="O2835" t="n">
        <v>0</v>
      </c>
      <c r="P2835" t="n">
        <v>0</v>
      </c>
      <c r="Q2835" t="n">
        <v>0</v>
      </c>
      <c r="R2835" s="2" t="inlineStr"/>
    </row>
    <row r="2836" ht="15" customHeight="1">
      <c r="A2836" t="inlineStr">
        <is>
          <t>A 23935-2024</t>
        </is>
      </c>
      <c r="B2836" s="1" t="n">
        <v>45456</v>
      </c>
      <c r="C2836" s="1" t="n">
        <v>45576</v>
      </c>
      <c r="D2836" t="inlineStr">
        <is>
          <t>VÄSTERNORRLANDS LÄN</t>
        </is>
      </c>
      <c r="E2836" t="inlineStr">
        <is>
          <t>SOLLEFTEÅ</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23968-2024</t>
        </is>
      </c>
      <c r="B2837" s="1" t="n">
        <v>45456</v>
      </c>
      <c r="C2837" s="1" t="n">
        <v>45576</v>
      </c>
      <c r="D2837" t="inlineStr">
        <is>
          <t>VÄSTERNORRLANDS LÄN</t>
        </is>
      </c>
      <c r="E2837" t="inlineStr">
        <is>
          <t>SOLLEFTEÅ</t>
        </is>
      </c>
      <c r="F2837" t="inlineStr">
        <is>
          <t>SCA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24199-2024</t>
        </is>
      </c>
      <c r="B2838" s="1" t="n">
        <v>45457</v>
      </c>
      <c r="C2838" s="1" t="n">
        <v>45576</v>
      </c>
      <c r="D2838" t="inlineStr">
        <is>
          <t>VÄSTERNORRLANDS LÄN</t>
        </is>
      </c>
      <c r="E2838" t="inlineStr">
        <is>
          <t>SOLLEFTEÅ</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24211-2024</t>
        </is>
      </c>
      <c r="B2839" s="1" t="n">
        <v>45457</v>
      </c>
      <c r="C2839" s="1" t="n">
        <v>45576</v>
      </c>
      <c r="D2839" t="inlineStr">
        <is>
          <t>VÄSTERNORRLANDS LÄN</t>
        </is>
      </c>
      <c r="E2839" t="inlineStr">
        <is>
          <t>SOLLEFTEÅ</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24209-2024</t>
        </is>
      </c>
      <c r="B2840" s="1" t="n">
        <v>45457</v>
      </c>
      <c r="C2840" s="1" t="n">
        <v>45576</v>
      </c>
      <c r="D2840" t="inlineStr">
        <is>
          <t>VÄSTERNORRLANDS LÄN</t>
        </is>
      </c>
      <c r="E2840" t="inlineStr">
        <is>
          <t>SOLLEFTEÅ</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24210-2024</t>
        </is>
      </c>
      <c r="B2841" s="1" t="n">
        <v>45457</v>
      </c>
      <c r="C2841" s="1" t="n">
        <v>45576</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24208-2024</t>
        </is>
      </c>
      <c r="B2842" s="1" t="n">
        <v>45457</v>
      </c>
      <c r="C2842" s="1" t="n">
        <v>45576</v>
      </c>
      <c r="D2842" t="inlineStr">
        <is>
          <t>VÄSTERNORRLANDS LÄN</t>
        </is>
      </c>
      <c r="E2842" t="inlineStr">
        <is>
          <t>SOLLEFTEÅ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24461-2024</t>
        </is>
      </c>
      <c r="B2843" s="1" t="n">
        <v>45458</v>
      </c>
      <c r="C2843" s="1" t="n">
        <v>45576</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24239-2024</t>
        </is>
      </c>
      <c r="B2844" s="1" t="n">
        <v>45457</v>
      </c>
      <c r="C2844" s="1" t="n">
        <v>45576</v>
      </c>
      <c r="D2844" t="inlineStr">
        <is>
          <t>VÄSTERNORRLANDS LÄN</t>
        </is>
      </c>
      <c r="E2844" t="inlineStr">
        <is>
          <t>SOLLEFTEÅ</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24777-2024</t>
        </is>
      </c>
      <c r="B2845" s="1" t="n">
        <v>45460</v>
      </c>
      <c r="C2845" s="1" t="n">
        <v>45576</v>
      </c>
      <c r="D2845" t="inlineStr">
        <is>
          <t>VÄSTERNORRLANDS LÄN</t>
        </is>
      </c>
      <c r="E2845" t="inlineStr">
        <is>
          <t>SOLLEFTEÅ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25023-2024</t>
        </is>
      </c>
      <c r="B2846" s="1" t="n">
        <v>45462</v>
      </c>
      <c r="C2846" s="1" t="n">
        <v>45576</v>
      </c>
      <c r="D2846" t="inlineStr">
        <is>
          <t>VÄSTERNORRLANDS LÄN</t>
        </is>
      </c>
      <c r="E2846" t="inlineStr">
        <is>
          <t>SOLLEFTEÅ</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25035-2024</t>
        </is>
      </c>
      <c r="B2847" s="1" t="n">
        <v>45462</v>
      </c>
      <c r="C2847" s="1" t="n">
        <v>45576</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25026-2024</t>
        </is>
      </c>
      <c r="B2848" s="1" t="n">
        <v>45462</v>
      </c>
      <c r="C2848" s="1" t="n">
        <v>45576</v>
      </c>
      <c r="D2848" t="inlineStr">
        <is>
          <t>VÄSTERNORRLANDS LÄN</t>
        </is>
      </c>
      <c r="E2848" t="inlineStr">
        <is>
          <t>SOLLEFTEÅ</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25356-2024</t>
        </is>
      </c>
      <c r="B2849" s="1" t="n">
        <v>45463</v>
      </c>
      <c r="C2849" s="1" t="n">
        <v>45576</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25364-2024</t>
        </is>
      </c>
      <c r="B2850" s="1" t="n">
        <v>45463</v>
      </c>
      <c r="C2850" s="1" t="n">
        <v>45576</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25363-2024</t>
        </is>
      </c>
      <c r="B2851" s="1" t="n">
        <v>45463</v>
      </c>
      <c r="C2851" s="1" t="n">
        <v>45576</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25384-2024</t>
        </is>
      </c>
      <c r="B2852" s="1" t="n">
        <v>45463</v>
      </c>
      <c r="C2852" s="1" t="n">
        <v>45576</v>
      </c>
      <c r="D2852" t="inlineStr">
        <is>
          <t>VÄSTERNORRLANDS LÄN</t>
        </is>
      </c>
      <c r="E2852" t="inlineStr">
        <is>
          <t>SOLLEFTEÅ</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25334-2024</t>
        </is>
      </c>
      <c r="B2853" s="1" t="n">
        <v>45462</v>
      </c>
      <c r="C2853" s="1" t="n">
        <v>45576</v>
      </c>
      <c r="D2853" t="inlineStr">
        <is>
          <t>VÄSTERNORRLANDS LÄN</t>
        </is>
      </c>
      <c r="E2853" t="inlineStr">
        <is>
          <t>SOLLEFTEÅ</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25357-2024</t>
        </is>
      </c>
      <c r="B2854" s="1" t="n">
        <v>45462</v>
      </c>
      <c r="C2854" s="1" t="n">
        <v>45576</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25139-2024</t>
        </is>
      </c>
      <c r="B2855" s="1" t="n">
        <v>45462</v>
      </c>
      <c r="C2855" s="1" t="n">
        <v>45576</v>
      </c>
      <c r="D2855" t="inlineStr">
        <is>
          <t>VÄSTERNORRLANDS LÄN</t>
        </is>
      </c>
      <c r="E2855" t="inlineStr">
        <is>
          <t>SOLLEFTEÅ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25131-2024</t>
        </is>
      </c>
      <c r="B2856" s="1" t="n">
        <v>45462</v>
      </c>
      <c r="C2856" s="1" t="n">
        <v>45576</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25703-2024</t>
        </is>
      </c>
      <c r="B2857" s="1" t="n">
        <v>45463</v>
      </c>
      <c r="C2857" s="1" t="n">
        <v>45576</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25711-2024</t>
        </is>
      </c>
      <c r="B2858" s="1" t="n">
        <v>45463</v>
      </c>
      <c r="C2858" s="1" t="n">
        <v>45576</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25704-2024</t>
        </is>
      </c>
      <c r="B2859" s="1" t="n">
        <v>45464</v>
      </c>
      <c r="C2859" s="1" t="n">
        <v>45576</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25702-2024</t>
        </is>
      </c>
      <c r="B2860" s="1" t="n">
        <v>45463</v>
      </c>
      <c r="C2860" s="1" t="n">
        <v>45576</v>
      </c>
      <c r="D2860" t="inlineStr">
        <is>
          <t>VÄSTERNORRLANDS LÄN</t>
        </is>
      </c>
      <c r="E2860" t="inlineStr">
        <is>
          <t>SOLLEFTEÅ</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25514-2024</t>
        </is>
      </c>
      <c r="B2861" s="1" t="n">
        <v>45463</v>
      </c>
      <c r="C2861" s="1" t="n">
        <v>45576</v>
      </c>
      <c r="D2861" t="inlineStr">
        <is>
          <t>VÄSTERNORRLANDS LÄN</t>
        </is>
      </c>
      <c r="E2861" t="inlineStr">
        <is>
          <t>SOLLEFTEÅ</t>
        </is>
      </c>
      <c r="F2861" t="inlineStr">
        <is>
          <t>Kyrkan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25799-2024</t>
        </is>
      </c>
      <c r="B2862" s="1" t="n">
        <v>45463</v>
      </c>
      <c r="C2862" s="1" t="n">
        <v>45576</v>
      </c>
      <c r="D2862" t="inlineStr">
        <is>
          <t>VÄSTERNORRLANDS LÄN</t>
        </is>
      </c>
      <c r="E2862" t="inlineStr">
        <is>
          <t>SOLLEFTEÅ</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25847-2024</t>
        </is>
      </c>
      <c r="B2863" s="1" t="n">
        <v>45467</v>
      </c>
      <c r="C2863" s="1" t="n">
        <v>45576</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25851-2024</t>
        </is>
      </c>
      <c r="B2864" s="1" t="n">
        <v>45467</v>
      </c>
      <c r="C2864" s="1" t="n">
        <v>45576</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25907-2024</t>
        </is>
      </c>
      <c r="B2865" s="1" t="n">
        <v>45467</v>
      </c>
      <c r="C2865" s="1" t="n">
        <v>45576</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26005-2024</t>
        </is>
      </c>
      <c r="B2866" s="1" t="n">
        <v>45468</v>
      </c>
      <c r="C2866" s="1" t="n">
        <v>45576</v>
      </c>
      <c r="D2866" t="inlineStr">
        <is>
          <t>VÄSTERNORRLANDS LÄN</t>
        </is>
      </c>
      <c r="E2866" t="inlineStr">
        <is>
          <t>SOLLEFTEÅ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26022-2024</t>
        </is>
      </c>
      <c r="B2867" s="1" t="n">
        <v>45467</v>
      </c>
      <c r="C2867" s="1" t="n">
        <v>45576</v>
      </c>
      <c r="D2867" t="inlineStr">
        <is>
          <t>VÄSTERNORRLANDS LÄN</t>
        </is>
      </c>
      <c r="E2867" t="inlineStr">
        <is>
          <t>SOLLEFTEÅ</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26046-2024</t>
        </is>
      </c>
      <c r="B2868" s="1" t="n">
        <v>45467</v>
      </c>
      <c r="C2868" s="1" t="n">
        <v>45576</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26023-2024</t>
        </is>
      </c>
      <c r="B2869" s="1" t="n">
        <v>45468</v>
      </c>
      <c r="C2869" s="1" t="n">
        <v>45576</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26391-2024</t>
        </is>
      </c>
      <c r="B2870" s="1" t="n">
        <v>45468</v>
      </c>
      <c r="C2870" s="1" t="n">
        <v>45576</v>
      </c>
      <c r="D2870" t="inlineStr">
        <is>
          <t>VÄSTERNORRLANDS LÄN</t>
        </is>
      </c>
      <c r="E2870" t="inlineStr">
        <is>
          <t>SOLLEFTEÅ</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26325-2024</t>
        </is>
      </c>
      <c r="B2871" s="1" t="n">
        <v>45468</v>
      </c>
      <c r="C2871" s="1" t="n">
        <v>45576</v>
      </c>
      <c r="D2871" t="inlineStr">
        <is>
          <t>VÄSTERNORRLANDS LÄN</t>
        </is>
      </c>
      <c r="E2871" t="inlineStr">
        <is>
          <t>SOLLEFTEÅ</t>
        </is>
      </c>
      <c r="F2871" t="inlineStr">
        <is>
          <t>SCA</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26323-2024</t>
        </is>
      </c>
      <c r="B2872" s="1" t="n">
        <v>45469</v>
      </c>
      <c r="C2872" s="1" t="n">
        <v>45576</v>
      </c>
      <c r="D2872" t="inlineStr">
        <is>
          <t>VÄSTERNORRLANDS LÄN</t>
        </is>
      </c>
      <c r="E2872" t="inlineStr">
        <is>
          <t>SOLLEFTEÅ</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26319-2024</t>
        </is>
      </c>
      <c r="B2873" s="1" t="n">
        <v>45469</v>
      </c>
      <c r="C2873" s="1" t="n">
        <v>45576</v>
      </c>
      <c r="D2873" t="inlineStr">
        <is>
          <t>VÄSTERNORRLANDS LÄN</t>
        </is>
      </c>
      <c r="E2873" t="inlineStr">
        <is>
          <t>SOLLEFTEÅ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26172-2024</t>
        </is>
      </c>
      <c r="B2874" s="1" t="n">
        <v>45468</v>
      </c>
      <c r="C2874" s="1" t="n">
        <v>45576</v>
      </c>
      <c r="D2874" t="inlineStr">
        <is>
          <t>VÄSTERNORRLANDS LÄN</t>
        </is>
      </c>
      <c r="E2874" t="inlineStr">
        <is>
          <t>SOLLEFTEÅ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26163-2024</t>
        </is>
      </c>
      <c r="B2875" s="1" t="n">
        <v>45468</v>
      </c>
      <c r="C2875" s="1" t="n">
        <v>45576</v>
      </c>
      <c r="D2875" t="inlineStr">
        <is>
          <t>VÄSTERNORRLANDS LÄN</t>
        </is>
      </c>
      <c r="E2875" t="inlineStr">
        <is>
          <t>SOLLEFTEÅ</t>
        </is>
      </c>
      <c r="G2875" t="n">
        <v>16.9</v>
      </c>
      <c r="H2875" t="n">
        <v>0</v>
      </c>
      <c r="I2875" t="n">
        <v>0</v>
      </c>
      <c r="J2875" t="n">
        <v>0</v>
      </c>
      <c r="K2875" t="n">
        <v>0</v>
      </c>
      <c r="L2875" t="n">
        <v>0</v>
      </c>
      <c r="M2875" t="n">
        <v>0</v>
      </c>
      <c r="N2875" t="n">
        <v>0</v>
      </c>
      <c r="O2875" t="n">
        <v>0</v>
      </c>
      <c r="P2875" t="n">
        <v>0</v>
      </c>
      <c r="Q2875" t="n">
        <v>0</v>
      </c>
      <c r="R2875" s="2" t="inlineStr"/>
    </row>
    <row r="2876" ht="15" customHeight="1">
      <c r="A2876" t="inlineStr">
        <is>
          <t>A 26296-2024</t>
        </is>
      </c>
      <c r="B2876" s="1" t="n">
        <v>45468</v>
      </c>
      <c r="C2876" s="1" t="n">
        <v>45576</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26444-2024</t>
        </is>
      </c>
      <c r="B2877" s="1" t="n">
        <v>45469</v>
      </c>
      <c r="C2877" s="1" t="n">
        <v>45576</v>
      </c>
      <c r="D2877" t="inlineStr">
        <is>
          <t>VÄSTERNORRLANDS LÄN</t>
        </is>
      </c>
      <c r="E2877" t="inlineStr">
        <is>
          <t>SOLLEFTEÅ</t>
        </is>
      </c>
      <c r="F2877" t="inlineStr">
        <is>
          <t>Holmen skog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26500-2024</t>
        </is>
      </c>
      <c r="B2878" s="1" t="n">
        <v>45469</v>
      </c>
      <c r="C2878" s="1" t="n">
        <v>45576</v>
      </c>
      <c r="D2878" t="inlineStr">
        <is>
          <t>VÄSTERNORRLANDS LÄN</t>
        </is>
      </c>
      <c r="E2878" t="inlineStr">
        <is>
          <t>SOLLEFTEÅ</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26655-2024</t>
        </is>
      </c>
      <c r="B2879" s="1" t="n">
        <v>45469</v>
      </c>
      <c r="C2879" s="1" t="n">
        <v>45576</v>
      </c>
      <c r="D2879" t="inlineStr">
        <is>
          <t>VÄSTERNORRLANDS LÄN</t>
        </is>
      </c>
      <c r="E2879" t="inlineStr">
        <is>
          <t>SOLLEFTEÅ</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26468-2024</t>
        </is>
      </c>
      <c r="B2880" s="1" t="n">
        <v>45469</v>
      </c>
      <c r="C2880" s="1" t="n">
        <v>45576</v>
      </c>
      <c r="D2880" t="inlineStr">
        <is>
          <t>VÄSTERNORRLANDS LÄN</t>
        </is>
      </c>
      <c r="E2880" t="inlineStr">
        <is>
          <t>SOLLEFTEÅ</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26962-2024</t>
        </is>
      </c>
      <c r="B2881" s="1" t="n">
        <v>45471</v>
      </c>
      <c r="C2881" s="1" t="n">
        <v>45576</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26955-2024</t>
        </is>
      </c>
      <c r="B2882" s="1" t="n">
        <v>45471</v>
      </c>
      <c r="C2882" s="1" t="n">
        <v>45576</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26963-2024</t>
        </is>
      </c>
      <c r="B2883" s="1" t="n">
        <v>45471</v>
      </c>
      <c r="C2883" s="1" t="n">
        <v>45576</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26890-2024</t>
        </is>
      </c>
      <c r="B2884" s="1" t="n">
        <v>45470</v>
      </c>
      <c r="C2884" s="1" t="n">
        <v>45576</v>
      </c>
      <c r="D2884" t="inlineStr">
        <is>
          <t>VÄSTERNORRLANDS LÄN</t>
        </is>
      </c>
      <c r="E2884" t="inlineStr">
        <is>
          <t>SOLLEFTEÅ</t>
        </is>
      </c>
      <c r="F2884" t="inlineStr">
        <is>
          <t>Holmen skog AB</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26936-2024</t>
        </is>
      </c>
      <c r="B2885" s="1" t="n">
        <v>45470</v>
      </c>
      <c r="C2885" s="1" t="n">
        <v>45576</v>
      </c>
      <c r="D2885" t="inlineStr">
        <is>
          <t>VÄSTERNORRLANDS LÄN</t>
        </is>
      </c>
      <c r="E2885" t="inlineStr">
        <is>
          <t>SOLLEFTEÅ</t>
        </is>
      </c>
      <c r="F2885" t="inlineStr">
        <is>
          <t>SCA</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26941-2024</t>
        </is>
      </c>
      <c r="B2886" s="1" t="n">
        <v>45470</v>
      </c>
      <c r="C2886" s="1" t="n">
        <v>45576</v>
      </c>
      <c r="D2886" t="inlineStr">
        <is>
          <t>VÄSTERNORRLANDS LÄN</t>
        </is>
      </c>
      <c r="E2886" t="inlineStr">
        <is>
          <t>SOLLEFTEÅ</t>
        </is>
      </c>
      <c r="F2886" t="inlineStr">
        <is>
          <t>SCA</t>
        </is>
      </c>
      <c r="G2886" t="n">
        <v>31.9</v>
      </c>
      <c r="H2886" t="n">
        <v>0</v>
      </c>
      <c r="I2886" t="n">
        <v>0</v>
      </c>
      <c r="J2886" t="n">
        <v>0</v>
      </c>
      <c r="K2886" t="n">
        <v>0</v>
      </c>
      <c r="L2886" t="n">
        <v>0</v>
      </c>
      <c r="M2886" t="n">
        <v>0</v>
      </c>
      <c r="N2886" t="n">
        <v>0</v>
      </c>
      <c r="O2886" t="n">
        <v>0</v>
      </c>
      <c r="P2886" t="n">
        <v>0</v>
      </c>
      <c r="Q2886" t="n">
        <v>0</v>
      </c>
      <c r="R2886" s="2" t="inlineStr"/>
    </row>
    <row r="2887" ht="15" customHeight="1">
      <c r="A2887" t="inlineStr">
        <is>
          <t>A 26937-2024</t>
        </is>
      </c>
      <c r="B2887" s="1" t="n">
        <v>45471</v>
      </c>
      <c r="C2887" s="1" t="n">
        <v>45576</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27025-2024</t>
        </is>
      </c>
      <c r="B2888" s="1" t="n">
        <v>45471</v>
      </c>
      <c r="C2888" s="1" t="n">
        <v>45576</v>
      </c>
      <c r="D2888" t="inlineStr">
        <is>
          <t>VÄSTERNORRLANDS LÄN</t>
        </is>
      </c>
      <c r="E2888" t="inlineStr">
        <is>
          <t>SOLLEFTEÅ</t>
        </is>
      </c>
      <c r="F2888" t="inlineStr">
        <is>
          <t>Holmen skog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27071-2024</t>
        </is>
      </c>
      <c r="B2889" s="1" t="n">
        <v>45471</v>
      </c>
      <c r="C2889" s="1" t="n">
        <v>45576</v>
      </c>
      <c r="D2889" t="inlineStr">
        <is>
          <t>VÄSTERNORRLANDS LÄN</t>
        </is>
      </c>
      <c r="E2889" t="inlineStr">
        <is>
          <t>SOLLEFTEÅ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27293-2024</t>
        </is>
      </c>
      <c r="B2890" s="1" t="n">
        <v>45472</v>
      </c>
      <c r="C2890" s="1" t="n">
        <v>45576</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27314-2024</t>
        </is>
      </c>
      <c r="B2891" s="1" t="n">
        <v>45472</v>
      </c>
      <c r="C2891" s="1" t="n">
        <v>45576</v>
      </c>
      <c r="D2891" t="inlineStr">
        <is>
          <t>VÄSTERNORRLANDS LÄN</t>
        </is>
      </c>
      <c r="E2891" t="inlineStr">
        <is>
          <t>SOLLEFTEÅ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27377-2024</t>
        </is>
      </c>
      <c r="B2892" s="1" t="n">
        <v>45473</v>
      </c>
      <c r="C2892" s="1" t="n">
        <v>45576</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27639-2024</t>
        </is>
      </c>
      <c r="B2893" s="1" t="n">
        <v>45474</v>
      </c>
      <c r="C2893" s="1" t="n">
        <v>45576</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27634-2024</t>
        </is>
      </c>
      <c r="B2894" s="1" t="n">
        <v>45475</v>
      </c>
      <c r="C2894" s="1" t="n">
        <v>45576</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27633-2024</t>
        </is>
      </c>
      <c r="B2895" s="1" t="n">
        <v>45475</v>
      </c>
      <c r="C2895" s="1" t="n">
        <v>45576</v>
      </c>
      <c r="D2895" t="inlineStr">
        <is>
          <t>VÄSTERNORRLANDS LÄN</t>
        </is>
      </c>
      <c r="E2895" t="inlineStr">
        <is>
          <t>SOLLEFTEÅ</t>
        </is>
      </c>
      <c r="F2895" t="inlineStr">
        <is>
          <t>SCA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27641-2024</t>
        </is>
      </c>
      <c r="B2896" s="1" t="n">
        <v>45475</v>
      </c>
      <c r="C2896" s="1" t="n">
        <v>45576</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27922-2024</t>
        </is>
      </c>
      <c r="B2897" s="1" t="n">
        <v>45476</v>
      </c>
      <c r="C2897" s="1" t="n">
        <v>45576</v>
      </c>
      <c r="D2897" t="inlineStr">
        <is>
          <t>VÄSTERNORRLANDS LÄN</t>
        </is>
      </c>
      <c r="E2897" t="inlineStr">
        <is>
          <t>SOLLEFTEÅ</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27927-2024</t>
        </is>
      </c>
      <c r="B2898" s="1" t="n">
        <v>45475</v>
      </c>
      <c r="C2898" s="1" t="n">
        <v>45576</v>
      </c>
      <c r="D2898" t="inlineStr">
        <is>
          <t>VÄSTERNORRLANDS LÄN</t>
        </is>
      </c>
      <c r="E2898" t="inlineStr">
        <is>
          <t>SOLLEFTEÅ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27911-2024</t>
        </is>
      </c>
      <c r="B2899" s="1" t="n">
        <v>45475</v>
      </c>
      <c r="C2899" s="1" t="n">
        <v>45576</v>
      </c>
      <c r="D2899" t="inlineStr">
        <is>
          <t>VÄSTERNORRLANDS LÄN</t>
        </is>
      </c>
      <c r="E2899" t="inlineStr">
        <is>
          <t>SOLLEFTEÅ</t>
        </is>
      </c>
      <c r="F2899" t="inlineStr">
        <is>
          <t>SCA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27908-2024</t>
        </is>
      </c>
      <c r="B2900" s="1" t="n">
        <v>45476</v>
      </c>
      <c r="C2900" s="1" t="n">
        <v>45576</v>
      </c>
      <c r="D2900" t="inlineStr">
        <is>
          <t>VÄSTERNORRLANDS LÄN</t>
        </is>
      </c>
      <c r="E2900" t="inlineStr">
        <is>
          <t>SOLLEFTEÅ</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27916-2024</t>
        </is>
      </c>
      <c r="B2901" s="1" t="n">
        <v>45476</v>
      </c>
      <c r="C2901" s="1" t="n">
        <v>45576</v>
      </c>
      <c r="D2901" t="inlineStr">
        <is>
          <t>VÄSTERNORRLANDS LÄN</t>
        </is>
      </c>
      <c r="E2901" t="inlineStr">
        <is>
          <t>SOLLEFTEÅ</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27848-2024</t>
        </is>
      </c>
      <c r="B2902" s="1" t="n">
        <v>45475</v>
      </c>
      <c r="C2902" s="1" t="n">
        <v>45576</v>
      </c>
      <c r="D2902" t="inlineStr">
        <is>
          <t>VÄSTERNORRLANDS LÄN</t>
        </is>
      </c>
      <c r="E2902" t="inlineStr">
        <is>
          <t>SOLLEFTEÅ</t>
        </is>
      </c>
      <c r="F2902" t="inlineStr">
        <is>
          <t>Holmen skog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27901-2024</t>
        </is>
      </c>
      <c r="B2903" s="1" t="n">
        <v>45476</v>
      </c>
      <c r="C2903" s="1" t="n">
        <v>45576</v>
      </c>
      <c r="D2903" t="inlineStr">
        <is>
          <t>VÄSTERNORRLANDS LÄN</t>
        </is>
      </c>
      <c r="E2903" t="inlineStr">
        <is>
          <t>SOLLEFTEÅ</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27925-2024</t>
        </is>
      </c>
      <c r="B2904" s="1" t="n">
        <v>45475</v>
      </c>
      <c r="C2904" s="1" t="n">
        <v>45576</v>
      </c>
      <c r="D2904" t="inlineStr">
        <is>
          <t>VÄSTERNORRLANDS LÄN</t>
        </is>
      </c>
      <c r="E2904" t="inlineStr">
        <is>
          <t>SOLLEFTEÅ</t>
        </is>
      </c>
      <c r="G2904" t="n">
        <v>19.8</v>
      </c>
      <c r="H2904" t="n">
        <v>0</v>
      </c>
      <c r="I2904" t="n">
        <v>0</v>
      </c>
      <c r="J2904" t="n">
        <v>0</v>
      </c>
      <c r="K2904" t="n">
        <v>0</v>
      </c>
      <c r="L2904" t="n">
        <v>0</v>
      </c>
      <c r="M2904" t="n">
        <v>0</v>
      </c>
      <c r="N2904" t="n">
        <v>0</v>
      </c>
      <c r="O2904" t="n">
        <v>0</v>
      </c>
      <c r="P2904" t="n">
        <v>0</v>
      </c>
      <c r="Q2904" t="n">
        <v>0</v>
      </c>
      <c r="R2904" s="2" t="inlineStr"/>
    </row>
    <row r="2905" ht="15" customHeight="1">
      <c r="A2905" t="inlineStr">
        <is>
          <t>A 27789-2024</t>
        </is>
      </c>
      <c r="B2905" s="1" t="n">
        <v>45475</v>
      </c>
      <c r="C2905" s="1" t="n">
        <v>45576</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27924-2024</t>
        </is>
      </c>
      <c r="B2906" s="1" t="n">
        <v>45475</v>
      </c>
      <c r="C2906" s="1" t="n">
        <v>45576</v>
      </c>
      <c r="D2906" t="inlineStr">
        <is>
          <t>VÄSTERNORRLANDS LÄN</t>
        </is>
      </c>
      <c r="E2906" t="inlineStr">
        <is>
          <t>SOLLEFTEÅ</t>
        </is>
      </c>
      <c r="F2906" t="inlineStr">
        <is>
          <t>SCA</t>
        </is>
      </c>
      <c r="G2906" t="n">
        <v>23.5</v>
      </c>
      <c r="H2906" t="n">
        <v>0</v>
      </c>
      <c r="I2906" t="n">
        <v>0</v>
      </c>
      <c r="J2906" t="n">
        <v>0</v>
      </c>
      <c r="K2906" t="n">
        <v>0</v>
      </c>
      <c r="L2906" t="n">
        <v>0</v>
      </c>
      <c r="M2906" t="n">
        <v>0</v>
      </c>
      <c r="N2906" t="n">
        <v>0</v>
      </c>
      <c r="O2906" t="n">
        <v>0</v>
      </c>
      <c r="P2906" t="n">
        <v>0</v>
      </c>
      <c r="Q2906" t="n">
        <v>0</v>
      </c>
      <c r="R2906" s="2" t="inlineStr"/>
    </row>
    <row r="2907" ht="15" customHeight="1">
      <c r="A2907" t="inlineStr">
        <is>
          <t>A 27936-2024</t>
        </is>
      </c>
      <c r="B2907" s="1" t="n">
        <v>45476</v>
      </c>
      <c r="C2907" s="1" t="n">
        <v>45576</v>
      </c>
      <c r="D2907" t="inlineStr">
        <is>
          <t>VÄSTERNORRLANDS LÄN</t>
        </is>
      </c>
      <c r="E2907" t="inlineStr">
        <is>
          <t>SOLLEFTEÅ</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28159-2024</t>
        </is>
      </c>
      <c r="B2908" s="1" t="n">
        <v>45477</v>
      </c>
      <c r="C2908" s="1" t="n">
        <v>45576</v>
      </c>
      <c r="D2908" t="inlineStr">
        <is>
          <t>VÄSTERNORRLANDS LÄN</t>
        </is>
      </c>
      <c r="E2908" t="inlineStr">
        <is>
          <t>SOLLEFTEÅ</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28164-2024</t>
        </is>
      </c>
      <c r="B2909" s="1" t="n">
        <v>45476</v>
      </c>
      <c r="C2909" s="1" t="n">
        <v>45576</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28170-2024</t>
        </is>
      </c>
      <c r="B2910" s="1" t="n">
        <v>45477</v>
      </c>
      <c r="C2910" s="1" t="n">
        <v>45576</v>
      </c>
      <c r="D2910" t="inlineStr">
        <is>
          <t>VÄSTERNORRLANDS LÄN</t>
        </is>
      </c>
      <c r="E2910" t="inlineStr">
        <is>
          <t>SOLLEFTEÅ</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28162-2024</t>
        </is>
      </c>
      <c r="B2911" s="1" t="n">
        <v>45476</v>
      </c>
      <c r="C2911" s="1" t="n">
        <v>45576</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28327-2024</t>
        </is>
      </c>
      <c r="B2912" s="1" t="n">
        <v>45477</v>
      </c>
      <c r="C2912" s="1" t="n">
        <v>45576</v>
      </c>
      <c r="D2912" t="inlineStr">
        <is>
          <t>VÄSTERNORRLANDS LÄN</t>
        </is>
      </c>
      <c r="E2912" t="inlineStr">
        <is>
          <t>SOLLEFTEÅ</t>
        </is>
      </c>
      <c r="F2912" t="inlineStr">
        <is>
          <t>Holmen skog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28269-2024</t>
        </is>
      </c>
      <c r="B2913" s="1" t="n">
        <v>45477</v>
      </c>
      <c r="C2913" s="1" t="n">
        <v>45576</v>
      </c>
      <c r="D2913" t="inlineStr">
        <is>
          <t>VÄSTERNORRLANDS LÄN</t>
        </is>
      </c>
      <c r="E2913" t="inlineStr">
        <is>
          <t>SOLLEFTEÅ</t>
        </is>
      </c>
      <c r="F2913" t="inlineStr">
        <is>
          <t>Holmen skog AB</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28499-2024</t>
        </is>
      </c>
      <c r="B2914" s="1" t="n">
        <v>45478</v>
      </c>
      <c r="C2914" s="1" t="n">
        <v>45576</v>
      </c>
      <c r="D2914" t="inlineStr">
        <is>
          <t>VÄSTERNORRLANDS LÄN</t>
        </is>
      </c>
      <c r="E2914" t="inlineStr">
        <is>
          <t>SOLLEFTEÅ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28354-2024</t>
        </is>
      </c>
      <c r="B2915" s="1" t="n">
        <v>45477</v>
      </c>
      <c r="C2915" s="1" t="n">
        <v>45576</v>
      </c>
      <c r="D2915" t="inlineStr">
        <is>
          <t>VÄSTERNORRLANDS LÄN</t>
        </is>
      </c>
      <c r="E2915" t="inlineStr">
        <is>
          <t>SOLLEFTEÅ</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28290-2024</t>
        </is>
      </c>
      <c r="B2916" s="1" t="n">
        <v>45477</v>
      </c>
      <c r="C2916" s="1" t="n">
        <v>45576</v>
      </c>
      <c r="D2916" t="inlineStr">
        <is>
          <t>VÄSTERNORRLANDS LÄN</t>
        </is>
      </c>
      <c r="E2916" t="inlineStr">
        <is>
          <t>SOLLEFTEÅ</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28579-2024</t>
        </is>
      </c>
      <c r="B2917" s="1" t="n">
        <v>45478</v>
      </c>
      <c r="C2917" s="1" t="n">
        <v>45576</v>
      </c>
      <c r="D2917" t="inlineStr">
        <is>
          <t>VÄSTERNORRLANDS LÄN</t>
        </is>
      </c>
      <c r="E2917" t="inlineStr">
        <is>
          <t>SOLLEFTEÅ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28576-2024</t>
        </is>
      </c>
      <c r="B2918" s="1" t="n">
        <v>45478</v>
      </c>
      <c r="C2918" s="1" t="n">
        <v>45576</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28580-2024</t>
        </is>
      </c>
      <c r="B2919" s="1" t="n">
        <v>45478</v>
      </c>
      <c r="C2919" s="1" t="n">
        <v>45576</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28866-2024</t>
        </is>
      </c>
      <c r="B2920" s="1" t="n">
        <v>45478</v>
      </c>
      <c r="C2920" s="1" t="n">
        <v>45576</v>
      </c>
      <c r="D2920" t="inlineStr">
        <is>
          <t>VÄSTERNORRLANDS LÄN</t>
        </is>
      </c>
      <c r="E2920" t="inlineStr">
        <is>
          <t>SOLLEFTEÅ</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28790-2024</t>
        </is>
      </c>
      <c r="B2921" s="1" t="n">
        <v>45478</v>
      </c>
      <c r="C2921" s="1" t="n">
        <v>45576</v>
      </c>
      <c r="D2921" t="inlineStr">
        <is>
          <t>VÄSTERNORRLANDS LÄN</t>
        </is>
      </c>
      <c r="E2921" t="inlineStr">
        <is>
          <t>SOLLEFTEÅ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29059-2024</t>
        </is>
      </c>
      <c r="B2922" s="1" t="n">
        <v>45481</v>
      </c>
      <c r="C2922" s="1" t="n">
        <v>45576</v>
      </c>
      <c r="D2922" t="inlineStr">
        <is>
          <t>VÄSTERNORRLANDS LÄN</t>
        </is>
      </c>
      <c r="E2922" t="inlineStr">
        <is>
          <t>SOLLEFTEÅ</t>
        </is>
      </c>
      <c r="F2922" t="inlineStr">
        <is>
          <t>Kyrkan</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29055-2024</t>
        </is>
      </c>
      <c r="B2923" s="1" t="n">
        <v>45481</v>
      </c>
      <c r="C2923" s="1" t="n">
        <v>45576</v>
      </c>
      <c r="D2923" t="inlineStr">
        <is>
          <t>VÄSTERNORRLANDS LÄN</t>
        </is>
      </c>
      <c r="E2923" t="inlineStr">
        <is>
          <t>SOLLEFTEÅ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29054-2024</t>
        </is>
      </c>
      <c r="B2924" s="1" t="n">
        <v>45481</v>
      </c>
      <c r="C2924" s="1" t="n">
        <v>45576</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29211-2024</t>
        </is>
      </c>
      <c r="B2925" s="1" t="n">
        <v>45482</v>
      </c>
      <c r="C2925" s="1" t="n">
        <v>45576</v>
      </c>
      <c r="D2925" t="inlineStr">
        <is>
          <t>VÄSTERNORRLANDS LÄN</t>
        </is>
      </c>
      <c r="E2925" t="inlineStr">
        <is>
          <t>SOLLEFTEÅ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29258-2024</t>
        </is>
      </c>
      <c r="B2926" s="1" t="n">
        <v>45483</v>
      </c>
      <c r="C2926" s="1" t="n">
        <v>45576</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29248-2024</t>
        </is>
      </c>
      <c r="B2927" s="1" t="n">
        <v>45482</v>
      </c>
      <c r="C2927" s="1" t="n">
        <v>45576</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29457-2024</t>
        </is>
      </c>
      <c r="B2928" s="1" t="n">
        <v>45484</v>
      </c>
      <c r="C2928" s="1" t="n">
        <v>45576</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29459-2024</t>
        </is>
      </c>
      <c r="B2929" s="1" t="n">
        <v>45484</v>
      </c>
      <c r="C2929" s="1" t="n">
        <v>45576</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29693-2024</t>
        </is>
      </c>
      <c r="B2930" s="1" t="n">
        <v>45485</v>
      </c>
      <c r="C2930" s="1" t="n">
        <v>45576</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29575-2024</t>
        </is>
      </c>
      <c r="B2931" s="1" t="n">
        <v>45484</v>
      </c>
      <c r="C2931" s="1" t="n">
        <v>45576</v>
      </c>
      <c r="D2931" t="inlineStr">
        <is>
          <t>VÄSTERNORRLANDS LÄN</t>
        </is>
      </c>
      <c r="E2931" t="inlineStr">
        <is>
          <t>SOLLEFTEÅ</t>
        </is>
      </c>
      <c r="G2931" t="n">
        <v>12.9</v>
      </c>
      <c r="H2931" t="n">
        <v>0</v>
      </c>
      <c r="I2931" t="n">
        <v>0</v>
      </c>
      <c r="J2931" t="n">
        <v>0</v>
      </c>
      <c r="K2931" t="n">
        <v>0</v>
      </c>
      <c r="L2931" t="n">
        <v>0</v>
      </c>
      <c r="M2931" t="n">
        <v>0</v>
      </c>
      <c r="N2931" t="n">
        <v>0</v>
      </c>
      <c r="O2931" t="n">
        <v>0</v>
      </c>
      <c r="P2931" t="n">
        <v>0</v>
      </c>
      <c r="Q2931" t="n">
        <v>0</v>
      </c>
      <c r="R2931" s="2" t="inlineStr"/>
    </row>
    <row r="2932" ht="15" customHeight="1">
      <c r="A2932" t="inlineStr">
        <is>
          <t>A 29871-2024</t>
        </is>
      </c>
      <c r="B2932" s="1" t="n">
        <v>45486</v>
      </c>
      <c r="C2932" s="1" t="n">
        <v>45576</v>
      </c>
      <c r="D2932" t="inlineStr">
        <is>
          <t>VÄSTERNORRLANDS LÄN</t>
        </is>
      </c>
      <c r="E2932" t="inlineStr">
        <is>
          <t>SOLLEFTEÅ</t>
        </is>
      </c>
      <c r="F2932" t="inlineStr">
        <is>
          <t>SCA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29839-2024</t>
        </is>
      </c>
      <c r="B2933" s="1" t="n">
        <v>45485</v>
      </c>
      <c r="C2933" s="1" t="n">
        <v>45576</v>
      </c>
      <c r="D2933" t="inlineStr">
        <is>
          <t>VÄSTERNORRLANDS LÄN</t>
        </is>
      </c>
      <c r="E2933" t="inlineStr">
        <is>
          <t>SOLLEFTEÅ</t>
        </is>
      </c>
      <c r="F2933" t="inlineStr">
        <is>
          <t>Holmen skog AB</t>
        </is>
      </c>
      <c r="G2933" t="n">
        <v>16.1</v>
      </c>
      <c r="H2933" t="n">
        <v>0</v>
      </c>
      <c r="I2933" t="n">
        <v>0</v>
      </c>
      <c r="J2933" t="n">
        <v>0</v>
      </c>
      <c r="K2933" t="n">
        <v>0</v>
      </c>
      <c r="L2933" t="n">
        <v>0</v>
      </c>
      <c r="M2933" t="n">
        <v>0</v>
      </c>
      <c r="N2933" t="n">
        <v>0</v>
      </c>
      <c r="O2933" t="n">
        <v>0</v>
      </c>
      <c r="P2933" t="n">
        <v>0</v>
      </c>
      <c r="Q2933" t="n">
        <v>0</v>
      </c>
      <c r="R2933" s="2" t="inlineStr"/>
    </row>
    <row r="2934" ht="15" customHeight="1">
      <c r="A2934" t="inlineStr">
        <is>
          <t>A 29755-2024</t>
        </is>
      </c>
      <c r="B2934" s="1" t="n">
        <v>45485</v>
      </c>
      <c r="C2934" s="1" t="n">
        <v>45576</v>
      </c>
      <c r="D2934" t="inlineStr">
        <is>
          <t>VÄSTERNORRLANDS LÄN</t>
        </is>
      </c>
      <c r="E2934" t="inlineStr">
        <is>
          <t>SOLLEFTEÅ</t>
        </is>
      </c>
      <c r="F2934" t="inlineStr">
        <is>
          <t>Holmen skog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29870-2024</t>
        </is>
      </c>
      <c r="B2935" s="1" t="n">
        <v>45486</v>
      </c>
      <c r="C2935" s="1" t="n">
        <v>45576</v>
      </c>
      <c r="D2935" t="inlineStr">
        <is>
          <t>VÄSTERNORRLANDS LÄN</t>
        </is>
      </c>
      <c r="E2935" t="inlineStr">
        <is>
          <t>SOLLEFTEÅ</t>
        </is>
      </c>
      <c r="F2935" t="inlineStr">
        <is>
          <t>SCA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29869-2024</t>
        </is>
      </c>
      <c r="B2936" s="1" t="n">
        <v>45486</v>
      </c>
      <c r="C2936" s="1" t="n">
        <v>45576</v>
      </c>
      <c r="D2936" t="inlineStr">
        <is>
          <t>VÄSTERNORRLANDS LÄN</t>
        </is>
      </c>
      <c r="E2936" t="inlineStr">
        <is>
          <t>SOLLEFTEÅ</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29914-2024</t>
        </is>
      </c>
      <c r="B2937" s="1" t="n">
        <v>45488</v>
      </c>
      <c r="C2937" s="1" t="n">
        <v>45576</v>
      </c>
      <c r="D2937" t="inlineStr">
        <is>
          <t>VÄSTERNORRLANDS LÄN</t>
        </is>
      </c>
      <c r="E2937" t="inlineStr">
        <is>
          <t>SOLLEFTEÅ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29915-2024</t>
        </is>
      </c>
      <c r="B2938" s="1" t="n">
        <v>45488</v>
      </c>
      <c r="C2938" s="1" t="n">
        <v>45576</v>
      </c>
      <c r="D2938" t="inlineStr">
        <is>
          <t>VÄSTERNORRLANDS LÄN</t>
        </is>
      </c>
      <c r="E2938" t="inlineStr">
        <is>
          <t>SOLLEFTEÅ</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29913-2024</t>
        </is>
      </c>
      <c r="B2939" s="1" t="n">
        <v>45488</v>
      </c>
      <c r="C2939" s="1" t="n">
        <v>45576</v>
      </c>
      <c r="D2939" t="inlineStr">
        <is>
          <t>VÄSTERNORRLANDS LÄN</t>
        </is>
      </c>
      <c r="E2939" t="inlineStr">
        <is>
          <t>SOLLEFTEÅ</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29916-2024</t>
        </is>
      </c>
      <c r="B2940" s="1" t="n">
        <v>45488</v>
      </c>
      <c r="C2940" s="1" t="n">
        <v>45576</v>
      </c>
      <c r="D2940" t="inlineStr">
        <is>
          <t>VÄSTERNORRLANDS LÄN</t>
        </is>
      </c>
      <c r="E2940" t="inlineStr">
        <is>
          <t>SOLLEFTEÅ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30063-2024</t>
        </is>
      </c>
      <c r="B2941" s="1" t="n">
        <v>45489</v>
      </c>
      <c r="C2941" s="1" t="n">
        <v>45576</v>
      </c>
      <c r="D2941" t="inlineStr">
        <is>
          <t>VÄSTERNORRLANDS LÄN</t>
        </is>
      </c>
      <c r="E2941" t="inlineStr">
        <is>
          <t>SOLLEFTEÅ</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30060-2024</t>
        </is>
      </c>
      <c r="B2942" s="1" t="n">
        <v>45489</v>
      </c>
      <c r="C2942" s="1" t="n">
        <v>45576</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30068-2024</t>
        </is>
      </c>
      <c r="B2943" s="1" t="n">
        <v>45489</v>
      </c>
      <c r="C2943" s="1" t="n">
        <v>45576</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30061-2024</t>
        </is>
      </c>
      <c r="B2944" s="1" t="n">
        <v>45489</v>
      </c>
      <c r="C2944" s="1" t="n">
        <v>45576</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30069-2024</t>
        </is>
      </c>
      <c r="B2945" s="1" t="n">
        <v>45489</v>
      </c>
      <c r="C2945" s="1" t="n">
        <v>45576</v>
      </c>
      <c r="D2945" t="inlineStr">
        <is>
          <t>VÄSTERNORRLANDS LÄN</t>
        </is>
      </c>
      <c r="E2945" t="inlineStr">
        <is>
          <t>SOLLEFTEÅ</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30214-2024</t>
        </is>
      </c>
      <c r="B2946" s="1" t="n">
        <v>45490</v>
      </c>
      <c r="C2946" s="1" t="n">
        <v>45576</v>
      </c>
      <c r="D2946" t="inlineStr">
        <is>
          <t>VÄSTERNORRLANDS LÄN</t>
        </is>
      </c>
      <c r="E2946" t="inlineStr">
        <is>
          <t>SOLLEFTEÅ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30327-2024</t>
        </is>
      </c>
      <c r="B2947" s="1" t="n">
        <v>45491</v>
      </c>
      <c r="C2947" s="1" t="n">
        <v>45576</v>
      </c>
      <c r="D2947" t="inlineStr">
        <is>
          <t>VÄSTERNORRLANDS LÄN</t>
        </is>
      </c>
      <c r="E2947" t="inlineStr">
        <is>
          <t>SOLLEFTEÅ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30328-2024</t>
        </is>
      </c>
      <c r="B2948" s="1" t="n">
        <v>45491</v>
      </c>
      <c r="C2948" s="1" t="n">
        <v>45576</v>
      </c>
      <c r="D2948" t="inlineStr">
        <is>
          <t>VÄSTERNORRLANDS LÄN</t>
        </is>
      </c>
      <c r="E2948" t="inlineStr">
        <is>
          <t>SOLLEFTEÅ</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30329-2024</t>
        </is>
      </c>
      <c r="B2949" s="1" t="n">
        <v>45491</v>
      </c>
      <c r="C2949" s="1" t="n">
        <v>45576</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30325-2024</t>
        </is>
      </c>
      <c r="B2950" s="1" t="n">
        <v>45491</v>
      </c>
      <c r="C2950" s="1" t="n">
        <v>45576</v>
      </c>
      <c r="D2950" t="inlineStr">
        <is>
          <t>VÄSTERNORRLANDS LÄN</t>
        </is>
      </c>
      <c r="E2950" t="inlineStr">
        <is>
          <t>SOLLEFTEÅ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30466-2024</t>
        </is>
      </c>
      <c r="B2951" s="1" t="n">
        <v>45492</v>
      </c>
      <c r="C2951" s="1" t="n">
        <v>45576</v>
      </c>
      <c r="D2951" t="inlineStr">
        <is>
          <t>VÄSTERNORRLANDS LÄN</t>
        </is>
      </c>
      <c r="E2951" t="inlineStr">
        <is>
          <t>SOLLEFTEÅ</t>
        </is>
      </c>
      <c r="F2951" t="inlineStr">
        <is>
          <t>SCA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30476-2024</t>
        </is>
      </c>
      <c r="B2952" s="1" t="n">
        <v>45492</v>
      </c>
      <c r="C2952" s="1" t="n">
        <v>45576</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30464-2024</t>
        </is>
      </c>
      <c r="B2953" s="1" t="n">
        <v>45492</v>
      </c>
      <c r="C2953" s="1" t="n">
        <v>45576</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30570-2024</t>
        </is>
      </c>
      <c r="B2954" s="1" t="n">
        <v>45493</v>
      </c>
      <c r="C2954" s="1" t="n">
        <v>45576</v>
      </c>
      <c r="D2954" t="inlineStr">
        <is>
          <t>VÄSTERNORRLANDS LÄN</t>
        </is>
      </c>
      <c r="E2954" t="inlineStr">
        <is>
          <t>SOLLEFTEÅ</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30812-2024</t>
        </is>
      </c>
      <c r="B2955" s="1" t="n">
        <v>45497</v>
      </c>
      <c r="C2955" s="1" t="n">
        <v>45576</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31521-2024</t>
        </is>
      </c>
      <c r="B2956" s="1" t="n">
        <v>45505</v>
      </c>
      <c r="C2956" s="1" t="n">
        <v>45576</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31482-2024</t>
        </is>
      </c>
      <c r="B2957" s="1" t="n">
        <v>45505</v>
      </c>
      <c r="C2957" s="1" t="n">
        <v>45576</v>
      </c>
      <c r="D2957" t="inlineStr">
        <is>
          <t>VÄSTERNORRLANDS LÄN</t>
        </is>
      </c>
      <c r="E2957" t="inlineStr">
        <is>
          <t>SOLLEFTEÅ</t>
        </is>
      </c>
      <c r="F2957" t="inlineStr">
        <is>
          <t>SCA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31555-2024</t>
        </is>
      </c>
      <c r="B2958" s="1" t="n">
        <v>45506</v>
      </c>
      <c r="C2958" s="1" t="n">
        <v>45576</v>
      </c>
      <c r="D2958" t="inlineStr">
        <is>
          <t>VÄSTERNORRLANDS LÄN</t>
        </is>
      </c>
      <c r="E2958" t="inlineStr">
        <is>
          <t>SOLLEFTEÅ</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31547-2024</t>
        </is>
      </c>
      <c r="B2959" s="1" t="n">
        <v>45506</v>
      </c>
      <c r="C2959" s="1" t="n">
        <v>45576</v>
      </c>
      <c r="D2959" t="inlineStr">
        <is>
          <t>VÄSTERNORRLANDS LÄN</t>
        </is>
      </c>
      <c r="E2959" t="inlineStr">
        <is>
          <t>SOLLEFTEÅ</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31556-2024</t>
        </is>
      </c>
      <c r="B2960" s="1" t="n">
        <v>45505</v>
      </c>
      <c r="C2960" s="1" t="n">
        <v>45576</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31480-2024</t>
        </is>
      </c>
      <c r="B2961" s="1" t="n">
        <v>45506</v>
      </c>
      <c r="C2961" s="1" t="n">
        <v>45576</v>
      </c>
      <c r="D2961" t="inlineStr">
        <is>
          <t>VÄSTERNORRLANDS LÄN</t>
        </is>
      </c>
      <c r="E2961" t="inlineStr">
        <is>
          <t>SOLLEFTEÅ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31496-2024</t>
        </is>
      </c>
      <c r="B2962" s="1" t="n">
        <v>45506</v>
      </c>
      <c r="C2962" s="1" t="n">
        <v>45576</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31562-2024</t>
        </is>
      </c>
      <c r="B2963" s="1" t="n">
        <v>45505</v>
      </c>
      <c r="C2963" s="1" t="n">
        <v>45576</v>
      </c>
      <c r="D2963" t="inlineStr">
        <is>
          <t>VÄSTERNORRLANDS LÄN</t>
        </is>
      </c>
      <c r="E2963" t="inlineStr">
        <is>
          <t>SOLLEFTEÅ</t>
        </is>
      </c>
      <c r="F2963" t="inlineStr">
        <is>
          <t>SCA</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31549-2024</t>
        </is>
      </c>
      <c r="B2964" s="1" t="n">
        <v>45506</v>
      </c>
      <c r="C2964" s="1" t="n">
        <v>45576</v>
      </c>
      <c r="D2964" t="inlineStr">
        <is>
          <t>VÄSTERNORRLANDS LÄN</t>
        </is>
      </c>
      <c r="E2964" t="inlineStr">
        <is>
          <t>SOLLEFTEÅ</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31537-2024</t>
        </is>
      </c>
      <c r="B2965" s="1" t="n">
        <v>45506</v>
      </c>
      <c r="C2965" s="1" t="n">
        <v>45576</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31511-2024</t>
        </is>
      </c>
      <c r="B2966" s="1" t="n">
        <v>45506</v>
      </c>
      <c r="C2966" s="1" t="n">
        <v>45576</v>
      </c>
      <c r="D2966" t="inlineStr">
        <is>
          <t>VÄSTERNORRLANDS LÄN</t>
        </is>
      </c>
      <c r="E2966" t="inlineStr">
        <is>
          <t>SOLLEFTEÅ</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31481-2024</t>
        </is>
      </c>
      <c r="B2967" s="1" t="n">
        <v>45505</v>
      </c>
      <c r="C2967" s="1" t="n">
        <v>45576</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31559-2024</t>
        </is>
      </c>
      <c r="B2968" s="1" t="n">
        <v>45506</v>
      </c>
      <c r="C2968" s="1" t="n">
        <v>45576</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31554-2024</t>
        </is>
      </c>
      <c r="B2969" s="1" t="n">
        <v>45506</v>
      </c>
      <c r="C2969" s="1" t="n">
        <v>45576</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31550-2024</t>
        </is>
      </c>
      <c r="B2970" s="1" t="n">
        <v>45505</v>
      </c>
      <c r="C2970" s="1" t="n">
        <v>45576</v>
      </c>
      <c r="D2970" t="inlineStr">
        <is>
          <t>VÄSTERNORRLANDS LÄN</t>
        </is>
      </c>
      <c r="E2970" t="inlineStr">
        <is>
          <t>SOLLEFTEÅ</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31477-2024</t>
        </is>
      </c>
      <c r="B2971" s="1" t="n">
        <v>45505</v>
      </c>
      <c r="C2971" s="1" t="n">
        <v>45576</v>
      </c>
      <c r="D2971" t="inlineStr">
        <is>
          <t>VÄSTERNORRLANDS LÄN</t>
        </is>
      </c>
      <c r="E2971" t="inlineStr">
        <is>
          <t>SOLLEFTEÅ</t>
        </is>
      </c>
      <c r="F2971" t="inlineStr">
        <is>
          <t>SCA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31528-2024</t>
        </is>
      </c>
      <c r="B2972" s="1" t="n">
        <v>45505</v>
      </c>
      <c r="C2972" s="1" t="n">
        <v>45576</v>
      </c>
      <c r="D2972" t="inlineStr">
        <is>
          <t>VÄSTERNORRLANDS LÄN</t>
        </is>
      </c>
      <c r="E2972" t="inlineStr">
        <is>
          <t>SOLLEFTEÅ</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31520-2024</t>
        </is>
      </c>
      <c r="B2973" s="1" t="n">
        <v>45505</v>
      </c>
      <c r="C2973" s="1" t="n">
        <v>45576</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31516-2024</t>
        </is>
      </c>
      <c r="B2974" s="1" t="n">
        <v>45505</v>
      </c>
      <c r="C2974" s="1" t="n">
        <v>45576</v>
      </c>
      <c r="D2974" t="inlineStr">
        <is>
          <t>VÄSTERNORRLANDS LÄN</t>
        </is>
      </c>
      <c r="E2974" t="inlineStr">
        <is>
          <t>SOLLEFTEÅ</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31569-2024</t>
        </is>
      </c>
      <c r="B2975" s="1" t="n">
        <v>45505</v>
      </c>
      <c r="C2975" s="1" t="n">
        <v>45576</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31548-2024</t>
        </is>
      </c>
      <c r="B2976" s="1" t="n">
        <v>45506</v>
      </c>
      <c r="C2976" s="1" t="n">
        <v>45576</v>
      </c>
      <c r="D2976" t="inlineStr">
        <is>
          <t>VÄSTERNORRLANDS LÄN</t>
        </is>
      </c>
      <c r="E2976" t="inlineStr">
        <is>
          <t>SOLLEFTEÅ</t>
        </is>
      </c>
      <c r="F2976" t="inlineStr">
        <is>
          <t>SCA</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31680-2024</t>
        </is>
      </c>
      <c r="B2977" s="1" t="n">
        <v>45507</v>
      </c>
      <c r="C2977" s="1" t="n">
        <v>45576</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31669-2024</t>
        </is>
      </c>
      <c r="B2978" s="1" t="n">
        <v>45507</v>
      </c>
      <c r="C2978" s="1" t="n">
        <v>45576</v>
      </c>
      <c r="D2978" t="inlineStr">
        <is>
          <t>VÄSTERNORRLANDS LÄN</t>
        </is>
      </c>
      <c r="E2978" t="inlineStr">
        <is>
          <t>SOLLEFTEÅ</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31614-2024</t>
        </is>
      </c>
      <c r="B2979" s="1" t="n">
        <v>45506</v>
      </c>
      <c r="C2979" s="1" t="n">
        <v>45576</v>
      </c>
      <c r="D2979" t="inlineStr">
        <is>
          <t>VÄSTERNORRLANDS LÄN</t>
        </is>
      </c>
      <c r="E2979" t="inlineStr">
        <is>
          <t>SOLLEFTEÅ</t>
        </is>
      </c>
      <c r="F2979" t="inlineStr">
        <is>
          <t>Kommuner</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31681-2024</t>
        </is>
      </c>
      <c r="B2980" s="1" t="n">
        <v>45507</v>
      </c>
      <c r="C2980" s="1" t="n">
        <v>45576</v>
      </c>
      <c r="D2980" t="inlineStr">
        <is>
          <t>VÄSTERNORRLANDS LÄN</t>
        </is>
      </c>
      <c r="E2980" t="inlineStr">
        <is>
          <t>SOLLEFTEÅ</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31658-2024</t>
        </is>
      </c>
      <c r="B2981" s="1" t="n">
        <v>45506</v>
      </c>
      <c r="C2981" s="1" t="n">
        <v>45576</v>
      </c>
      <c r="D2981" t="inlineStr">
        <is>
          <t>VÄSTERNORRLANDS LÄN</t>
        </is>
      </c>
      <c r="E2981" t="inlineStr">
        <is>
          <t>SOLLEFTEÅ</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31662-2024</t>
        </is>
      </c>
      <c r="B2982" s="1" t="n">
        <v>45507</v>
      </c>
      <c r="C2982" s="1" t="n">
        <v>45576</v>
      </c>
      <c r="D2982" t="inlineStr">
        <is>
          <t>VÄSTERNORRLANDS LÄN</t>
        </is>
      </c>
      <c r="E2982" t="inlineStr">
        <is>
          <t>SOLLEFTEÅ</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31670-2024</t>
        </is>
      </c>
      <c r="B2983" s="1" t="n">
        <v>45507</v>
      </c>
      <c r="C2983" s="1" t="n">
        <v>45576</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31686-2024</t>
        </is>
      </c>
      <c r="B2984" s="1" t="n">
        <v>45506</v>
      </c>
      <c r="C2984" s="1" t="n">
        <v>45576</v>
      </c>
      <c r="D2984" t="inlineStr">
        <is>
          <t>VÄSTERNORRLANDS LÄN</t>
        </is>
      </c>
      <c r="E2984" t="inlineStr">
        <is>
          <t>SOLLEFTEÅ</t>
        </is>
      </c>
      <c r="F2984" t="inlineStr">
        <is>
          <t>SCA</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31708-2024</t>
        </is>
      </c>
      <c r="B2985" s="1" t="n">
        <v>45509</v>
      </c>
      <c r="C2985" s="1" t="n">
        <v>45576</v>
      </c>
      <c r="D2985" t="inlineStr">
        <is>
          <t>VÄSTERNORRLANDS LÄN</t>
        </is>
      </c>
      <c r="E2985" t="inlineStr">
        <is>
          <t>SOLLEFTEÅ</t>
        </is>
      </c>
      <c r="F2985" t="inlineStr">
        <is>
          <t>SCA</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31807-2024</t>
        </is>
      </c>
      <c r="B2986" s="1" t="n">
        <v>45509</v>
      </c>
      <c r="C2986" s="1" t="n">
        <v>45576</v>
      </c>
      <c r="D2986" t="inlineStr">
        <is>
          <t>VÄSTERNORRLANDS LÄN</t>
        </is>
      </c>
      <c r="E2986" t="inlineStr">
        <is>
          <t>SOLLEFTEÅ</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31886-2024</t>
        </is>
      </c>
      <c r="B2987" s="1" t="n">
        <v>45510</v>
      </c>
      <c r="C2987" s="1" t="n">
        <v>45576</v>
      </c>
      <c r="D2987" t="inlineStr">
        <is>
          <t>VÄSTERNORRLANDS LÄN</t>
        </is>
      </c>
      <c r="E2987" t="inlineStr">
        <is>
          <t>SOLLEFTEÅ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31881-2024</t>
        </is>
      </c>
      <c r="B2988" s="1" t="n">
        <v>45509</v>
      </c>
      <c r="C2988" s="1" t="n">
        <v>45576</v>
      </c>
      <c r="D2988" t="inlineStr">
        <is>
          <t>VÄSTERNORRLANDS LÄN</t>
        </is>
      </c>
      <c r="E2988" t="inlineStr">
        <is>
          <t>SOLLEFTEÅ</t>
        </is>
      </c>
      <c r="F2988" t="inlineStr">
        <is>
          <t>SCA</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31885-2024</t>
        </is>
      </c>
      <c r="B2989" s="1" t="n">
        <v>45510</v>
      </c>
      <c r="C2989" s="1" t="n">
        <v>45576</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31889-2024</t>
        </is>
      </c>
      <c r="B2990" s="1" t="n">
        <v>45510</v>
      </c>
      <c r="C2990" s="1" t="n">
        <v>45576</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31880-2024</t>
        </is>
      </c>
      <c r="B2991" s="1" t="n">
        <v>45509</v>
      </c>
      <c r="C2991" s="1" t="n">
        <v>45576</v>
      </c>
      <c r="D2991" t="inlineStr">
        <is>
          <t>VÄSTERNORRLANDS LÄN</t>
        </is>
      </c>
      <c r="E2991" t="inlineStr">
        <is>
          <t>SOLLEFTEÅ</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32062-2024</t>
        </is>
      </c>
      <c r="B2992" s="1" t="n">
        <v>45510</v>
      </c>
      <c r="C2992" s="1" t="n">
        <v>45576</v>
      </c>
      <c r="D2992" t="inlineStr">
        <is>
          <t>VÄSTERNORRLANDS LÄN</t>
        </is>
      </c>
      <c r="E2992" t="inlineStr">
        <is>
          <t>SOLLEFTEÅ</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32052-2024</t>
        </is>
      </c>
      <c r="B2993" s="1" t="n">
        <v>45511</v>
      </c>
      <c r="C2993" s="1" t="n">
        <v>45576</v>
      </c>
      <c r="D2993" t="inlineStr">
        <is>
          <t>VÄSTERNORRLANDS LÄN</t>
        </is>
      </c>
      <c r="E2993" t="inlineStr">
        <is>
          <t>SOLLEFTEÅ</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32071-2024</t>
        </is>
      </c>
      <c r="B2994" s="1" t="n">
        <v>45511</v>
      </c>
      <c r="C2994" s="1" t="n">
        <v>45576</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32242-2024</t>
        </is>
      </c>
      <c r="B2995" s="1" t="n">
        <v>45512</v>
      </c>
      <c r="C2995" s="1" t="n">
        <v>45576</v>
      </c>
      <c r="D2995" t="inlineStr">
        <is>
          <t>VÄSTERNORRLANDS LÄN</t>
        </is>
      </c>
      <c r="E2995" t="inlineStr">
        <is>
          <t>SOLLEFTEÅ</t>
        </is>
      </c>
      <c r="F2995" t="inlineStr">
        <is>
          <t>SCA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32255-2024</t>
        </is>
      </c>
      <c r="B2996" s="1" t="n">
        <v>45512</v>
      </c>
      <c r="C2996" s="1" t="n">
        <v>45576</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32140-2024</t>
        </is>
      </c>
      <c r="B2997" s="1" t="n">
        <v>45511</v>
      </c>
      <c r="C2997" s="1" t="n">
        <v>45576</v>
      </c>
      <c r="D2997" t="inlineStr">
        <is>
          <t>VÄSTERNORRLANDS LÄN</t>
        </is>
      </c>
      <c r="E2997" t="inlineStr">
        <is>
          <t>SOLLEFTEÅ</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32157-2024</t>
        </is>
      </c>
      <c r="B2998" s="1" t="n">
        <v>45511</v>
      </c>
      <c r="C2998" s="1" t="n">
        <v>45576</v>
      </c>
      <c r="D2998" t="inlineStr">
        <is>
          <t>VÄSTERNORRLANDS LÄN</t>
        </is>
      </c>
      <c r="E2998" t="inlineStr">
        <is>
          <t>SOLLEFTEÅ</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32459-2024</t>
        </is>
      </c>
      <c r="B2999" s="1" t="n">
        <v>45512</v>
      </c>
      <c r="C2999" s="1" t="n">
        <v>45576</v>
      </c>
      <c r="D2999" t="inlineStr">
        <is>
          <t>VÄSTERNORRLANDS LÄN</t>
        </is>
      </c>
      <c r="E2999" t="inlineStr">
        <is>
          <t>SOLLEFTEÅ</t>
        </is>
      </c>
      <c r="F2999" t="inlineStr">
        <is>
          <t>SCA</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32467-2024</t>
        </is>
      </c>
      <c r="B3000" s="1" t="n">
        <v>45512</v>
      </c>
      <c r="C3000" s="1" t="n">
        <v>45576</v>
      </c>
      <c r="D3000" t="inlineStr">
        <is>
          <t>VÄSTERNORRLANDS LÄN</t>
        </is>
      </c>
      <c r="E3000" t="inlineStr">
        <is>
          <t>SOLLEFTEÅ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32754-2024</t>
        </is>
      </c>
      <c r="B3001" s="1" t="n">
        <v>45516</v>
      </c>
      <c r="C3001" s="1" t="n">
        <v>45576</v>
      </c>
      <c r="D3001" t="inlineStr">
        <is>
          <t>VÄSTERNORRLANDS LÄN</t>
        </is>
      </c>
      <c r="E3001" t="inlineStr">
        <is>
          <t>SOLLEFTEÅ</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32924-2024</t>
        </is>
      </c>
      <c r="B3002" s="1" t="n">
        <v>45517</v>
      </c>
      <c r="C3002" s="1" t="n">
        <v>45576</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32812-2024</t>
        </is>
      </c>
      <c r="B3003" s="1" t="n">
        <v>45516</v>
      </c>
      <c r="C3003" s="1" t="n">
        <v>45576</v>
      </c>
      <c r="D3003" t="inlineStr">
        <is>
          <t>VÄSTERNORRLANDS LÄN</t>
        </is>
      </c>
      <c r="E3003" t="inlineStr">
        <is>
          <t>SOLLEFTEÅ</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32702-2024</t>
        </is>
      </c>
      <c r="B3004" s="1" t="n">
        <v>45516</v>
      </c>
      <c r="C3004" s="1" t="n">
        <v>45576</v>
      </c>
      <c r="D3004" t="inlineStr">
        <is>
          <t>VÄSTERNORRLANDS LÄN</t>
        </is>
      </c>
      <c r="E3004" t="inlineStr">
        <is>
          <t>SOLLEFTEÅ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33110-2024</t>
        </is>
      </c>
      <c r="B3005" s="1" t="n">
        <v>45517</v>
      </c>
      <c r="C3005" s="1" t="n">
        <v>45576</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33111-2024</t>
        </is>
      </c>
      <c r="B3006" s="1" t="n">
        <v>45517</v>
      </c>
      <c r="C3006" s="1" t="n">
        <v>45576</v>
      </c>
      <c r="D3006" t="inlineStr">
        <is>
          <t>VÄSTERNORRLANDS LÄN</t>
        </is>
      </c>
      <c r="E3006" t="inlineStr">
        <is>
          <t>SOLLEFTEÅ</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33031-2024</t>
        </is>
      </c>
      <c r="B3007" s="1" t="n">
        <v>45517</v>
      </c>
      <c r="C3007" s="1" t="n">
        <v>45576</v>
      </c>
      <c r="D3007" t="inlineStr">
        <is>
          <t>VÄSTERNORRLANDS LÄN</t>
        </is>
      </c>
      <c r="E3007" t="inlineStr">
        <is>
          <t>SOLLEFTEÅ</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33241-2024</t>
        </is>
      </c>
      <c r="B3008" s="1" t="n">
        <v>45518</v>
      </c>
      <c r="C3008" s="1" t="n">
        <v>45576</v>
      </c>
      <c r="D3008" t="inlineStr">
        <is>
          <t>VÄSTERNORRLANDS LÄN</t>
        </is>
      </c>
      <c r="E3008" t="inlineStr">
        <is>
          <t>SOLLEFTEÅ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33316-2024</t>
        </is>
      </c>
      <c r="B3009" s="1" t="n">
        <v>45519</v>
      </c>
      <c r="C3009" s="1" t="n">
        <v>45576</v>
      </c>
      <c r="D3009" t="inlineStr">
        <is>
          <t>VÄSTERNORRLANDS LÄN</t>
        </is>
      </c>
      <c r="E3009" t="inlineStr">
        <is>
          <t>SOLLEFTEÅ</t>
        </is>
      </c>
      <c r="F3009" t="inlineStr">
        <is>
          <t>SCA</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33312-2024</t>
        </is>
      </c>
      <c r="B3010" s="1" t="n">
        <v>45519</v>
      </c>
      <c r="C3010" s="1" t="n">
        <v>45576</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33141-2024</t>
        </is>
      </c>
      <c r="B3011" s="1" t="n">
        <v>45518</v>
      </c>
      <c r="C3011" s="1" t="n">
        <v>45576</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33134-2024</t>
        </is>
      </c>
      <c r="B3012" s="1" t="n">
        <v>45518</v>
      </c>
      <c r="C3012" s="1" t="n">
        <v>45576</v>
      </c>
      <c r="D3012" t="inlineStr">
        <is>
          <t>VÄSTERNORRLANDS LÄN</t>
        </is>
      </c>
      <c r="E3012" t="inlineStr">
        <is>
          <t>SOLLEFTEÅ</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33314-2024</t>
        </is>
      </c>
      <c r="B3013" s="1" t="n">
        <v>45519</v>
      </c>
      <c r="C3013" s="1" t="n">
        <v>45576</v>
      </c>
      <c r="D3013" t="inlineStr">
        <is>
          <t>VÄSTERNORRLANDS LÄN</t>
        </is>
      </c>
      <c r="E3013" t="inlineStr">
        <is>
          <t>SOLLEFTEÅ</t>
        </is>
      </c>
      <c r="F3013" t="inlineStr">
        <is>
          <t>SCA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33332-2024</t>
        </is>
      </c>
      <c r="B3014" s="1" t="n">
        <v>45519</v>
      </c>
      <c r="C3014" s="1" t="n">
        <v>45576</v>
      </c>
      <c r="D3014" t="inlineStr">
        <is>
          <t>VÄSTERNORRLANDS LÄN</t>
        </is>
      </c>
      <c r="E3014" t="inlineStr">
        <is>
          <t>SOLLEFTEÅ</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33490-2024</t>
        </is>
      </c>
      <c r="B3015" s="1" t="n">
        <v>45519</v>
      </c>
      <c r="C3015" s="1" t="n">
        <v>45576</v>
      </c>
      <c r="D3015" t="inlineStr">
        <is>
          <t>VÄSTERNORRLANDS LÄN</t>
        </is>
      </c>
      <c r="E3015" t="inlineStr">
        <is>
          <t>SOLLEFTEÅ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33617-2024</t>
        </is>
      </c>
      <c r="B3016" s="1" t="n">
        <v>45520</v>
      </c>
      <c r="C3016" s="1" t="n">
        <v>45576</v>
      </c>
      <c r="D3016" t="inlineStr">
        <is>
          <t>VÄSTERNORRLANDS LÄN</t>
        </is>
      </c>
      <c r="E3016" t="inlineStr">
        <is>
          <t>SOLLEFTEÅ</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33628-2024</t>
        </is>
      </c>
      <c r="B3017" s="1" t="n">
        <v>45520</v>
      </c>
      <c r="C3017" s="1" t="n">
        <v>45576</v>
      </c>
      <c r="D3017" t="inlineStr">
        <is>
          <t>VÄSTERNORRLANDS LÄN</t>
        </is>
      </c>
      <c r="E3017" t="inlineStr">
        <is>
          <t>SOLLEFTEÅ</t>
        </is>
      </c>
      <c r="F3017" t="inlineStr">
        <is>
          <t>Holmen skog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33677-2024</t>
        </is>
      </c>
      <c r="B3018" s="1" t="n">
        <v>45520</v>
      </c>
      <c r="C3018" s="1" t="n">
        <v>45576</v>
      </c>
      <c r="D3018" t="inlineStr">
        <is>
          <t>VÄSTERNORRLANDS LÄN</t>
        </is>
      </c>
      <c r="E3018" t="inlineStr">
        <is>
          <t>SOLLEFTEÅ</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33739-2024</t>
        </is>
      </c>
      <c r="B3019" s="1" t="n">
        <v>45520</v>
      </c>
      <c r="C3019" s="1" t="n">
        <v>45576</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33656-2024</t>
        </is>
      </c>
      <c r="B3020" s="1" t="n">
        <v>45520</v>
      </c>
      <c r="C3020" s="1" t="n">
        <v>45576</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33799-2024</t>
        </is>
      </c>
      <c r="B3021" s="1" t="n">
        <v>45520</v>
      </c>
      <c r="C3021" s="1" t="n">
        <v>45576</v>
      </c>
      <c r="D3021" t="inlineStr">
        <is>
          <t>VÄSTERNORRLANDS LÄN</t>
        </is>
      </c>
      <c r="E3021" t="inlineStr">
        <is>
          <t>SOLLEFTEÅ</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33815-2024</t>
        </is>
      </c>
      <c r="B3022" s="1" t="n">
        <v>45520</v>
      </c>
      <c r="C3022" s="1" t="n">
        <v>45576</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34318-2024</t>
        </is>
      </c>
      <c r="B3023" s="1" t="n">
        <v>45524</v>
      </c>
      <c r="C3023" s="1" t="n">
        <v>45576</v>
      </c>
      <c r="D3023" t="inlineStr">
        <is>
          <t>VÄSTERNORRLANDS LÄN</t>
        </is>
      </c>
      <c r="E3023" t="inlineStr">
        <is>
          <t>SOLLEFTEÅ</t>
        </is>
      </c>
      <c r="F3023" t="inlineStr">
        <is>
          <t>Övriga statliga verk och myndigheter</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34216-2024</t>
        </is>
      </c>
      <c r="B3024" s="1" t="n">
        <v>45524</v>
      </c>
      <c r="C3024" s="1" t="n">
        <v>45576</v>
      </c>
      <c r="D3024" t="inlineStr">
        <is>
          <t>VÄSTERNORRLANDS LÄN</t>
        </is>
      </c>
      <c r="E3024" t="inlineStr">
        <is>
          <t>SOLLEFTEÅ</t>
        </is>
      </c>
      <c r="F3024" t="inlineStr">
        <is>
          <t>Kommuner</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34313-2024</t>
        </is>
      </c>
      <c r="B3025" s="1" t="n">
        <v>45524</v>
      </c>
      <c r="C3025" s="1" t="n">
        <v>45576</v>
      </c>
      <c r="D3025" t="inlineStr">
        <is>
          <t>VÄSTERNORRLANDS LÄN</t>
        </is>
      </c>
      <c r="E3025" t="inlineStr">
        <is>
          <t>SOLLEFTEÅ</t>
        </is>
      </c>
      <c r="F3025" t="inlineStr">
        <is>
          <t>Övriga statliga verk och myndigheter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34316-2024</t>
        </is>
      </c>
      <c r="B3026" s="1" t="n">
        <v>45524</v>
      </c>
      <c r="C3026" s="1" t="n">
        <v>45576</v>
      </c>
      <c r="D3026" t="inlineStr">
        <is>
          <t>VÄSTERNORRLANDS LÄN</t>
        </is>
      </c>
      <c r="E3026" t="inlineStr">
        <is>
          <t>SOLLEFTEÅ</t>
        </is>
      </c>
      <c r="F3026" t="inlineStr">
        <is>
          <t>Övriga statliga verk och myndigheter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34398-2024</t>
        </is>
      </c>
      <c r="B3027" s="1" t="n">
        <v>45525</v>
      </c>
      <c r="C3027" s="1" t="n">
        <v>45576</v>
      </c>
      <c r="D3027" t="inlineStr">
        <is>
          <t>VÄSTERNORRLANDS LÄN</t>
        </is>
      </c>
      <c r="E3027" t="inlineStr">
        <is>
          <t>SOLLEFTEÅ</t>
        </is>
      </c>
      <c r="F3027" t="inlineStr">
        <is>
          <t>Holmen skog AB</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34458-2024</t>
        </is>
      </c>
      <c r="B3028" s="1" t="n">
        <v>45525</v>
      </c>
      <c r="C3028" s="1" t="n">
        <v>45576</v>
      </c>
      <c r="D3028" t="inlineStr">
        <is>
          <t>VÄSTERNORRLANDS LÄN</t>
        </is>
      </c>
      <c r="E3028" t="inlineStr">
        <is>
          <t>SOLLEFTEÅ</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34388-2024</t>
        </is>
      </c>
      <c r="B3029" s="1" t="n">
        <v>45525</v>
      </c>
      <c r="C3029" s="1" t="n">
        <v>45576</v>
      </c>
      <c r="D3029" t="inlineStr">
        <is>
          <t>VÄSTERNORRLANDS LÄN</t>
        </is>
      </c>
      <c r="E3029" t="inlineStr">
        <is>
          <t>SOLLEFTEÅ</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34376-2024</t>
        </is>
      </c>
      <c r="B3030" s="1" t="n">
        <v>45525</v>
      </c>
      <c r="C3030" s="1" t="n">
        <v>45576</v>
      </c>
      <c r="D3030" t="inlineStr">
        <is>
          <t>VÄSTERNORRLANDS LÄN</t>
        </is>
      </c>
      <c r="E3030" t="inlineStr">
        <is>
          <t>SOLLEFTEÅ</t>
        </is>
      </c>
      <c r="F3030" t="inlineStr">
        <is>
          <t>Övriga statliga verk och myndigheter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34460-2024</t>
        </is>
      </c>
      <c r="B3031" s="1" t="n">
        <v>45525</v>
      </c>
      <c r="C3031" s="1" t="n">
        <v>45576</v>
      </c>
      <c r="D3031" t="inlineStr">
        <is>
          <t>VÄSTERNORRLANDS LÄN</t>
        </is>
      </c>
      <c r="E3031" t="inlineStr">
        <is>
          <t>SOLLEFTEÅ</t>
        </is>
      </c>
      <c r="F3031" t="inlineStr">
        <is>
          <t>Kommuner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34640-2024</t>
        </is>
      </c>
      <c r="B3032" s="1" t="n">
        <v>45526</v>
      </c>
      <c r="C3032" s="1" t="n">
        <v>45576</v>
      </c>
      <c r="D3032" t="inlineStr">
        <is>
          <t>VÄSTERNORRLANDS LÄN</t>
        </is>
      </c>
      <c r="E3032" t="inlineStr">
        <is>
          <t>SOLLEFTEÅ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34700-2024</t>
        </is>
      </c>
      <c r="B3033" s="1" t="n">
        <v>45526</v>
      </c>
      <c r="C3033" s="1" t="n">
        <v>45576</v>
      </c>
      <c r="D3033" t="inlineStr">
        <is>
          <t>VÄSTERNORRLANDS LÄN</t>
        </is>
      </c>
      <c r="E3033" t="inlineStr">
        <is>
          <t>SOLLEFTEÅ</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34560-2024</t>
        </is>
      </c>
      <c r="B3034" s="1" t="n">
        <v>45526</v>
      </c>
      <c r="C3034" s="1" t="n">
        <v>45576</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34765-2024</t>
        </is>
      </c>
      <c r="B3035" s="1" t="n">
        <v>45526</v>
      </c>
      <c r="C3035" s="1" t="n">
        <v>45576</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34638-2024</t>
        </is>
      </c>
      <c r="B3036" s="1" t="n">
        <v>45526</v>
      </c>
      <c r="C3036" s="1" t="n">
        <v>45576</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34878-2024</t>
        </is>
      </c>
      <c r="B3037" s="1" t="n">
        <v>45527</v>
      </c>
      <c r="C3037" s="1" t="n">
        <v>45576</v>
      </c>
      <c r="D3037" t="inlineStr">
        <is>
          <t>VÄSTERNORRLANDS LÄN</t>
        </is>
      </c>
      <c r="E3037" t="inlineStr">
        <is>
          <t>SOLLEFTEÅ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35217-2024</t>
        </is>
      </c>
      <c r="B3038" s="1" t="n">
        <v>45530</v>
      </c>
      <c r="C3038" s="1" t="n">
        <v>45576</v>
      </c>
      <c r="D3038" t="inlineStr">
        <is>
          <t>VÄSTERNORRLANDS LÄN</t>
        </is>
      </c>
      <c r="E3038" t="inlineStr">
        <is>
          <t>SOLLEFTEÅ</t>
        </is>
      </c>
      <c r="F3038" t="inlineStr">
        <is>
          <t>Kommuner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35391-2024</t>
        </is>
      </c>
      <c r="B3039" s="1" t="n">
        <v>45531</v>
      </c>
      <c r="C3039" s="1" t="n">
        <v>45576</v>
      </c>
      <c r="D3039" t="inlineStr">
        <is>
          <t>VÄSTERNORRLANDS LÄN</t>
        </is>
      </c>
      <c r="E3039" t="inlineStr">
        <is>
          <t>SOLLEFTEÅ</t>
        </is>
      </c>
      <c r="F3039" t="inlineStr">
        <is>
          <t>SCA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35417-2024</t>
        </is>
      </c>
      <c r="B3040" s="1" t="n">
        <v>45531</v>
      </c>
      <c r="C3040" s="1" t="n">
        <v>45576</v>
      </c>
      <c r="D3040" t="inlineStr">
        <is>
          <t>VÄSTERNORRLANDS LÄN</t>
        </is>
      </c>
      <c r="E3040" t="inlineStr">
        <is>
          <t>SOLLEFTEÅ</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35469-2024</t>
        </is>
      </c>
      <c r="B3041" s="1" t="n">
        <v>45531</v>
      </c>
      <c r="C3041" s="1" t="n">
        <v>45576</v>
      </c>
      <c r="D3041" t="inlineStr">
        <is>
          <t>VÄSTERNORRLANDS LÄN</t>
        </is>
      </c>
      <c r="E3041" t="inlineStr">
        <is>
          <t>SOLLEFTEÅ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35502-2024</t>
        </is>
      </c>
      <c r="B3042" s="1" t="n">
        <v>45531</v>
      </c>
      <c r="C3042" s="1" t="n">
        <v>45576</v>
      </c>
      <c r="D3042" t="inlineStr">
        <is>
          <t>VÄSTERNORRLANDS LÄN</t>
        </is>
      </c>
      <c r="E3042" t="inlineStr">
        <is>
          <t>SOLLEFTEÅ</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35420-2024</t>
        </is>
      </c>
      <c r="B3043" s="1" t="n">
        <v>45531</v>
      </c>
      <c r="C3043" s="1" t="n">
        <v>45576</v>
      </c>
      <c r="D3043" t="inlineStr">
        <is>
          <t>VÄSTERNORRLANDS LÄN</t>
        </is>
      </c>
      <c r="E3043" t="inlineStr">
        <is>
          <t>SOLLEFTEÅ</t>
        </is>
      </c>
      <c r="F3043" t="inlineStr">
        <is>
          <t>SCA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35509-2024</t>
        </is>
      </c>
      <c r="B3044" s="1" t="n">
        <v>45531</v>
      </c>
      <c r="C3044" s="1" t="n">
        <v>45576</v>
      </c>
      <c r="D3044" t="inlineStr">
        <is>
          <t>VÄSTERNORRLANDS LÄN</t>
        </is>
      </c>
      <c r="E3044" t="inlineStr">
        <is>
          <t>SOLLEFTEÅ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35513-2024</t>
        </is>
      </c>
      <c r="B3045" s="1" t="n">
        <v>45531</v>
      </c>
      <c r="C3045" s="1" t="n">
        <v>45576</v>
      </c>
      <c r="D3045" t="inlineStr">
        <is>
          <t>VÄSTERNORRLANDS LÄN</t>
        </is>
      </c>
      <c r="E3045" t="inlineStr">
        <is>
          <t>SOLLEFTEÅ</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35463-2024</t>
        </is>
      </c>
      <c r="B3046" s="1" t="n">
        <v>45531</v>
      </c>
      <c r="C3046" s="1" t="n">
        <v>45576</v>
      </c>
      <c r="D3046" t="inlineStr">
        <is>
          <t>VÄSTERNORRLANDS LÄN</t>
        </is>
      </c>
      <c r="E3046" t="inlineStr">
        <is>
          <t>SOLLEFTEÅ</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35508-2024</t>
        </is>
      </c>
      <c r="B3047" s="1" t="n">
        <v>45531</v>
      </c>
      <c r="C3047" s="1" t="n">
        <v>45576</v>
      </c>
      <c r="D3047" t="inlineStr">
        <is>
          <t>VÄSTERNORRLANDS LÄN</t>
        </is>
      </c>
      <c r="E3047" t="inlineStr">
        <is>
          <t>SOLLEFTEÅ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35673-2024</t>
        </is>
      </c>
      <c r="B3048" s="1" t="n">
        <v>45532</v>
      </c>
      <c r="C3048" s="1" t="n">
        <v>45576</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35794-2024</t>
        </is>
      </c>
      <c r="B3049" s="1" t="n">
        <v>45532</v>
      </c>
      <c r="C3049" s="1" t="n">
        <v>45576</v>
      </c>
      <c r="D3049" t="inlineStr">
        <is>
          <t>VÄSTERNORRLANDS LÄN</t>
        </is>
      </c>
      <c r="E3049" t="inlineStr">
        <is>
          <t>SOLLEFTEÅ</t>
        </is>
      </c>
      <c r="F3049" t="inlineStr">
        <is>
          <t>SCA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35795-2024</t>
        </is>
      </c>
      <c r="B3050" s="1" t="n">
        <v>45532</v>
      </c>
      <c r="C3050" s="1" t="n">
        <v>45576</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35803-2024</t>
        </is>
      </c>
      <c r="B3051" s="1" t="n">
        <v>45532</v>
      </c>
      <c r="C3051" s="1" t="n">
        <v>45576</v>
      </c>
      <c r="D3051" t="inlineStr">
        <is>
          <t>VÄSTERNORRLANDS LÄN</t>
        </is>
      </c>
      <c r="E3051" t="inlineStr">
        <is>
          <t>SOLLEFTEÅ</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35827-2024</t>
        </is>
      </c>
      <c r="B3052" s="1" t="n">
        <v>45532</v>
      </c>
      <c r="C3052" s="1" t="n">
        <v>45576</v>
      </c>
      <c r="D3052" t="inlineStr">
        <is>
          <t>VÄSTERNORRLANDS LÄN</t>
        </is>
      </c>
      <c r="E3052" t="inlineStr">
        <is>
          <t>SOLLEFTEÅ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35793-2024</t>
        </is>
      </c>
      <c r="B3053" s="1" t="n">
        <v>45532</v>
      </c>
      <c r="C3053" s="1" t="n">
        <v>45576</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35873-2024</t>
        </is>
      </c>
      <c r="B3054" s="1" t="n">
        <v>45533</v>
      </c>
      <c r="C3054" s="1" t="n">
        <v>45576</v>
      </c>
      <c r="D3054" t="inlineStr">
        <is>
          <t>VÄSTERNORRLANDS LÄN</t>
        </is>
      </c>
      <c r="E3054" t="inlineStr">
        <is>
          <t>SOLLEFTEÅ</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35905-2024</t>
        </is>
      </c>
      <c r="B3055" s="1" t="n">
        <v>45533</v>
      </c>
      <c r="C3055" s="1" t="n">
        <v>45576</v>
      </c>
      <c r="D3055" t="inlineStr">
        <is>
          <t>VÄSTERNORRLANDS LÄN</t>
        </is>
      </c>
      <c r="E3055" t="inlineStr">
        <is>
          <t>SOLLEFTEÅ</t>
        </is>
      </c>
      <c r="F3055" t="inlineStr">
        <is>
          <t>SCA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35872-2024</t>
        </is>
      </c>
      <c r="B3056" s="1" t="n">
        <v>45533</v>
      </c>
      <c r="C3056" s="1" t="n">
        <v>45576</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35875-2024</t>
        </is>
      </c>
      <c r="B3057" s="1" t="n">
        <v>45533</v>
      </c>
      <c r="C3057" s="1" t="n">
        <v>45576</v>
      </c>
      <c r="D3057" t="inlineStr">
        <is>
          <t>VÄSTERNORRLANDS LÄN</t>
        </is>
      </c>
      <c r="E3057" t="inlineStr">
        <is>
          <t>SOLLEFTEÅ</t>
        </is>
      </c>
      <c r="F3057" t="inlineStr">
        <is>
          <t>SCA</t>
        </is>
      </c>
      <c r="G3057" t="n">
        <v>10.4</v>
      </c>
      <c r="H3057" t="n">
        <v>0</v>
      </c>
      <c r="I3057" t="n">
        <v>0</v>
      </c>
      <c r="J3057" t="n">
        <v>0</v>
      </c>
      <c r="K3057" t="n">
        <v>0</v>
      </c>
      <c r="L3057" t="n">
        <v>0</v>
      </c>
      <c r="M3057" t="n">
        <v>0</v>
      </c>
      <c r="N3057" t="n">
        <v>0</v>
      </c>
      <c r="O3057" t="n">
        <v>0</v>
      </c>
      <c r="P3057" t="n">
        <v>0</v>
      </c>
      <c r="Q3057" t="n">
        <v>0</v>
      </c>
      <c r="R3057" s="2" t="inlineStr"/>
    </row>
    <row r="3058" ht="15" customHeight="1">
      <c r="A3058" t="inlineStr">
        <is>
          <t>A 36039-2024</t>
        </is>
      </c>
      <c r="B3058" s="1" t="n">
        <v>45533</v>
      </c>
      <c r="C3058" s="1" t="n">
        <v>45576</v>
      </c>
      <c r="D3058" t="inlineStr">
        <is>
          <t>VÄSTERNORRLANDS LÄN</t>
        </is>
      </c>
      <c r="E3058" t="inlineStr">
        <is>
          <t>SOLLEFTEÅ</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36009-2024</t>
        </is>
      </c>
      <c r="B3059" s="1" t="n">
        <v>45533</v>
      </c>
      <c r="C3059" s="1" t="n">
        <v>45576</v>
      </c>
      <c r="D3059" t="inlineStr">
        <is>
          <t>VÄSTERNORRLANDS LÄN</t>
        </is>
      </c>
      <c r="E3059" t="inlineStr">
        <is>
          <t>SOLLEFTEÅ</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36004-2024</t>
        </is>
      </c>
      <c r="B3060" s="1" t="n">
        <v>45533</v>
      </c>
      <c r="C3060" s="1" t="n">
        <v>45576</v>
      </c>
      <c r="D3060" t="inlineStr">
        <is>
          <t>VÄSTERNORRLANDS LÄN</t>
        </is>
      </c>
      <c r="E3060" t="inlineStr">
        <is>
          <t>SOLLEFTEÅ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36137-2024</t>
        </is>
      </c>
      <c r="B3061" s="1" t="n">
        <v>45534</v>
      </c>
      <c r="C3061" s="1" t="n">
        <v>45576</v>
      </c>
      <c r="D3061" t="inlineStr">
        <is>
          <t>VÄSTERNORRLANDS LÄN</t>
        </is>
      </c>
      <c r="E3061" t="inlineStr">
        <is>
          <t>SOLLEFTEÅ</t>
        </is>
      </c>
      <c r="G3061" t="n">
        <v>17.9</v>
      </c>
      <c r="H3061" t="n">
        <v>0</v>
      </c>
      <c r="I3061" t="n">
        <v>0</v>
      </c>
      <c r="J3061" t="n">
        <v>0</v>
      </c>
      <c r="K3061" t="n">
        <v>0</v>
      </c>
      <c r="L3061" t="n">
        <v>0</v>
      </c>
      <c r="M3061" t="n">
        <v>0</v>
      </c>
      <c r="N3061" t="n">
        <v>0</v>
      </c>
      <c r="O3061" t="n">
        <v>0</v>
      </c>
      <c r="P3061" t="n">
        <v>0</v>
      </c>
      <c r="Q3061" t="n">
        <v>0</v>
      </c>
      <c r="R3061" s="2" t="inlineStr"/>
    </row>
    <row r="3062" ht="15" customHeight="1">
      <c r="A3062" t="inlineStr">
        <is>
          <t>A 36141-2024</t>
        </is>
      </c>
      <c r="B3062" s="1" t="n">
        <v>45534</v>
      </c>
      <c r="C3062" s="1" t="n">
        <v>45576</v>
      </c>
      <c r="D3062" t="inlineStr">
        <is>
          <t>VÄSTERNORRLANDS LÄN</t>
        </is>
      </c>
      <c r="E3062" t="inlineStr">
        <is>
          <t>SOLLEFTEÅ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36139-2024</t>
        </is>
      </c>
      <c r="B3063" s="1" t="n">
        <v>45534</v>
      </c>
      <c r="C3063" s="1" t="n">
        <v>45576</v>
      </c>
      <c r="D3063" t="inlineStr">
        <is>
          <t>VÄSTERNORRLANDS LÄN</t>
        </is>
      </c>
      <c r="E3063" t="inlineStr">
        <is>
          <t>SOLLEFTEÅ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36142-2024</t>
        </is>
      </c>
      <c r="B3064" s="1" t="n">
        <v>45534</v>
      </c>
      <c r="C3064" s="1" t="n">
        <v>45576</v>
      </c>
      <c r="D3064" t="inlineStr">
        <is>
          <t>VÄSTERNORRLANDS LÄN</t>
        </is>
      </c>
      <c r="E3064" t="inlineStr">
        <is>
          <t>SOLLEFTEÅ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36322-2024</t>
        </is>
      </c>
      <c r="B3065" s="1" t="n">
        <v>45534</v>
      </c>
      <c r="C3065" s="1" t="n">
        <v>45576</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36144-2024</t>
        </is>
      </c>
      <c r="B3066" s="1" t="n">
        <v>45534</v>
      </c>
      <c r="C3066" s="1" t="n">
        <v>45576</v>
      </c>
      <c r="D3066" t="inlineStr">
        <is>
          <t>VÄSTERNORRLANDS LÄN</t>
        </is>
      </c>
      <c r="E3066" t="inlineStr">
        <is>
          <t>SOLLEFTEÅ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36337-2024</t>
        </is>
      </c>
      <c r="B3067" s="1" t="n">
        <v>45534</v>
      </c>
      <c r="C3067" s="1" t="n">
        <v>45576</v>
      </c>
      <c r="D3067" t="inlineStr">
        <is>
          <t>VÄSTERNORRLANDS LÄN</t>
        </is>
      </c>
      <c r="E3067" t="inlineStr">
        <is>
          <t>SOLLEFTEÅ</t>
        </is>
      </c>
      <c r="F3067" t="inlineStr">
        <is>
          <t>SCA</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36341-2024</t>
        </is>
      </c>
      <c r="B3068" s="1" t="n">
        <v>45534</v>
      </c>
      <c r="C3068" s="1" t="n">
        <v>45576</v>
      </c>
      <c r="D3068" t="inlineStr">
        <is>
          <t>VÄSTERNORRLANDS LÄN</t>
        </is>
      </c>
      <c r="E3068" t="inlineStr">
        <is>
          <t>SOLLEFTEÅ</t>
        </is>
      </c>
      <c r="F3068" t="inlineStr">
        <is>
          <t>SCA</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36319-2024</t>
        </is>
      </c>
      <c r="B3069" s="1" t="n">
        <v>45534</v>
      </c>
      <c r="C3069" s="1" t="n">
        <v>45576</v>
      </c>
      <c r="D3069" t="inlineStr">
        <is>
          <t>VÄSTERNORRLANDS LÄN</t>
        </is>
      </c>
      <c r="E3069" t="inlineStr">
        <is>
          <t>SOLLEFTEÅ</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36352-2024</t>
        </is>
      </c>
      <c r="B3070" s="1" t="n">
        <v>45534</v>
      </c>
      <c r="C3070" s="1" t="n">
        <v>45576</v>
      </c>
      <c r="D3070" t="inlineStr">
        <is>
          <t>VÄSTERNORRLANDS LÄN</t>
        </is>
      </c>
      <c r="E3070" t="inlineStr">
        <is>
          <t>SOLLEFTEÅ</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36463-2024</t>
        </is>
      </c>
      <c r="B3071" s="1" t="n">
        <v>45537</v>
      </c>
      <c r="C3071" s="1" t="n">
        <v>45576</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36471-2024</t>
        </is>
      </c>
      <c r="B3072" s="1" t="n">
        <v>45537</v>
      </c>
      <c r="C3072" s="1" t="n">
        <v>45576</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36685-2024</t>
        </is>
      </c>
      <c r="B3073" s="1" t="n">
        <v>45537</v>
      </c>
      <c r="C3073" s="1" t="n">
        <v>45576</v>
      </c>
      <c r="D3073" t="inlineStr">
        <is>
          <t>VÄSTERNORRLANDS LÄN</t>
        </is>
      </c>
      <c r="E3073" t="inlineStr">
        <is>
          <t>SOLLEFTEÅ</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37197-2024</t>
        </is>
      </c>
      <c r="B3074" s="1" t="n">
        <v>45539</v>
      </c>
      <c r="C3074" s="1" t="n">
        <v>45576</v>
      </c>
      <c r="D3074" t="inlineStr">
        <is>
          <t>VÄSTERNORRLANDS LÄN</t>
        </is>
      </c>
      <c r="E3074" t="inlineStr">
        <is>
          <t>SOLLEFTEÅ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37201-2024</t>
        </is>
      </c>
      <c r="B3075" s="1" t="n">
        <v>45539</v>
      </c>
      <c r="C3075" s="1" t="n">
        <v>45576</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37046-2024</t>
        </is>
      </c>
      <c r="B3076" s="1" t="n">
        <v>45539</v>
      </c>
      <c r="C3076" s="1" t="n">
        <v>45576</v>
      </c>
      <c r="D3076" t="inlineStr">
        <is>
          <t>VÄSTERNORRLANDS LÄN</t>
        </is>
      </c>
      <c r="E3076" t="inlineStr">
        <is>
          <t>SOLLEFTEÅ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37269-2024</t>
        </is>
      </c>
      <c r="B3077" s="1" t="n">
        <v>45540</v>
      </c>
      <c r="C3077" s="1" t="n">
        <v>45576</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37354-2024</t>
        </is>
      </c>
      <c r="B3078" s="1" t="n">
        <v>45540</v>
      </c>
      <c r="C3078" s="1" t="n">
        <v>45576</v>
      </c>
      <c r="D3078" t="inlineStr">
        <is>
          <t>VÄSTERNORRLANDS LÄN</t>
        </is>
      </c>
      <c r="E3078" t="inlineStr">
        <is>
          <t>SOLLEFTEÅ</t>
        </is>
      </c>
      <c r="F3078" t="inlineStr">
        <is>
          <t>Holmen skog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38054-2024</t>
        </is>
      </c>
      <c r="B3079" s="1" t="n">
        <v>45544</v>
      </c>
      <c r="C3079" s="1" t="n">
        <v>45576</v>
      </c>
      <c r="D3079" t="inlineStr">
        <is>
          <t>VÄSTERNORRLANDS LÄN</t>
        </is>
      </c>
      <c r="E3079" t="inlineStr">
        <is>
          <t>SOLLEFTEÅ</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38053-2024</t>
        </is>
      </c>
      <c r="B3080" s="1" t="n">
        <v>45544</v>
      </c>
      <c r="C3080" s="1" t="n">
        <v>45576</v>
      </c>
      <c r="D3080" t="inlineStr">
        <is>
          <t>VÄSTERNORRLANDS LÄN</t>
        </is>
      </c>
      <c r="E3080" t="inlineStr">
        <is>
          <t>SOLLEFTEÅ</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38113-2024</t>
        </is>
      </c>
      <c r="B3081" s="1" t="n">
        <v>45545</v>
      </c>
      <c r="C3081" s="1" t="n">
        <v>45576</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38095-2024</t>
        </is>
      </c>
      <c r="B3082" s="1" t="n">
        <v>45545</v>
      </c>
      <c r="C3082" s="1" t="n">
        <v>45576</v>
      </c>
      <c r="D3082" t="inlineStr">
        <is>
          <t>VÄSTERNORRLANDS LÄN</t>
        </is>
      </c>
      <c r="E3082" t="inlineStr">
        <is>
          <t>SOLLEFTEÅ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38231-2024</t>
        </is>
      </c>
      <c r="B3083" s="1" t="n">
        <v>45545</v>
      </c>
      <c r="C3083" s="1" t="n">
        <v>45576</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38245-2024</t>
        </is>
      </c>
      <c r="B3084" s="1" t="n">
        <v>45545</v>
      </c>
      <c r="C3084" s="1" t="n">
        <v>45576</v>
      </c>
      <c r="D3084" t="inlineStr">
        <is>
          <t>VÄSTERNORRLANDS LÄN</t>
        </is>
      </c>
      <c r="E3084" t="inlineStr">
        <is>
          <t>SOLLEFTEÅ</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38273-2024</t>
        </is>
      </c>
      <c r="B3085" s="1" t="n">
        <v>45545</v>
      </c>
      <c r="C3085" s="1" t="n">
        <v>45576</v>
      </c>
      <c r="D3085" t="inlineStr">
        <is>
          <t>VÄSTERNORRLANDS LÄN</t>
        </is>
      </c>
      <c r="E3085" t="inlineStr">
        <is>
          <t>SOLLEFTEÅ</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38234-2024</t>
        </is>
      </c>
      <c r="B3086" s="1" t="n">
        <v>45545</v>
      </c>
      <c r="C3086" s="1" t="n">
        <v>45576</v>
      </c>
      <c r="D3086" t="inlineStr">
        <is>
          <t>VÄSTERNORRLANDS LÄN</t>
        </is>
      </c>
      <c r="E3086" t="inlineStr">
        <is>
          <t>SOLLEFTEÅ</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38250-2024</t>
        </is>
      </c>
      <c r="B3087" s="1" t="n">
        <v>45545</v>
      </c>
      <c r="C3087" s="1" t="n">
        <v>45576</v>
      </c>
      <c r="D3087" t="inlineStr">
        <is>
          <t>VÄSTERNORRLANDS LÄN</t>
        </is>
      </c>
      <c r="E3087" t="inlineStr">
        <is>
          <t>SOLLEFTEÅ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38294-2024</t>
        </is>
      </c>
      <c r="B3088" s="1" t="n">
        <v>45545</v>
      </c>
      <c r="C3088" s="1" t="n">
        <v>45576</v>
      </c>
      <c r="D3088" t="inlineStr">
        <is>
          <t>VÄSTERNORRLANDS LÄN</t>
        </is>
      </c>
      <c r="E3088" t="inlineStr">
        <is>
          <t>SOLLEFTEÅ</t>
        </is>
      </c>
      <c r="F3088" t="inlineStr">
        <is>
          <t>Kommuner</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38275-2024</t>
        </is>
      </c>
      <c r="B3089" s="1" t="n">
        <v>45545</v>
      </c>
      <c r="C3089" s="1" t="n">
        <v>45576</v>
      </c>
      <c r="D3089" t="inlineStr">
        <is>
          <t>VÄSTERNORRLANDS LÄN</t>
        </is>
      </c>
      <c r="E3089" t="inlineStr">
        <is>
          <t>SOLLEFTEÅ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38442-2024</t>
        </is>
      </c>
      <c r="B3090" s="1" t="n">
        <v>45546</v>
      </c>
      <c r="C3090" s="1" t="n">
        <v>45576</v>
      </c>
      <c r="D3090" t="inlineStr">
        <is>
          <t>VÄSTERNORRLANDS LÄN</t>
        </is>
      </c>
      <c r="E3090" t="inlineStr">
        <is>
          <t>SOLLEFTEÅ</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45576</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41170-2024</t>
        </is>
      </c>
      <c r="B3092" s="1" t="n">
        <v>45546</v>
      </c>
      <c r="C3092" s="1" t="n">
        <v>45576</v>
      </c>
      <c r="D3092" t="inlineStr">
        <is>
          <t>VÄSTERNORRLANDS LÄN</t>
        </is>
      </c>
      <c r="E3092" t="inlineStr">
        <is>
          <t>SOLLEFTEÅ</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38768-2024</t>
        </is>
      </c>
      <c r="B3093" s="1" t="n">
        <v>45547</v>
      </c>
      <c r="C3093" s="1" t="n">
        <v>45576</v>
      </c>
      <c r="D3093" t="inlineStr">
        <is>
          <t>VÄSTERNORRLANDS LÄN</t>
        </is>
      </c>
      <c r="E3093" t="inlineStr">
        <is>
          <t>SOLLEFTEÅ</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38766-2024</t>
        </is>
      </c>
      <c r="B3094" s="1" t="n">
        <v>45547</v>
      </c>
      <c r="C3094" s="1" t="n">
        <v>45576</v>
      </c>
      <c r="D3094" t="inlineStr">
        <is>
          <t>VÄSTERNORRLANDS LÄN</t>
        </is>
      </c>
      <c r="E3094" t="inlineStr">
        <is>
          <t>SOLLEFTEÅ</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38767-2024</t>
        </is>
      </c>
      <c r="B3095" s="1" t="n">
        <v>45547</v>
      </c>
      <c r="C3095" s="1" t="n">
        <v>45576</v>
      </c>
      <c r="D3095" t="inlineStr">
        <is>
          <t>VÄSTERNORRLANDS LÄN</t>
        </is>
      </c>
      <c r="E3095" t="inlineStr">
        <is>
          <t>SOLLEFTEÅ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38749-2024</t>
        </is>
      </c>
      <c r="B3096" s="1" t="n">
        <v>45547</v>
      </c>
      <c r="C3096" s="1" t="n">
        <v>45576</v>
      </c>
      <c r="D3096" t="inlineStr">
        <is>
          <t>VÄSTERNORRLANDS LÄN</t>
        </is>
      </c>
      <c r="E3096" t="inlineStr">
        <is>
          <t>SOLLEFTEÅ</t>
        </is>
      </c>
      <c r="F3096" t="inlineStr">
        <is>
          <t>SCA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45576</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45576</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39177-2024</t>
        </is>
      </c>
      <c r="B3099" s="1" t="n">
        <v>45548</v>
      </c>
      <c r="C3099" s="1" t="n">
        <v>45576</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39271-2024</t>
        </is>
      </c>
      <c r="B3100" s="1" t="n">
        <v>45551</v>
      </c>
      <c r="C3100" s="1" t="n">
        <v>45576</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39449-2024</t>
        </is>
      </c>
      <c r="B3101" s="1" t="n">
        <v>45551</v>
      </c>
      <c r="C3101" s="1" t="n">
        <v>45576</v>
      </c>
      <c r="D3101" t="inlineStr">
        <is>
          <t>VÄSTERNORRLANDS LÄN</t>
        </is>
      </c>
      <c r="E3101" t="inlineStr">
        <is>
          <t>SOLLEFTEÅ</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39469-2024</t>
        </is>
      </c>
      <c r="B3102" s="1" t="n">
        <v>45551</v>
      </c>
      <c r="C3102" s="1" t="n">
        <v>45576</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39446-2024</t>
        </is>
      </c>
      <c r="B3103" s="1" t="n">
        <v>45551</v>
      </c>
      <c r="C3103" s="1" t="n">
        <v>45576</v>
      </c>
      <c r="D3103" t="inlineStr">
        <is>
          <t>VÄSTERNORRLANDS LÄN</t>
        </is>
      </c>
      <c r="E3103" t="inlineStr">
        <is>
          <t>SOLLEFTEÅ</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39500-2024</t>
        </is>
      </c>
      <c r="B3104" s="1" t="n">
        <v>45551</v>
      </c>
      <c r="C3104" s="1" t="n">
        <v>45576</v>
      </c>
      <c r="D3104" t="inlineStr">
        <is>
          <t>VÄSTERNORRLANDS LÄN</t>
        </is>
      </c>
      <c r="E3104" t="inlineStr">
        <is>
          <t>SOLLEFTEÅ</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39429-2024</t>
        </is>
      </c>
      <c r="B3105" s="1" t="n">
        <v>45551</v>
      </c>
      <c r="C3105" s="1" t="n">
        <v>45576</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39755-2024</t>
        </is>
      </c>
      <c r="B3106" s="1" t="n">
        <v>45552</v>
      </c>
      <c r="C3106" s="1" t="n">
        <v>45576</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39744-2024</t>
        </is>
      </c>
      <c r="B3107" s="1" t="n">
        <v>45552</v>
      </c>
      <c r="C3107" s="1" t="n">
        <v>45576</v>
      </c>
      <c r="D3107" t="inlineStr">
        <is>
          <t>VÄSTERNORRLANDS LÄN</t>
        </is>
      </c>
      <c r="E3107" t="inlineStr">
        <is>
          <t>SOLLEFTEÅ</t>
        </is>
      </c>
      <c r="F3107" t="inlineStr">
        <is>
          <t>SCA</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39801-2024</t>
        </is>
      </c>
      <c r="B3108" s="1" t="n">
        <v>45553</v>
      </c>
      <c r="C3108" s="1" t="n">
        <v>45576</v>
      </c>
      <c r="D3108" t="inlineStr">
        <is>
          <t>VÄSTERNORRLANDS LÄN</t>
        </is>
      </c>
      <c r="E3108" t="inlineStr">
        <is>
          <t>SOLLEFTEÅ</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39802-2024</t>
        </is>
      </c>
      <c r="B3109" s="1" t="n">
        <v>45553</v>
      </c>
      <c r="C3109" s="1" t="n">
        <v>45576</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39799-2024</t>
        </is>
      </c>
      <c r="B3110" s="1" t="n">
        <v>45553</v>
      </c>
      <c r="C3110" s="1" t="n">
        <v>45576</v>
      </c>
      <c r="D3110" t="inlineStr">
        <is>
          <t>VÄSTERNORRLANDS LÄN</t>
        </is>
      </c>
      <c r="E3110" t="inlineStr">
        <is>
          <t>SOLLEFTEÅ</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40028-2024</t>
        </is>
      </c>
      <c r="B3111" s="1" t="n">
        <v>45553</v>
      </c>
      <c r="C3111" s="1" t="n">
        <v>45576</v>
      </c>
      <c r="D3111" t="inlineStr">
        <is>
          <t>VÄSTERNORRLANDS LÄN</t>
        </is>
      </c>
      <c r="E3111" t="inlineStr">
        <is>
          <t>SOLLEFTEÅ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39995-2024</t>
        </is>
      </c>
      <c r="B3112" s="1" t="n">
        <v>45553</v>
      </c>
      <c r="C3112" s="1" t="n">
        <v>45576</v>
      </c>
      <c r="D3112" t="inlineStr">
        <is>
          <t>VÄSTERNORRLANDS LÄN</t>
        </is>
      </c>
      <c r="E3112" t="inlineStr">
        <is>
          <t>SOLLEFTEÅ</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40086-2024</t>
        </is>
      </c>
      <c r="B3113" s="1" t="n">
        <v>45554</v>
      </c>
      <c r="C3113" s="1" t="n">
        <v>45576</v>
      </c>
      <c r="D3113" t="inlineStr">
        <is>
          <t>VÄSTERNORRLANDS LÄN</t>
        </is>
      </c>
      <c r="E3113" t="inlineStr">
        <is>
          <t>SOLLEFTEÅ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40211-2024</t>
        </is>
      </c>
      <c r="B3114" s="1" t="n">
        <v>45554</v>
      </c>
      <c r="C3114" s="1" t="n">
        <v>45576</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40241-2024</t>
        </is>
      </c>
      <c r="B3115" s="1" t="n">
        <v>45554</v>
      </c>
      <c r="C3115" s="1" t="n">
        <v>45576</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40258-2024</t>
        </is>
      </c>
      <c r="B3116" s="1" t="n">
        <v>45554</v>
      </c>
      <c r="C3116" s="1" t="n">
        <v>45576</v>
      </c>
      <c r="D3116" t="inlineStr">
        <is>
          <t>VÄSTERNORRLANDS LÄN</t>
        </is>
      </c>
      <c r="E3116" t="inlineStr">
        <is>
          <t>SOLLEFTEÅ</t>
        </is>
      </c>
      <c r="F3116" t="inlineStr">
        <is>
          <t>SCA</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40354-2024</t>
        </is>
      </c>
      <c r="B3117" s="1" t="n">
        <v>45555</v>
      </c>
      <c r="C3117" s="1" t="n">
        <v>45576</v>
      </c>
      <c r="D3117" t="inlineStr">
        <is>
          <t>VÄSTERNORRLANDS LÄN</t>
        </is>
      </c>
      <c r="E3117" t="inlineStr">
        <is>
          <t>SOLLEFTEÅ</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40383-2024</t>
        </is>
      </c>
      <c r="B3118" s="1" t="n">
        <v>45555</v>
      </c>
      <c r="C3118" s="1" t="n">
        <v>45576</v>
      </c>
      <c r="D3118" t="inlineStr">
        <is>
          <t>VÄSTERNORRLANDS LÄN</t>
        </is>
      </c>
      <c r="E3118" t="inlineStr">
        <is>
          <t>SOLLEFTEÅ</t>
        </is>
      </c>
      <c r="F3118" t="inlineStr">
        <is>
          <t>SCA</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40403-2024</t>
        </is>
      </c>
      <c r="B3119" s="1" t="n">
        <v>45555</v>
      </c>
      <c r="C3119" s="1" t="n">
        <v>45576</v>
      </c>
      <c r="D3119" t="inlineStr">
        <is>
          <t>VÄSTERNORRLANDS LÄN</t>
        </is>
      </c>
      <c r="E3119" t="inlineStr">
        <is>
          <t>SOLLEFTEÅ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45576</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40356-2024</t>
        </is>
      </c>
      <c r="B3121" s="1" t="n">
        <v>45555</v>
      </c>
      <c r="C3121" s="1" t="n">
        <v>45576</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40353-2024</t>
        </is>
      </c>
      <c r="B3122" s="1" t="n">
        <v>45555</v>
      </c>
      <c r="C3122" s="1" t="n">
        <v>45576</v>
      </c>
      <c r="D3122" t="inlineStr">
        <is>
          <t>VÄSTERNORRLANDS LÄN</t>
        </is>
      </c>
      <c r="E3122" t="inlineStr">
        <is>
          <t>SOLLEFTEÅ</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40413-2024</t>
        </is>
      </c>
      <c r="B3123" s="1" t="n">
        <v>45555</v>
      </c>
      <c r="C3123" s="1" t="n">
        <v>45576</v>
      </c>
      <c r="D3123" t="inlineStr">
        <is>
          <t>VÄSTERNORRLANDS LÄN</t>
        </is>
      </c>
      <c r="E3123" t="inlineStr">
        <is>
          <t>SOLLEFTEÅ</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40429-2024</t>
        </is>
      </c>
      <c r="B3124" s="1" t="n">
        <v>45555</v>
      </c>
      <c r="C3124" s="1" t="n">
        <v>45576</v>
      </c>
      <c r="D3124" t="inlineStr">
        <is>
          <t>VÄSTERNORRLANDS LÄN</t>
        </is>
      </c>
      <c r="E3124" t="inlineStr">
        <is>
          <t>SOLLEFTEÅ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40570-2024</t>
        </is>
      </c>
      <c r="B3125" s="1" t="n">
        <v>45555</v>
      </c>
      <c r="C3125" s="1" t="n">
        <v>45576</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40571-2024</t>
        </is>
      </c>
      <c r="B3126" s="1" t="n">
        <v>45555</v>
      </c>
      <c r="C3126" s="1" t="n">
        <v>45576</v>
      </c>
      <c r="D3126" t="inlineStr">
        <is>
          <t>VÄSTERNORRLANDS LÄN</t>
        </is>
      </c>
      <c r="E3126" t="inlineStr">
        <is>
          <t>SOLLEFTEÅ</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40575-2024</t>
        </is>
      </c>
      <c r="B3127" s="1" t="n">
        <v>45555</v>
      </c>
      <c r="C3127" s="1" t="n">
        <v>45576</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40569-2024</t>
        </is>
      </c>
      <c r="B3128" s="1" t="n">
        <v>45555</v>
      </c>
      <c r="C3128" s="1" t="n">
        <v>45576</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40859-2024</t>
        </is>
      </c>
      <c r="B3129" s="1" t="n">
        <v>45558</v>
      </c>
      <c r="C3129" s="1" t="n">
        <v>45576</v>
      </c>
      <c r="D3129" t="inlineStr">
        <is>
          <t>VÄSTERNORRLANDS LÄN</t>
        </is>
      </c>
      <c r="E3129" t="inlineStr">
        <is>
          <t>SOLLEFTEÅ</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40819-2024</t>
        </is>
      </c>
      <c r="B3130" s="1" t="n">
        <v>45558</v>
      </c>
      <c r="C3130" s="1" t="n">
        <v>45576</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40893-2024</t>
        </is>
      </c>
      <c r="B3131" s="1" t="n">
        <v>45558</v>
      </c>
      <c r="C3131" s="1" t="n">
        <v>45576</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40921-2024</t>
        </is>
      </c>
      <c r="B3132" s="1" t="n">
        <v>45558</v>
      </c>
      <c r="C3132" s="1" t="n">
        <v>45576</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40954-2024</t>
        </is>
      </c>
      <c r="B3133" s="1" t="n">
        <v>45558</v>
      </c>
      <c r="C3133" s="1" t="n">
        <v>45576</v>
      </c>
      <c r="D3133" t="inlineStr">
        <is>
          <t>VÄSTERNORRLANDS LÄN</t>
        </is>
      </c>
      <c r="E3133" t="inlineStr">
        <is>
          <t>SOLLEFTEÅ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41041-2024</t>
        </is>
      </c>
      <c r="B3134" s="1" t="n">
        <v>45558</v>
      </c>
      <c r="C3134" s="1" t="n">
        <v>45576</v>
      </c>
      <c r="D3134" t="inlineStr">
        <is>
          <t>VÄSTERNORRLANDS LÄN</t>
        </is>
      </c>
      <c r="E3134" t="inlineStr">
        <is>
          <t>SOLLEFTEÅ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40655-2024</t>
        </is>
      </c>
      <c r="B3135" s="1" t="n">
        <v>45558</v>
      </c>
      <c r="C3135" s="1" t="n">
        <v>45576</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40679-2024</t>
        </is>
      </c>
      <c r="B3136" s="1" t="n">
        <v>45558</v>
      </c>
      <c r="C3136" s="1" t="n">
        <v>45576</v>
      </c>
      <c r="D3136" t="inlineStr">
        <is>
          <t>VÄSTERNORRLANDS LÄN</t>
        </is>
      </c>
      <c r="E3136" t="inlineStr">
        <is>
          <t>SOLLEFTEÅ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40817-2024</t>
        </is>
      </c>
      <c r="B3137" s="1" t="n">
        <v>45558</v>
      </c>
      <c r="C3137" s="1" t="n">
        <v>45576</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41042-2024</t>
        </is>
      </c>
      <c r="B3138" s="1" t="n">
        <v>45559</v>
      </c>
      <c r="C3138" s="1" t="n">
        <v>45576</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45576</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45576</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41262-2024</t>
        </is>
      </c>
      <c r="B3141" s="1" t="n">
        <v>45559</v>
      </c>
      <c r="C3141" s="1" t="n">
        <v>45576</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41337-2024</t>
        </is>
      </c>
      <c r="B3142" s="1" t="n">
        <v>45559</v>
      </c>
      <c r="C3142" s="1" t="n">
        <v>45576</v>
      </c>
      <c r="D3142" t="inlineStr">
        <is>
          <t>VÄSTERNORRLANDS LÄN</t>
        </is>
      </c>
      <c r="E3142" t="inlineStr">
        <is>
          <t>SOLLEFTEÅ</t>
        </is>
      </c>
      <c r="G3142" t="n">
        <v>30.1</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45576</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41413-2024</t>
        </is>
      </c>
      <c r="B3144" s="1" t="n">
        <v>45560</v>
      </c>
      <c r="C3144" s="1" t="n">
        <v>45576</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41434-2024</t>
        </is>
      </c>
      <c r="B3145" s="1" t="n">
        <v>45560</v>
      </c>
      <c r="C3145" s="1" t="n">
        <v>45576</v>
      </c>
      <c r="D3145" t="inlineStr">
        <is>
          <t>VÄSTERNORRLANDS LÄN</t>
        </is>
      </c>
      <c r="E3145" t="inlineStr">
        <is>
          <t>SOLLEFTEÅ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41666-2024</t>
        </is>
      </c>
      <c r="B3146" s="1" t="n">
        <v>45560</v>
      </c>
      <c r="C3146" s="1" t="n">
        <v>45576</v>
      </c>
      <c r="D3146" t="inlineStr">
        <is>
          <t>VÄSTERNORRLANDS LÄN</t>
        </is>
      </c>
      <c r="E3146" t="inlineStr">
        <is>
          <t>SOLLEFTEÅ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41595-2024</t>
        </is>
      </c>
      <c r="B3147" s="1" t="n">
        <v>45560</v>
      </c>
      <c r="C3147" s="1" t="n">
        <v>45576</v>
      </c>
      <c r="D3147" t="inlineStr">
        <is>
          <t>VÄSTERNORRLANDS LÄN</t>
        </is>
      </c>
      <c r="E3147" t="inlineStr">
        <is>
          <t>SOLLEFTEÅ</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41532-2024</t>
        </is>
      </c>
      <c r="B3148" s="1" t="n">
        <v>45560</v>
      </c>
      <c r="C3148" s="1" t="n">
        <v>45576</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45576</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45576</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41904-2024</t>
        </is>
      </c>
      <c r="B3151" s="1" t="n">
        <v>45561</v>
      </c>
      <c r="C3151" s="1" t="n">
        <v>45576</v>
      </c>
      <c r="D3151" t="inlineStr">
        <is>
          <t>VÄSTERNORRLANDS LÄN</t>
        </is>
      </c>
      <c r="E3151" t="inlineStr">
        <is>
          <t>SOLLEFTEÅ</t>
        </is>
      </c>
      <c r="F3151" t="inlineStr">
        <is>
          <t>SCA</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41975-2024</t>
        </is>
      </c>
      <c r="B3152" s="1" t="n">
        <v>45561</v>
      </c>
      <c r="C3152" s="1" t="n">
        <v>45576</v>
      </c>
      <c r="D3152" t="inlineStr">
        <is>
          <t>VÄSTERNORRLANDS LÄN</t>
        </is>
      </c>
      <c r="E3152" t="inlineStr">
        <is>
          <t>SOLLEFTEÅ</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41787-2024</t>
        </is>
      </c>
      <c r="B3153" s="1" t="n">
        <v>45561</v>
      </c>
      <c r="C3153" s="1" t="n">
        <v>45576</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41834-2024</t>
        </is>
      </c>
      <c r="B3154" s="1" t="n">
        <v>45561</v>
      </c>
      <c r="C3154" s="1" t="n">
        <v>45576</v>
      </c>
      <c r="D3154" t="inlineStr">
        <is>
          <t>VÄSTERNORRLANDS LÄN</t>
        </is>
      </c>
      <c r="E3154" t="inlineStr">
        <is>
          <t>SOLLEFTEÅ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41925-2024</t>
        </is>
      </c>
      <c r="B3155" s="1" t="n">
        <v>45561</v>
      </c>
      <c r="C3155" s="1" t="n">
        <v>45576</v>
      </c>
      <c r="D3155" t="inlineStr">
        <is>
          <t>VÄSTERNORRLANDS LÄN</t>
        </is>
      </c>
      <c r="E3155" t="inlineStr">
        <is>
          <t>SOLLEFTEÅ</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42093-2024</t>
        </is>
      </c>
      <c r="B3156" s="1" t="n">
        <v>45562</v>
      </c>
      <c r="C3156" s="1" t="n">
        <v>45576</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42154-2024</t>
        </is>
      </c>
      <c r="B3157" s="1" t="n">
        <v>45562</v>
      </c>
      <c r="C3157" s="1" t="n">
        <v>45576</v>
      </c>
      <c r="D3157" t="inlineStr">
        <is>
          <t>VÄSTERNORRLANDS LÄN</t>
        </is>
      </c>
      <c r="E3157" t="inlineStr">
        <is>
          <t>SOLLEFTEÅ</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42115-2024</t>
        </is>
      </c>
      <c r="B3158" s="1" t="n">
        <v>45562</v>
      </c>
      <c r="C3158" s="1" t="n">
        <v>45576</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42631-2024</t>
        </is>
      </c>
      <c r="B3159" s="1" t="n">
        <v>45565</v>
      </c>
      <c r="C3159" s="1" t="n">
        <v>45576</v>
      </c>
      <c r="D3159" t="inlineStr">
        <is>
          <t>VÄSTERNORRLANDS LÄN</t>
        </is>
      </c>
      <c r="E3159" t="inlineStr">
        <is>
          <t>SOLLEFTEÅ</t>
        </is>
      </c>
      <c r="F3159" t="inlineStr">
        <is>
          <t>Holmen skog AB</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42474-2024</t>
        </is>
      </c>
      <c r="B3160" s="1" t="n">
        <v>45565</v>
      </c>
      <c r="C3160" s="1" t="n">
        <v>45576</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42482-2024</t>
        </is>
      </c>
      <c r="B3161" s="1" t="n">
        <v>45565</v>
      </c>
      <c r="C3161" s="1" t="n">
        <v>45576</v>
      </c>
      <c r="D3161" t="inlineStr">
        <is>
          <t>VÄSTERNORRLANDS LÄN</t>
        </is>
      </c>
      <c r="E3161" t="inlineStr">
        <is>
          <t>SOLLEFTEÅ</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42486-2024</t>
        </is>
      </c>
      <c r="B3162" s="1" t="n">
        <v>45565</v>
      </c>
      <c r="C3162" s="1" t="n">
        <v>45576</v>
      </c>
      <c r="D3162" t="inlineStr">
        <is>
          <t>VÄSTERNORRLANDS LÄN</t>
        </is>
      </c>
      <c r="E3162" t="inlineStr">
        <is>
          <t>SOLLEFTEÅ</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45576</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42964-2024</t>
        </is>
      </c>
      <c r="B3164" s="1" t="n">
        <v>45567</v>
      </c>
      <c r="C3164" s="1" t="n">
        <v>45576</v>
      </c>
      <c r="D3164" t="inlineStr">
        <is>
          <t>VÄSTERNORRLANDS LÄN</t>
        </is>
      </c>
      <c r="E3164" t="inlineStr">
        <is>
          <t>SOLLEFTEÅ</t>
        </is>
      </c>
      <c r="F3164" t="inlineStr">
        <is>
          <t>SCA</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42984-2024</t>
        </is>
      </c>
      <c r="B3165" s="1" t="n">
        <v>45567</v>
      </c>
      <c r="C3165" s="1" t="n">
        <v>45576</v>
      </c>
      <c r="D3165" t="inlineStr">
        <is>
          <t>VÄSTERNORRLANDS LÄN</t>
        </is>
      </c>
      <c r="E3165" t="inlineStr">
        <is>
          <t>SOLLEFTEÅ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42963-2024</t>
        </is>
      </c>
      <c r="B3166" s="1" t="n">
        <v>45567</v>
      </c>
      <c r="C3166" s="1" t="n">
        <v>45576</v>
      </c>
      <c r="D3166" t="inlineStr">
        <is>
          <t>VÄSTERNORRLANDS LÄN</t>
        </is>
      </c>
      <c r="E3166" t="inlineStr">
        <is>
          <t>SOLLEFTEÅ</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42971-2024</t>
        </is>
      </c>
      <c r="B3167" s="1" t="n">
        <v>45567</v>
      </c>
      <c r="C3167" s="1" t="n">
        <v>45576</v>
      </c>
      <c r="D3167" t="inlineStr">
        <is>
          <t>VÄSTERNORRLANDS LÄN</t>
        </is>
      </c>
      <c r="E3167" t="inlineStr">
        <is>
          <t>SOLLEFTEÅ</t>
        </is>
      </c>
      <c r="F3167" t="inlineStr">
        <is>
          <t>SCA</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42975-2024</t>
        </is>
      </c>
      <c r="B3168" s="1" t="n">
        <v>45567</v>
      </c>
      <c r="C3168" s="1" t="n">
        <v>45576</v>
      </c>
      <c r="D3168" t="inlineStr">
        <is>
          <t>VÄSTERNORRLANDS LÄN</t>
        </is>
      </c>
      <c r="E3168" t="inlineStr">
        <is>
          <t>SOLLEFTEÅ</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42979-2024</t>
        </is>
      </c>
      <c r="B3169" s="1" t="n">
        <v>45567</v>
      </c>
      <c r="C3169" s="1" t="n">
        <v>45576</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42983-2024</t>
        </is>
      </c>
      <c r="B3170" s="1" t="n">
        <v>45567</v>
      </c>
      <c r="C3170" s="1" t="n">
        <v>45576</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42987-2024</t>
        </is>
      </c>
      <c r="B3171" s="1" t="n">
        <v>45567</v>
      </c>
      <c r="C3171" s="1" t="n">
        <v>45576</v>
      </c>
      <c r="D3171" t="inlineStr">
        <is>
          <t>VÄSTERNORRLANDS LÄN</t>
        </is>
      </c>
      <c r="E3171" t="inlineStr">
        <is>
          <t>SOLLEFTEÅ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43008-2024</t>
        </is>
      </c>
      <c r="B3172" s="1" t="n">
        <v>45567</v>
      </c>
      <c r="C3172" s="1" t="n">
        <v>45576</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42950-2024</t>
        </is>
      </c>
      <c r="B3173" s="1" t="n">
        <v>45567</v>
      </c>
      <c r="C3173" s="1" t="n">
        <v>45576</v>
      </c>
      <c r="D3173" t="inlineStr">
        <is>
          <t>VÄSTERNORRLANDS LÄN</t>
        </is>
      </c>
      <c r="E3173" t="inlineStr">
        <is>
          <t>SOLLEFTEÅ</t>
        </is>
      </c>
      <c r="F3173" t="inlineStr">
        <is>
          <t>SCA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42970-2024</t>
        </is>
      </c>
      <c r="B3174" s="1" t="n">
        <v>45567</v>
      </c>
      <c r="C3174" s="1" t="n">
        <v>45576</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42978-2024</t>
        </is>
      </c>
      <c r="B3175" s="1" t="n">
        <v>45567</v>
      </c>
      <c r="C3175" s="1" t="n">
        <v>45576</v>
      </c>
      <c r="D3175" t="inlineStr">
        <is>
          <t>VÄSTERNORRLANDS LÄN</t>
        </is>
      </c>
      <c r="E3175" t="inlineStr">
        <is>
          <t>SOLLEFTEÅ</t>
        </is>
      </c>
      <c r="F3175" t="inlineStr">
        <is>
          <t>SCA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42965-2024</t>
        </is>
      </c>
      <c r="B3176" s="1" t="n">
        <v>45567</v>
      </c>
      <c r="C3176" s="1" t="n">
        <v>45576</v>
      </c>
      <c r="D3176" t="inlineStr">
        <is>
          <t>VÄSTERNORRLANDS LÄN</t>
        </is>
      </c>
      <c r="E3176" t="inlineStr">
        <is>
          <t>SOLLEFTEÅ</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42973-2024</t>
        </is>
      </c>
      <c r="B3177" s="1" t="n">
        <v>45567</v>
      </c>
      <c r="C3177" s="1" t="n">
        <v>45576</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43049-2024</t>
        </is>
      </c>
      <c r="B3178" s="1" t="n">
        <v>45567</v>
      </c>
      <c r="C3178" s="1" t="n">
        <v>45576</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42981-2024</t>
        </is>
      </c>
      <c r="B3179" s="1" t="n">
        <v>45567</v>
      </c>
      <c r="C3179" s="1" t="n">
        <v>45576</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42985-2024</t>
        </is>
      </c>
      <c r="B3180" s="1" t="n">
        <v>45567</v>
      </c>
      <c r="C3180" s="1" t="n">
        <v>45576</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43289-2024</t>
        </is>
      </c>
      <c r="B3181" s="1" t="n">
        <v>45568</v>
      </c>
      <c r="C3181" s="1" t="n">
        <v>45576</v>
      </c>
      <c r="D3181" t="inlineStr">
        <is>
          <t>VÄSTERNORRLANDS LÄN</t>
        </is>
      </c>
      <c r="E3181" t="inlineStr">
        <is>
          <t>SOLLEFTEÅ</t>
        </is>
      </c>
      <c r="F3181" t="inlineStr">
        <is>
          <t>Kommuner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43265-2024</t>
        </is>
      </c>
      <c r="B3182" s="1" t="n">
        <v>45568</v>
      </c>
      <c r="C3182" s="1" t="n">
        <v>45576</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43627-2024</t>
        </is>
      </c>
      <c r="B3183" s="1" t="n">
        <v>45569</v>
      </c>
      <c r="C3183" s="1" t="n">
        <v>45576</v>
      </c>
      <c r="D3183" t="inlineStr">
        <is>
          <t>VÄSTERNORRLANDS LÄN</t>
        </is>
      </c>
      <c r="E3183" t="inlineStr">
        <is>
          <t>SOLLEFTEÅ</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43585-2024</t>
        </is>
      </c>
      <c r="B3184" s="1" t="n">
        <v>45569</v>
      </c>
      <c r="C3184" s="1" t="n">
        <v>45576</v>
      </c>
      <c r="D3184" t="inlineStr">
        <is>
          <t>VÄSTERNORRLANDS LÄN</t>
        </is>
      </c>
      <c r="E3184" t="inlineStr">
        <is>
          <t>SOLLEFTEÅ</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45576</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45576</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45576</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44200-2024</t>
        </is>
      </c>
      <c r="B3188" s="1" t="n">
        <v>45573</v>
      </c>
      <c r="C3188" s="1" t="n">
        <v>45576</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44294-2024</t>
        </is>
      </c>
      <c r="B3189" s="1" t="n">
        <v>45573</v>
      </c>
      <c r="C3189" s="1" t="n">
        <v>45576</v>
      </c>
      <c r="D3189" t="inlineStr">
        <is>
          <t>VÄSTERNORRLANDS LÄN</t>
        </is>
      </c>
      <c r="E3189" t="inlineStr">
        <is>
          <t>SOLLEFTEÅ</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44298-2024</t>
        </is>
      </c>
      <c r="B3190" s="1" t="n">
        <v>45573</v>
      </c>
      <c r="C3190" s="1" t="n">
        <v>45576</v>
      </c>
      <c r="D3190" t="inlineStr">
        <is>
          <t>VÄSTERNORRLANDS LÄN</t>
        </is>
      </c>
      <c r="E3190" t="inlineStr">
        <is>
          <t>SOLLEFTEÅ</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44302-2024</t>
        </is>
      </c>
      <c r="B3191" s="1" t="n">
        <v>45573</v>
      </c>
      <c r="C3191" s="1" t="n">
        <v>45576</v>
      </c>
      <c r="D3191" t="inlineStr">
        <is>
          <t>VÄSTERNORRLANDS LÄN</t>
        </is>
      </c>
      <c r="E3191" t="inlineStr">
        <is>
          <t>SOLLEFTEÅ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44201-2024</t>
        </is>
      </c>
      <c r="B3192" s="1" t="n">
        <v>45573</v>
      </c>
      <c r="C3192" s="1" t="n">
        <v>45576</v>
      </c>
      <c r="D3192" t="inlineStr">
        <is>
          <t>VÄSTERNORRLANDS LÄN</t>
        </is>
      </c>
      <c r="E3192" t="inlineStr">
        <is>
          <t>SOLLEFTEÅ</t>
        </is>
      </c>
      <c r="F3192" t="inlineStr">
        <is>
          <t>SCA</t>
        </is>
      </c>
      <c r="G3192" t="n">
        <v>3.6</v>
      </c>
      <c r="H3192" t="n">
        <v>0</v>
      </c>
      <c r="I3192" t="n">
        <v>0</v>
      </c>
      <c r="J3192" t="n">
        <v>0</v>
      </c>
      <c r="K3192" t="n">
        <v>0</v>
      </c>
      <c r="L3192" t="n">
        <v>0</v>
      </c>
      <c r="M3192" t="n">
        <v>0</v>
      </c>
      <c r="N3192" t="n">
        <v>0</v>
      </c>
      <c r="O3192" t="n">
        <v>0</v>
      </c>
      <c r="P3192" t="n">
        <v>0</v>
      </c>
      <c r="Q3192" t="n">
        <v>0</v>
      </c>
      <c r="R3192" s="2" t="inlineStr"/>
      <c r="U3192">
        <f>HYPERLINK("https://klasma.github.io/Logging_2283/knärot/A 44201-2024 karta knärot.png", "A 44201-2024")</f>
        <v/>
      </c>
      <c r="V3192">
        <f>HYPERLINK("https://klasma.github.io/Logging_2283/klagomål/A 44201-2024 FSC-klagomål.docx", "A 44201-2024")</f>
        <v/>
      </c>
      <c r="W3192">
        <f>HYPERLINK("https://klasma.github.io/Logging_2283/klagomålsmail/A 44201-2024 FSC-klagomål mail.docx", "A 44201-2024")</f>
        <v/>
      </c>
      <c r="X3192">
        <f>HYPERLINK("https://klasma.github.io/Logging_2283/tillsyn/A 44201-2024 tillsynsbegäran.docx", "A 44201-2024")</f>
        <v/>
      </c>
      <c r="Y3192">
        <f>HYPERLINK("https://klasma.github.io/Logging_2283/tillsynsmail/A 44201-2024 tillsynsbegäran mail.docx", "A 44201-2024")</f>
        <v/>
      </c>
    </row>
    <row r="3193" ht="15" customHeight="1">
      <c r="A3193" t="inlineStr">
        <is>
          <t>A 44299-2024</t>
        </is>
      </c>
      <c r="B3193" s="1" t="n">
        <v>45573</v>
      </c>
      <c r="C3193" s="1" t="n">
        <v>45576</v>
      </c>
      <c r="D3193" t="inlineStr">
        <is>
          <t>VÄSTERNORRLANDS LÄN</t>
        </is>
      </c>
      <c r="E3193" t="inlineStr">
        <is>
          <t>SOLLEFTEÅ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44323-2024</t>
        </is>
      </c>
      <c r="B3194" s="1" t="n">
        <v>45573</v>
      </c>
      <c r="C3194" s="1" t="n">
        <v>45576</v>
      </c>
      <c r="D3194" t="inlineStr">
        <is>
          <t>VÄSTERNORRLANDS LÄN</t>
        </is>
      </c>
      <c r="E3194" t="inlineStr">
        <is>
          <t>SOLLEFTEÅ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44202-2024</t>
        </is>
      </c>
      <c r="B3195" s="1" t="n">
        <v>45573</v>
      </c>
      <c r="C3195" s="1" t="n">
        <v>45576</v>
      </c>
      <c r="D3195" t="inlineStr">
        <is>
          <t>VÄSTERNORRLANDS LÄN</t>
        </is>
      </c>
      <c r="E3195" t="inlineStr">
        <is>
          <t>SOLLEFTEÅ</t>
        </is>
      </c>
      <c r="F3195" t="inlineStr">
        <is>
          <t>SCA</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44320-2024</t>
        </is>
      </c>
      <c r="B3196" s="1" t="n">
        <v>45573</v>
      </c>
      <c r="C3196" s="1" t="n">
        <v>45576</v>
      </c>
      <c r="D3196" t="inlineStr">
        <is>
          <t>VÄSTERNORRLANDS LÄN</t>
        </is>
      </c>
      <c r="E3196" t="inlineStr">
        <is>
          <t>SOLLEFTEÅ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44491-2024</t>
        </is>
      </c>
      <c r="B3197" s="1" t="n">
        <v>45574</v>
      </c>
      <c r="C3197" s="1" t="n">
        <v>45576</v>
      </c>
      <c r="D3197" t="inlineStr">
        <is>
          <t>VÄSTERNORRLANDS LÄN</t>
        </is>
      </c>
      <c r="E3197" t="inlineStr">
        <is>
          <t>SOLLEFTEÅ</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44640-2024</t>
        </is>
      </c>
      <c r="B3198" s="1" t="n">
        <v>45574</v>
      </c>
      <c r="C3198" s="1" t="n">
        <v>45576</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44614-2024</t>
        </is>
      </c>
      <c r="B3199" s="1" t="n">
        <v>45574</v>
      </c>
      <c r="C3199" s="1" t="n">
        <v>45576</v>
      </c>
      <c r="D3199" t="inlineStr">
        <is>
          <t>VÄSTERNORRLANDS LÄN</t>
        </is>
      </c>
      <c r="E3199" t="inlineStr">
        <is>
          <t>SOLLEFTEÅ</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44621-2024</t>
        </is>
      </c>
      <c r="B3200" s="1" t="n">
        <v>45574</v>
      </c>
      <c r="C3200" s="1" t="n">
        <v>45576</v>
      </c>
      <c r="D3200" t="inlineStr">
        <is>
          <t>VÄSTERNORRLANDS LÄN</t>
        </is>
      </c>
      <c r="E3200" t="inlineStr">
        <is>
          <t>SOLLEFTEÅ</t>
        </is>
      </c>
      <c r="F3200" t="inlineStr">
        <is>
          <t>SCA</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44661-2024</t>
        </is>
      </c>
      <c r="B3201" s="1" t="n">
        <v>45574</v>
      </c>
      <c r="C3201" s="1" t="n">
        <v>45576</v>
      </c>
      <c r="D3201" t="inlineStr">
        <is>
          <t>VÄSTERNORRLANDS LÄN</t>
        </is>
      </c>
      <c r="E3201" t="inlineStr">
        <is>
          <t>SOLLEFTEÅ</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44662-2024</t>
        </is>
      </c>
      <c r="B3202" s="1" t="n">
        <v>45574</v>
      </c>
      <c r="C3202" s="1" t="n">
        <v>45576</v>
      </c>
      <c r="D3202" t="inlineStr">
        <is>
          <t>VÄSTERNORRLANDS LÄN</t>
        </is>
      </c>
      <c r="E3202" t="inlineStr">
        <is>
          <t>SOLLEFTEÅ</t>
        </is>
      </c>
      <c r="F3202" t="inlineStr">
        <is>
          <t>SCA</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44554-2024</t>
        </is>
      </c>
      <c r="B3203" s="1" t="n">
        <v>45574</v>
      </c>
      <c r="C3203" s="1" t="n">
        <v>45576</v>
      </c>
      <c r="D3203" t="inlineStr">
        <is>
          <t>VÄSTERNORRLANDS LÄN</t>
        </is>
      </c>
      <c r="E3203" t="inlineStr">
        <is>
          <t>SOLLEFTEÅ</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44627-2024</t>
        </is>
      </c>
      <c r="B3204" s="1" t="n">
        <v>45574</v>
      </c>
      <c r="C3204" s="1" t="n">
        <v>45576</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44639-2024</t>
        </is>
      </c>
      <c r="B3205" s="1" t="n">
        <v>45574</v>
      </c>
      <c r="C3205" s="1" t="n">
        <v>45576</v>
      </c>
      <c r="D3205" t="inlineStr">
        <is>
          <t>VÄSTERNORRLANDS LÄN</t>
        </is>
      </c>
      <c r="E3205" t="inlineStr">
        <is>
          <t>SOLLEFTEÅ</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44950-2024</t>
        </is>
      </c>
      <c r="B3206" s="1" t="n">
        <v>45575</v>
      </c>
      <c r="C3206" s="1" t="n">
        <v>45576</v>
      </c>
      <c r="D3206" t="inlineStr">
        <is>
          <t>VÄSTERNORRLANDS LÄN</t>
        </is>
      </c>
      <c r="E3206" t="inlineStr">
        <is>
          <t>SOLLEFTEÅ</t>
        </is>
      </c>
      <c r="G3206" t="n">
        <v>11.1</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45576</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c r="A3208" t="inlineStr">
        <is>
          <t>A 45142-2024</t>
        </is>
      </c>
      <c r="B3208" s="1" t="n">
        <v>45575</v>
      </c>
      <c r="C3208" s="1" t="n">
        <v>45576</v>
      </c>
      <c r="D3208" t="inlineStr">
        <is>
          <t>VÄSTERNORRLANDS LÄN</t>
        </is>
      </c>
      <c r="E3208" t="inlineStr">
        <is>
          <t>SOLLEFTEÅ</t>
        </is>
      </c>
      <c r="F3208" t="inlineStr">
        <is>
          <t>SCA</t>
        </is>
      </c>
      <c r="G3208" t="n">
        <v>3.4</v>
      </c>
      <c r="H3208" t="n">
        <v>0</v>
      </c>
      <c r="I3208" t="n">
        <v>0</v>
      </c>
      <c r="J3208" t="n">
        <v>0</v>
      </c>
      <c r="K3208" t="n">
        <v>0</v>
      </c>
      <c r="L3208" t="n">
        <v>0</v>
      </c>
      <c r="M3208" t="n">
        <v>0</v>
      </c>
      <c r="N3208" t="n">
        <v>0</v>
      </c>
      <c r="O3208" t="n">
        <v>0</v>
      </c>
      <c r="P3208" t="n">
        <v>0</v>
      </c>
      <c r="Q3208" t="n">
        <v>0</v>
      </c>
      <c r="R3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2024-10-11T13:01:05Z</dcterms:created>
  <dcterms:modified xmlns:dcterms="http://purl.org/dc/terms/" xmlns:xsi="http://www.w3.org/2001/XMLSchema-instance" xsi:type="dcterms:W3CDTF">2024-10-11T13:01:08Z</dcterms:modified>
</cp:coreProperties>
</file>