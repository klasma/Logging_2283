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45648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45648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45648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45648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45648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45648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45648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45648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45648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45648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45648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45648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45648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45648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45648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45648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45648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45648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45648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45648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45648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45648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45648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45648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45648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45648</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45648</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45648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45648</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45648</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45648</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45648</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45648</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45648</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45648</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45648</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45648</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45648</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45648</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45648</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45648</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45648</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45648</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45648</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45648</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45648</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45648</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45648</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45648</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45648</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45648</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45648</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45648</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45648</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45648</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45648</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45648</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45648</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45648</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45648</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45648</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45648</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45648</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45648</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45648</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45648</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45648</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45648</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45648</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45648</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45648</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45648</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45648</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45648</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45648</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45648</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45648</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45648</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45648</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45648</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45648</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45648</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45648</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45648</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45648</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45648</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45648</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45648</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45648</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45648</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45648</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45648</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45648</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45648</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45648</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45648</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45648</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45648</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45648</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45648</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45648</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45648</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45648</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45648</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45648</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45648</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45648</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45648</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45648</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45648</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45648</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45648</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45648</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45648</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45648</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45648</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45648</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45648</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45648</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45648</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45648</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45648</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45648</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45648</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45648</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45648</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45648</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45648</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45648</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45648</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45648</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45648</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45648</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45648</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45648</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45648</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45648</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45648</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45648</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45648</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45648</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45648</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45648</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45648</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45648</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45648</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45648</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45648</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45648</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45648</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45648</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45648</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45648</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45648</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45648</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45648</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45648</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45648</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45648</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45648</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45648</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45648</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45648</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45648</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45648</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45648</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45648</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45648</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45648</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45648</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45648</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45648</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45648</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45648</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45648</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45648</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45648</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45648</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45648</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45648</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45648</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45648</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45648</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45648</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45648</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45648</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45648</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45648</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45648</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45648</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45648</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45648</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45648</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45648</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45648</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45648</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45648</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45648</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45648</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45648</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45648</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45648</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45648</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45648</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45648</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45648</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45648</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45648</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45648</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45648</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45648</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45648</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45648</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45648</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45648</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45648</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45648</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45648</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45648</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45648</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45648</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45648</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45648</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45648</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45648</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45648</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45648</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45648</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45648</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45648</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45648</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45648</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45648</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45648</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45648</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45648</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45648</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45648</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45648</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45648</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45648</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45648</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45648</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45648</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45648</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45648</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45648</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45648</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45648</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45648</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45648</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45648</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45648</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45648</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45648</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45648</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45648</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45648</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45648</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45648</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45648</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45648</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45648</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45648</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45648</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45648</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45648</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45648</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45648</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45648</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45648</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45648</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45648</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45648</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45648</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45648</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45648</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45648</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45648</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45648</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45648</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45648</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45648</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45648</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45648</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45648</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45648</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45648</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45648</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45648</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45648</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45648</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45648</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45648</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45648</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45648</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45648</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45648</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45648</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45648</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45648</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45648</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45648</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45648</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45648</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45648</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45648</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45648</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45648</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45648</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45648</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45648</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45648</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45648</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45648</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45648</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45648</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45648</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45648</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58880-2024</t>
        </is>
      </c>
      <c r="B321" s="1" t="n">
        <v>45636</v>
      </c>
      <c r="C321" s="1" t="n">
        <v>45648</v>
      </c>
      <c r="D321" t="inlineStr">
        <is>
          <t>VÄSTERNORRLANDS LÄN</t>
        </is>
      </c>
      <c r="E321" t="inlineStr">
        <is>
          <t>SOLLEFTEÅ</t>
        </is>
      </c>
      <c r="F321" t="inlineStr">
        <is>
          <t>SCA</t>
        </is>
      </c>
      <c r="G321" t="n">
        <v>2</v>
      </c>
      <c r="H321" t="n">
        <v>0</v>
      </c>
      <c r="I321" t="n">
        <v>0</v>
      </c>
      <c r="J321" t="n">
        <v>2</v>
      </c>
      <c r="K321" t="n">
        <v>0</v>
      </c>
      <c r="L321" t="n">
        <v>0</v>
      </c>
      <c r="M321" t="n">
        <v>0</v>
      </c>
      <c r="N321" t="n">
        <v>0</v>
      </c>
      <c r="O321" t="n">
        <v>2</v>
      </c>
      <c r="P321" t="n">
        <v>0</v>
      </c>
      <c r="Q321" t="n">
        <v>2</v>
      </c>
      <c r="R321" s="2" t="inlineStr">
        <is>
          <t>Gammelgransskål
Garnlav</t>
        </is>
      </c>
      <c r="S321">
        <f>HYPERLINK("https://klasma.github.io/Logging_2283/artfynd/A 58880-2024 artfynd.xlsx", "A 58880-2024")</f>
        <v/>
      </c>
      <c r="T321">
        <f>HYPERLINK("https://klasma.github.io/Logging_2283/kartor/A 58880-2024 karta.png", "A 58880-2024")</f>
        <v/>
      </c>
      <c r="V321">
        <f>HYPERLINK("https://klasma.github.io/Logging_2283/klagomål/A 58880-2024 FSC-klagomål.docx", "A 58880-2024")</f>
        <v/>
      </c>
      <c r="W321">
        <f>HYPERLINK("https://klasma.github.io/Logging_2283/klagomålsmail/A 58880-2024 FSC-klagomål mail.docx", "A 58880-2024")</f>
        <v/>
      </c>
      <c r="X321">
        <f>HYPERLINK("https://klasma.github.io/Logging_2283/tillsyn/A 58880-2024 tillsynsbegäran.docx", "A 58880-2024")</f>
        <v/>
      </c>
      <c r="Y321">
        <f>HYPERLINK("https://klasma.github.io/Logging_2283/tillsynsmail/A 58880-2024 tillsynsbegäran mail.docx", "A 58880-2024")</f>
        <v/>
      </c>
    </row>
    <row r="322" ht="15" customHeight="1">
      <c r="A322" t="inlineStr">
        <is>
          <t>A 59020-2024</t>
        </is>
      </c>
      <c r="B322" s="1" t="n">
        <v>45636</v>
      </c>
      <c r="C322" s="1" t="n">
        <v>45648</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60665-2024</t>
        </is>
      </c>
      <c r="B323" s="1" t="n">
        <v>45644</v>
      </c>
      <c r="C323" s="1" t="n">
        <v>45648</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45648</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45648</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45648</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45648</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45648</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45648</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45648</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45648</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45648</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45648</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45648</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45648</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45648</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45648</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45648</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45648</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45648</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45648</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45648</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45648</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45648</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45648</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45648</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45648</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45648</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45648</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45648</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45648</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45648</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45648</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45648</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45648</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45648</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45648</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45648</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45648</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45648</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45648</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45648</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45648</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45648</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45648</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45648</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45648</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45648</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45648</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45648</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45648</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45648</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45648</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45648</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45648</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45648</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45648</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45648</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45648</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45648</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45648</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45648</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45648</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45648</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45648</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45648</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45648</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45648</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45648</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45648</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45648</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45648</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45648</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45648</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45648</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45648</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45648</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45648</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45648</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45648</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45648</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45648</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45648</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45648</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45648</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45648</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45648</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45648</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45648</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45648</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45648</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45648</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45648</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45648</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45648</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45648</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45648</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45648</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45648</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45648</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45648</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45648</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45648</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45648</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45648</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45648</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45648</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45648</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45648</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45648</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45648</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45648</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45648</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45648</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45648</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45648</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45648</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45648</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45648</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45648</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45648</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45648</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45648</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45648</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45648</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45648</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45648</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45648</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45648</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45648</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45648</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45648</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45648</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45648</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45648</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45648</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45648</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45648</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45648</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45648</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45648</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45648</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45648</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45648</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45648</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45648</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45648</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45648</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45648</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45648</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45648</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45648</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45648</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45648</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45648</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45648</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45648</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45648</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45648</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45648</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45648</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45648</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45648</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45648</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45648</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45648</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45648</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45648</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45648</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45648</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45648</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45648</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45648</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45648</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45648</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45648</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45648</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45648</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45648</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45648</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45648</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45648</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45648</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45648</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45648</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45648</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45648</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45648</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45648</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45648</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45648</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45648</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45648</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45648</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45648</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45648</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45648</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45648</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45648</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45648</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45648</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45648</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45648</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45648</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45648</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45648</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45648</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45648</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45648</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45648</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45648</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45648</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45648</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45648</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45648</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45648</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45648</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45648</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45648</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45648</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45648</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45648</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45648</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45648</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45648</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45648</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45648</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45648</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45648</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45648</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45648</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45648</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45648</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45648</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45648</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45648</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45648</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45648</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45648</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45648</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45648</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45648</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45648</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45648</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45648</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45648</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45648</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45648</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45648</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45648</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45648</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45648</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45648</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45648</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45648</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45648</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45648</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45648</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45648</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45648</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45648</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45648</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45648</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45648</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45648</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45648</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45648</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45648</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45648</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45648</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45648</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45648</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45648</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45648</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45648</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45648</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45648</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45648</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45648</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45648</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45648</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45648</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45648</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45648</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45648</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45648</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45648</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45648</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45648</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45648</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45648</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45648</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45648</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45648</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45648</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45648</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45648</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45648</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45648</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45648</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45648</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45648</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45648</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45648</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45648</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45648</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45648</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45648</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45648</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45648</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45648</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45648</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45648</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45648</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45648</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45648</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45648</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45648</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45648</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45648</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45648</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45648</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45648</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45648</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45648</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45648</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45648</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45648</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45648</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45648</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45648</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45648</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45648</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45648</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45648</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45648</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45648</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45648</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45648</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45648</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45648</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45648</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45648</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45648</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45648</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45648</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45648</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45648</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45648</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45648</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45648</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45648</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45648</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45648</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45648</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45648</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45648</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45648</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45648</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45648</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45648</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45648</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45648</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45648</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45648</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45648</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45648</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45648</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45648</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45648</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45648</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45648</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45648</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45648</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45648</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45648</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45648</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45648</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45648</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45648</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45648</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45648</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45648</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45648</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45648</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45648</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45648</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45648</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45648</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45648</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45648</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45648</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45648</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45648</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45648</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45648</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45648</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45648</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45648</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45648</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45648</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45648</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45648</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45648</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45648</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45648</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45648</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45648</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45648</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45648</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45648</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45648</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45648</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45648</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45648</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45648</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45648</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45648</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45648</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45648</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45648</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45648</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45648</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45648</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45648</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45648</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45648</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45648</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45648</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45648</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45648</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45648</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45648</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45648</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45648</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45648</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45648</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45648</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45648</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45648</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45648</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45648</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45648</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45648</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45648</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45648</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45648</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45648</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45648</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45648</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45648</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45648</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45648</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45648</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45648</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45648</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45648</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45648</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45648</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45648</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45648</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45648</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45648</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45648</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45648</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45648</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45648</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45648</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45648</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45648</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45648</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45648</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45648</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45648</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45648</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45648</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45648</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45648</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45648</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45648</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45648</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45648</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45648</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45648</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45648</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45648</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45648</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45648</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45648</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45648</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45648</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45648</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45648</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45648</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45648</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45648</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45648</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45648</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45648</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45648</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45648</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45648</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45648</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45648</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45648</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45648</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45648</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45648</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45648</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45648</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45648</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45648</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45648</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45648</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45648</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45648</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45648</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45648</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45648</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45648</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45648</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45648</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45648</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45648</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45648</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45648</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45648</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45648</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45648</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45648</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45648</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45648</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45648</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45648</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45648</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45648</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45648</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45648</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45648</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45648</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45648</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45648</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45648</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45648</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45648</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45648</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45648</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45648</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45648</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45648</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45648</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45648</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45648</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45648</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45648</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45648</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45648</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45648</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45648</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45648</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45648</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45648</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45648</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45648</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45648</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45648</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45648</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45648</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45648</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45648</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45648</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45648</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45648</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45648</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45648</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45648</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45648</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45648</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45648</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45648</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45648</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45648</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45648</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45648</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45648</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45648</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45648</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45648</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45648</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45648</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45648</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45648</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45648</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45648</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45648</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45648</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45648</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45648</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45648</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45648</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45648</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45648</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45648</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45648</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45648</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45648</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45648</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45648</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45648</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45648</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45648</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45648</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45648</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45648</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45648</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45648</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45648</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45648</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45648</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45648</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45648</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45648</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45648</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45648</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45648</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45648</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45648</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45648</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45648</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45648</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45648</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45648</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45648</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45648</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45648</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45648</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45648</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45648</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45648</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45648</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45648</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45648</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45648</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45648</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45648</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45648</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45648</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45648</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45648</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45648</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45648</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45648</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45648</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45648</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45648</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45648</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45648</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45648</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45648</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45648</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45648</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45648</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45648</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45648</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45648</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45648</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45648</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45648</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45648</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45648</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45648</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45648</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45648</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45648</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45648</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45648</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45648</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45648</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45648</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45648</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45648</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45648</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45648</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45648</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45648</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45648</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45648</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45648</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45648</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45648</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45648</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45648</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45648</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45648</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45648</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45648</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45648</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45648</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45648</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45648</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45648</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45648</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45648</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45648</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45648</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45648</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45648</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45648</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45648</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45648</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45648</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45648</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45648</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45648</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45648</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45648</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45648</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45648</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45648</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45648</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45648</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45648</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45648</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45648</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45648</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45648</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45648</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45648</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45648</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45648</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45648</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45648</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45648</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45648</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45648</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45648</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45648</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45648</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45648</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45648</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45648</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45648</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45648</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45648</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45648</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45648</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45648</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45648</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45648</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45648</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45648</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45648</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45648</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45648</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45648</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45648</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45648</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45648</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45648</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45648</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45648</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45648</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45648</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45648</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45648</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45648</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45648</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45648</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45648</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45648</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45648</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45648</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45648</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45648</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45648</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45648</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45648</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45648</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45648</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45648</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45648</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45648</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45648</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45648</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45648</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45648</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45648</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45648</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45648</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45648</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45648</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45648</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45648</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45648</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45648</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45648</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45648</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45648</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45648</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45648</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45648</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45648</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45648</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45648</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45648</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45648</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45648</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45648</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45648</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45648</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45648</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45648</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45648</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45648</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45648</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45648</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45648</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45648</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45648</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45648</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45648</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45648</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45648</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45648</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45648</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45648</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45648</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45648</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45648</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45648</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45648</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45648</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45648</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45648</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45648</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45648</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45648</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45648</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45648</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45648</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45648</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45648</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45648</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45648</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45648</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45648</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45648</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45648</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45648</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45648</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45648</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45648</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45648</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45648</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45648</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45648</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45648</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45648</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45648</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45648</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45648</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45648</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45648</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45648</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45648</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45648</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45648</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45648</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45648</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45648</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45648</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45648</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45648</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45648</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45648</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45648</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45648</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45648</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45648</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45648</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45648</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45648</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45648</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45648</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45648</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45648</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45648</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45648</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45648</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45648</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45648</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45648</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45648</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45648</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45648</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45648</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45648</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45648</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45648</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45648</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45648</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45648</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45648</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45648</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45648</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45648</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45648</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45648</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45648</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45648</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45648</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45648</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45648</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45648</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45648</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45648</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45648</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45648</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45648</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45648</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45648</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45648</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45648</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45648</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45648</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45648</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45648</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45648</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45648</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45648</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45648</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45648</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45648</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45648</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45648</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45648</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45648</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45648</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45648</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45648</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45648</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45648</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45648</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45648</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45648</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45648</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45648</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45648</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45648</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45648</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45648</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45648</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45648</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45648</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45648</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45648</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45648</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45648</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45648</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45648</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45648</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45648</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45648</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45648</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45648</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45648</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45648</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45648</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45648</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45648</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45648</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45648</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45648</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45648</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45648</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45648</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45648</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45648</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45648</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45648</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45648</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45648</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45648</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45648</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45648</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45648</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45648</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45648</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45648</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45648</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45648</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45648</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45648</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45648</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45648</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45648</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45648</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45648</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45648</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45648</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45648</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45648</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45648</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45648</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45648</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45648</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45648</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45648</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45648</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45648</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45648</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45648</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45648</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45648</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45648</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45648</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45648</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45648</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45648</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45648</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45648</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45648</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45648</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45648</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45648</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45648</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45648</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45648</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45648</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45648</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45648</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45648</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45648</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45648</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45648</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45648</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45648</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45648</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45648</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45648</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45648</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45648</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45648</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45648</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45648</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45648</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45648</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45648</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45648</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45648</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45648</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45648</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45648</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45648</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45648</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45648</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45648</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45648</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45648</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45648</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45648</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45648</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45648</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45648</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45648</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45648</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45648</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45648</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45648</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45648</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45648</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45648</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45648</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45648</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45648</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45648</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45648</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45648</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45648</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45648</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45648</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45648</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45648</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45648</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45648</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45648</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45648</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45648</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45648</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45648</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45648</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45648</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45648</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45648</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45648</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45648</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45648</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45648</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45648</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45648</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45648</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45648</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45648</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45648</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45648</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45648</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45648</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45648</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45648</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45648</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45648</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45648</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45648</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45648</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45648</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45648</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45648</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45648</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45648</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45648</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45648</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45648</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45648</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45648</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45648</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45648</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45648</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45648</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45648</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45648</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45648</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45648</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45648</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45648</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45648</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45648</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45648</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45648</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45648</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45648</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45648</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45648</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45648</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45648</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45648</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45648</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45648</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45648</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45648</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45648</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45648</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45648</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45648</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45648</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45648</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45648</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45648</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45648</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45648</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45648</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45648</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45648</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45648</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45648</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45648</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45648</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45648</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45648</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45648</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45648</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45648</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45648</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45648</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45648</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45648</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45648</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45648</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45648</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45648</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45648</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45648</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45648</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45648</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45648</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45648</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45648</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45648</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45648</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45648</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45648</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45648</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45648</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45648</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45648</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45648</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45648</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45648</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45648</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45648</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45648</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45648</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45648</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45648</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45648</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45648</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45648</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45648</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45648</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45648</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45648</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45648</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45648</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45648</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45648</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45648</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45648</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45648</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45648</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45648</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45648</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45648</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45648</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45648</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45648</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45648</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45648</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45648</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45648</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45648</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45648</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45648</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45648</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45648</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45648</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45648</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45648</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45648</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45648</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45648</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45648</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45648</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45648</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45648</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45648</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45648</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45648</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45648</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45648</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45648</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45648</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45648</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45648</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45648</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45648</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45648</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45648</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45648</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45648</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45648</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45648</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45648</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45648</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45648</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45648</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45648</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45648</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45648</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45648</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45648</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45648</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45648</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45648</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45648</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45648</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45648</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45648</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45648</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45648</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45648</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45648</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45648</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45648</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45648</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45648</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45648</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45648</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45648</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45648</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45648</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45648</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45648</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45648</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45648</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45648</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45648</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45648</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45648</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45648</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45648</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45648</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45648</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45648</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45648</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45648</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45648</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45648</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45648</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45648</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45648</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45648</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45648</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45648</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45648</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45648</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45648</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45648</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45648</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45648</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45648</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45648</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45648</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45648</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45648</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45648</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45648</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45648</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45648</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45648</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45648</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45648</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45648</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45648</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45648</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45648</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45648</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45648</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45648</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45648</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45648</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45648</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45648</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45648</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45648</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45648</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45648</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45648</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45648</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45648</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45648</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45648</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45648</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45648</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45648</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45648</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45648</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45648</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45648</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45648</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45648</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45648</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45648</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45648</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45648</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45648</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45648</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45648</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45648</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45648</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45648</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45648</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45648</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45648</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45648</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45648</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45648</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45648</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45648</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45648</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45648</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45648</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45648</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45648</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45648</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45648</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45648</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45648</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45648</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45648</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45648</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45648</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45648</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45648</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45648</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45648</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45648</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45648</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45648</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45648</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45648</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45648</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45648</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45648</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45648</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45648</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45648</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45648</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45648</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45648</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45648</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45648</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45648</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45648</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45648</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45648</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45648</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45648</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45648</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45648</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45648</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45648</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45648</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45648</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45648</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45648</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45648</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45648</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45648</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45648</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45648</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45648</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45648</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45648</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45648</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45648</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45648</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45648</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45648</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45648</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45648</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45648</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45648</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45648</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45648</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45648</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45648</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45648</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45648</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45648</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45648</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45648</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45648</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45648</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45648</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45648</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45648</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45648</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45648</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45648</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45648</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45648</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45648</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45648</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45648</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45648</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45648</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45648</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45648</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45648</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45648</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45648</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45648</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45648</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45648</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45648</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45648</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45648</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45648</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45648</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45648</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45648</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45648</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45648</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45648</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45648</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45648</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45648</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45648</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45648</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45648</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45648</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45648</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45648</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45648</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45648</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45648</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45648</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45648</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45648</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45648</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45648</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45648</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45648</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45648</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45648</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45648</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45648</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45648</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45648</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45648</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45648</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45648</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45648</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45648</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45648</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45648</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45648</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45648</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45648</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45648</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45648</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45648</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45648</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45648</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45648</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45648</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45648</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45648</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45648</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45648</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45648</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45648</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45648</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45648</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45648</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45648</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45648</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45648</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45648</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45648</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45648</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45648</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45648</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45648</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45648</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45648</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45648</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45648</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45648</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45648</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45648</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45648</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45648</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45648</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45648</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45648</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45648</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45648</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45648</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45648</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45648</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45648</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45648</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45648</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45648</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45648</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45648</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45648</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45648</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45648</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45648</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45648</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45648</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45648</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45648</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45648</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45648</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45648</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45648</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45648</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45648</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45648</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45648</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45648</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45648</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45648</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45648</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45648</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45648</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45648</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45648</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45648</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45648</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45648</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45648</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45648</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45648</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45648</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45648</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45648</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45648</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45648</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45648</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45648</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45648</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45648</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45648</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45648</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45648</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45648</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45648</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45648</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45648</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45648</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45648</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45648</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45648</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45648</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45648</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45648</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45648</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45648</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45648</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45648</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45648</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45648</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45648</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45648</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45648</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45648</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45648</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45648</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45648</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45648</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45648</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45648</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45648</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45648</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45648</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45648</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45648</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45648</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45648</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45648</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45648</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45648</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45648</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45648</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45648</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45648</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45648</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45648</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45648</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45648</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45648</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45648</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45648</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45648</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45648</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45648</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45648</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45648</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45648</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45648</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45648</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45648</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45648</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45648</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45648</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45648</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45648</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45648</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45648</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45648</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45648</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45648</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45648</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45648</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45648</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45648</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45648</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45648</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45648</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45648</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45648</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45648</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45648</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45648</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45648</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45648</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45648</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45648</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45648</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45648</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45648</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45648</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45648</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45648</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45648</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45648</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45648</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45648</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45648</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45648</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45648</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45648</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45648</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45648</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45648</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45648</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45648</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45648</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45648</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45648</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45648</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45648</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45648</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45648</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45648</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45648</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45648</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45648</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45648</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45648</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45648</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45648</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45648</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45648</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45648</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45648</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45648</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45648</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45648</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45648</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45648</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45648</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45648</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45648</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45648</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45648</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45648</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45648</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45648</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45648</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45648</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45648</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45648</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45648</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45648</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45648</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45648</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45648</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45648</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45648</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45648</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45648</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45648</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45648</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45648</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45648</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45648</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45648</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45648</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45648</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45648</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45648</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45648</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45648</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45648</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45648</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45648</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45648</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45648</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45648</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45648</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45648</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45648</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45648</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45648</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45648</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45648</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45648</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45648</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45648</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45648</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45648</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45648</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45648</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45648</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45648</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45648</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45648</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45648</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45648</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45648</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45648</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45648</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45648</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45648</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45648</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45648</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45648</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45648</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45648</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45648</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45648</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45648</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45648</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45648</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45648</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45648</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45648</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45648</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45648</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45648</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45648</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45648</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45648</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45648</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45648</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45648</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45648</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45648</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45648</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45648</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45648</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45648</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45648</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45648</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45648</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45648</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45648</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45648</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45648</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45648</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45648</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45648</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45648</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45648</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45648</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45648</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45648</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45648</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45648</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45648</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45648</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45648</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45648</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45648</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45648</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45648</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45648</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45648</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45648</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45648</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45648</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45648</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45648</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45648</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45648</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45648</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45648</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45648</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45648</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45648</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45648</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45648</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45648</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45648</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45648</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45648</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45648</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45648</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45648</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45648</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45648</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45648</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45648</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45648</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45648</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45648</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45648</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45648</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45648</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45648</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45648</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45648</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45648</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45648</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45648</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45648</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45648</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45648</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45648</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45648</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45648</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45648</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45648</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45648</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45648</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45648</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45648</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45648</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45648</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45648</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45648</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45648</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45648</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45648</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45648</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45648</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45648</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45648</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45648</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45648</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45648</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45648</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45648</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45648</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45648</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45648</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45648</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45648</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45648</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45648</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45648</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45648</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45648</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45648</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45648</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45648</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45648</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45648</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45648</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45648</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45648</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45648</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45648</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45648</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45648</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45648</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45648</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45648</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45648</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45648</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45648</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45648</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45648</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45648</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45648</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45648</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45648</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45648</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45648</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45648</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45648</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45648</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45648</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45648</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45648</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45648</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45648</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45648</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45648</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45648</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45648</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45648</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45648</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45648</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45648</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45648</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45648</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45648</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45648</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45648</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45648</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45648</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45648</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45648</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45648</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45648</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45648</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45648</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45648</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45648</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45648</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45648</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45648</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45648</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45648</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45648</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45648</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45648</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45648</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45648</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45648</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45648</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45648</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45648</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45648</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45648</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45648</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45648</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45648</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45648</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45648</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45648</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45648</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45648</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45648</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45648</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45648</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45648</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45648</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45648</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45648</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45648</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45648</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45648</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45648</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45648</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45648</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45648</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45648</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45648</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45648</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45648</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45648</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45648</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45648</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45648</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45648</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45648</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45648</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45648</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45648</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45648</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45648</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45648</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45648</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45648</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45648</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45648</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45648</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45648</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45648</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45648</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45648</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45648</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45648</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45648</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45648</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45648</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45648</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45648</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45648</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45648</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45648</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45648</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45648</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45648</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45648</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45648</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45648</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45648</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45648</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45648</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45648</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45648</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45648</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45648</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45648</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45648</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45648</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45648</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45648</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45648</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45648</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45648</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45648</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45648</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45648</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45648</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45648</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45648</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45648</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45648</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45648</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45648</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45648</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45648</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45648</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45648</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45648</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45648</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45648</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45648</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45648</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45648</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45648</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45648</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45648</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45648</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45648</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45648</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45648</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45648</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45648</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45648</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45648</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45648</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45648</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45648</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45648</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45648</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45648</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45648</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45648</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45648</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45648</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45648</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45648</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45648</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45648</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45648</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45648</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45648</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45648</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45648</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45648</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45648</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45648</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45648</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45648</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45648</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45648</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45648</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45648</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45648</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45648</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45648</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45648</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45648</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45648</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45648</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45648</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45648</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45648</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45648</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45648</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45648</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45648</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45648</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45648</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45648</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45648</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45648</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45648</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45648</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45648</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45648</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45648</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45648</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45648</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45648</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45648</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45648</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45648</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45648</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45648</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45648</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45648</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45648</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45648</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45648</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45648</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45648</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45648</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45648</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45648</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45648</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45648</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45648</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45648</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45648</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45648</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45648</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45648</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45648</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45648</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45648</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45648</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45648</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45648</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45648</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45648</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45648</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45648</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45648</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45648</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45648</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45648</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45648</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45648</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45648</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45648</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45648</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45648</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45648</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45648</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45648</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45648</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45648</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45648</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45648</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45648</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45648</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45648</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45648</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45648</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45648</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45648</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45648</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45648</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45648</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45648</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45648</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45648</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45648</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45648</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45648</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45648</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45648</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45648</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45648</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45648</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45648</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45648</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45648</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45648</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45648</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45648</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45648</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45648</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45648</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45648</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45648</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45648</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45648</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45648</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45648</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45648</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45648</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45648</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45648</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45648</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45648</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45648</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45648</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45648</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45648</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45648</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45648</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45648</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45648</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45648</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45648</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45648</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45648</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45648</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45648</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45648</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45648</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45648</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45648</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45648</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45648</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45648</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45648</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45648</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45648</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45648</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45648</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45648</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45648</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45648</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45648</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45648</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45648</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45648</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45648</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45648</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45648</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45648</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45648</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45648</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45648</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45648</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45648</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45648</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45648</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45648</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45648</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45648</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45648</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45648</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45648</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45648</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45648</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45648</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45648</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45648</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45648</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45648</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45648</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45648</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45648</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45648</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45648</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45648</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45648</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45648</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45648</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45648</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45648</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45648</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45648</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45648</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45648</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45648</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45648</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45648</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45648</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45648</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45648</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45648</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45648</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45648</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45648</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45648</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45648</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45648</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45648</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45648</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45648</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45648</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45648</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45648</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45648</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45648</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45648</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45648</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45648</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45648</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45648</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45648</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45648</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45648</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45648</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45648</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45648</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45648</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45648</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45648</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45648</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45648</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45648</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45648</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45648</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45648</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45648</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45648</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45648</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45648</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45648</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45648</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45648</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45648</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45648</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45648</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45648</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45648</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45648</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45648</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45648</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45648</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45648</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45648</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45648</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45648</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45648</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45648</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45648</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45648</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45648</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45648</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45648</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45648</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45648</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45648</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45648</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45648</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45648</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45648</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45648</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45648</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45648</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45648</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45648</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45648</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45648</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45648</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45648</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45648</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45648</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45648</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45648</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45648</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45648</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45648</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45648</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45648</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45648</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45648</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45648</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45648</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45648</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45648</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45648</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45648</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45648</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45648</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45648</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45648</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45648</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45648</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45648</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45648</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45648</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45648</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45648</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45648</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45648</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45648</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45648</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45648</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45648</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45648</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45648</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45648</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45648</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45648</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45648</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45648</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45648</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45648</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45648</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45648</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45648</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45648</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45648</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45648</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45648</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45648</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45648</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45648</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45648</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45648</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45648</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45648</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45648</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45648</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45648</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45648</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45648</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45648</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45648</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45648</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45648</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45648</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45648</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45648</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45648</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45648</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45648</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45648</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45648</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45648</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45648</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45648</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45648</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45648</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45648</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45648</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45648</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45648</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45648</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45648</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45648</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45648</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45648</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45648</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45648</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45648</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45648</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45648</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45648</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45648</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45648</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45648</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45648</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45648</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45648</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45648</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45648</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45648</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45648</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45648</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45648</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45648</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45648</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45648</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45648</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45648</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45648</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45648</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45648</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45648</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45648</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45648</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45648</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45648</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45648</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45648</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45648</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45648</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45648</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45648</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45648</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45648</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45648</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45648</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45648</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45648</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45648</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45648</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45648</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45648</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45648</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45648</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45648</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45648</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45648</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45648</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45648</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45648</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45648</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45648</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45648</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45648</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45648</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45648</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45648</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45648</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45648</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45648</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45648</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45648</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45648</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45648</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45648</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45648</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45648</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45648</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45648</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45648</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45648</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45648</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45648</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45648</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45648</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45648</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45648</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45648</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45648</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45648</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45648</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45648</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45648</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45648</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45648</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45648</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45648</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45648</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45648</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45648</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45648</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45648</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45648</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45648</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45648</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45648</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45648</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45648</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45648</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45648</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45648</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45648</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45648</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45648</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45648</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45648</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45648</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45648</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45648</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45648</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45648</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45648</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45648</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45648</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45648</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45648</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45648</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45648</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45648</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45648</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45648</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45648</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45648</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45648</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45648</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45648</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45648</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45648</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45648</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45648</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45648</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45648</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45648</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45648</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45648</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45648</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45648</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45648</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45648</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45648</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45648</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45648</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45648</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45648</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45648</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45648</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45648</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45648</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45648</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45648</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45648</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45648</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45648</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45648</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45648</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45648</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45648</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45648</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45648</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45648</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45648</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45648</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45648</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45648</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45648</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45648</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45648</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45648</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45648</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45648</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45648</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45648</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45648</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45648</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45648</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45648</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45648</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45648</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45648</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45648</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45648</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45648</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45648</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45648</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45648</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45648</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45648</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45648</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45648</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45648</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45648</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45648</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45648</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45648</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45648</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45648</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45648</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45648</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45648</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45648</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45648</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45648</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45648</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45648</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45648</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45648</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45648</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45648</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45648</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45648</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45648</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45648</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45648</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45648</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45648</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45648</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45648</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45648</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45648</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45648</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45648</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45648</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45648</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45648</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45648</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45648</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45648</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45648</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45648</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45648</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45648</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45648</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45648</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45648</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45648</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45648</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45648</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45648</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45648</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45648</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45648</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45648</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45648</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45648</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45648</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45648</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45648</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45648</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45648</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45648</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45648</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45648</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45648</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45648</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45648</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45648</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45648</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45648</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45648</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45648</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45648</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45648</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45648</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45648</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45648</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45648</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45648</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45648</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45648</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45648</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45648</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45648</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45648</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45648</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45648</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45648</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45648</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45648</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45648</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45648</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45648</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45648</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45648</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45648</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45648</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45648</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45648</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45648</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45648</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45648</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45648</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45648</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45648</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45648</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45648</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45648</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45648</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45648</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45648</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45648</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45648</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45648</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45648</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45648</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45648</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45648</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45648</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45648</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45648</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45648</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45648</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45648</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45648</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45648</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45648</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45648</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45648</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45648</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45648</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45648</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45648</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45648</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45648</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45648</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45648</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45648</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45648</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45648</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45648</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45648</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45648</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45648</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45648</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45648</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45648</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45648</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45648</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45648</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45648</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45648</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45648</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45648</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45648</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45648</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45648</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45648</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45648</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45648</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45648</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45648</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45648</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45648</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45648</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45648</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45648</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45648</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45648</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45648</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45648</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45648</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45648</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45648</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45648</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45648</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45648</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45648</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45648</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45648</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45648</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45648</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45648</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45648</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45648</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45648</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45648</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45648</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45648</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45648</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45648</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45648</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45648</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45648</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45648</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45648</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45648</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45648</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45648</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45648</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45648</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45648</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45648</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45648</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45648</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45648</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45648</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45648</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45648</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45648</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45648</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45648</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45648</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45648</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45648</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45648</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45648</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45648</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45648</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45648</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45648</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45648</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45648</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45648</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45648</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45648</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45648</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45648</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45648</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45648</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45648</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45648</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45648</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45648</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45648</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45648</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45648</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45648</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45648</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45648</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45648</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45648</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45648</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45648</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45648</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45648</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45648</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45648</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45648</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45648</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45648</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45648</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45648</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45648</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45648</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45648</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45648</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45648</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45648</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45648</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45648</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45648</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45648</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45648</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45648</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45648</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45648</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45648</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45648</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45648</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45648</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45648</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45648</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45648</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45648</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45648</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45648</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45648</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45648</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45648</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45648</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45648</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45648</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45648</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45648</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45648</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45648</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45648</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45648</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45648</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45648</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45648</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45648</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45648</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45648</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45648</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45648</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45648</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45648</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45648</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45648</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45648</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45648</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45648</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45648</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45648</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45648</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45648</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45648</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45648</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45648</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45648</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45648</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45648</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45648</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45648</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45648</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45648</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45648</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45648</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45648</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45648</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45648</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45648</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45648</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45648</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45648</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45648</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45648</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45648</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45648</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45648</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45648</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45648</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45648</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45648</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45648</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45648</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45648</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45648</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45648</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45648</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45648</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45648</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45648</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45648</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45648</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45648</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45648</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45648</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45648</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45648</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45648</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45648</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45648</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45648</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45648</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45648</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45648</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45648</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45648</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45648</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45648</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45648</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45648</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45648</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45648</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45648</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45648</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45648</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45648</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45648</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45648</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45648</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45648</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45648</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45648</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45648</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45648</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45648</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45648</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45648</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45648</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45648</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45648</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45648</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45648</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45648</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45648</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45648</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45648</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45648</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45648</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45648</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45648</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45648</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45648</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45648</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45648</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45648</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45648</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45648</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45648</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45648</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55272-2024</t>
        </is>
      </c>
      <c r="B3418" s="1" t="n">
        <v>45621</v>
      </c>
      <c r="C3418" s="1" t="n">
        <v>45648</v>
      </c>
      <c r="D3418" t="inlineStr">
        <is>
          <t>VÄSTERNORRLANDS LÄN</t>
        </is>
      </c>
      <c r="E3418" t="inlineStr">
        <is>
          <t>SOLLEFTEÅ</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55149-2024</t>
        </is>
      </c>
      <c r="B3419" s="1" t="n">
        <v>45621</v>
      </c>
      <c r="C3419" s="1" t="n">
        <v>45648</v>
      </c>
      <c r="D3419" t="inlineStr">
        <is>
          <t>VÄSTERNORRLANDS LÄN</t>
        </is>
      </c>
      <c r="E3419" t="inlineStr">
        <is>
          <t>SOLLEFTEÅ</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55420-2024</t>
        </is>
      </c>
      <c r="B3420" s="1" t="n">
        <v>45622</v>
      </c>
      <c r="C3420" s="1" t="n">
        <v>45648</v>
      </c>
      <c r="D3420" t="inlineStr">
        <is>
          <t>VÄSTERNORRLANDS LÄN</t>
        </is>
      </c>
      <c r="E3420" t="inlineStr">
        <is>
          <t>SOLLEFTEÅ</t>
        </is>
      </c>
      <c r="F3420" t="inlineStr">
        <is>
          <t>SCA</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55439-2024</t>
        </is>
      </c>
      <c r="B3421" s="1" t="n">
        <v>45622</v>
      </c>
      <c r="C3421" s="1" t="n">
        <v>45648</v>
      </c>
      <c r="D3421" t="inlineStr">
        <is>
          <t>VÄSTERNORRLANDS LÄN</t>
        </is>
      </c>
      <c r="E3421" t="inlineStr">
        <is>
          <t>SOLLEFTEÅ</t>
        </is>
      </c>
      <c r="F3421" t="inlineStr">
        <is>
          <t>SCA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55422-2024</t>
        </is>
      </c>
      <c r="B3422" s="1" t="n">
        <v>45622</v>
      </c>
      <c r="C3422" s="1" t="n">
        <v>45648</v>
      </c>
      <c r="D3422" t="inlineStr">
        <is>
          <t>VÄSTERNORRLANDS LÄN</t>
        </is>
      </c>
      <c r="E3422" t="inlineStr">
        <is>
          <t>SOLLEFTEÅ</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55691-2024</t>
        </is>
      </c>
      <c r="B3423" s="1" t="n">
        <v>45622</v>
      </c>
      <c r="C3423" s="1" t="n">
        <v>45648</v>
      </c>
      <c r="D3423" t="inlineStr">
        <is>
          <t>VÄSTERNORRLANDS LÄN</t>
        </is>
      </c>
      <c r="E3423" t="inlineStr">
        <is>
          <t>SOLLEFTEÅ</t>
        </is>
      </c>
      <c r="F3423" t="inlineStr">
        <is>
          <t>SCA</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55707-2024</t>
        </is>
      </c>
      <c r="B3424" s="1" t="n">
        <v>45622</v>
      </c>
      <c r="C3424" s="1" t="n">
        <v>45648</v>
      </c>
      <c r="D3424" t="inlineStr">
        <is>
          <t>VÄSTERNORRLANDS LÄN</t>
        </is>
      </c>
      <c r="E3424" t="inlineStr">
        <is>
          <t>SOLLEFTEÅ</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55542-2024</t>
        </is>
      </c>
      <c r="B3425" s="1" t="n">
        <v>45622</v>
      </c>
      <c r="C3425" s="1" t="n">
        <v>45648</v>
      </c>
      <c r="D3425" t="inlineStr">
        <is>
          <t>VÄSTERNORRLANDS LÄN</t>
        </is>
      </c>
      <c r="E3425" t="inlineStr">
        <is>
          <t>SOLLEFTEÅ</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55440-2024</t>
        </is>
      </c>
      <c r="B3426" s="1" t="n">
        <v>45622</v>
      </c>
      <c r="C3426" s="1" t="n">
        <v>45648</v>
      </c>
      <c r="D3426" t="inlineStr">
        <is>
          <t>VÄSTERNORRLANDS LÄN</t>
        </is>
      </c>
      <c r="E3426" t="inlineStr">
        <is>
          <t>SOLLEFTEÅ</t>
        </is>
      </c>
      <c r="F3426" t="inlineStr">
        <is>
          <t>SCA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55710-2024</t>
        </is>
      </c>
      <c r="B3427" s="1" t="n">
        <v>45622</v>
      </c>
      <c r="C3427" s="1" t="n">
        <v>45648</v>
      </c>
      <c r="D3427" t="inlineStr">
        <is>
          <t>VÄSTERNORRLANDS LÄN</t>
        </is>
      </c>
      <c r="E3427" t="inlineStr">
        <is>
          <t>SOLLEFTEÅ</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55726-2024</t>
        </is>
      </c>
      <c r="B3428" s="1" t="n">
        <v>45622</v>
      </c>
      <c r="C3428" s="1" t="n">
        <v>45648</v>
      </c>
      <c r="D3428" t="inlineStr">
        <is>
          <t>VÄSTERNORRLANDS LÄN</t>
        </is>
      </c>
      <c r="E3428" t="inlineStr">
        <is>
          <t>SOLLEFTEÅ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55692-2024</t>
        </is>
      </c>
      <c r="B3429" s="1" t="n">
        <v>45622</v>
      </c>
      <c r="C3429" s="1" t="n">
        <v>45648</v>
      </c>
      <c r="D3429" t="inlineStr">
        <is>
          <t>VÄSTERNORRLANDS LÄN</t>
        </is>
      </c>
      <c r="E3429" t="inlineStr">
        <is>
          <t>SOLLEFTEÅ</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45648</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55824-2024</t>
        </is>
      </c>
      <c r="B3431" s="1" t="n">
        <v>45623</v>
      </c>
      <c r="C3431" s="1" t="n">
        <v>45648</v>
      </c>
      <c r="D3431" t="inlineStr">
        <is>
          <t>VÄSTERNORRLANDS LÄN</t>
        </is>
      </c>
      <c r="E3431" t="inlineStr">
        <is>
          <t>SOLLEFTEÅ</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55872-2024</t>
        </is>
      </c>
      <c r="B3432" s="1" t="n">
        <v>45623</v>
      </c>
      <c r="C3432" s="1" t="n">
        <v>45648</v>
      </c>
      <c r="D3432" t="inlineStr">
        <is>
          <t>VÄSTERNORRLANDS LÄN</t>
        </is>
      </c>
      <c r="E3432" t="inlineStr">
        <is>
          <t>SOLLEFTEÅ</t>
        </is>
      </c>
      <c r="F3432" t="inlineStr">
        <is>
          <t>SCA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55759-2024</t>
        </is>
      </c>
      <c r="B3433" s="1" t="n">
        <v>45623</v>
      </c>
      <c r="C3433" s="1" t="n">
        <v>45648</v>
      </c>
      <c r="D3433" t="inlineStr">
        <is>
          <t>VÄSTERNORRLANDS LÄN</t>
        </is>
      </c>
      <c r="E3433" t="inlineStr">
        <is>
          <t>SOLLEFTEÅ</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45648</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55792-2024</t>
        </is>
      </c>
      <c r="B3435" s="1" t="n">
        <v>45623</v>
      </c>
      <c r="C3435" s="1" t="n">
        <v>45648</v>
      </c>
      <c r="D3435" t="inlineStr">
        <is>
          <t>VÄSTERNORRLANDS LÄN</t>
        </is>
      </c>
      <c r="E3435" t="inlineStr">
        <is>
          <t>SOLLEFTEÅ</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55851-2024</t>
        </is>
      </c>
      <c r="B3436" s="1" t="n">
        <v>45623</v>
      </c>
      <c r="C3436" s="1" t="n">
        <v>45648</v>
      </c>
      <c r="D3436" t="inlineStr">
        <is>
          <t>VÄSTERNORRLANDS LÄN</t>
        </is>
      </c>
      <c r="E3436" t="inlineStr">
        <is>
          <t>SOLLEFTEÅ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55848-2024</t>
        </is>
      </c>
      <c r="B3437" s="1" t="n">
        <v>45623</v>
      </c>
      <c r="C3437" s="1" t="n">
        <v>45648</v>
      </c>
      <c r="D3437" t="inlineStr">
        <is>
          <t>VÄSTERNORRLANDS LÄN</t>
        </is>
      </c>
      <c r="E3437" t="inlineStr">
        <is>
          <t>SOLLEFTEÅ</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45648</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45648</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56204-2024</t>
        </is>
      </c>
      <c r="B3440" s="1" t="n">
        <v>45624</v>
      </c>
      <c r="C3440" s="1" t="n">
        <v>45648</v>
      </c>
      <c r="D3440" t="inlineStr">
        <is>
          <t>VÄSTERNORRLANDS LÄN</t>
        </is>
      </c>
      <c r="E3440" t="inlineStr">
        <is>
          <t>SOLLEFTEÅ</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56248-2024</t>
        </is>
      </c>
      <c r="B3441" s="1" t="n">
        <v>45624</v>
      </c>
      <c r="C3441" s="1" t="n">
        <v>45648</v>
      </c>
      <c r="D3441" t="inlineStr">
        <is>
          <t>VÄSTERNORRLANDS LÄN</t>
        </is>
      </c>
      <c r="E3441" t="inlineStr">
        <is>
          <t>SOLLEFTEÅ</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56252-2024</t>
        </is>
      </c>
      <c r="B3442" s="1" t="n">
        <v>45624</v>
      </c>
      <c r="C3442" s="1" t="n">
        <v>45648</v>
      </c>
      <c r="D3442" t="inlineStr">
        <is>
          <t>VÄSTERNORRLANDS LÄN</t>
        </is>
      </c>
      <c r="E3442" t="inlineStr">
        <is>
          <t>SOLLEFTEÅ</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56249-2024</t>
        </is>
      </c>
      <c r="B3443" s="1" t="n">
        <v>45624</v>
      </c>
      <c r="C3443" s="1" t="n">
        <v>45648</v>
      </c>
      <c r="D3443" t="inlineStr">
        <is>
          <t>VÄSTERNORRLANDS LÄN</t>
        </is>
      </c>
      <c r="E3443" t="inlineStr">
        <is>
          <t>SOLLEFTEÅ</t>
        </is>
      </c>
      <c r="F3443" t="inlineStr">
        <is>
          <t>SCA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56257-2024</t>
        </is>
      </c>
      <c r="B3444" s="1" t="n">
        <v>45624</v>
      </c>
      <c r="C3444" s="1" t="n">
        <v>45648</v>
      </c>
      <c r="D3444" t="inlineStr">
        <is>
          <t>VÄSTERNORRLANDS LÄN</t>
        </is>
      </c>
      <c r="E3444" t="inlineStr">
        <is>
          <t>SOLLEFTEÅ</t>
        </is>
      </c>
      <c r="G3444" t="n">
        <v>7.4</v>
      </c>
      <c r="H3444" t="n">
        <v>0</v>
      </c>
      <c r="I3444" t="n">
        <v>0</v>
      </c>
      <c r="J3444" t="n">
        <v>0</v>
      </c>
      <c r="K3444" t="n">
        <v>0</v>
      </c>
      <c r="L3444" t="n">
        <v>0</v>
      </c>
      <c r="M3444" t="n">
        <v>0</v>
      </c>
      <c r="N3444" t="n">
        <v>0</v>
      </c>
      <c r="O3444" t="n">
        <v>0</v>
      </c>
      <c r="P3444" t="n">
        <v>0</v>
      </c>
      <c r="Q3444" t="n">
        <v>0</v>
      </c>
      <c r="R3444" s="2" t="inlineStr"/>
    </row>
    <row r="3445" ht="15" customHeight="1">
      <c r="A3445" t="inlineStr">
        <is>
          <t>A 56265-2024</t>
        </is>
      </c>
      <c r="B3445" s="1" t="n">
        <v>45624</v>
      </c>
      <c r="C3445" s="1" t="n">
        <v>45648</v>
      </c>
      <c r="D3445" t="inlineStr">
        <is>
          <t>VÄSTERNORRLANDS LÄN</t>
        </is>
      </c>
      <c r="E3445" t="inlineStr">
        <is>
          <t>SOLLEFTEÅ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56273-2024</t>
        </is>
      </c>
      <c r="B3446" s="1" t="n">
        <v>45624</v>
      </c>
      <c r="C3446" s="1" t="n">
        <v>45648</v>
      </c>
      <c r="D3446" t="inlineStr">
        <is>
          <t>VÄSTERNORRLANDS LÄN</t>
        </is>
      </c>
      <c r="E3446" t="inlineStr">
        <is>
          <t>SOLLEFTEÅ</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56190-2024</t>
        </is>
      </c>
      <c r="B3447" s="1" t="n">
        <v>45624</v>
      </c>
      <c r="C3447" s="1" t="n">
        <v>45648</v>
      </c>
      <c r="D3447" t="inlineStr">
        <is>
          <t>VÄSTERNORRLANDS LÄN</t>
        </is>
      </c>
      <c r="E3447" t="inlineStr">
        <is>
          <t>SOLLEFTEÅ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56207-2024</t>
        </is>
      </c>
      <c r="B3448" s="1" t="n">
        <v>45624</v>
      </c>
      <c r="C3448" s="1" t="n">
        <v>45648</v>
      </c>
      <c r="D3448" t="inlineStr">
        <is>
          <t>VÄSTERNORRLANDS LÄN</t>
        </is>
      </c>
      <c r="E3448" t="inlineStr">
        <is>
          <t>SOLLEFTEÅ</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56206-2024</t>
        </is>
      </c>
      <c r="B3449" s="1" t="n">
        <v>45624</v>
      </c>
      <c r="C3449" s="1" t="n">
        <v>45648</v>
      </c>
      <c r="D3449" t="inlineStr">
        <is>
          <t>VÄSTERNORRLANDS LÄN</t>
        </is>
      </c>
      <c r="E3449" t="inlineStr">
        <is>
          <t>SOLLEFTEÅ</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45648</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45648</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45648</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45648</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56390-2024</t>
        </is>
      </c>
      <c r="B3454" s="1" t="n">
        <v>45625</v>
      </c>
      <c r="C3454" s="1" t="n">
        <v>45648</v>
      </c>
      <c r="D3454" t="inlineStr">
        <is>
          <t>VÄSTERNORRLANDS LÄN</t>
        </is>
      </c>
      <c r="E3454" t="inlineStr">
        <is>
          <t>SOLLEFTEÅ</t>
        </is>
      </c>
      <c r="F3454" t="inlineStr">
        <is>
          <t>SCA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56398-2024</t>
        </is>
      </c>
      <c r="B3455" s="1" t="n">
        <v>45625</v>
      </c>
      <c r="C3455" s="1" t="n">
        <v>45648</v>
      </c>
      <c r="D3455" t="inlineStr">
        <is>
          <t>VÄSTERNORRLANDS LÄN</t>
        </is>
      </c>
      <c r="E3455" t="inlineStr">
        <is>
          <t>SOLLEFTEÅ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56431-2024</t>
        </is>
      </c>
      <c r="B3456" s="1" t="n">
        <v>45625</v>
      </c>
      <c r="C3456" s="1" t="n">
        <v>45648</v>
      </c>
      <c r="D3456" t="inlineStr">
        <is>
          <t>VÄSTERNORRLANDS LÄN</t>
        </is>
      </c>
      <c r="E3456" t="inlineStr">
        <is>
          <t>SOLLEFTEÅ</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45648</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56871-2024</t>
        </is>
      </c>
      <c r="B3458" s="1" t="n">
        <v>45628</v>
      </c>
      <c r="C3458" s="1" t="n">
        <v>45648</v>
      </c>
      <c r="D3458" t="inlineStr">
        <is>
          <t>VÄSTERNORRLANDS LÄN</t>
        </is>
      </c>
      <c r="E3458" t="inlineStr">
        <is>
          <t>SOLLEFTEÅ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56861-2024</t>
        </is>
      </c>
      <c r="B3459" s="1" t="n">
        <v>45628</v>
      </c>
      <c r="C3459" s="1" t="n">
        <v>45648</v>
      </c>
      <c r="D3459" t="inlineStr">
        <is>
          <t>VÄSTERNORRLANDS LÄN</t>
        </is>
      </c>
      <c r="E3459" t="inlineStr">
        <is>
          <t>SOLLEFTEÅ</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45648</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45648</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57094-2024</t>
        </is>
      </c>
      <c r="B3462" s="1" t="n">
        <v>45629</v>
      </c>
      <c r="C3462" s="1" t="n">
        <v>45648</v>
      </c>
      <c r="D3462" t="inlineStr">
        <is>
          <t>VÄSTERNORRLANDS LÄN</t>
        </is>
      </c>
      <c r="E3462" t="inlineStr">
        <is>
          <t>SOLLEFTEÅ</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57107-2024</t>
        </is>
      </c>
      <c r="B3463" s="1" t="n">
        <v>45629</v>
      </c>
      <c r="C3463" s="1" t="n">
        <v>45648</v>
      </c>
      <c r="D3463" t="inlineStr">
        <is>
          <t>VÄSTERNORRLANDS LÄN</t>
        </is>
      </c>
      <c r="E3463" t="inlineStr">
        <is>
          <t>SOLLEFTEÅ</t>
        </is>
      </c>
      <c r="F3463" t="inlineStr">
        <is>
          <t>SCA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57101-2024</t>
        </is>
      </c>
      <c r="B3464" s="1" t="n">
        <v>45629</v>
      </c>
      <c r="C3464" s="1" t="n">
        <v>45648</v>
      </c>
      <c r="D3464" t="inlineStr">
        <is>
          <t>VÄSTERNORRLANDS LÄN</t>
        </is>
      </c>
      <c r="E3464" t="inlineStr">
        <is>
          <t>SOLLEFTEÅ</t>
        </is>
      </c>
      <c r="F3464" t="inlineStr">
        <is>
          <t>SCA</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57377-2024</t>
        </is>
      </c>
      <c r="B3465" s="1" t="n">
        <v>45629</v>
      </c>
      <c r="C3465" s="1" t="n">
        <v>45648</v>
      </c>
      <c r="D3465" t="inlineStr">
        <is>
          <t>VÄSTERNORRLANDS LÄN</t>
        </is>
      </c>
      <c r="E3465" t="inlineStr">
        <is>
          <t>SOLLEFTEÅ</t>
        </is>
      </c>
      <c r="F3465" t="inlineStr">
        <is>
          <t>SCA</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45648</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57639-2024</t>
        </is>
      </c>
      <c r="B3467" s="1" t="n">
        <v>45630</v>
      </c>
      <c r="C3467" s="1" t="n">
        <v>45648</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57487-2024</t>
        </is>
      </c>
      <c r="B3468" s="1" t="n">
        <v>45630</v>
      </c>
      <c r="C3468" s="1" t="n">
        <v>45648</v>
      </c>
      <c r="D3468" t="inlineStr">
        <is>
          <t>VÄSTERNORRLANDS LÄN</t>
        </is>
      </c>
      <c r="E3468" t="inlineStr">
        <is>
          <t>SOLLEFTEÅ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45648</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57892-2024</t>
        </is>
      </c>
      <c r="B3470" s="1" t="n">
        <v>45631</v>
      </c>
      <c r="C3470" s="1" t="n">
        <v>45648</v>
      </c>
      <c r="D3470" t="inlineStr">
        <is>
          <t>VÄSTERNORRLANDS LÄN</t>
        </is>
      </c>
      <c r="E3470" t="inlineStr">
        <is>
          <t>SOLLEFTEÅ</t>
        </is>
      </c>
      <c r="F3470" t="inlineStr">
        <is>
          <t>SCA</t>
        </is>
      </c>
      <c r="G3470" t="n">
        <v>13.8</v>
      </c>
      <c r="H3470" t="n">
        <v>0</v>
      </c>
      <c r="I3470" t="n">
        <v>0</v>
      </c>
      <c r="J3470" t="n">
        <v>0</v>
      </c>
      <c r="K3470" t="n">
        <v>0</v>
      </c>
      <c r="L3470" t="n">
        <v>0</v>
      </c>
      <c r="M3470" t="n">
        <v>0</v>
      </c>
      <c r="N3470" t="n">
        <v>0</v>
      </c>
      <c r="O3470" t="n">
        <v>0</v>
      </c>
      <c r="P3470" t="n">
        <v>0</v>
      </c>
      <c r="Q3470" t="n">
        <v>0</v>
      </c>
      <c r="R3470" s="2" t="inlineStr"/>
    </row>
    <row r="3471" ht="15" customHeight="1">
      <c r="A3471" t="inlineStr">
        <is>
          <t>A 57847-2024</t>
        </is>
      </c>
      <c r="B3471" s="1" t="n">
        <v>45631</v>
      </c>
      <c r="C3471" s="1" t="n">
        <v>45648</v>
      </c>
      <c r="D3471" t="inlineStr">
        <is>
          <t>VÄSTERNORRLANDS LÄN</t>
        </is>
      </c>
      <c r="E3471" t="inlineStr">
        <is>
          <t>SOLLEFTEÅ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57800-2024</t>
        </is>
      </c>
      <c r="B3472" s="1" t="n">
        <v>45631</v>
      </c>
      <c r="C3472" s="1" t="n">
        <v>45648</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57846-2024</t>
        </is>
      </c>
      <c r="B3473" s="1" t="n">
        <v>45631</v>
      </c>
      <c r="C3473" s="1" t="n">
        <v>45648</v>
      </c>
      <c r="D3473" t="inlineStr">
        <is>
          <t>VÄSTERNORRLANDS LÄN</t>
        </is>
      </c>
      <c r="E3473" t="inlineStr">
        <is>
          <t>SOLLEFTEÅ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57922-2024</t>
        </is>
      </c>
      <c r="B3474" s="1" t="n">
        <v>45631</v>
      </c>
      <c r="C3474" s="1" t="n">
        <v>45648</v>
      </c>
      <c r="D3474" t="inlineStr">
        <is>
          <t>VÄSTERNORRLANDS LÄN</t>
        </is>
      </c>
      <c r="E3474" t="inlineStr">
        <is>
          <t>SOLLEFTEÅ</t>
        </is>
      </c>
      <c r="F3474" t="inlineStr">
        <is>
          <t>SCA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58357-2024</t>
        </is>
      </c>
      <c r="B3475" s="1" t="n">
        <v>45632</v>
      </c>
      <c r="C3475" s="1" t="n">
        <v>45648</v>
      </c>
      <c r="D3475" t="inlineStr">
        <is>
          <t>VÄSTERNORRLANDS LÄN</t>
        </is>
      </c>
      <c r="E3475" t="inlineStr">
        <is>
          <t>SOLLEFTEÅ</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58360-2024</t>
        </is>
      </c>
      <c r="B3476" s="1" t="n">
        <v>45632</v>
      </c>
      <c r="C3476" s="1" t="n">
        <v>45648</v>
      </c>
      <c r="D3476" t="inlineStr">
        <is>
          <t>VÄSTERNORRLANDS LÄN</t>
        </is>
      </c>
      <c r="E3476" t="inlineStr">
        <is>
          <t>SOLLEFTEÅ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58226-2024</t>
        </is>
      </c>
      <c r="B3477" s="1" t="n">
        <v>45632</v>
      </c>
      <c r="C3477" s="1" t="n">
        <v>45648</v>
      </c>
      <c r="D3477" t="inlineStr">
        <is>
          <t>VÄSTERNORRLANDS LÄN</t>
        </is>
      </c>
      <c r="E3477" t="inlineStr">
        <is>
          <t>SOLLEFTEÅ</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58463-2024</t>
        </is>
      </c>
      <c r="B3478" s="1" t="n">
        <v>45635</v>
      </c>
      <c r="C3478" s="1" t="n">
        <v>45648</v>
      </c>
      <c r="D3478" t="inlineStr">
        <is>
          <t>VÄSTERNORRLANDS LÄN</t>
        </is>
      </c>
      <c r="E3478" t="inlineStr">
        <is>
          <t>SOLLEFTEÅ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58461-2024</t>
        </is>
      </c>
      <c r="B3479" s="1" t="n">
        <v>45635</v>
      </c>
      <c r="C3479" s="1" t="n">
        <v>45648</v>
      </c>
      <c r="D3479" t="inlineStr">
        <is>
          <t>VÄSTERNORRLANDS LÄN</t>
        </is>
      </c>
      <c r="E3479" t="inlineStr">
        <is>
          <t>SOLLEFTEÅ</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58478-2024</t>
        </is>
      </c>
      <c r="B3480" s="1" t="n">
        <v>45635</v>
      </c>
      <c r="C3480" s="1" t="n">
        <v>45648</v>
      </c>
      <c r="D3480" t="inlineStr">
        <is>
          <t>VÄSTERNORRLANDS LÄN</t>
        </is>
      </c>
      <c r="E3480" t="inlineStr">
        <is>
          <t>SOLLEFTEÅ</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58694-2024</t>
        </is>
      </c>
      <c r="B3481" s="1" t="n">
        <v>45635</v>
      </c>
      <c r="C3481" s="1" t="n">
        <v>45648</v>
      </c>
      <c r="D3481" t="inlineStr">
        <is>
          <t>VÄSTERNORRLANDS LÄN</t>
        </is>
      </c>
      <c r="E3481" t="inlineStr">
        <is>
          <t>SOLLEFTEÅ</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58462-2024</t>
        </is>
      </c>
      <c r="B3482" s="1" t="n">
        <v>45635</v>
      </c>
      <c r="C3482" s="1" t="n">
        <v>45648</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58531-2024</t>
        </is>
      </c>
      <c r="B3483" s="1" t="n">
        <v>45635</v>
      </c>
      <c r="C3483" s="1" t="n">
        <v>45648</v>
      </c>
      <c r="D3483" t="inlineStr">
        <is>
          <t>VÄSTERNORRLANDS LÄN</t>
        </is>
      </c>
      <c r="E3483" t="inlineStr">
        <is>
          <t>SOLLEFTEÅ</t>
        </is>
      </c>
      <c r="F3483" t="inlineStr">
        <is>
          <t>SCA</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58578-2024</t>
        </is>
      </c>
      <c r="B3484" s="1" t="n">
        <v>45635</v>
      </c>
      <c r="C3484" s="1" t="n">
        <v>45648</v>
      </c>
      <c r="D3484" t="inlineStr">
        <is>
          <t>VÄSTERNORRLANDS LÄN</t>
        </is>
      </c>
      <c r="E3484" t="inlineStr">
        <is>
          <t>SOLLEFTEÅ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58588-2024</t>
        </is>
      </c>
      <c r="B3485" s="1" t="n">
        <v>45635</v>
      </c>
      <c r="C3485" s="1" t="n">
        <v>45648</v>
      </c>
      <c r="D3485" t="inlineStr">
        <is>
          <t>VÄSTERNORRLANDS LÄN</t>
        </is>
      </c>
      <c r="E3485" t="inlineStr">
        <is>
          <t>SOLLEFTEÅ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58841-2024</t>
        </is>
      </c>
      <c r="B3486" s="1" t="n">
        <v>45636</v>
      </c>
      <c r="C3486" s="1" t="n">
        <v>45648</v>
      </c>
      <c r="D3486" t="inlineStr">
        <is>
          <t>VÄSTERNORRLANDS LÄN</t>
        </is>
      </c>
      <c r="E3486" t="inlineStr">
        <is>
          <t>SOLLEFTEÅ</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58845-2024</t>
        </is>
      </c>
      <c r="B3487" s="1" t="n">
        <v>45636</v>
      </c>
      <c r="C3487" s="1" t="n">
        <v>45648</v>
      </c>
      <c r="D3487" t="inlineStr">
        <is>
          <t>VÄSTERNORRLANDS LÄN</t>
        </is>
      </c>
      <c r="E3487" t="inlineStr">
        <is>
          <t>SOLLEFTEÅ</t>
        </is>
      </c>
      <c r="F3487" t="inlineStr">
        <is>
          <t>SCA</t>
        </is>
      </c>
      <c r="G3487" t="n">
        <v>11.3</v>
      </c>
      <c r="H3487" t="n">
        <v>0</v>
      </c>
      <c r="I3487" t="n">
        <v>0</v>
      </c>
      <c r="J3487" t="n">
        <v>0</v>
      </c>
      <c r="K3487" t="n">
        <v>0</v>
      </c>
      <c r="L3487" t="n">
        <v>0</v>
      </c>
      <c r="M3487" t="n">
        <v>0</v>
      </c>
      <c r="N3487" t="n">
        <v>0</v>
      </c>
      <c r="O3487" t="n">
        <v>0</v>
      </c>
      <c r="P3487" t="n">
        <v>0</v>
      </c>
      <c r="Q3487" t="n">
        <v>0</v>
      </c>
      <c r="R3487" s="2" t="inlineStr"/>
    </row>
    <row r="3488" ht="15" customHeight="1">
      <c r="A3488" t="inlineStr">
        <is>
          <t>A 58808-2024</t>
        </is>
      </c>
      <c r="B3488" s="1" t="n">
        <v>45636</v>
      </c>
      <c r="C3488" s="1" t="n">
        <v>45648</v>
      </c>
      <c r="D3488" t="inlineStr">
        <is>
          <t>VÄSTERNORRLANDS LÄN</t>
        </is>
      </c>
      <c r="E3488" t="inlineStr">
        <is>
          <t>SOLLEFTEÅ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58931-2024</t>
        </is>
      </c>
      <c r="B3489" s="1" t="n">
        <v>45636</v>
      </c>
      <c r="C3489" s="1" t="n">
        <v>45648</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58979-2024</t>
        </is>
      </c>
      <c r="B3490" s="1" t="n">
        <v>45636</v>
      </c>
      <c r="C3490" s="1" t="n">
        <v>45648</v>
      </c>
      <c r="D3490" t="inlineStr">
        <is>
          <t>VÄSTERNORRLANDS LÄN</t>
        </is>
      </c>
      <c r="E3490" t="inlineStr">
        <is>
          <t>SOLLEFTEÅ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58995-2024</t>
        </is>
      </c>
      <c r="B3491" s="1" t="n">
        <v>45636</v>
      </c>
      <c r="C3491" s="1" t="n">
        <v>45648</v>
      </c>
      <c r="D3491" t="inlineStr">
        <is>
          <t>VÄSTERNORRLANDS LÄN</t>
        </is>
      </c>
      <c r="E3491" t="inlineStr">
        <is>
          <t>SOLLEFTEÅ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45648</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45648</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45648</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59317-2024</t>
        </is>
      </c>
      <c r="B3495" s="1" t="n">
        <v>45637</v>
      </c>
      <c r="C3495" s="1" t="n">
        <v>45648</v>
      </c>
      <c r="D3495" t="inlineStr">
        <is>
          <t>VÄSTERNORRLANDS LÄN</t>
        </is>
      </c>
      <c r="E3495" t="inlineStr">
        <is>
          <t>SOLLEFTEÅ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59308-2024</t>
        </is>
      </c>
      <c r="B3496" s="1" t="n">
        <v>45637</v>
      </c>
      <c r="C3496" s="1" t="n">
        <v>45648</v>
      </c>
      <c r="D3496" t="inlineStr">
        <is>
          <t>VÄSTERNORRLANDS LÄN</t>
        </is>
      </c>
      <c r="E3496" t="inlineStr">
        <is>
          <t>SOLLEFTEÅ</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59179-2024</t>
        </is>
      </c>
      <c r="B3497" s="1" t="n">
        <v>45637</v>
      </c>
      <c r="C3497" s="1" t="n">
        <v>45648</v>
      </c>
      <c r="D3497" t="inlineStr">
        <is>
          <t>VÄSTERNORRLANDS LÄN</t>
        </is>
      </c>
      <c r="E3497" t="inlineStr">
        <is>
          <t>SOLLEFTEÅ</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59491-2024</t>
        </is>
      </c>
      <c r="B3498" s="1" t="n">
        <v>45637</v>
      </c>
      <c r="C3498" s="1" t="n">
        <v>45648</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59388-2024</t>
        </is>
      </c>
      <c r="B3499" s="1" t="n">
        <v>45638</v>
      </c>
      <c r="C3499" s="1" t="n">
        <v>45648</v>
      </c>
      <c r="D3499" t="inlineStr">
        <is>
          <t>VÄSTERNORRLANDS LÄN</t>
        </is>
      </c>
      <c r="E3499" t="inlineStr">
        <is>
          <t>SOLLEFTEÅ</t>
        </is>
      </c>
      <c r="F3499" t="inlineStr">
        <is>
          <t>SCA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59421-2024</t>
        </is>
      </c>
      <c r="B3500" s="1" t="n">
        <v>45638</v>
      </c>
      <c r="C3500" s="1" t="n">
        <v>45648</v>
      </c>
      <c r="D3500" t="inlineStr">
        <is>
          <t>VÄSTERNORRLANDS LÄN</t>
        </is>
      </c>
      <c r="E3500" t="inlineStr">
        <is>
          <t>SOLLEFTEÅ</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59474-2024</t>
        </is>
      </c>
      <c r="B3501" s="1" t="n">
        <v>45638</v>
      </c>
      <c r="C3501" s="1" t="n">
        <v>45648</v>
      </c>
      <c r="D3501" t="inlineStr">
        <is>
          <t>VÄSTERNORRLANDS LÄN</t>
        </is>
      </c>
      <c r="E3501" t="inlineStr">
        <is>
          <t>SOLLEFTEÅ</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59416-2024</t>
        </is>
      </c>
      <c r="B3502" s="1" t="n">
        <v>45638</v>
      </c>
      <c r="C3502" s="1" t="n">
        <v>45648</v>
      </c>
      <c r="D3502" t="inlineStr">
        <is>
          <t>VÄSTERNORRLANDS LÄN</t>
        </is>
      </c>
      <c r="E3502" t="inlineStr">
        <is>
          <t>SOLLEFTEÅ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59424-2024</t>
        </is>
      </c>
      <c r="B3503" s="1" t="n">
        <v>45638</v>
      </c>
      <c r="C3503" s="1" t="n">
        <v>45648</v>
      </c>
      <c r="D3503" t="inlineStr">
        <is>
          <t>VÄSTERNORRLANDS LÄN</t>
        </is>
      </c>
      <c r="E3503" t="inlineStr">
        <is>
          <t>SOLLEFTEÅ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59473-2024</t>
        </is>
      </c>
      <c r="B3504" s="1" t="n">
        <v>45638</v>
      </c>
      <c r="C3504" s="1" t="n">
        <v>45648</v>
      </c>
      <c r="D3504" t="inlineStr">
        <is>
          <t>VÄSTERNORRLANDS LÄN</t>
        </is>
      </c>
      <c r="E3504" t="inlineStr">
        <is>
          <t>SOLLEFTEÅ</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59415-2024</t>
        </is>
      </c>
      <c r="B3505" s="1" t="n">
        <v>45638</v>
      </c>
      <c r="C3505" s="1" t="n">
        <v>45648</v>
      </c>
      <c r="D3505" t="inlineStr">
        <is>
          <t>VÄSTERNORRLANDS LÄN</t>
        </is>
      </c>
      <c r="E3505" t="inlineStr">
        <is>
          <t>SOLLEFTEÅ</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59455-2024</t>
        </is>
      </c>
      <c r="B3506" s="1" t="n">
        <v>45638</v>
      </c>
      <c r="C3506" s="1" t="n">
        <v>45648</v>
      </c>
      <c r="D3506" t="inlineStr">
        <is>
          <t>VÄSTERNORRLANDS LÄN</t>
        </is>
      </c>
      <c r="E3506" t="inlineStr">
        <is>
          <t>SOLLEFTEÅ</t>
        </is>
      </c>
      <c r="F3506" t="inlineStr">
        <is>
          <t>SCA</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59564-2024</t>
        </is>
      </c>
      <c r="B3507" s="1" t="n">
        <v>45638</v>
      </c>
      <c r="C3507" s="1" t="n">
        <v>45648</v>
      </c>
      <c r="D3507" t="inlineStr">
        <is>
          <t>VÄSTERNORRLANDS LÄN</t>
        </is>
      </c>
      <c r="E3507" t="inlineStr">
        <is>
          <t>SOLLEFTEÅ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59389-2024</t>
        </is>
      </c>
      <c r="B3508" s="1" t="n">
        <v>45638</v>
      </c>
      <c r="C3508" s="1" t="n">
        <v>45648</v>
      </c>
      <c r="D3508" t="inlineStr">
        <is>
          <t>VÄSTERNORRLANDS LÄN</t>
        </is>
      </c>
      <c r="E3508" t="inlineStr">
        <is>
          <t>SOLLEFTEÅ</t>
        </is>
      </c>
      <c r="F3508" t="inlineStr">
        <is>
          <t>SCA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59407-2024</t>
        </is>
      </c>
      <c r="B3509" s="1" t="n">
        <v>45638</v>
      </c>
      <c r="C3509" s="1" t="n">
        <v>45648</v>
      </c>
      <c r="D3509" t="inlineStr">
        <is>
          <t>VÄSTERNORRLANDS LÄN</t>
        </is>
      </c>
      <c r="E3509" t="inlineStr">
        <is>
          <t>SOLLEFTEÅ</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59418-2024</t>
        </is>
      </c>
      <c r="B3510" s="1" t="n">
        <v>45638</v>
      </c>
      <c r="C3510" s="1" t="n">
        <v>45648</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59422-2024</t>
        </is>
      </c>
      <c r="B3511" s="1" t="n">
        <v>45638</v>
      </c>
      <c r="C3511" s="1" t="n">
        <v>45648</v>
      </c>
      <c r="D3511" t="inlineStr">
        <is>
          <t>VÄSTERNORRLANDS LÄN</t>
        </is>
      </c>
      <c r="E3511" t="inlineStr">
        <is>
          <t>SOLLEFTEÅ</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59426-2024</t>
        </is>
      </c>
      <c r="B3512" s="1" t="n">
        <v>45638</v>
      </c>
      <c r="C3512" s="1" t="n">
        <v>45648</v>
      </c>
      <c r="D3512" t="inlineStr">
        <is>
          <t>VÄSTERNORRLANDS LÄN</t>
        </is>
      </c>
      <c r="E3512" t="inlineStr">
        <is>
          <t>SOLLEFTEÅ</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59434-2024</t>
        </is>
      </c>
      <c r="B3513" s="1" t="n">
        <v>45638</v>
      </c>
      <c r="C3513" s="1" t="n">
        <v>45648</v>
      </c>
      <c r="D3513" t="inlineStr">
        <is>
          <t>VÄSTERNORRLANDS LÄN</t>
        </is>
      </c>
      <c r="E3513" t="inlineStr">
        <is>
          <t>SOLLEFTEÅ</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59559-2024</t>
        </is>
      </c>
      <c r="B3514" s="1" t="n">
        <v>45638</v>
      </c>
      <c r="C3514" s="1" t="n">
        <v>45648</v>
      </c>
      <c r="D3514" t="inlineStr">
        <is>
          <t>VÄSTERNORRLANDS LÄN</t>
        </is>
      </c>
      <c r="E3514" t="inlineStr">
        <is>
          <t>SOLLEFTEÅ</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59563-2024</t>
        </is>
      </c>
      <c r="B3515" s="1" t="n">
        <v>45638</v>
      </c>
      <c r="C3515" s="1" t="n">
        <v>45648</v>
      </c>
      <c r="D3515" t="inlineStr">
        <is>
          <t>VÄSTERNORRLANDS LÄN</t>
        </is>
      </c>
      <c r="E3515" t="inlineStr">
        <is>
          <t>SOLLEFTEÅ</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59567-2024</t>
        </is>
      </c>
      <c r="B3516" s="1" t="n">
        <v>45638</v>
      </c>
      <c r="C3516" s="1" t="n">
        <v>45648</v>
      </c>
      <c r="D3516" t="inlineStr">
        <is>
          <t>VÄSTERNORRLANDS LÄN</t>
        </is>
      </c>
      <c r="E3516" t="inlineStr">
        <is>
          <t>SOLLEFTEÅ</t>
        </is>
      </c>
      <c r="F3516" t="inlineStr">
        <is>
          <t>SCA</t>
        </is>
      </c>
      <c r="G3516" t="n">
        <v>13.8</v>
      </c>
      <c r="H3516" t="n">
        <v>0</v>
      </c>
      <c r="I3516" t="n">
        <v>0</v>
      </c>
      <c r="J3516" t="n">
        <v>0</v>
      </c>
      <c r="K3516" t="n">
        <v>0</v>
      </c>
      <c r="L3516" t="n">
        <v>0</v>
      </c>
      <c r="M3516" t="n">
        <v>0</v>
      </c>
      <c r="N3516" t="n">
        <v>0</v>
      </c>
      <c r="O3516" t="n">
        <v>0</v>
      </c>
      <c r="P3516" t="n">
        <v>0</v>
      </c>
      <c r="Q3516" t="n">
        <v>0</v>
      </c>
      <c r="R3516" s="2" t="inlineStr"/>
    </row>
    <row r="3517" ht="15" customHeight="1">
      <c r="A3517" t="inlineStr">
        <is>
          <t>A 59558-2024</t>
        </is>
      </c>
      <c r="B3517" s="1" t="n">
        <v>45638</v>
      </c>
      <c r="C3517" s="1" t="n">
        <v>45648</v>
      </c>
      <c r="D3517" t="inlineStr">
        <is>
          <t>VÄSTERNORRLANDS LÄN</t>
        </is>
      </c>
      <c r="E3517" t="inlineStr">
        <is>
          <t>SOLLEFTEÅ</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59566-2024</t>
        </is>
      </c>
      <c r="B3518" s="1" t="n">
        <v>45638</v>
      </c>
      <c r="C3518" s="1" t="n">
        <v>45648</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59724-2024</t>
        </is>
      </c>
      <c r="B3519" s="1" t="n">
        <v>45639</v>
      </c>
      <c r="C3519" s="1" t="n">
        <v>45648</v>
      </c>
      <c r="D3519" t="inlineStr">
        <is>
          <t>VÄSTERNORRLANDS LÄN</t>
        </is>
      </c>
      <c r="E3519" t="inlineStr">
        <is>
          <t>SOLLEFTEÅ</t>
        </is>
      </c>
      <c r="F3519" t="inlineStr">
        <is>
          <t>SCA</t>
        </is>
      </c>
      <c r="G3519" t="n">
        <v>9.1</v>
      </c>
      <c r="H3519" t="n">
        <v>0</v>
      </c>
      <c r="I3519" t="n">
        <v>0</v>
      </c>
      <c r="J3519" t="n">
        <v>0</v>
      </c>
      <c r="K3519" t="n">
        <v>0</v>
      </c>
      <c r="L3519" t="n">
        <v>0</v>
      </c>
      <c r="M3519" t="n">
        <v>0</v>
      </c>
      <c r="N3519" t="n">
        <v>0</v>
      </c>
      <c r="O3519" t="n">
        <v>0</v>
      </c>
      <c r="P3519" t="n">
        <v>0</v>
      </c>
      <c r="Q3519" t="n">
        <v>0</v>
      </c>
      <c r="R3519" s="2" t="inlineStr"/>
    </row>
    <row r="3520" ht="15" customHeight="1">
      <c r="A3520" t="inlineStr">
        <is>
          <t>A 59725-2024</t>
        </is>
      </c>
      <c r="B3520" s="1" t="n">
        <v>45639</v>
      </c>
      <c r="C3520" s="1" t="n">
        <v>45648</v>
      </c>
      <c r="D3520" t="inlineStr">
        <is>
          <t>VÄSTERNORRLANDS LÄN</t>
        </is>
      </c>
      <c r="E3520" t="inlineStr">
        <is>
          <t>SOLLEFTEÅ</t>
        </is>
      </c>
      <c r="F3520" t="inlineStr">
        <is>
          <t>SCA</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59939-2024</t>
        </is>
      </c>
      <c r="B3521" s="1" t="n">
        <v>45642</v>
      </c>
      <c r="C3521" s="1" t="n">
        <v>45648</v>
      </c>
      <c r="D3521" t="inlineStr">
        <is>
          <t>VÄSTERNORRLANDS LÄN</t>
        </is>
      </c>
      <c r="E3521" t="inlineStr">
        <is>
          <t>SOLLEFTEÅ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59949-2024</t>
        </is>
      </c>
      <c r="B3522" s="1" t="n">
        <v>45642</v>
      </c>
      <c r="C3522" s="1" t="n">
        <v>45648</v>
      </c>
      <c r="D3522" t="inlineStr">
        <is>
          <t>VÄSTERNORRLANDS LÄN</t>
        </is>
      </c>
      <c r="E3522" t="inlineStr">
        <is>
          <t>SOLLEFTEÅ</t>
        </is>
      </c>
      <c r="F3522" t="inlineStr">
        <is>
          <t>SCA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60154-2024</t>
        </is>
      </c>
      <c r="B3523" s="1" t="n">
        <v>45642</v>
      </c>
      <c r="C3523" s="1" t="n">
        <v>45648</v>
      </c>
      <c r="D3523" t="inlineStr">
        <is>
          <t>VÄSTERNORRLANDS LÄN</t>
        </is>
      </c>
      <c r="E3523" t="inlineStr">
        <is>
          <t>SOLLEFTEÅ</t>
        </is>
      </c>
      <c r="G3523" t="n">
        <v>15.1</v>
      </c>
      <c r="H3523" t="n">
        <v>0</v>
      </c>
      <c r="I3523" t="n">
        <v>0</v>
      </c>
      <c r="J3523" t="n">
        <v>0</v>
      </c>
      <c r="K3523" t="n">
        <v>0</v>
      </c>
      <c r="L3523" t="n">
        <v>0</v>
      </c>
      <c r="M3523" t="n">
        <v>0</v>
      </c>
      <c r="N3523" t="n">
        <v>0</v>
      </c>
      <c r="O3523" t="n">
        <v>0</v>
      </c>
      <c r="P3523" t="n">
        <v>0</v>
      </c>
      <c r="Q3523" t="n">
        <v>0</v>
      </c>
      <c r="R3523" s="2" t="inlineStr"/>
    </row>
    <row r="3524" ht="15" customHeight="1">
      <c r="A3524" t="inlineStr">
        <is>
          <t>A 60177-2024</t>
        </is>
      </c>
      <c r="B3524" s="1" t="n">
        <v>45642</v>
      </c>
      <c r="C3524" s="1" t="n">
        <v>45648</v>
      </c>
      <c r="D3524" t="inlineStr">
        <is>
          <t>VÄSTERNORRLANDS LÄN</t>
        </is>
      </c>
      <c r="E3524" t="inlineStr">
        <is>
          <t>SOLLEFTEÅ</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60024-2024</t>
        </is>
      </c>
      <c r="B3525" s="1" t="n">
        <v>45642</v>
      </c>
      <c r="C3525" s="1" t="n">
        <v>45648</v>
      </c>
      <c r="D3525" t="inlineStr">
        <is>
          <t>VÄSTERNORRLANDS LÄN</t>
        </is>
      </c>
      <c r="E3525" t="inlineStr">
        <is>
          <t>SOLLEFTEÅ</t>
        </is>
      </c>
      <c r="F3525" t="inlineStr">
        <is>
          <t>SCA</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60131-2024</t>
        </is>
      </c>
      <c r="B3526" s="1" t="n">
        <v>45642</v>
      </c>
      <c r="C3526" s="1" t="n">
        <v>45648</v>
      </c>
      <c r="D3526" t="inlineStr">
        <is>
          <t>VÄSTERNORRLANDS LÄN</t>
        </is>
      </c>
      <c r="E3526" t="inlineStr">
        <is>
          <t>SOLLEFTEÅ</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45648</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59985-2024</t>
        </is>
      </c>
      <c r="B3528" s="1" t="n">
        <v>45642</v>
      </c>
      <c r="C3528" s="1" t="n">
        <v>45648</v>
      </c>
      <c r="D3528" t="inlineStr">
        <is>
          <t>VÄSTERNORRLANDS LÄN</t>
        </is>
      </c>
      <c r="E3528" t="inlineStr">
        <is>
          <t>SOLLEFTEÅ</t>
        </is>
      </c>
      <c r="F3528" t="inlineStr">
        <is>
          <t>SCA</t>
        </is>
      </c>
      <c r="G3528" t="n">
        <v>8.5</v>
      </c>
      <c r="H3528" t="n">
        <v>0</v>
      </c>
      <c r="I3528" t="n">
        <v>0</v>
      </c>
      <c r="J3528" t="n">
        <v>0</v>
      </c>
      <c r="K3528" t="n">
        <v>0</v>
      </c>
      <c r="L3528" t="n">
        <v>0</v>
      </c>
      <c r="M3528" t="n">
        <v>0</v>
      </c>
      <c r="N3528" t="n">
        <v>0</v>
      </c>
      <c r="O3528" t="n">
        <v>0</v>
      </c>
      <c r="P3528" t="n">
        <v>0</v>
      </c>
      <c r="Q3528" t="n">
        <v>0</v>
      </c>
      <c r="R3528" s="2" t="inlineStr"/>
    </row>
    <row r="3529" ht="15" customHeight="1">
      <c r="A3529" t="inlineStr">
        <is>
          <t>A 60060-2024</t>
        </is>
      </c>
      <c r="B3529" s="1" t="n">
        <v>45642</v>
      </c>
      <c r="C3529" s="1" t="n">
        <v>45648</v>
      </c>
      <c r="D3529" t="inlineStr">
        <is>
          <t>VÄSTERNORRLANDS LÄN</t>
        </is>
      </c>
      <c r="E3529" t="inlineStr">
        <is>
          <t>SOLLEFTEÅ</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60077-2024</t>
        </is>
      </c>
      <c r="B3530" s="1" t="n">
        <v>45642</v>
      </c>
      <c r="C3530" s="1" t="n">
        <v>45648</v>
      </c>
      <c r="D3530" t="inlineStr">
        <is>
          <t>VÄSTERNORRLANDS LÄN</t>
        </is>
      </c>
      <c r="E3530" t="inlineStr">
        <is>
          <t>SOLLEFTEÅ</t>
        </is>
      </c>
      <c r="F3530" t="inlineStr">
        <is>
          <t>SCA</t>
        </is>
      </c>
      <c r="G3530" t="n">
        <v>21.5</v>
      </c>
      <c r="H3530" t="n">
        <v>0</v>
      </c>
      <c r="I3530" t="n">
        <v>0</v>
      </c>
      <c r="J3530" t="n">
        <v>0</v>
      </c>
      <c r="K3530" t="n">
        <v>0</v>
      </c>
      <c r="L3530" t="n">
        <v>0</v>
      </c>
      <c r="M3530" t="n">
        <v>0</v>
      </c>
      <c r="N3530" t="n">
        <v>0</v>
      </c>
      <c r="O3530" t="n">
        <v>0</v>
      </c>
      <c r="P3530" t="n">
        <v>0</v>
      </c>
      <c r="Q3530" t="n">
        <v>0</v>
      </c>
      <c r="R3530" s="2" t="inlineStr"/>
    </row>
    <row r="3531" ht="15" customHeight="1">
      <c r="A3531" t="inlineStr">
        <is>
          <t>A 60741-2024</t>
        </is>
      </c>
      <c r="B3531" s="1" t="n">
        <v>45642</v>
      </c>
      <c r="C3531" s="1" t="n">
        <v>45648</v>
      </c>
      <c r="D3531" t="inlineStr">
        <is>
          <t>VÄSTERNORRLANDS LÄN</t>
        </is>
      </c>
      <c r="E3531" t="inlineStr">
        <is>
          <t>SOLLEFTEÅ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60174-2024</t>
        </is>
      </c>
      <c r="B3532" s="1" t="n">
        <v>45642</v>
      </c>
      <c r="C3532" s="1" t="n">
        <v>45648</v>
      </c>
      <c r="D3532" t="inlineStr">
        <is>
          <t>VÄSTERNORRLANDS LÄN</t>
        </is>
      </c>
      <c r="E3532" t="inlineStr">
        <is>
          <t>SOLLEFTEÅ</t>
        </is>
      </c>
      <c r="F3532" t="inlineStr">
        <is>
          <t>SCA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60360-2024</t>
        </is>
      </c>
      <c r="B3533" s="1" t="n">
        <v>45643</v>
      </c>
      <c r="C3533" s="1" t="n">
        <v>45648</v>
      </c>
      <c r="D3533" t="inlineStr">
        <is>
          <t>VÄSTERNORRLANDS LÄN</t>
        </is>
      </c>
      <c r="E3533" t="inlineStr">
        <is>
          <t>SOLLEFTEÅ</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60389-2024</t>
        </is>
      </c>
      <c r="B3534" s="1" t="n">
        <v>45643</v>
      </c>
      <c r="C3534" s="1" t="n">
        <v>45648</v>
      </c>
      <c r="D3534" t="inlineStr">
        <is>
          <t>VÄSTERNORRLANDS LÄN</t>
        </is>
      </c>
      <c r="E3534" t="inlineStr">
        <is>
          <t>SOLLEFTEÅ</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60361-2024</t>
        </is>
      </c>
      <c r="B3535" s="1" t="n">
        <v>45643</v>
      </c>
      <c r="C3535" s="1" t="n">
        <v>45648</v>
      </c>
      <c r="D3535" t="inlineStr">
        <is>
          <t>VÄSTERNORRLANDS LÄN</t>
        </is>
      </c>
      <c r="E3535" t="inlineStr">
        <is>
          <t>SOLLEFTEÅ</t>
        </is>
      </c>
      <c r="F3535" t="inlineStr">
        <is>
          <t>SCA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60495-2024</t>
        </is>
      </c>
      <c r="B3536" s="1" t="n">
        <v>45643</v>
      </c>
      <c r="C3536" s="1" t="n">
        <v>45648</v>
      </c>
      <c r="D3536" t="inlineStr">
        <is>
          <t>VÄSTERNORRLANDS LÄN</t>
        </is>
      </c>
      <c r="E3536" t="inlineStr">
        <is>
          <t>SOLLEFTEÅ</t>
        </is>
      </c>
      <c r="F3536" t="inlineStr">
        <is>
          <t>SCA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60460-2024</t>
        </is>
      </c>
      <c r="B3537" s="1" t="n">
        <v>45643</v>
      </c>
      <c r="C3537" s="1" t="n">
        <v>45648</v>
      </c>
      <c r="D3537" t="inlineStr">
        <is>
          <t>VÄSTERNORRLANDS LÄN</t>
        </is>
      </c>
      <c r="E3537" t="inlineStr">
        <is>
          <t>SOLLEFTEÅ</t>
        </is>
      </c>
      <c r="F3537" t="inlineStr">
        <is>
          <t>SCA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60630-2024</t>
        </is>
      </c>
      <c r="B3538" s="1" t="n">
        <v>45644</v>
      </c>
      <c r="C3538" s="1" t="n">
        <v>45648</v>
      </c>
      <c r="D3538" t="inlineStr">
        <is>
          <t>VÄSTERNORRLANDS LÄN</t>
        </is>
      </c>
      <c r="E3538" t="inlineStr">
        <is>
          <t>SOLLEFTEÅ</t>
        </is>
      </c>
      <c r="F3538" t="inlineStr">
        <is>
          <t>SCA</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60631-2024</t>
        </is>
      </c>
      <c r="B3539" s="1" t="n">
        <v>45644</v>
      </c>
      <c r="C3539" s="1" t="n">
        <v>45648</v>
      </c>
      <c r="D3539" t="inlineStr">
        <is>
          <t>VÄSTERNORRLANDS LÄN</t>
        </is>
      </c>
      <c r="E3539" t="inlineStr">
        <is>
          <t>SOLLEFTEÅ</t>
        </is>
      </c>
      <c r="F3539" t="inlineStr">
        <is>
          <t>SCA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60714-2024</t>
        </is>
      </c>
      <c r="B3540" s="1" t="n">
        <v>45644</v>
      </c>
      <c r="C3540" s="1" t="n">
        <v>45648</v>
      </c>
      <c r="D3540" t="inlineStr">
        <is>
          <t>VÄSTERNORRLANDS LÄN</t>
        </is>
      </c>
      <c r="E3540" t="inlineStr">
        <is>
          <t>SOLLEFTEÅ</t>
        </is>
      </c>
      <c r="F3540" t="inlineStr">
        <is>
          <t>SCA</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60583-2024</t>
        </is>
      </c>
      <c r="B3541" s="1" t="n">
        <v>45644</v>
      </c>
      <c r="C3541" s="1" t="n">
        <v>45648</v>
      </c>
      <c r="D3541" t="inlineStr">
        <is>
          <t>VÄSTERNORRLANDS LÄN</t>
        </is>
      </c>
      <c r="E3541" t="inlineStr">
        <is>
          <t>SOLLEFTEÅ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60713-2024</t>
        </is>
      </c>
      <c r="B3542" s="1" t="n">
        <v>45644</v>
      </c>
      <c r="C3542" s="1" t="n">
        <v>45648</v>
      </c>
      <c r="D3542" t="inlineStr">
        <is>
          <t>VÄSTERNORRLANDS LÄN</t>
        </is>
      </c>
      <c r="E3542" t="inlineStr">
        <is>
          <t>SOLLEFTEÅ</t>
        </is>
      </c>
      <c r="F3542" t="inlineStr">
        <is>
          <t>SCA</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60837-2024</t>
        </is>
      </c>
      <c r="B3543" s="1" t="n">
        <v>45644</v>
      </c>
      <c r="C3543" s="1" t="n">
        <v>45648</v>
      </c>
      <c r="D3543" t="inlineStr">
        <is>
          <t>VÄSTERNORRLANDS LÄN</t>
        </is>
      </c>
      <c r="E3543" t="inlineStr">
        <is>
          <t>SOLLEFTEÅ</t>
        </is>
      </c>
      <c r="F3543" t="inlineStr">
        <is>
          <t>SCA</t>
        </is>
      </c>
      <c r="G3543" t="n">
        <v>12.5</v>
      </c>
      <c r="H3543" t="n">
        <v>0</v>
      </c>
      <c r="I3543" t="n">
        <v>0</v>
      </c>
      <c r="J3543" t="n">
        <v>0</v>
      </c>
      <c r="K3543" t="n">
        <v>0</v>
      </c>
      <c r="L3543" t="n">
        <v>0</v>
      </c>
      <c r="M3543" t="n">
        <v>0</v>
      </c>
      <c r="N3543" t="n">
        <v>0</v>
      </c>
      <c r="O3543" t="n">
        <v>0</v>
      </c>
      <c r="P3543" t="n">
        <v>0</v>
      </c>
      <c r="Q3543" t="n">
        <v>0</v>
      </c>
      <c r="R3543" s="2" t="inlineStr"/>
    </row>
    <row r="3544" ht="15" customHeight="1">
      <c r="A3544" t="inlineStr">
        <is>
          <t>A 60612-2024</t>
        </is>
      </c>
      <c r="B3544" s="1" t="n">
        <v>45644</v>
      </c>
      <c r="C3544" s="1" t="n">
        <v>45648</v>
      </c>
      <c r="D3544" t="inlineStr">
        <is>
          <t>VÄSTERNORRLANDS LÄN</t>
        </is>
      </c>
      <c r="E3544" t="inlineStr">
        <is>
          <t>SOLLEFTEÅ</t>
        </is>
      </c>
      <c r="F3544" t="inlineStr">
        <is>
          <t>SCA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60632-2024</t>
        </is>
      </c>
      <c r="B3545" s="1" t="n">
        <v>45644</v>
      </c>
      <c r="C3545" s="1" t="n">
        <v>45648</v>
      </c>
      <c r="D3545" t="inlineStr">
        <is>
          <t>VÄSTERNORRLANDS LÄN</t>
        </is>
      </c>
      <c r="E3545" t="inlineStr">
        <is>
          <t>SOLLEFTEÅ</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60827-2024</t>
        </is>
      </c>
      <c r="B3546" s="1" t="n">
        <v>45644</v>
      </c>
      <c r="C3546" s="1" t="n">
        <v>45648</v>
      </c>
      <c r="D3546" t="inlineStr">
        <is>
          <t>VÄSTERNORRLANDS LÄN</t>
        </is>
      </c>
      <c r="E3546" t="inlineStr">
        <is>
          <t>SOLLEFTEÅ</t>
        </is>
      </c>
      <c r="F3546" t="inlineStr">
        <is>
          <t>SCA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60831-2024</t>
        </is>
      </c>
      <c r="B3547" s="1" t="n">
        <v>45644</v>
      </c>
      <c r="C3547" s="1" t="n">
        <v>45648</v>
      </c>
      <c r="D3547" t="inlineStr">
        <is>
          <t>VÄSTERNORRLANDS LÄN</t>
        </is>
      </c>
      <c r="E3547" t="inlineStr">
        <is>
          <t>SOLLEFTEÅ</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60867-2024</t>
        </is>
      </c>
      <c r="B3548" s="1" t="n">
        <v>45644</v>
      </c>
      <c r="C3548" s="1" t="n">
        <v>45648</v>
      </c>
      <c r="D3548" t="inlineStr">
        <is>
          <t>VÄSTERNORRLANDS LÄN</t>
        </is>
      </c>
      <c r="E3548" t="inlineStr">
        <is>
          <t>SOLLEFTEÅ</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61089-2024</t>
        </is>
      </c>
      <c r="B3549" s="1" t="n">
        <v>45644</v>
      </c>
      <c r="C3549" s="1" t="n">
        <v>45648</v>
      </c>
      <c r="D3549" t="inlineStr">
        <is>
          <t>VÄSTERNORRLANDS LÄN</t>
        </is>
      </c>
      <c r="E3549" t="inlineStr">
        <is>
          <t>SOLLEFTEÅ</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60958-2024</t>
        </is>
      </c>
      <c r="B3550" s="1" t="n">
        <v>45645</v>
      </c>
      <c r="C3550" s="1" t="n">
        <v>45648</v>
      </c>
      <c r="D3550" t="inlineStr">
        <is>
          <t>VÄSTERNORRLANDS LÄN</t>
        </is>
      </c>
      <c r="E3550" t="inlineStr">
        <is>
          <t>SOLLEFTEÅ</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61168-2024</t>
        </is>
      </c>
      <c r="B3551" s="1" t="n">
        <v>45645</v>
      </c>
      <c r="C3551" s="1" t="n">
        <v>45648</v>
      </c>
      <c r="D3551" t="inlineStr">
        <is>
          <t>VÄSTERNORRLANDS LÄN</t>
        </is>
      </c>
      <c r="E3551" t="inlineStr">
        <is>
          <t>SOLLEFTEÅ</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61201-2024</t>
        </is>
      </c>
      <c r="B3552" s="1" t="n">
        <v>45645</v>
      </c>
      <c r="C3552" s="1" t="n">
        <v>45648</v>
      </c>
      <c r="D3552" t="inlineStr">
        <is>
          <t>VÄSTERNORRLANDS LÄN</t>
        </is>
      </c>
      <c r="E3552" t="inlineStr">
        <is>
          <t>SOLLEFTEÅ</t>
        </is>
      </c>
      <c r="F3552" t="inlineStr">
        <is>
          <t>SCA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60956-2024</t>
        </is>
      </c>
      <c r="B3553" s="1" t="n">
        <v>45645</v>
      </c>
      <c r="C3553" s="1" t="n">
        <v>45648</v>
      </c>
      <c r="D3553" t="inlineStr">
        <is>
          <t>VÄSTERNORRLANDS LÄN</t>
        </is>
      </c>
      <c r="E3553" t="inlineStr">
        <is>
          <t>SOLLEFTEÅ</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61126-2024</t>
        </is>
      </c>
      <c r="B3554" s="1" t="n">
        <v>45645</v>
      </c>
      <c r="C3554" s="1" t="n">
        <v>45648</v>
      </c>
      <c r="D3554" t="inlineStr">
        <is>
          <t>VÄSTERNORRLANDS LÄN</t>
        </is>
      </c>
      <c r="E3554" t="inlineStr">
        <is>
          <t>SOLLEFTEÅ</t>
        </is>
      </c>
      <c r="G3554" t="n">
        <v>13.8</v>
      </c>
      <c r="H3554" t="n">
        <v>0</v>
      </c>
      <c r="I3554" t="n">
        <v>0</v>
      </c>
      <c r="J3554" t="n">
        <v>0</v>
      </c>
      <c r="K3554" t="n">
        <v>0</v>
      </c>
      <c r="L3554" t="n">
        <v>0</v>
      </c>
      <c r="M3554" t="n">
        <v>0</v>
      </c>
      <c r="N3554" t="n">
        <v>0</v>
      </c>
      <c r="O3554" t="n">
        <v>0</v>
      </c>
      <c r="P3554" t="n">
        <v>0</v>
      </c>
      <c r="Q3554" t="n">
        <v>0</v>
      </c>
      <c r="R3554" s="2" t="inlineStr"/>
    </row>
    <row r="3555" ht="15" customHeight="1">
      <c r="A3555" t="inlineStr">
        <is>
          <t>A 61200-2024</t>
        </is>
      </c>
      <c r="B3555" s="1" t="n">
        <v>45645</v>
      </c>
      <c r="C3555" s="1" t="n">
        <v>45648</v>
      </c>
      <c r="D3555" t="inlineStr">
        <is>
          <t>VÄSTERNORRLANDS LÄN</t>
        </is>
      </c>
      <c r="E3555" t="inlineStr">
        <is>
          <t>SOLLEFTEÅ</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61611-2024</t>
        </is>
      </c>
      <c r="B3556" s="1" t="n">
        <v>45645</v>
      </c>
      <c r="C3556" s="1" t="n">
        <v>45648</v>
      </c>
      <c r="D3556" t="inlineStr">
        <is>
          <t>VÄSTERNORRLANDS LÄN</t>
        </is>
      </c>
      <c r="E3556" t="inlineStr">
        <is>
          <t>SOLLEFTEÅ</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61616-2024</t>
        </is>
      </c>
      <c r="B3557" s="1" t="n">
        <v>45645</v>
      </c>
      <c r="C3557" s="1" t="n">
        <v>45648</v>
      </c>
      <c r="D3557" t="inlineStr">
        <is>
          <t>VÄSTERNORRLANDS LÄN</t>
        </is>
      </c>
      <c r="E3557" t="inlineStr">
        <is>
          <t>SOLLEFTEÅ</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45648</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61485-2024</t>
        </is>
      </c>
      <c r="B3559" s="1" t="n">
        <v>45646</v>
      </c>
      <c r="C3559" s="1" t="n">
        <v>45648</v>
      </c>
      <c r="D3559" t="inlineStr">
        <is>
          <t>VÄSTERNORRLANDS LÄN</t>
        </is>
      </c>
      <c r="E3559" t="inlineStr">
        <is>
          <t>SOLLEFTEÅ</t>
        </is>
      </c>
      <c r="F3559" t="inlineStr">
        <is>
          <t>SCA</t>
        </is>
      </c>
      <c r="G3559" t="n">
        <v>1.6</v>
      </c>
      <c r="H3559" t="n">
        <v>0</v>
      </c>
      <c r="I3559" t="n">
        <v>0</v>
      </c>
      <c r="J3559" t="n">
        <v>0</v>
      </c>
      <c r="K3559" t="n">
        <v>0</v>
      </c>
      <c r="L3559" t="n">
        <v>0</v>
      </c>
      <c r="M3559" t="n">
        <v>0</v>
      </c>
      <c r="N3559" t="n">
        <v>0</v>
      </c>
      <c r="O3559" t="n">
        <v>0</v>
      </c>
      <c r="P3559" t="n">
        <v>0</v>
      </c>
      <c r="Q3559" t="n">
        <v>0</v>
      </c>
      <c r="R3559" s="2" t="inlineStr"/>
    </row>
    <row r="3560">
      <c r="A3560" t="inlineStr">
        <is>
          <t>A 61452-2024</t>
        </is>
      </c>
      <c r="B3560" s="1" t="n">
        <v>45646</v>
      </c>
      <c r="C3560" s="1" t="n">
        <v>45648</v>
      </c>
      <c r="D3560" t="inlineStr">
        <is>
          <t>VÄSTERNORRLANDS LÄN</t>
        </is>
      </c>
      <c r="E3560" t="inlineStr">
        <is>
          <t>SOLLEFTEÅ</t>
        </is>
      </c>
      <c r="F3560" t="inlineStr">
        <is>
          <t>SCA</t>
        </is>
      </c>
      <c r="G3560" t="n">
        <v>4</v>
      </c>
      <c r="H3560" t="n">
        <v>0</v>
      </c>
      <c r="I3560" t="n">
        <v>0</v>
      </c>
      <c r="J3560" t="n">
        <v>0</v>
      </c>
      <c r="K3560" t="n">
        <v>0</v>
      </c>
      <c r="L3560" t="n">
        <v>0</v>
      </c>
      <c r="M3560" t="n">
        <v>0</v>
      </c>
      <c r="N3560" t="n">
        <v>0</v>
      </c>
      <c r="O3560" t="n">
        <v>0</v>
      </c>
      <c r="P3560" t="n">
        <v>0</v>
      </c>
      <c r="Q3560" t="n">
        <v>0</v>
      </c>
      <c r="R3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2024-12-22T15:58:14Z</dcterms:created>
  <dcterms:modified xmlns:dcterms="http://purl.org/dc/terms/" xmlns:xsi="http://www.w3.org/2001/XMLSchema-instance" xsi:type="dcterms:W3CDTF">2024-12-22T15:58:18Z</dcterms:modified>
</cp:coreProperties>
</file>