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45356</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45356</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45356</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45356</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45356</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45356</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45356</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45356</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45356</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45356</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45356</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45356</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45356</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45356</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45356</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45356</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45356</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45356</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45356</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45356</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45356</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45356</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45356</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45356</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45356</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45356</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45356</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45356</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45356</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45356</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45356</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45356</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45356</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45356</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45356</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45356</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45356</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45356</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45356</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45356</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45356</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45356</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45356</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45356</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45356</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45356</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45356</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45356</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45356</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45356</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45356</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45356</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45356</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45356</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45356</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45356</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45356</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45356</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45356</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45356</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45356</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45356</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45356</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45356</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45356</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45356</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45356</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45356</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45356</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45356</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45356</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45356</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45356</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45356</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45356</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45356</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45356</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45356</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45356</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45356</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45356</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45356</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45356</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45356</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45356</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45356</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45356</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45356</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45356</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45356</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45356</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45356</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45356</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45356</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45356</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45356</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45356</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45356</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45356</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45356</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45356</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45356</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45356</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45356</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45356</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45356</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45356</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45356</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45356</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45356</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45356</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45356</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45356</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45356</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45356</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45356</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45356</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45356</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45356</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45356</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45356</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45356</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45356</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45356</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45356</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45356</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45356</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45356</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45356</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45356</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45356</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45356</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45356</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45356</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45356</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45356</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45356</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45356</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45356</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45356</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45356</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45356</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45356</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45356</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45356</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45356</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45356</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45356</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45356</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45356</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45356</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45356</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45356</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45356</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45356</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45356</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45356</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45356</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45356</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45356</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45356</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45356</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45356</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45356</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45356</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45356</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45356</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45356</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45356</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45356</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45356</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45356</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45356</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45356</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45356</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45356</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45356</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45356</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45356</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45356</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45356</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45356</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45356</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45356</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45356</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45356</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45356</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45356</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45356</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45356</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45356</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45356</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45356</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45356</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45356</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45356</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45356</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45356</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45356</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45356</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45356</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45356</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45356</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45356</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45356</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45356</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45356</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45356</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45356</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45356</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45356</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45356</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45356</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45356</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45356</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45356</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45356</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45356</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45356</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45356</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45356</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45356</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45356</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45356</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45356</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45356</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45356</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45356</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45356</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45356</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45356</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45356</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45356</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45356</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45356</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45356</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45356</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45356</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45356</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45356</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45356</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45356</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45356</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45356</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7909-2024</t>
        </is>
      </c>
      <c r="B248" s="1" t="n">
        <v>45350</v>
      </c>
      <c r="C248" s="1" t="n">
        <v>45356</v>
      </c>
      <c r="D248" t="inlineStr">
        <is>
          <t>VÄSTERNORRLANDS LÄN</t>
        </is>
      </c>
      <c r="E248" t="inlineStr">
        <is>
          <t>SOLLEFTEÅ</t>
        </is>
      </c>
      <c r="G248" t="n">
        <v>7.2</v>
      </c>
      <c r="H248" t="n">
        <v>0</v>
      </c>
      <c r="I248" t="n">
        <v>0</v>
      </c>
      <c r="J248" t="n">
        <v>1</v>
      </c>
      <c r="K248" t="n">
        <v>0</v>
      </c>
      <c r="L248" t="n">
        <v>0</v>
      </c>
      <c r="M248" t="n">
        <v>0</v>
      </c>
      <c r="N248" t="n">
        <v>0</v>
      </c>
      <c r="O248" t="n">
        <v>1</v>
      </c>
      <c r="P248" t="n">
        <v>0</v>
      </c>
      <c r="Q248" t="n">
        <v>1</v>
      </c>
      <c r="R248" s="2" t="inlineStr">
        <is>
          <t>Lunglav</t>
        </is>
      </c>
      <c r="S248">
        <f>HYPERLINK("https://klasma.github.io/Logging_2283/artfynd/A 7909-2024 artfynd.xlsx", "A 7909-2024")</f>
        <v/>
      </c>
      <c r="T248">
        <f>HYPERLINK("https://klasma.github.io/Logging_2283/kartor/A 7909-2024 karta.png", "A 7909-2024")</f>
        <v/>
      </c>
      <c r="V248">
        <f>HYPERLINK("https://klasma.github.io/Logging_2283/klagomål/A 7909-2024 FSC-klagomål.docx", "A 7909-2024")</f>
        <v/>
      </c>
      <c r="W248">
        <f>HYPERLINK("https://klasma.github.io/Logging_2283/klagomålsmail/A 7909-2024 FSC-klagomål mail.docx", "A 7909-2024")</f>
        <v/>
      </c>
      <c r="X248">
        <f>HYPERLINK("https://klasma.github.io/Logging_2283/tillsyn/A 7909-2024 tillsynsbegäran.docx", "A 7909-2024")</f>
        <v/>
      </c>
      <c r="Y248">
        <f>HYPERLINK("https://klasma.github.io/Logging_2283/tillsynsmail/A 7909-2024 tillsynsbegäran mail.docx", "A 7909-2024")</f>
        <v/>
      </c>
    </row>
    <row r="249" ht="15" customHeight="1">
      <c r="A249" t="inlineStr">
        <is>
          <t>A 8541-2024</t>
        </is>
      </c>
      <c r="B249" s="1" t="n">
        <v>45351</v>
      </c>
      <c r="C249" s="1" t="n">
        <v>45356</v>
      </c>
      <c r="D249" t="inlineStr">
        <is>
          <t>VÄSTERNORRLANDS LÄN</t>
        </is>
      </c>
      <c r="E249" t="inlineStr">
        <is>
          <t>SOLLEFTEÅ</t>
        </is>
      </c>
      <c r="F249" t="inlineStr">
        <is>
          <t>Kommuner</t>
        </is>
      </c>
      <c r="G249" t="n">
        <v>0.6</v>
      </c>
      <c r="H249" t="n">
        <v>0</v>
      </c>
      <c r="I249" t="n">
        <v>0</v>
      </c>
      <c r="J249" t="n">
        <v>1</v>
      </c>
      <c r="K249" t="n">
        <v>0</v>
      </c>
      <c r="L249" t="n">
        <v>0</v>
      </c>
      <c r="M249" t="n">
        <v>0</v>
      </c>
      <c r="N249" t="n">
        <v>0</v>
      </c>
      <c r="O249" t="n">
        <v>1</v>
      </c>
      <c r="P249" t="n">
        <v>0</v>
      </c>
      <c r="Q249" t="n">
        <v>1</v>
      </c>
      <c r="R249" s="2" t="inlineStr">
        <is>
          <t>Granticka</t>
        </is>
      </c>
      <c r="S249">
        <f>HYPERLINK("https://klasma.github.io/Logging_2283/artfynd/A 8541-2024 artfynd.xlsx", "A 8541-2024")</f>
        <v/>
      </c>
      <c r="T249">
        <f>HYPERLINK("https://klasma.github.io/Logging_2283/kartor/A 8541-2024 karta.png", "A 8541-2024")</f>
        <v/>
      </c>
      <c r="V249">
        <f>HYPERLINK("https://klasma.github.io/Logging_2283/klagomål/A 8541-2024 FSC-klagomål.docx", "A 8541-2024")</f>
        <v/>
      </c>
      <c r="W249">
        <f>HYPERLINK("https://klasma.github.io/Logging_2283/klagomålsmail/A 8541-2024 FSC-klagomål mail.docx", "A 8541-2024")</f>
        <v/>
      </c>
      <c r="X249">
        <f>HYPERLINK("https://klasma.github.io/Logging_2283/tillsyn/A 8541-2024 tillsynsbegäran.docx", "A 8541-2024")</f>
        <v/>
      </c>
      <c r="Y249">
        <f>HYPERLINK("https://klasma.github.io/Logging_2283/tillsynsmail/A 8541-2024 tillsynsbegäran mail.docx", "A 8541-2024")</f>
        <v/>
      </c>
    </row>
    <row r="250" ht="15" customHeight="1">
      <c r="A250" t="inlineStr">
        <is>
          <t>A 33896-2018</t>
        </is>
      </c>
      <c r="B250" s="1" t="n">
        <v>43314</v>
      </c>
      <c r="C250" s="1" t="n">
        <v>45356</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34267-2018</t>
        </is>
      </c>
      <c r="B251" s="1" t="n">
        <v>43318</v>
      </c>
      <c r="C251" s="1" t="n">
        <v>45356</v>
      </c>
      <c r="D251" t="inlineStr">
        <is>
          <t>VÄSTERNORRLANDS LÄN</t>
        </is>
      </c>
      <c r="E251" t="inlineStr">
        <is>
          <t>SOLLEFTEÅ</t>
        </is>
      </c>
      <c r="G251" t="n">
        <v>5.3</v>
      </c>
      <c r="H251" t="n">
        <v>0</v>
      </c>
      <c r="I251" t="n">
        <v>0</v>
      </c>
      <c r="J251" t="n">
        <v>0</v>
      </c>
      <c r="K251" t="n">
        <v>0</v>
      </c>
      <c r="L251" t="n">
        <v>0</v>
      </c>
      <c r="M251" t="n">
        <v>0</v>
      </c>
      <c r="N251" t="n">
        <v>0</v>
      </c>
      <c r="O251" t="n">
        <v>0</v>
      </c>
      <c r="P251" t="n">
        <v>0</v>
      </c>
      <c r="Q251" t="n">
        <v>0</v>
      </c>
      <c r="R251" s="2" t="inlineStr"/>
    </row>
    <row r="252" ht="15" customHeight="1">
      <c r="A252" t="inlineStr">
        <is>
          <t>A 36973-2018</t>
        </is>
      </c>
      <c r="B252" s="1" t="n">
        <v>43332</v>
      </c>
      <c r="C252" s="1" t="n">
        <v>45356</v>
      </c>
      <c r="D252" t="inlineStr">
        <is>
          <t>VÄSTERNORRLANDS LÄN</t>
        </is>
      </c>
      <c r="E252" t="inlineStr">
        <is>
          <t>SOLLEFTEÅ</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37589-2018</t>
        </is>
      </c>
      <c r="B253" s="1" t="n">
        <v>43334</v>
      </c>
      <c r="C253" s="1" t="n">
        <v>45356</v>
      </c>
      <c r="D253" t="inlineStr">
        <is>
          <t>VÄSTERNORRLANDS LÄN</t>
        </is>
      </c>
      <c r="E253" t="inlineStr">
        <is>
          <t>SOLLEFTEÅ</t>
        </is>
      </c>
      <c r="G253" t="n">
        <v>1.6</v>
      </c>
      <c r="H253" t="n">
        <v>0</v>
      </c>
      <c r="I253" t="n">
        <v>0</v>
      </c>
      <c r="J253" t="n">
        <v>0</v>
      </c>
      <c r="K253" t="n">
        <v>0</v>
      </c>
      <c r="L253" t="n">
        <v>0</v>
      </c>
      <c r="M253" t="n">
        <v>0</v>
      </c>
      <c r="N253" t="n">
        <v>0</v>
      </c>
      <c r="O253" t="n">
        <v>0</v>
      </c>
      <c r="P253" t="n">
        <v>0</v>
      </c>
      <c r="Q253" t="n">
        <v>0</v>
      </c>
      <c r="R253" s="2" t="inlineStr"/>
    </row>
    <row r="254" ht="15" customHeight="1">
      <c r="A254" t="inlineStr">
        <is>
          <t>A 37875-2018</t>
        </is>
      </c>
      <c r="B254" s="1" t="n">
        <v>43335</v>
      </c>
      <c r="C254" s="1" t="n">
        <v>45356</v>
      </c>
      <c r="D254" t="inlineStr">
        <is>
          <t>VÄSTERNORRLANDS LÄN</t>
        </is>
      </c>
      <c r="E254" t="inlineStr">
        <is>
          <t>SOLLEFTEÅ</t>
        </is>
      </c>
      <c r="G254" t="n">
        <v>4.9</v>
      </c>
      <c r="H254" t="n">
        <v>0</v>
      </c>
      <c r="I254" t="n">
        <v>0</v>
      </c>
      <c r="J254" t="n">
        <v>0</v>
      </c>
      <c r="K254" t="n">
        <v>0</v>
      </c>
      <c r="L254" t="n">
        <v>0</v>
      </c>
      <c r="M254" t="n">
        <v>0</v>
      </c>
      <c r="N254" t="n">
        <v>0</v>
      </c>
      <c r="O254" t="n">
        <v>0</v>
      </c>
      <c r="P254" t="n">
        <v>0</v>
      </c>
      <c r="Q254" t="n">
        <v>0</v>
      </c>
      <c r="R254" s="2" t="inlineStr"/>
    </row>
    <row r="255" ht="15" customHeight="1">
      <c r="A255" t="inlineStr">
        <is>
          <t>A 40310-2018</t>
        </is>
      </c>
      <c r="B255" s="1" t="n">
        <v>43343</v>
      </c>
      <c r="C255" s="1" t="n">
        <v>45356</v>
      </c>
      <c r="D255" t="inlineStr">
        <is>
          <t>VÄSTERNORRLANDS LÄN</t>
        </is>
      </c>
      <c r="E255" t="inlineStr">
        <is>
          <t>SOLLEFTEÅ</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40433-2018</t>
        </is>
      </c>
      <c r="B256" s="1" t="n">
        <v>43346</v>
      </c>
      <c r="C256" s="1" t="n">
        <v>45356</v>
      </c>
      <c r="D256" t="inlineStr">
        <is>
          <t>VÄSTERNORRLANDS LÄN</t>
        </is>
      </c>
      <c r="E256" t="inlineStr">
        <is>
          <t>SOLLEFTEÅ</t>
        </is>
      </c>
      <c r="G256" t="n">
        <v>4.1</v>
      </c>
      <c r="H256" t="n">
        <v>0</v>
      </c>
      <c r="I256" t="n">
        <v>0</v>
      </c>
      <c r="J256" t="n">
        <v>0</v>
      </c>
      <c r="K256" t="n">
        <v>0</v>
      </c>
      <c r="L256" t="n">
        <v>0</v>
      </c>
      <c r="M256" t="n">
        <v>0</v>
      </c>
      <c r="N256" t="n">
        <v>0</v>
      </c>
      <c r="O256" t="n">
        <v>0</v>
      </c>
      <c r="P256" t="n">
        <v>0</v>
      </c>
      <c r="Q256" t="n">
        <v>0</v>
      </c>
      <c r="R256" s="2" t="inlineStr"/>
    </row>
    <row r="257" ht="15" customHeight="1">
      <c r="A257" t="inlineStr">
        <is>
          <t>A 40683-2018</t>
        </is>
      </c>
      <c r="B257" s="1" t="n">
        <v>43346</v>
      </c>
      <c r="C257" s="1" t="n">
        <v>45356</v>
      </c>
      <c r="D257" t="inlineStr">
        <is>
          <t>VÄSTERNORRLANDS LÄN</t>
        </is>
      </c>
      <c r="E257" t="inlineStr">
        <is>
          <t>SOLLEFTEÅ</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41185-2018</t>
        </is>
      </c>
      <c r="B258" s="1" t="n">
        <v>43346</v>
      </c>
      <c r="C258" s="1" t="n">
        <v>45356</v>
      </c>
      <c r="D258" t="inlineStr">
        <is>
          <t>VÄSTERNORRLANDS LÄN</t>
        </is>
      </c>
      <c r="E258" t="inlineStr">
        <is>
          <t>SOLLEFTEÅ</t>
        </is>
      </c>
      <c r="G258" t="n">
        <v>3.1</v>
      </c>
      <c r="H258" t="n">
        <v>0</v>
      </c>
      <c r="I258" t="n">
        <v>0</v>
      </c>
      <c r="J258" t="n">
        <v>0</v>
      </c>
      <c r="K258" t="n">
        <v>0</v>
      </c>
      <c r="L258" t="n">
        <v>0</v>
      </c>
      <c r="M258" t="n">
        <v>0</v>
      </c>
      <c r="N258" t="n">
        <v>0</v>
      </c>
      <c r="O258" t="n">
        <v>0</v>
      </c>
      <c r="P258" t="n">
        <v>0</v>
      </c>
      <c r="Q258" t="n">
        <v>0</v>
      </c>
      <c r="R258" s="2" t="inlineStr"/>
    </row>
    <row r="259" ht="15" customHeight="1">
      <c r="A259" t="inlineStr">
        <is>
          <t>A 41661-2018</t>
        </is>
      </c>
      <c r="B259" s="1" t="n">
        <v>43349</v>
      </c>
      <c r="C259" s="1" t="n">
        <v>45356</v>
      </c>
      <c r="D259" t="inlineStr">
        <is>
          <t>VÄSTERNORRLANDS LÄN</t>
        </is>
      </c>
      <c r="E259" t="inlineStr">
        <is>
          <t>SOLLEFTEÅ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43215-2018</t>
        </is>
      </c>
      <c r="B260" s="1" t="n">
        <v>43353</v>
      </c>
      <c r="C260" s="1" t="n">
        <v>45356</v>
      </c>
      <c r="D260" t="inlineStr">
        <is>
          <t>VÄSTERNORRLANDS LÄN</t>
        </is>
      </c>
      <c r="E260" t="inlineStr">
        <is>
          <t>SOLLEFTEÅ</t>
        </is>
      </c>
      <c r="G260" t="n">
        <v>16</v>
      </c>
      <c r="H260" t="n">
        <v>0</v>
      </c>
      <c r="I260" t="n">
        <v>0</v>
      </c>
      <c r="J260" t="n">
        <v>0</v>
      </c>
      <c r="K260" t="n">
        <v>0</v>
      </c>
      <c r="L260" t="n">
        <v>0</v>
      </c>
      <c r="M260" t="n">
        <v>0</v>
      </c>
      <c r="N260" t="n">
        <v>0</v>
      </c>
      <c r="O260" t="n">
        <v>0</v>
      </c>
      <c r="P260" t="n">
        <v>0</v>
      </c>
      <c r="Q260" t="n">
        <v>0</v>
      </c>
      <c r="R260" s="2" t="inlineStr"/>
    </row>
    <row r="261" ht="15" customHeight="1">
      <c r="A261" t="inlineStr">
        <is>
          <t>A 45786-2018</t>
        </is>
      </c>
      <c r="B261" s="1" t="n">
        <v>43362</v>
      </c>
      <c r="C261" s="1" t="n">
        <v>45356</v>
      </c>
      <c r="D261" t="inlineStr">
        <is>
          <t>VÄSTERNORRLANDS LÄN</t>
        </is>
      </c>
      <c r="E261" t="inlineStr">
        <is>
          <t>SOLLEFTEÅ</t>
        </is>
      </c>
      <c r="G261" t="n">
        <v>6.1</v>
      </c>
      <c r="H261" t="n">
        <v>0</v>
      </c>
      <c r="I261" t="n">
        <v>0</v>
      </c>
      <c r="J261" t="n">
        <v>0</v>
      </c>
      <c r="K261" t="n">
        <v>0</v>
      </c>
      <c r="L261" t="n">
        <v>0</v>
      </c>
      <c r="M261" t="n">
        <v>0</v>
      </c>
      <c r="N261" t="n">
        <v>0</v>
      </c>
      <c r="O261" t="n">
        <v>0</v>
      </c>
      <c r="P261" t="n">
        <v>0</v>
      </c>
      <c r="Q261" t="n">
        <v>0</v>
      </c>
      <c r="R261" s="2" t="inlineStr"/>
    </row>
    <row r="262" ht="15" customHeight="1">
      <c r="A262" t="inlineStr">
        <is>
          <t>A 50423-2018</t>
        </is>
      </c>
      <c r="B262" s="1" t="n">
        <v>43378</v>
      </c>
      <c r="C262" s="1" t="n">
        <v>45356</v>
      </c>
      <c r="D262" t="inlineStr">
        <is>
          <t>VÄSTERNORRLANDS LÄN</t>
        </is>
      </c>
      <c r="E262" t="inlineStr">
        <is>
          <t>SOLLEFTEÅ</t>
        </is>
      </c>
      <c r="F262" t="inlineStr">
        <is>
          <t>SCA</t>
        </is>
      </c>
      <c r="G262" t="n">
        <v>6.4</v>
      </c>
      <c r="H262" t="n">
        <v>0</v>
      </c>
      <c r="I262" t="n">
        <v>0</v>
      </c>
      <c r="J262" t="n">
        <v>0</v>
      </c>
      <c r="K262" t="n">
        <v>0</v>
      </c>
      <c r="L262" t="n">
        <v>0</v>
      </c>
      <c r="M262" t="n">
        <v>0</v>
      </c>
      <c r="N262" t="n">
        <v>0</v>
      </c>
      <c r="O262" t="n">
        <v>0</v>
      </c>
      <c r="P262" t="n">
        <v>0</v>
      </c>
      <c r="Q262" t="n">
        <v>0</v>
      </c>
      <c r="R262" s="2" t="inlineStr"/>
    </row>
    <row r="263" ht="15" customHeight="1">
      <c r="A263" t="inlineStr">
        <is>
          <t>A 50996-2018</t>
        </is>
      </c>
      <c r="B263" s="1" t="n">
        <v>43378</v>
      </c>
      <c r="C263" s="1" t="n">
        <v>45356</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52458-2018</t>
        </is>
      </c>
      <c r="B264" s="1" t="n">
        <v>43383</v>
      </c>
      <c r="C264" s="1" t="n">
        <v>45356</v>
      </c>
      <c r="D264" t="inlineStr">
        <is>
          <t>VÄSTERNORRLANDS LÄN</t>
        </is>
      </c>
      <c r="E264" t="inlineStr">
        <is>
          <t>SOLLEFTEÅ</t>
        </is>
      </c>
      <c r="G264" t="n">
        <v>7.6</v>
      </c>
      <c r="H264" t="n">
        <v>0</v>
      </c>
      <c r="I264" t="n">
        <v>0</v>
      </c>
      <c r="J264" t="n">
        <v>0</v>
      </c>
      <c r="K264" t="n">
        <v>0</v>
      </c>
      <c r="L264" t="n">
        <v>0</v>
      </c>
      <c r="M264" t="n">
        <v>0</v>
      </c>
      <c r="N264" t="n">
        <v>0</v>
      </c>
      <c r="O264" t="n">
        <v>0</v>
      </c>
      <c r="P264" t="n">
        <v>0</v>
      </c>
      <c r="Q264" t="n">
        <v>0</v>
      </c>
      <c r="R264" s="2" t="inlineStr"/>
    </row>
    <row r="265" ht="15" customHeight="1">
      <c r="A265" t="inlineStr">
        <is>
          <t>A 52745-2018</t>
        </is>
      </c>
      <c r="B265" s="1" t="n">
        <v>43384</v>
      </c>
      <c r="C265" s="1" t="n">
        <v>45356</v>
      </c>
      <c r="D265" t="inlineStr">
        <is>
          <t>VÄSTERNORRLANDS LÄN</t>
        </is>
      </c>
      <c r="E265" t="inlineStr">
        <is>
          <t>SOLLEFTEÅ</t>
        </is>
      </c>
      <c r="G265" t="n">
        <v>4.7</v>
      </c>
      <c r="H265" t="n">
        <v>0</v>
      </c>
      <c r="I265" t="n">
        <v>0</v>
      </c>
      <c r="J265" t="n">
        <v>0</v>
      </c>
      <c r="K265" t="n">
        <v>0</v>
      </c>
      <c r="L265" t="n">
        <v>0</v>
      </c>
      <c r="M265" t="n">
        <v>0</v>
      </c>
      <c r="N265" t="n">
        <v>0</v>
      </c>
      <c r="O265" t="n">
        <v>0</v>
      </c>
      <c r="P265" t="n">
        <v>0</v>
      </c>
      <c r="Q265" t="n">
        <v>0</v>
      </c>
      <c r="R265" s="2" t="inlineStr"/>
    </row>
    <row r="266" ht="15" customHeight="1">
      <c r="A266" t="inlineStr">
        <is>
          <t>A 53595-2018</t>
        </is>
      </c>
      <c r="B266" s="1" t="n">
        <v>43388</v>
      </c>
      <c r="C266" s="1" t="n">
        <v>45356</v>
      </c>
      <c r="D266" t="inlineStr">
        <is>
          <t>VÄSTERNORRLANDS LÄN</t>
        </is>
      </c>
      <c r="E266" t="inlineStr">
        <is>
          <t>SOLLEFTEÅ</t>
        </is>
      </c>
      <c r="G266" t="n">
        <v>4.5</v>
      </c>
      <c r="H266" t="n">
        <v>0</v>
      </c>
      <c r="I266" t="n">
        <v>0</v>
      </c>
      <c r="J266" t="n">
        <v>0</v>
      </c>
      <c r="K266" t="n">
        <v>0</v>
      </c>
      <c r="L266" t="n">
        <v>0</v>
      </c>
      <c r="M266" t="n">
        <v>0</v>
      </c>
      <c r="N266" t="n">
        <v>0</v>
      </c>
      <c r="O266" t="n">
        <v>0</v>
      </c>
      <c r="P266" t="n">
        <v>0</v>
      </c>
      <c r="Q266" t="n">
        <v>0</v>
      </c>
      <c r="R266" s="2" t="inlineStr"/>
    </row>
    <row r="267" ht="15" customHeight="1">
      <c r="A267" t="inlineStr">
        <is>
          <t>A 54076-2018</t>
        </is>
      </c>
      <c r="B267" s="1" t="n">
        <v>43388</v>
      </c>
      <c r="C267" s="1" t="n">
        <v>45356</v>
      </c>
      <c r="D267" t="inlineStr">
        <is>
          <t>VÄSTERNORRLANDS LÄN</t>
        </is>
      </c>
      <c r="E267" t="inlineStr">
        <is>
          <t>SOLLEFTEÅ</t>
        </is>
      </c>
      <c r="G267" t="n">
        <v>1.1</v>
      </c>
      <c r="H267" t="n">
        <v>0</v>
      </c>
      <c r="I267" t="n">
        <v>0</v>
      </c>
      <c r="J267" t="n">
        <v>0</v>
      </c>
      <c r="K267" t="n">
        <v>0</v>
      </c>
      <c r="L267" t="n">
        <v>0</v>
      </c>
      <c r="M267" t="n">
        <v>0</v>
      </c>
      <c r="N267" t="n">
        <v>0</v>
      </c>
      <c r="O267" t="n">
        <v>0</v>
      </c>
      <c r="P267" t="n">
        <v>0</v>
      </c>
      <c r="Q267" t="n">
        <v>0</v>
      </c>
      <c r="R267" s="2" t="inlineStr"/>
    </row>
    <row r="268" ht="15" customHeight="1">
      <c r="A268" t="inlineStr">
        <is>
          <t>A 56189-2018</t>
        </is>
      </c>
      <c r="B268" s="1" t="n">
        <v>43389</v>
      </c>
      <c r="C268" s="1" t="n">
        <v>45356</v>
      </c>
      <c r="D268" t="inlineStr">
        <is>
          <t>VÄSTERNORRLANDS LÄN</t>
        </is>
      </c>
      <c r="E268" t="inlineStr">
        <is>
          <t>SOLLEFTEÅ</t>
        </is>
      </c>
      <c r="G268" t="n">
        <v>1.2</v>
      </c>
      <c r="H268" t="n">
        <v>0</v>
      </c>
      <c r="I268" t="n">
        <v>0</v>
      </c>
      <c r="J268" t="n">
        <v>0</v>
      </c>
      <c r="K268" t="n">
        <v>0</v>
      </c>
      <c r="L268" t="n">
        <v>0</v>
      </c>
      <c r="M268" t="n">
        <v>0</v>
      </c>
      <c r="N268" t="n">
        <v>0</v>
      </c>
      <c r="O268" t="n">
        <v>0</v>
      </c>
      <c r="P268" t="n">
        <v>0</v>
      </c>
      <c r="Q268" t="n">
        <v>0</v>
      </c>
      <c r="R268" s="2" t="inlineStr"/>
    </row>
    <row r="269" ht="15" customHeight="1">
      <c r="A269" t="inlineStr">
        <is>
          <t>A 54667-2018</t>
        </is>
      </c>
      <c r="B269" s="1" t="n">
        <v>43389</v>
      </c>
      <c r="C269" s="1" t="n">
        <v>45356</v>
      </c>
      <c r="D269" t="inlineStr">
        <is>
          <t>VÄSTERNORRLANDS LÄN</t>
        </is>
      </c>
      <c r="E269" t="inlineStr">
        <is>
          <t>SOLLEFTEÅ</t>
        </is>
      </c>
      <c r="G269" t="n">
        <v>1.8</v>
      </c>
      <c r="H269" t="n">
        <v>0</v>
      </c>
      <c r="I269" t="n">
        <v>0</v>
      </c>
      <c r="J269" t="n">
        <v>0</v>
      </c>
      <c r="K269" t="n">
        <v>0</v>
      </c>
      <c r="L269" t="n">
        <v>0</v>
      </c>
      <c r="M269" t="n">
        <v>0</v>
      </c>
      <c r="N269" t="n">
        <v>0</v>
      </c>
      <c r="O269" t="n">
        <v>0</v>
      </c>
      <c r="P269" t="n">
        <v>0</v>
      </c>
      <c r="Q269" t="n">
        <v>0</v>
      </c>
      <c r="R269" s="2" t="inlineStr"/>
    </row>
    <row r="270" ht="15" customHeight="1">
      <c r="A270" t="inlineStr">
        <is>
          <t>A 53746-2018</t>
        </is>
      </c>
      <c r="B270" s="1" t="n">
        <v>43391</v>
      </c>
      <c r="C270" s="1" t="n">
        <v>45356</v>
      </c>
      <c r="D270" t="inlineStr">
        <is>
          <t>VÄSTERNORRLANDS LÄN</t>
        </is>
      </c>
      <c r="E270" t="inlineStr">
        <is>
          <t>SOLLEFTEÅ</t>
        </is>
      </c>
      <c r="G270" t="n">
        <v>1</v>
      </c>
      <c r="H270" t="n">
        <v>0</v>
      </c>
      <c r="I270" t="n">
        <v>0</v>
      </c>
      <c r="J270" t="n">
        <v>0</v>
      </c>
      <c r="K270" t="n">
        <v>0</v>
      </c>
      <c r="L270" t="n">
        <v>0</v>
      </c>
      <c r="M270" t="n">
        <v>0</v>
      </c>
      <c r="N270" t="n">
        <v>0</v>
      </c>
      <c r="O270" t="n">
        <v>0</v>
      </c>
      <c r="P270" t="n">
        <v>0</v>
      </c>
      <c r="Q270" t="n">
        <v>0</v>
      </c>
      <c r="R270" s="2" t="inlineStr"/>
    </row>
    <row r="271" ht="15" customHeight="1">
      <c r="A271" t="inlineStr">
        <is>
          <t>A 54226-2018</t>
        </is>
      </c>
      <c r="B271" s="1" t="n">
        <v>43392</v>
      </c>
      <c r="C271" s="1" t="n">
        <v>45356</v>
      </c>
      <c r="D271" t="inlineStr">
        <is>
          <t>VÄSTERNORRLANDS LÄN</t>
        </is>
      </c>
      <c r="E271" t="inlineStr">
        <is>
          <t>SOLLEFTEÅ</t>
        </is>
      </c>
      <c r="F271" t="inlineStr">
        <is>
          <t>SCA</t>
        </is>
      </c>
      <c r="G271" t="n">
        <v>1.9</v>
      </c>
      <c r="H271" t="n">
        <v>0</v>
      </c>
      <c r="I271" t="n">
        <v>0</v>
      </c>
      <c r="J271" t="n">
        <v>0</v>
      </c>
      <c r="K271" t="n">
        <v>0</v>
      </c>
      <c r="L271" t="n">
        <v>0</v>
      </c>
      <c r="M271" t="n">
        <v>0</v>
      </c>
      <c r="N271" t="n">
        <v>0</v>
      </c>
      <c r="O271" t="n">
        <v>0</v>
      </c>
      <c r="P271" t="n">
        <v>0</v>
      </c>
      <c r="Q271" t="n">
        <v>0</v>
      </c>
      <c r="R271" s="2" t="inlineStr"/>
    </row>
    <row r="272" ht="15" customHeight="1">
      <c r="A272" t="inlineStr">
        <is>
          <t>A 55996-2018</t>
        </is>
      </c>
      <c r="B272" s="1" t="n">
        <v>43392</v>
      </c>
      <c r="C272" s="1" t="n">
        <v>45356</v>
      </c>
      <c r="D272" t="inlineStr">
        <is>
          <t>VÄSTERNORRLANDS LÄN</t>
        </is>
      </c>
      <c r="E272" t="inlineStr">
        <is>
          <t>SOLLEFTEÅ</t>
        </is>
      </c>
      <c r="G272" t="n">
        <v>2</v>
      </c>
      <c r="H272" t="n">
        <v>0</v>
      </c>
      <c r="I272" t="n">
        <v>0</v>
      </c>
      <c r="J272" t="n">
        <v>0</v>
      </c>
      <c r="K272" t="n">
        <v>0</v>
      </c>
      <c r="L272" t="n">
        <v>0</v>
      </c>
      <c r="M272" t="n">
        <v>0</v>
      </c>
      <c r="N272" t="n">
        <v>0</v>
      </c>
      <c r="O272" t="n">
        <v>0</v>
      </c>
      <c r="P272" t="n">
        <v>0</v>
      </c>
      <c r="Q272" t="n">
        <v>0</v>
      </c>
      <c r="R272" s="2" t="inlineStr"/>
    </row>
    <row r="273" ht="15" customHeight="1">
      <c r="A273" t="inlineStr">
        <is>
          <t>A 56610-2018</t>
        </is>
      </c>
      <c r="B273" s="1" t="n">
        <v>43395</v>
      </c>
      <c r="C273" s="1" t="n">
        <v>45356</v>
      </c>
      <c r="D273" t="inlineStr">
        <is>
          <t>VÄSTERNORRLANDS LÄN</t>
        </is>
      </c>
      <c r="E273" t="inlineStr">
        <is>
          <t>SOLLEFTEÅ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56666-2018</t>
        </is>
      </c>
      <c r="B274" s="1" t="n">
        <v>43395</v>
      </c>
      <c r="C274" s="1" t="n">
        <v>45356</v>
      </c>
      <c r="D274" t="inlineStr">
        <is>
          <t>VÄSTERNORRLANDS LÄN</t>
        </is>
      </c>
      <c r="E274" t="inlineStr">
        <is>
          <t>SOLLEFTEÅ</t>
        </is>
      </c>
      <c r="G274" t="n">
        <v>6</v>
      </c>
      <c r="H274" t="n">
        <v>0</v>
      </c>
      <c r="I274" t="n">
        <v>0</v>
      </c>
      <c r="J274" t="n">
        <v>0</v>
      </c>
      <c r="K274" t="n">
        <v>0</v>
      </c>
      <c r="L274" t="n">
        <v>0</v>
      </c>
      <c r="M274" t="n">
        <v>0</v>
      </c>
      <c r="N274" t="n">
        <v>0</v>
      </c>
      <c r="O274" t="n">
        <v>0</v>
      </c>
      <c r="P274" t="n">
        <v>0</v>
      </c>
      <c r="Q274" t="n">
        <v>0</v>
      </c>
      <c r="R274" s="2" t="inlineStr"/>
    </row>
    <row r="275" ht="15" customHeight="1">
      <c r="A275" t="inlineStr">
        <is>
          <t>A 56629-2018</t>
        </is>
      </c>
      <c r="B275" s="1" t="n">
        <v>43395</v>
      </c>
      <c r="C275" s="1" t="n">
        <v>45356</v>
      </c>
      <c r="D275" t="inlineStr">
        <is>
          <t>VÄSTERNORRLANDS LÄN</t>
        </is>
      </c>
      <c r="E275" t="inlineStr">
        <is>
          <t>SOLLEFTEÅ</t>
        </is>
      </c>
      <c r="G275" t="n">
        <v>10.6</v>
      </c>
      <c r="H275" t="n">
        <v>0</v>
      </c>
      <c r="I275" t="n">
        <v>0</v>
      </c>
      <c r="J275" t="n">
        <v>0</v>
      </c>
      <c r="K275" t="n">
        <v>0</v>
      </c>
      <c r="L275" t="n">
        <v>0</v>
      </c>
      <c r="M275" t="n">
        <v>0</v>
      </c>
      <c r="N275" t="n">
        <v>0</v>
      </c>
      <c r="O275" t="n">
        <v>0</v>
      </c>
      <c r="P275" t="n">
        <v>0</v>
      </c>
      <c r="Q275" t="n">
        <v>0</v>
      </c>
      <c r="R275" s="2" t="inlineStr"/>
    </row>
    <row r="276" ht="15" customHeight="1">
      <c r="A276" t="inlineStr">
        <is>
          <t>A 56139-2018</t>
        </is>
      </c>
      <c r="B276" s="1" t="n">
        <v>43398</v>
      </c>
      <c r="C276" s="1" t="n">
        <v>45356</v>
      </c>
      <c r="D276" t="inlineStr">
        <is>
          <t>VÄSTERNORRLANDS LÄN</t>
        </is>
      </c>
      <c r="E276" t="inlineStr">
        <is>
          <t>SOLLEFTEÅ</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58020-2018</t>
        </is>
      </c>
      <c r="B277" s="1" t="n">
        <v>43398</v>
      </c>
      <c r="C277" s="1" t="n">
        <v>45356</v>
      </c>
      <c r="D277" t="inlineStr">
        <is>
          <t>VÄSTERNORRLANDS LÄN</t>
        </is>
      </c>
      <c r="E277" t="inlineStr">
        <is>
          <t>SOLLEFTEÅ</t>
        </is>
      </c>
      <c r="G277" t="n">
        <v>6.5</v>
      </c>
      <c r="H277" t="n">
        <v>0</v>
      </c>
      <c r="I277" t="n">
        <v>0</v>
      </c>
      <c r="J277" t="n">
        <v>0</v>
      </c>
      <c r="K277" t="n">
        <v>0</v>
      </c>
      <c r="L277" t="n">
        <v>0</v>
      </c>
      <c r="M277" t="n">
        <v>0</v>
      </c>
      <c r="N277" t="n">
        <v>0</v>
      </c>
      <c r="O277" t="n">
        <v>0</v>
      </c>
      <c r="P277" t="n">
        <v>0</v>
      </c>
      <c r="Q277" t="n">
        <v>0</v>
      </c>
      <c r="R277" s="2" t="inlineStr"/>
    </row>
    <row r="278" ht="15" customHeight="1">
      <c r="A278" t="inlineStr">
        <is>
          <t>A 58397-2018</t>
        </is>
      </c>
      <c r="B278" s="1" t="n">
        <v>43399</v>
      </c>
      <c r="C278" s="1" t="n">
        <v>45356</v>
      </c>
      <c r="D278" t="inlineStr">
        <is>
          <t>VÄSTERNORRLANDS LÄN</t>
        </is>
      </c>
      <c r="E278" t="inlineStr">
        <is>
          <t>SOLLEFTEÅ</t>
        </is>
      </c>
      <c r="G278" t="n">
        <v>1</v>
      </c>
      <c r="H278" t="n">
        <v>0</v>
      </c>
      <c r="I278" t="n">
        <v>0</v>
      </c>
      <c r="J278" t="n">
        <v>0</v>
      </c>
      <c r="K278" t="n">
        <v>0</v>
      </c>
      <c r="L278" t="n">
        <v>0</v>
      </c>
      <c r="M278" t="n">
        <v>0</v>
      </c>
      <c r="N278" t="n">
        <v>0</v>
      </c>
      <c r="O278" t="n">
        <v>0</v>
      </c>
      <c r="P278" t="n">
        <v>0</v>
      </c>
      <c r="Q278" t="n">
        <v>0</v>
      </c>
      <c r="R278" s="2" t="inlineStr"/>
    </row>
    <row r="279" ht="15" customHeight="1">
      <c r="A279" t="inlineStr">
        <is>
          <t>A 56500-2018</t>
        </is>
      </c>
      <c r="B279" s="1" t="n">
        <v>43399</v>
      </c>
      <c r="C279" s="1" t="n">
        <v>45356</v>
      </c>
      <c r="D279" t="inlineStr">
        <is>
          <t>VÄSTERNORRLANDS LÄN</t>
        </is>
      </c>
      <c r="E279" t="inlineStr">
        <is>
          <t>SOLLEFTEÅ</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59371-2018</t>
        </is>
      </c>
      <c r="B280" s="1" t="n">
        <v>43404</v>
      </c>
      <c r="C280" s="1" t="n">
        <v>45356</v>
      </c>
      <c r="D280" t="inlineStr">
        <is>
          <t>VÄSTERNORRLANDS LÄN</t>
        </is>
      </c>
      <c r="E280" t="inlineStr">
        <is>
          <t>SOLLEFTEÅ</t>
        </is>
      </c>
      <c r="G280" t="n">
        <v>2.5</v>
      </c>
      <c r="H280" t="n">
        <v>0</v>
      </c>
      <c r="I280" t="n">
        <v>0</v>
      </c>
      <c r="J280" t="n">
        <v>0</v>
      </c>
      <c r="K280" t="n">
        <v>0</v>
      </c>
      <c r="L280" t="n">
        <v>0</v>
      </c>
      <c r="M280" t="n">
        <v>0</v>
      </c>
      <c r="N280" t="n">
        <v>0</v>
      </c>
      <c r="O280" t="n">
        <v>0</v>
      </c>
      <c r="P280" t="n">
        <v>0</v>
      </c>
      <c r="Q280" t="n">
        <v>0</v>
      </c>
      <c r="R280" s="2" t="inlineStr"/>
    </row>
    <row r="281" ht="15" customHeight="1">
      <c r="A281" t="inlineStr">
        <is>
          <t>A 57954-2018</t>
        </is>
      </c>
      <c r="B281" s="1" t="n">
        <v>43405</v>
      </c>
      <c r="C281" s="1" t="n">
        <v>45356</v>
      </c>
      <c r="D281" t="inlineStr">
        <is>
          <t>VÄSTERNORRLANDS LÄN</t>
        </is>
      </c>
      <c r="E281" t="inlineStr">
        <is>
          <t>SOLLEFTEÅ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57747-2018</t>
        </is>
      </c>
      <c r="B282" s="1" t="n">
        <v>43405</v>
      </c>
      <c r="C282" s="1" t="n">
        <v>45356</v>
      </c>
      <c r="D282" t="inlineStr">
        <is>
          <t>VÄSTERNORRLANDS LÄN</t>
        </is>
      </c>
      <c r="E282" t="inlineStr">
        <is>
          <t>SOLLEFTEÅ</t>
        </is>
      </c>
      <c r="G282" t="n">
        <v>2.4</v>
      </c>
      <c r="H282" t="n">
        <v>0</v>
      </c>
      <c r="I282" t="n">
        <v>0</v>
      </c>
      <c r="J282" t="n">
        <v>0</v>
      </c>
      <c r="K282" t="n">
        <v>0</v>
      </c>
      <c r="L282" t="n">
        <v>0</v>
      </c>
      <c r="M282" t="n">
        <v>0</v>
      </c>
      <c r="N282" t="n">
        <v>0</v>
      </c>
      <c r="O282" t="n">
        <v>0</v>
      </c>
      <c r="P282" t="n">
        <v>0</v>
      </c>
      <c r="Q282" t="n">
        <v>0</v>
      </c>
      <c r="R282" s="2" t="inlineStr"/>
    </row>
    <row r="283" ht="15" customHeight="1">
      <c r="A283" t="inlineStr">
        <is>
          <t>A 57956-2018</t>
        </is>
      </c>
      <c r="B283" s="1" t="n">
        <v>43405</v>
      </c>
      <c r="C283" s="1" t="n">
        <v>45356</v>
      </c>
      <c r="D283" t="inlineStr">
        <is>
          <t>VÄSTERNORRLANDS LÄN</t>
        </is>
      </c>
      <c r="E283" t="inlineStr">
        <is>
          <t>SOLLEFTEÅ</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60057-2018</t>
        </is>
      </c>
      <c r="B284" s="1" t="n">
        <v>43412</v>
      </c>
      <c r="C284" s="1" t="n">
        <v>45356</v>
      </c>
      <c r="D284" t="inlineStr">
        <is>
          <t>VÄSTERNORRLANDS LÄN</t>
        </is>
      </c>
      <c r="E284" t="inlineStr">
        <is>
          <t>SOLLEFTEÅ</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60206-2018</t>
        </is>
      </c>
      <c r="B285" s="1" t="n">
        <v>43412</v>
      </c>
      <c r="C285" s="1" t="n">
        <v>45356</v>
      </c>
      <c r="D285" t="inlineStr">
        <is>
          <t>VÄSTERNORRLANDS LÄN</t>
        </is>
      </c>
      <c r="E285" t="inlineStr">
        <is>
          <t>SOLLEFTEÅ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62604-2018</t>
        </is>
      </c>
      <c r="B286" s="1" t="n">
        <v>43416</v>
      </c>
      <c r="C286" s="1" t="n">
        <v>45356</v>
      </c>
      <c r="D286" t="inlineStr">
        <is>
          <t>VÄSTERNORRLANDS LÄN</t>
        </is>
      </c>
      <c r="E286" t="inlineStr">
        <is>
          <t>SOLLEFTEÅ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62571-2018</t>
        </is>
      </c>
      <c r="B287" s="1" t="n">
        <v>43416</v>
      </c>
      <c r="C287" s="1" t="n">
        <v>45356</v>
      </c>
      <c r="D287" t="inlineStr">
        <is>
          <t>VÄSTERNORRLANDS LÄN</t>
        </is>
      </c>
      <c r="E287" t="inlineStr">
        <is>
          <t>SOLLEFTEÅ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59894-2018</t>
        </is>
      </c>
      <c r="B288" s="1" t="n">
        <v>43419</v>
      </c>
      <c r="C288" s="1" t="n">
        <v>45356</v>
      </c>
      <c r="D288" t="inlineStr">
        <is>
          <t>VÄSTERNORRLANDS LÄN</t>
        </is>
      </c>
      <c r="E288" t="inlineStr">
        <is>
          <t>SOLLEFTEÅ</t>
        </is>
      </c>
      <c r="F288" t="inlineStr">
        <is>
          <t>SCA</t>
        </is>
      </c>
      <c r="G288" t="n">
        <v>0.3</v>
      </c>
      <c r="H288" t="n">
        <v>0</v>
      </c>
      <c r="I288" t="n">
        <v>0</v>
      </c>
      <c r="J288" t="n">
        <v>0</v>
      </c>
      <c r="K288" t="n">
        <v>0</v>
      </c>
      <c r="L288" t="n">
        <v>0</v>
      </c>
      <c r="M288" t="n">
        <v>0</v>
      </c>
      <c r="N288" t="n">
        <v>0</v>
      </c>
      <c r="O288" t="n">
        <v>0</v>
      </c>
      <c r="P288" t="n">
        <v>0</v>
      </c>
      <c r="Q288" t="n">
        <v>0</v>
      </c>
      <c r="R288" s="2" t="inlineStr"/>
    </row>
    <row r="289" ht="15" customHeight="1">
      <c r="A289" t="inlineStr">
        <is>
          <t>A 59621-2018</t>
        </is>
      </c>
      <c r="B289" s="1" t="n">
        <v>43419</v>
      </c>
      <c r="C289" s="1" t="n">
        <v>45356</v>
      </c>
      <c r="D289" t="inlineStr">
        <is>
          <t>VÄSTERNORRLANDS LÄN</t>
        </is>
      </c>
      <c r="E289" t="inlineStr">
        <is>
          <t>SOLLEFTEÅ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59615-2018</t>
        </is>
      </c>
      <c r="B290" s="1" t="n">
        <v>43419</v>
      </c>
      <c r="C290" s="1" t="n">
        <v>45356</v>
      </c>
      <c r="D290" t="inlineStr">
        <is>
          <t>VÄSTERNORRLANDS LÄN</t>
        </is>
      </c>
      <c r="E290" t="inlineStr">
        <is>
          <t>SOLLEFTEÅ</t>
        </is>
      </c>
      <c r="G290" t="n">
        <v>2</v>
      </c>
      <c r="H290" t="n">
        <v>0</v>
      </c>
      <c r="I290" t="n">
        <v>0</v>
      </c>
      <c r="J290" t="n">
        <v>0</v>
      </c>
      <c r="K290" t="n">
        <v>0</v>
      </c>
      <c r="L290" t="n">
        <v>0</v>
      </c>
      <c r="M290" t="n">
        <v>0</v>
      </c>
      <c r="N290" t="n">
        <v>0</v>
      </c>
      <c r="O290" t="n">
        <v>0</v>
      </c>
      <c r="P290" t="n">
        <v>0</v>
      </c>
      <c r="Q290" t="n">
        <v>0</v>
      </c>
      <c r="R290" s="2" t="inlineStr"/>
    </row>
    <row r="291" ht="15" customHeight="1">
      <c r="A291" t="inlineStr">
        <is>
          <t>A 60505-2018</t>
        </is>
      </c>
      <c r="B291" s="1" t="n">
        <v>43420</v>
      </c>
      <c r="C291" s="1" t="n">
        <v>45356</v>
      </c>
      <c r="D291" t="inlineStr">
        <is>
          <t>VÄSTERNORRLANDS LÄN</t>
        </is>
      </c>
      <c r="E291" t="inlineStr">
        <is>
          <t>SOLLEFTEÅ</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60507-2018</t>
        </is>
      </c>
      <c r="B292" s="1" t="n">
        <v>43420</v>
      </c>
      <c r="C292" s="1" t="n">
        <v>45356</v>
      </c>
      <c r="D292" t="inlineStr">
        <is>
          <t>VÄSTERNORRLANDS LÄN</t>
        </is>
      </c>
      <c r="E292" t="inlineStr">
        <is>
          <t>SOLLEFTEÅ</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65627-2018</t>
        </is>
      </c>
      <c r="B293" s="1" t="n">
        <v>43425</v>
      </c>
      <c r="C293" s="1" t="n">
        <v>45356</v>
      </c>
      <c r="D293" t="inlineStr">
        <is>
          <t>VÄSTERNORRLANDS LÄN</t>
        </is>
      </c>
      <c r="E293" t="inlineStr">
        <is>
          <t>SOLLEFTEÅ</t>
        </is>
      </c>
      <c r="G293" t="n">
        <v>8.5</v>
      </c>
      <c r="H293" t="n">
        <v>0</v>
      </c>
      <c r="I293" t="n">
        <v>0</v>
      </c>
      <c r="J293" t="n">
        <v>0</v>
      </c>
      <c r="K293" t="n">
        <v>0</v>
      </c>
      <c r="L293" t="n">
        <v>0</v>
      </c>
      <c r="M293" t="n">
        <v>0</v>
      </c>
      <c r="N293" t="n">
        <v>0</v>
      </c>
      <c r="O293" t="n">
        <v>0</v>
      </c>
      <c r="P293" t="n">
        <v>0</v>
      </c>
      <c r="Q293" t="n">
        <v>0</v>
      </c>
      <c r="R293" s="2" t="inlineStr"/>
    </row>
    <row r="294" ht="15" customHeight="1">
      <c r="A294" t="inlineStr">
        <is>
          <t>A 66224-2018</t>
        </is>
      </c>
      <c r="B294" s="1" t="n">
        <v>43426</v>
      </c>
      <c r="C294" s="1" t="n">
        <v>45356</v>
      </c>
      <c r="D294" t="inlineStr">
        <is>
          <t>VÄSTERNORRLANDS LÄN</t>
        </is>
      </c>
      <c r="E294" t="inlineStr">
        <is>
          <t>SOLLEFTEÅ</t>
        </is>
      </c>
      <c r="G294" t="n">
        <v>1.5</v>
      </c>
      <c r="H294" t="n">
        <v>0</v>
      </c>
      <c r="I294" t="n">
        <v>0</v>
      </c>
      <c r="J294" t="n">
        <v>0</v>
      </c>
      <c r="K294" t="n">
        <v>0</v>
      </c>
      <c r="L294" t="n">
        <v>0</v>
      </c>
      <c r="M294" t="n">
        <v>0</v>
      </c>
      <c r="N294" t="n">
        <v>0</v>
      </c>
      <c r="O294" t="n">
        <v>0</v>
      </c>
      <c r="P294" t="n">
        <v>0</v>
      </c>
      <c r="Q294" t="n">
        <v>0</v>
      </c>
      <c r="R294" s="2" t="inlineStr"/>
    </row>
    <row r="295" ht="15" customHeight="1">
      <c r="A295" t="inlineStr">
        <is>
          <t>A 63618-2018</t>
        </is>
      </c>
      <c r="B295" s="1" t="n">
        <v>43427</v>
      </c>
      <c r="C295" s="1" t="n">
        <v>45356</v>
      </c>
      <c r="D295" t="inlineStr">
        <is>
          <t>VÄSTERNORRLANDS LÄN</t>
        </is>
      </c>
      <c r="E295" t="inlineStr">
        <is>
          <t>SOLLEFTEÅ</t>
        </is>
      </c>
      <c r="F295" t="inlineStr">
        <is>
          <t>SCA</t>
        </is>
      </c>
      <c r="G295" t="n">
        <v>6</v>
      </c>
      <c r="H295" t="n">
        <v>0</v>
      </c>
      <c r="I295" t="n">
        <v>0</v>
      </c>
      <c r="J295" t="n">
        <v>0</v>
      </c>
      <c r="K295" t="n">
        <v>0</v>
      </c>
      <c r="L295" t="n">
        <v>0</v>
      </c>
      <c r="M295" t="n">
        <v>0</v>
      </c>
      <c r="N295" t="n">
        <v>0</v>
      </c>
      <c r="O295" t="n">
        <v>0</v>
      </c>
      <c r="P295" t="n">
        <v>0</v>
      </c>
      <c r="Q295" t="n">
        <v>0</v>
      </c>
      <c r="R295" s="2" t="inlineStr"/>
    </row>
    <row r="296" ht="15" customHeight="1">
      <c r="A296" t="inlineStr">
        <is>
          <t>A 63664-2018</t>
        </is>
      </c>
      <c r="B296" s="1" t="n">
        <v>43427</v>
      </c>
      <c r="C296" s="1" t="n">
        <v>45356</v>
      </c>
      <c r="D296" t="inlineStr">
        <is>
          <t>VÄSTERNORRLANDS LÄN</t>
        </is>
      </c>
      <c r="E296" t="inlineStr">
        <is>
          <t>SOLLEFTEÅ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63391-2018</t>
        </is>
      </c>
      <c r="B297" s="1" t="n">
        <v>43427</v>
      </c>
      <c r="C297" s="1" t="n">
        <v>45356</v>
      </c>
      <c r="D297" t="inlineStr">
        <is>
          <t>VÄSTERNORRLANDS LÄN</t>
        </is>
      </c>
      <c r="E297" t="inlineStr">
        <is>
          <t>SOLLEFTEÅ</t>
        </is>
      </c>
      <c r="G297" t="n">
        <v>9</v>
      </c>
      <c r="H297" t="n">
        <v>0</v>
      </c>
      <c r="I297" t="n">
        <v>0</v>
      </c>
      <c r="J297" t="n">
        <v>0</v>
      </c>
      <c r="K297" t="n">
        <v>0</v>
      </c>
      <c r="L297" t="n">
        <v>0</v>
      </c>
      <c r="M297" t="n">
        <v>0</v>
      </c>
      <c r="N297" t="n">
        <v>0</v>
      </c>
      <c r="O297" t="n">
        <v>0</v>
      </c>
      <c r="P297" t="n">
        <v>0</v>
      </c>
      <c r="Q297" t="n">
        <v>0</v>
      </c>
      <c r="R297" s="2" t="inlineStr"/>
    </row>
    <row r="298" ht="15" customHeight="1">
      <c r="A298" t="inlineStr">
        <is>
          <t>A 64084-2018</t>
        </is>
      </c>
      <c r="B298" s="1" t="n">
        <v>43430</v>
      </c>
      <c r="C298" s="1" t="n">
        <v>45356</v>
      </c>
      <c r="D298" t="inlineStr">
        <is>
          <t>VÄSTERNORRLANDS LÄN</t>
        </is>
      </c>
      <c r="E298" t="inlineStr">
        <is>
          <t>SOLLEFTEÅ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67309-2018</t>
        </is>
      </c>
      <c r="B299" s="1" t="n">
        <v>43432</v>
      </c>
      <c r="C299" s="1" t="n">
        <v>45356</v>
      </c>
      <c r="D299" t="inlineStr">
        <is>
          <t>VÄSTERNORRLANDS LÄN</t>
        </is>
      </c>
      <c r="E299" t="inlineStr">
        <is>
          <t>SOLLEFTEÅ</t>
        </is>
      </c>
      <c r="G299" t="n">
        <v>4.1</v>
      </c>
      <c r="H299" t="n">
        <v>0</v>
      </c>
      <c r="I299" t="n">
        <v>0</v>
      </c>
      <c r="J299" t="n">
        <v>0</v>
      </c>
      <c r="K299" t="n">
        <v>0</v>
      </c>
      <c r="L299" t="n">
        <v>0</v>
      </c>
      <c r="M299" t="n">
        <v>0</v>
      </c>
      <c r="N299" t="n">
        <v>0</v>
      </c>
      <c r="O299" t="n">
        <v>0</v>
      </c>
      <c r="P299" t="n">
        <v>0</v>
      </c>
      <c r="Q299" t="n">
        <v>0</v>
      </c>
      <c r="R299" s="2" t="inlineStr"/>
    </row>
    <row r="300" ht="15" customHeight="1">
      <c r="A300" t="inlineStr">
        <is>
          <t>A 67325-2018</t>
        </is>
      </c>
      <c r="B300" s="1" t="n">
        <v>43432</v>
      </c>
      <c r="C300" s="1" t="n">
        <v>45356</v>
      </c>
      <c r="D300" t="inlineStr">
        <is>
          <t>VÄSTERNORRLANDS LÄN</t>
        </is>
      </c>
      <c r="E300" t="inlineStr">
        <is>
          <t>SOLLEFTEÅ</t>
        </is>
      </c>
      <c r="G300" t="n">
        <v>1.9</v>
      </c>
      <c r="H300" t="n">
        <v>0</v>
      </c>
      <c r="I300" t="n">
        <v>0</v>
      </c>
      <c r="J300" t="n">
        <v>0</v>
      </c>
      <c r="K300" t="n">
        <v>0</v>
      </c>
      <c r="L300" t="n">
        <v>0</v>
      </c>
      <c r="M300" t="n">
        <v>0</v>
      </c>
      <c r="N300" t="n">
        <v>0</v>
      </c>
      <c r="O300" t="n">
        <v>0</v>
      </c>
      <c r="P300" t="n">
        <v>0</v>
      </c>
      <c r="Q300" t="n">
        <v>0</v>
      </c>
      <c r="R300" s="2" t="inlineStr"/>
    </row>
    <row r="301" ht="15" customHeight="1">
      <c r="A301" t="inlineStr">
        <is>
          <t>A 66193-2018</t>
        </is>
      </c>
      <c r="B301" s="1" t="n">
        <v>43434</v>
      </c>
      <c r="C301" s="1" t="n">
        <v>45356</v>
      </c>
      <c r="D301" t="inlineStr">
        <is>
          <t>VÄSTERNORRLANDS LÄN</t>
        </is>
      </c>
      <c r="E301" t="inlineStr">
        <is>
          <t>SOLLEFTEÅ</t>
        </is>
      </c>
      <c r="F301" t="inlineStr">
        <is>
          <t>SCA</t>
        </is>
      </c>
      <c r="G301" t="n">
        <v>9.5</v>
      </c>
      <c r="H301" t="n">
        <v>0</v>
      </c>
      <c r="I301" t="n">
        <v>0</v>
      </c>
      <c r="J301" t="n">
        <v>0</v>
      </c>
      <c r="K301" t="n">
        <v>0</v>
      </c>
      <c r="L301" t="n">
        <v>0</v>
      </c>
      <c r="M301" t="n">
        <v>0</v>
      </c>
      <c r="N301" t="n">
        <v>0</v>
      </c>
      <c r="O301" t="n">
        <v>0</v>
      </c>
      <c r="P301" t="n">
        <v>0</v>
      </c>
      <c r="Q301" t="n">
        <v>0</v>
      </c>
      <c r="R301" s="2" t="inlineStr"/>
    </row>
    <row r="302" ht="15" customHeight="1">
      <c r="A302" t="inlineStr">
        <is>
          <t>A 66449-2018</t>
        </is>
      </c>
      <c r="B302" s="1" t="n">
        <v>43437</v>
      </c>
      <c r="C302" s="1" t="n">
        <v>45356</v>
      </c>
      <c r="D302" t="inlineStr">
        <is>
          <t>VÄSTERNORRLANDS LÄN</t>
        </is>
      </c>
      <c r="E302" t="inlineStr">
        <is>
          <t>SOLLEFTEÅ</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68205-2018</t>
        </is>
      </c>
      <c r="B303" s="1" t="n">
        <v>43437</v>
      </c>
      <c r="C303" s="1" t="n">
        <v>45356</v>
      </c>
      <c r="D303" t="inlineStr">
        <is>
          <t>VÄSTERNORRLANDS LÄN</t>
        </is>
      </c>
      <c r="E303" t="inlineStr">
        <is>
          <t>SOLLEFTEÅ</t>
        </is>
      </c>
      <c r="G303" t="n">
        <v>7</v>
      </c>
      <c r="H303" t="n">
        <v>0</v>
      </c>
      <c r="I303" t="n">
        <v>0</v>
      </c>
      <c r="J303" t="n">
        <v>0</v>
      </c>
      <c r="K303" t="n">
        <v>0</v>
      </c>
      <c r="L303" t="n">
        <v>0</v>
      </c>
      <c r="M303" t="n">
        <v>0</v>
      </c>
      <c r="N303" t="n">
        <v>0</v>
      </c>
      <c r="O303" t="n">
        <v>0</v>
      </c>
      <c r="P303" t="n">
        <v>0</v>
      </c>
      <c r="Q303" t="n">
        <v>0</v>
      </c>
      <c r="R303" s="2" t="inlineStr"/>
    </row>
    <row r="304" ht="15" customHeight="1">
      <c r="A304" t="inlineStr">
        <is>
          <t>A 68153-2018</t>
        </is>
      </c>
      <c r="B304" s="1" t="n">
        <v>43437</v>
      </c>
      <c r="C304" s="1" t="n">
        <v>45356</v>
      </c>
      <c r="D304" t="inlineStr">
        <is>
          <t>VÄSTERNORRLANDS LÄN</t>
        </is>
      </c>
      <c r="E304" t="inlineStr">
        <is>
          <t>SOLLEFTEÅ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66761-2018</t>
        </is>
      </c>
      <c r="B305" s="1" t="n">
        <v>43437</v>
      </c>
      <c r="C305" s="1" t="n">
        <v>45356</v>
      </c>
      <c r="D305" t="inlineStr">
        <is>
          <t>VÄSTERNORRLANDS LÄN</t>
        </is>
      </c>
      <c r="E305" t="inlineStr">
        <is>
          <t>SOLLEFTEÅ</t>
        </is>
      </c>
      <c r="F305" t="inlineStr">
        <is>
          <t>Holmen skog AB</t>
        </is>
      </c>
      <c r="G305" t="n">
        <v>10.3</v>
      </c>
      <c r="H305" t="n">
        <v>0</v>
      </c>
      <c r="I305" t="n">
        <v>0</v>
      </c>
      <c r="J305" t="n">
        <v>0</v>
      </c>
      <c r="K305" t="n">
        <v>0</v>
      </c>
      <c r="L305" t="n">
        <v>0</v>
      </c>
      <c r="M305" t="n">
        <v>0</v>
      </c>
      <c r="N305" t="n">
        <v>0</v>
      </c>
      <c r="O305" t="n">
        <v>0</v>
      </c>
      <c r="P305" t="n">
        <v>0</v>
      </c>
      <c r="Q305" t="n">
        <v>0</v>
      </c>
      <c r="R305" s="2" t="inlineStr"/>
    </row>
    <row r="306" ht="15" customHeight="1">
      <c r="A306" t="inlineStr">
        <is>
          <t>A 68195-2018</t>
        </is>
      </c>
      <c r="B306" s="1" t="n">
        <v>43437</v>
      </c>
      <c r="C306" s="1" t="n">
        <v>45356</v>
      </c>
      <c r="D306" t="inlineStr">
        <is>
          <t>VÄSTERNORRLANDS LÄN</t>
        </is>
      </c>
      <c r="E306" t="inlineStr">
        <is>
          <t>SOLLEFTEÅ</t>
        </is>
      </c>
      <c r="G306" t="n">
        <v>6.5</v>
      </c>
      <c r="H306" t="n">
        <v>0</v>
      </c>
      <c r="I306" t="n">
        <v>0</v>
      </c>
      <c r="J306" t="n">
        <v>0</v>
      </c>
      <c r="K306" t="n">
        <v>0</v>
      </c>
      <c r="L306" t="n">
        <v>0</v>
      </c>
      <c r="M306" t="n">
        <v>0</v>
      </c>
      <c r="N306" t="n">
        <v>0</v>
      </c>
      <c r="O306" t="n">
        <v>0</v>
      </c>
      <c r="P306" t="n">
        <v>0</v>
      </c>
      <c r="Q306" t="n">
        <v>0</v>
      </c>
      <c r="R306" s="2" t="inlineStr"/>
    </row>
    <row r="307" ht="15" customHeight="1">
      <c r="A307" t="inlineStr">
        <is>
          <t>A 67572-2018</t>
        </is>
      </c>
      <c r="B307" s="1" t="n">
        <v>43439</v>
      </c>
      <c r="C307" s="1" t="n">
        <v>45356</v>
      </c>
      <c r="D307" t="inlineStr">
        <is>
          <t>VÄSTERNORRLANDS LÄN</t>
        </is>
      </c>
      <c r="E307" t="inlineStr">
        <is>
          <t>SOLLEFTEÅ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68665-2018</t>
        </is>
      </c>
      <c r="B308" s="1" t="n">
        <v>43444</v>
      </c>
      <c r="C308" s="1" t="n">
        <v>45356</v>
      </c>
      <c r="D308" t="inlineStr">
        <is>
          <t>VÄSTERNORRLANDS LÄN</t>
        </is>
      </c>
      <c r="E308" t="inlineStr">
        <is>
          <t>SOLLEFTEÅ</t>
        </is>
      </c>
      <c r="G308" t="n">
        <v>3.3</v>
      </c>
      <c r="H308" t="n">
        <v>0</v>
      </c>
      <c r="I308" t="n">
        <v>0</v>
      </c>
      <c r="J308" t="n">
        <v>0</v>
      </c>
      <c r="K308" t="n">
        <v>0</v>
      </c>
      <c r="L308" t="n">
        <v>0</v>
      </c>
      <c r="M308" t="n">
        <v>0</v>
      </c>
      <c r="N308" t="n">
        <v>0</v>
      </c>
      <c r="O308" t="n">
        <v>0</v>
      </c>
      <c r="P308" t="n">
        <v>0</v>
      </c>
      <c r="Q308" t="n">
        <v>0</v>
      </c>
      <c r="R308" s="2" t="inlineStr"/>
    </row>
    <row r="309" ht="15" customHeight="1">
      <c r="A309" t="inlineStr">
        <is>
          <t>A 70365-2018</t>
        </is>
      </c>
      <c r="B309" s="1" t="n">
        <v>43446</v>
      </c>
      <c r="C309" s="1" t="n">
        <v>45356</v>
      </c>
      <c r="D309" t="inlineStr">
        <is>
          <t>VÄSTERNORRLANDS LÄN</t>
        </is>
      </c>
      <c r="E309" t="inlineStr">
        <is>
          <t>SOLLEFTEÅ</t>
        </is>
      </c>
      <c r="G309" t="n">
        <v>9</v>
      </c>
      <c r="H309" t="n">
        <v>0</v>
      </c>
      <c r="I309" t="n">
        <v>0</v>
      </c>
      <c r="J309" t="n">
        <v>0</v>
      </c>
      <c r="K309" t="n">
        <v>0</v>
      </c>
      <c r="L309" t="n">
        <v>0</v>
      </c>
      <c r="M309" t="n">
        <v>0</v>
      </c>
      <c r="N309" t="n">
        <v>0</v>
      </c>
      <c r="O309" t="n">
        <v>0</v>
      </c>
      <c r="P309" t="n">
        <v>0</v>
      </c>
      <c r="Q309" t="n">
        <v>0</v>
      </c>
      <c r="R309" s="2" t="inlineStr"/>
    </row>
    <row r="310" ht="15" customHeight="1">
      <c r="A310" t="inlineStr">
        <is>
          <t>A 70368-2018</t>
        </is>
      </c>
      <c r="B310" s="1" t="n">
        <v>43446</v>
      </c>
      <c r="C310" s="1" t="n">
        <v>45356</v>
      </c>
      <c r="D310" t="inlineStr">
        <is>
          <t>VÄSTERNORRLANDS LÄN</t>
        </is>
      </c>
      <c r="E310" t="inlineStr">
        <is>
          <t>SOLLEFTEÅ</t>
        </is>
      </c>
      <c r="G310" t="n">
        <v>1.7</v>
      </c>
      <c r="H310" t="n">
        <v>0</v>
      </c>
      <c r="I310" t="n">
        <v>0</v>
      </c>
      <c r="J310" t="n">
        <v>0</v>
      </c>
      <c r="K310" t="n">
        <v>0</v>
      </c>
      <c r="L310" t="n">
        <v>0</v>
      </c>
      <c r="M310" t="n">
        <v>0</v>
      </c>
      <c r="N310" t="n">
        <v>0</v>
      </c>
      <c r="O310" t="n">
        <v>0</v>
      </c>
      <c r="P310" t="n">
        <v>0</v>
      </c>
      <c r="Q310" t="n">
        <v>0</v>
      </c>
      <c r="R310" s="2" t="inlineStr"/>
    </row>
    <row r="311" ht="15" customHeight="1">
      <c r="A311" t="inlineStr">
        <is>
          <t>A 70581-2018</t>
        </is>
      </c>
      <c r="B311" s="1" t="n">
        <v>43447</v>
      </c>
      <c r="C311" s="1" t="n">
        <v>45356</v>
      </c>
      <c r="D311" t="inlineStr">
        <is>
          <t>VÄSTERNORRLANDS LÄN</t>
        </is>
      </c>
      <c r="E311" t="inlineStr">
        <is>
          <t>SOLLEFTEÅ</t>
        </is>
      </c>
      <c r="G311" t="n">
        <v>1</v>
      </c>
      <c r="H311" t="n">
        <v>0</v>
      </c>
      <c r="I311" t="n">
        <v>0</v>
      </c>
      <c r="J311" t="n">
        <v>0</v>
      </c>
      <c r="K311" t="n">
        <v>0</v>
      </c>
      <c r="L311" t="n">
        <v>0</v>
      </c>
      <c r="M311" t="n">
        <v>0</v>
      </c>
      <c r="N311" t="n">
        <v>0</v>
      </c>
      <c r="O311" t="n">
        <v>0</v>
      </c>
      <c r="P311" t="n">
        <v>0</v>
      </c>
      <c r="Q311" t="n">
        <v>0</v>
      </c>
      <c r="R311" s="2" t="inlineStr"/>
    </row>
    <row r="312" ht="15" customHeight="1">
      <c r="A312" t="inlineStr">
        <is>
          <t>A 69970-2018</t>
        </is>
      </c>
      <c r="B312" s="1" t="n">
        <v>43447</v>
      </c>
      <c r="C312" s="1" t="n">
        <v>45356</v>
      </c>
      <c r="D312" t="inlineStr">
        <is>
          <t>VÄSTERNORRLANDS LÄN</t>
        </is>
      </c>
      <c r="E312" t="inlineStr">
        <is>
          <t>SOLLEFTEÅ</t>
        </is>
      </c>
      <c r="G312" t="n">
        <v>1.5</v>
      </c>
      <c r="H312" t="n">
        <v>0</v>
      </c>
      <c r="I312" t="n">
        <v>0</v>
      </c>
      <c r="J312" t="n">
        <v>0</v>
      </c>
      <c r="K312" t="n">
        <v>0</v>
      </c>
      <c r="L312" t="n">
        <v>0</v>
      </c>
      <c r="M312" t="n">
        <v>0</v>
      </c>
      <c r="N312" t="n">
        <v>0</v>
      </c>
      <c r="O312" t="n">
        <v>0</v>
      </c>
      <c r="P312" t="n">
        <v>0</v>
      </c>
      <c r="Q312" t="n">
        <v>0</v>
      </c>
      <c r="R312" s="2" t="inlineStr"/>
    </row>
    <row r="313" ht="15" customHeight="1">
      <c r="A313" t="inlineStr">
        <is>
          <t>A 70429-2018</t>
        </is>
      </c>
      <c r="B313" s="1" t="n">
        <v>43451</v>
      </c>
      <c r="C313" s="1" t="n">
        <v>45356</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71366-2018</t>
        </is>
      </c>
      <c r="B314" s="1" t="n">
        <v>43453</v>
      </c>
      <c r="C314" s="1" t="n">
        <v>45356</v>
      </c>
      <c r="D314" t="inlineStr">
        <is>
          <t>VÄSTERNORRLANDS LÄN</t>
        </is>
      </c>
      <c r="E314" t="inlineStr">
        <is>
          <t>SOLLEFTEÅ</t>
        </is>
      </c>
      <c r="G314" t="n">
        <v>11.7</v>
      </c>
      <c r="H314" t="n">
        <v>0</v>
      </c>
      <c r="I314" t="n">
        <v>0</v>
      </c>
      <c r="J314" t="n">
        <v>0</v>
      </c>
      <c r="K314" t="n">
        <v>0</v>
      </c>
      <c r="L314" t="n">
        <v>0</v>
      </c>
      <c r="M314" t="n">
        <v>0</v>
      </c>
      <c r="N314" t="n">
        <v>0</v>
      </c>
      <c r="O314" t="n">
        <v>0</v>
      </c>
      <c r="P314" t="n">
        <v>0</v>
      </c>
      <c r="Q314" t="n">
        <v>0</v>
      </c>
      <c r="R314" s="2" t="inlineStr"/>
    </row>
    <row r="315" ht="15" customHeight="1">
      <c r="A315" t="inlineStr">
        <is>
          <t>A 71359-2018</t>
        </is>
      </c>
      <c r="B315" s="1" t="n">
        <v>43453</v>
      </c>
      <c r="C315" s="1" t="n">
        <v>45356</v>
      </c>
      <c r="D315" t="inlineStr">
        <is>
          <t>VÄSTERNORRLANDS LÄN</t>
        </is>
      </c>
      <c r="E315" t="inlineStr">
        <is>
          <t>SOLLEFTEÅ</t>
        </is>
      </c>
      <c r="G315" t="n">
        <v>13.6</v>
      </c>
      <c r="H315" t="n">
        <v>0</v>
      </c>
      <c r="I315" t="n">
        <v>0</v>
      </c>
      <c r="J315" t="n">
        <v>0</v>
      </c>
      <c r="K315" t="n">
        <v>0</v>
      </c>
      <c r="L315" t="n">
        <v>0</v>
      </c>
      <c r="M315" t="n">
        <v>0</v>
      </c>
      <c r="N315" t="n">
        <v>0</v>
      </c>
      <c r="O315" t="n">
        <v>0</v>
      </c>
      <c r="P315" t="n">
        <v>0</v>
      </c>
      <c r="Q315" t="n">
        <v>0</v>
      </c>
      <c r="R315" s="2" t="inlineStr"/>
    </row>
    <row r="316" ht="15" customHeight="1">
      <c r="A316" t="inlineStr">
        <is>
          <t>A 71384-2018</t>
        </is>
      </c>
      <c r="B316" s="1" t="n">
        <v>43453</v>
      </c>
      <c r="C316" s="1" t="n">
        <v>45356</v>
      </c>
      <c r="D316" t="inlineStr">
        <is>
          <t>VÄSTERNORRLANDS LÄN</t>
        </is>
      </c>
      <c r="E316" t="inlineStr">
        <is>
          <t>SOLLEFTEÅ</t>
        </is>
      </c>
      <c r="G316" t="n">
        <v>3.7</v>
      </c>
      <c r="H316" t="n">
        <v>0</v>
      </c>
      <c r="I316" t="n">
        <v>0</v>
      </c>
      <c r="J316" t="n">
        <v>0</v>
      </c>
      <c r="K316" t="n">
        <v>0</v>
      </c>
      <c r="L316" t="n">
        <v>0</v>
      </c>
      <c r="M316" t="n">
        <v>0</v>
      </c>
      <c r="N316" t="n">
        <v>0</v>
      </c>
      <c r="O316" t="n">
        <v>0</v>
      </c>
      <c r="P316" t="n">
        <v>0</v>
      </c>
      <c r="Q316" t="n">
        <v>0</v>
      </c>
      <c r="R316" s="2" t="inlineStr"/>
    </row>
    <row r="317" ht="15" customHeight="1">
      <c r="A317" t="inlineStr">
        <is>
          <t>A 71419-2018</t>
        </is>
      </c>
      <c r="B317" s="1" t="n">
        <v>43453</v>
      </c>
      <c r="C317" s="1" t="n">
        <v>45356</v>
      </c>
      <c r="D317" t="inlineStr">
        <is>
          <t>VÄSTERNORRLANDS LÄN</t>
        </is>
      </c>
      <c r="E317" t="inlineStr">
        <is>
          <t>SOLLEFTEÅ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71868-2018</t>
        </is>
      </c>
      <c r="B318" s="1" t="n">
        <v>43454</v>
      </c>
      <c r="C318" s="1" t="n">
        <v>45356</v>
      </c>
      <c r="D318" t="inlineStr">
        <is>
          <t>VÄSTERNORRLANDS LÄN</t>
        </is>
      </c>
      <c r="E318" t="inlineStr">
        <is>
          <t>SOLLEFTEÅ</t>
        </is>
      </c>
      <c r="G318" t="n">
        <v>2</v>
      </c>
      <c r="H318" t="n">
        <v>0</v>
      </c>
      <c r="I318" t="n">
        <v>0</v>
      </c>
      <c r="J318" t="n">
        <v>0</v>
      </c>
      <c r="K318" t="n">
        <v>0</v>
      </c>
      <c r="L318" t="n">
        <v>0</v>
      </c>
      <c r="M318" t="n">
        <v>0</v>
      </c>
      <c r="N318" t="n">
        <v>0</v>
      </c>
      <c r="O318" t="n">
        <v>0</v>
      </c>
      <c r="P318" t="n">
        <v>0</v>
      </c>
      <c r="Q318" t="n">
        <v>0</v>
      </c>
      <c r="R318" s="2" t="inlineStr"/>
    </row>
    <row r="319" ht="15" customHeight="1">
      <c r="A319" t="inlineStr">
        <is>
          <t>A 71866-2018</t>
        </is>
      </c>
      <c r="B319" s="1" t="n">
        <v>43454</v>
      </c>
      <c r="C319" s="1" t="n">
        <v>45356</v>
      </c>
      <c r="D319" t="inlineStr">
        <is>
          <t>VÄSTERNORRLANDS LÄN</t>
        </is>
      </c>
      <c r="E319" t="inlineStr">
        <is>
          <t>SOLLEFTEÅ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72286-2018</t>
        </is>
      </c>
      <c r="B320" s="1" t="n">
        <v>43455</v>
      </c>
      <c r="C320" s="1" t="n">
        <v>45356</v>
      </c>
      <c r="D320" t="inlineStr">
        <is>
          <t>VÄSTERNORRLANDS LÄN</t>
        </is>
      </c>
      <c r="E320" t="inlineStr">
        <is>
          <t>SOLLEFTEÅ</t>
        </is>
      </c>
      <c r="G320" t="n">
        <v>2.6</v>
      </c>
      <c r="H320" t="n">
        <v>0</v>
      </c>
      <c r="I320" t="n">
        <v>0</v>
      </c>
      <c r="J320" t="n">
        <v>0</v>
      </c>
      <c r="K320" t="n">
        <v>0</v>
      </c>
      <c r="L320" t="n">
        <v>0</v>
      </c>
      <c r="M320" t="n">
        <v>0</v>
      </c>
      <c r="N320" t="n">
        <v>0</v>
      </c>
      <c r="O320" t="n">
        <v>0</v>
      </c>
      <c r="P320" t="n">
        <v>0</v>
      </c>
      <c r="Q320" t="n">
        <v>0</v>
      </c>
      <c r="R320" s="2" t="inlineStr"/>
    </row>
    <row r="321" ht="15" customHeight="1">
      <c r="A321" t="inlineStr">
        <is>
          <t>A 72483-2018</t>
        </is>
      </c>
      <c r="B321" s="1" t="n">
        <v>43461</v>
      </c>
      <c r="C321" s="1" t="n">
        <v>45356</v>
      </c>
      <c r="D321" t="inlineStr">
        <is>
          <t>VÄSTERNORRLANDS LÄN</t>
        </is>
      </c>
      <c r="E321" t="inlineStr">
        <is>
          <t>SOLLEFTEÅ</t>
        </is>
      </c>
      <c r="F321" t="inlineStr">
        <is>
          <t>SCA</t>
        </is>
      </c>
      <c r="G321" t="n">
        <v>9</v>
      </c>
      <c r="H321" t="n">
        <v>0</v>
      </c>
      <c r="I321" t="n">
        <v>0</v>
      </c>
      <c r="J321" t="n">
        <v>0</v>
      </c>
      <c r="K321" t="n">
        <v>0</v>
      </c>
      <c r="L321" t="n">
        <v>0</v>
      </c>
      <c r="M321" t="n">
        <v>0</v>
      </c>
      <c r="N321" t="n">
        <v>0</v>
      </c>
      <c r="O321" t="n">
        <v>0</v>
      </c>
      <c r="P321" t="n">
        <v>0</v>
      </c>
      <c r="Q321" t="n">
        <v>0</v>
      </c>
      <c r="R321" s="2" t="inlineStr"/>
    </row>
    <row r="322" ht="15" customHeight="1">
      <c r="A322" t="inlineStr">
        <is>
          <t>A 2421-2019</t>
        </is>
      </c>
      <c r="B322" s="1" t="n">
        <v>43468</v>
      </c>
      <c r="C322" s="1" t="n">
        <v>45356</v>
      </c>
      <c r="D322" t="inlineStr">
        <is>
          <t>VÄSTERNORRLANDS LÄN</t>
        </is>
      </c>
      <c r="E322" t="inlineStr">
        <is>
          <t>SOLLEFTEÅ</t>
        </is>
      </c>
      <c r="G322" t="n">
        <v>6.7</v>
      </c>
      <c r="H322" t="n">
        <v>0</v>
      </c>
      <c r="I322" t="n">
        <v>0</v>
      </c>
      <c r="J322" t="n">
        <v>0</v>
      </c>
      <c r="K322" t="n">
        <v>0</v>
      </c>
      <c r="L322" t="n">
        <v>0</v>
      </c>
      <c r="M322" t="n">
        <v>0</v>
      </c>
      <c r="N322" t="n">
        <v>0</v>
      </c>
      <c r="O322" t="n">
        <v>0</v>
      </c>
      <c r="P322" t="n">
        <v>0</v>
      </c>
      <c r="Q322" t="n">
        <v>0</v>
      </c>
      <c r="R322" s="2" t="inlineStr"/>
    </row>
    <row r="323" ht="15" customHeight="1">
      <c r="A323" t="inlineStr">
        <is>
          <t>A 543-2019</t>
        </is>
      </c>
      <c r="B323" s="1" t="n">
        <v>43469</v>
      </c>
      <c r="C323" s="1" t="n">
        <v>45356</v>
      </c>
      <c r="D323" t="inlineStr">
        <is>
          <t>VÄSTERNORRLANDS LÄN</t>
        </is>
      </c>
      <c r="E323" t="inlineStr">
        <is>
          <t>SOLLEFTEÅ</t>
        </is>
      </c>
      <c r="G323" t="n">
        <v>1.2</v>
      </c>
      <c r="H323" t="n">
        <v>0</v>
      </c>
      <c r="I323" t="n">
        <v>0</v>
      </c>
      <c r="J323" t="n">
        <v>0</v>
      </c>
      <c r="K323" t="n">
        <v>0</v>
      </c>
      <c r="L323" t="n">
        <v>0</v>
      </c>
      <c r="M323" t="n">
        <v>0</v>
      </c>
      <c r="N323" t="n">
        <v>0</v>
      </c>
      <c r="O323" t="n">
        <v>0</v>
      </c>
      <c r="P323" t="n">
        <v>0</v>
      </c>
      <c r="Q323" t="n">
        <v>0</v>
      </c>
      <c r="R323" s="2" t="inlineStr"/>
    </row>
    <row r="324" ht="15" customHeight="1">
      <c r="A324" t="inlineStr">
        <is>
          <t>A 552-2019</t>
        </is>
      </c>
      <c r="B324" s="1" t="n">
        <v>43469</v>
      </c>
      <c r="C324" s="1" t="n">
        <v>45356</v>
      </c>
      <c r="D324" t="inlineStr">
        <is>
          <t>VÄSTERNORRLANDS LÄN</t>
        </is>
      </c>
      <c r="E324" t="inlineStr">
        <is>
          <t>SOLLEFTEÅ</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565-2019</t>
        </is>
      </c>
      <c r="B325" s="1" t="n">
        <v>43469</v>
      </c>
      <c r="C325" s="1" t="n">
        <v>45356</v>
      </c>
      <c r="D325" t="inlineStr">
        <is>
          <t>VÄSTERNORRLANDS LÄN</t>
        </is>
      </c>
      <c r="E325" t="inlineStr">
        <is>
          <t>SOLLEFTEÅ</t>
        </is>
      </c>
      <c r="G325" t="n">
        <v>7</v>
      </c>
      <c r="H325" t="n">
        <v>0</v>
      </c>
      <c r="I325" t="n">
        <v>0</v>
      </c>
      <c r="J325" t="n">
        <v>0</v>
      </c>
      <c r="K325" t="n">
        <v>0</v>
      </c>
      <c r="L325" t="n">
        <v>0</v>
      </c>
      <c r="M325" t="n">
        <v>0</v>
      </c>
      <c r="N325" t="n">
        <v>0</v>
      </c>
      <c r="O325" t="n">
        <v>0</v>
      </c>
      <c r="P325" t="n">
        <v>0</v>
      </c>
      <c r="Q325" t="n">
        <v>0</v>
      </c>
      <c r="R325" s="2" t="inlineStr"/>
    </row>
    <row r="326" ht="15" customHeight="1">
      <c r="A326" t="inlineStr">
        <is>
          <t>A 3110-2019</t>
        </is>
      </c>
      <c r="B326" s="1" t="n">
        <v>43479</v>
      </c>
      <c r="C326" s="1" t="n">
        <v>45356</v>
      </c>
      <c r="D326" t="inlineStr">
        <is>
          <t>VÄSTERNORRLANDS LÄN</t>
        </is>
      </c>
      <c r="E326" t="inlineStr">
        <is>
          <t>SOLLEFTEÅ</t>
        </is>
      </c>
      <c r="G326" t="n">
        <v>3.5</v>
      </c>
      <c r="H326" t="n">
        <v>0</v>
      </c>
      <c r="I326" t="n">
        <v>0</v>
      </c>
      <c r="J326" t="n">
        <v>0</v>
      </c>
      <c r="K326" t="n">
        <v>0</v>
      </c>
      <c r="L326" t="n">
        <v>0</v>
      </c>
      <c r="M326" t="n">
        <v>0</v>
      </c>
      <c r="N326" t="n">
        <v>0</v>
      </c>
      <c r="O326" t="n">
        <v>0</v>
      </c>
      <c r="P326" t="n">
        <v>0</v>
      </c>
      <c r="Q326" t="n">
        <v>0</v>
      </c>
      <c r="R326" s="2" t="inlineStr"/>
    </row>
    <row r="327" ht="15" customHeight="1">
      <c r="A327" t="inlineStr">
        <is>
          <t>A 4336-2019</t>
        </is>
      </c>
      <c r="B327" s="1" t="n">
        <v>43479</v>
      </c>
      <c r="C327" s="1" t="n">
        <v>45356</v>
      </c>
      <c r="D327" t="inlineStr">
        <is>
          <t>VÄSTERNORRLANDS LÄN</t>
        </is>
      </c>
      <c r="E327" t="inlineStr">
        <is>
          <t>SOLLEFTEÅ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3162-2019</t>
        </is>
      </c>
      <c r="B328" s="1" t="n">
        <v>43480</v>
      </c>
      <c r="C328" s="1" t="n">
        <v>45356</v>
      </c>
      <c r="D328" t="inlineStr">
        <is>
          <t>VÄSTERNORRLANDS LÄN</t>
        </is>
      </c>
      <c r="E328" t="inlineStr">
        <is>
          <t>SOLLEFTEÅ</t>
        </is>
      </c>
      <c r="G328" t="n">
        <v>3.9</v>
      </c>
      <c r="H328" t="n">
        <v>0</v>
      </c>
      <c r="I328" t="n">
        <v>0</v>
      </c>
      <c r="J328" t="n">
        <v>0</v>
      </c>
      <c r="K328" t="n">
        <v>0</v>
      </c>
      <c r="L328" t="n">
        <v>0</v>
      </c>
      <c r="M328" t="n">
        <v>0</v>
      </c>
      <c r="N328" t="n">
        <v>0</v>
      </c>
      <c r="O328" t="n">
        <v>0</v>
      </c>
      <c r="P328" t="n">
        <v>0</v>
      </c>
      <c r="Q328" t="n">
        <v>0</v>
      </c>
      <c r="R328" s="2" t="inlineStr"/>
    </row>
    <row r="329" ht="15" customHeight="1">
      <c r="A329" t="inlineStr">
        <is>
          <t>A 3157-2019</t>
        </is>
      </c>
      <c r="B329" s="1" t="n">
        <v>43480</v>
      </c>
      <c r="C329" s="1" t="n">
        <v>45356</v>
      </c>
      <c r="D329" t="inlineStr">
        <is>
          <t>VÄSTERNORRLANDS LÄN</t>
        </is>
      </c>
      <c r="E329" t="inlineStr">
        <is>
          <t>SOLLEFTEÅ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5065-2019</t>
        </is>
      </c>
      <c r="B330" s="1" t="n">
        <v>43480</v>
      </c>
      <c r="C330" s="1" t="n">
        <v>45356</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3781-2019</t>
        </is>
      </c>
      <c r="B331" s="1" t="n">
        <v>43481</v>
      </c>
      <c r="C331" s="1" t="n">
        <v>45356</v>
      </c>
      <c r="D331" t="inlineStr">
        <is>
          <t>VÄSTERNORRLANDS LÄN</t>
        </is>
      </c>
      <c r="E331" t="inlineStr">
        <is>
          <t>SOLLEFTEÅ</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5193-2019</t>
        </is>
      </c>
      <c r="B332" s="1" t="n">
        <v>43481</v>
      </c>
      <c r="C332" s="1" t="n">
        <v>45356</v>
      </c>
      <c r="D332" t="inlineStr">
        <is>
          <t>VÄSTERNORRLANDS LÄN</t>
        </is>
      </c>
      <c r="E332" t="inlineStr">
        <is>
          <t>SOLLEFTEÅ</t>
        </is>
      </c>
      <c r="G332" t="n">
        <v>11.3</v>
      </c>
      <c r="H332" t="n">
        <v>0</v>
      </c>
      <c r="I332" t="n">
        <v>0</v>
      </c>
      <c r="J332" t="n">
        <v>0</v>
      </c>
      <c r="K332" t="n">
        <v>0</v>
      </c>
      <c r="L332" t="n">
        <v>0</v>
      </c>
      <c r="M332" t="n">
        <v>0</v>
      </c>
      <c r="N332" t="n">
        <v>0</v>
      </c>
      <c r="O332" t="n">
        <v>0</v>
      </c>
      <c r="P332" t="n">
        <v>0</v>
      </c>
      <c r="Q332" t="n">
        <v>0</v>
      </c>
      <c r="R332" s="2" t="inlineStr"/>
    </row>
    <row r="333" ht="15" customHeight="1">
      <c r="A333" t="inlineStr">
        <is>
          <t>A 3780-2019</t>
        </is>
      </c>
      <c r="B333" s="1" t="n">
        <v>43481</v>
      </c>
      <c r="C333" s="1" t="n">
        <v>45356</v>
      </c>
      <c r="D333" t="inlineStr">
        <is>
          <t>VÄSTERNORRLANDS LÄN</t>
        </is>
      </c>
      <c r="E333" t="inlineStr">
        <is>
          <t>SOLLEFTEÅ</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3952-2019</t>
        </is>
      </c>
      <c r="B334" s="1" t="n">
        <v>43482</v>
      </c>
      <c r="C334" s="1" t="n">
        <v>45356</v>
      </c>
      <c r="D334" t="inlineStr">
        <is>
          <t>VÄSTERNORRLANDS LÄN</t>
        </is>
      </c>
      <c r="E334" t="inlineStr">
        <is>
          <t>SOLLEFTEÅ</t>
        </is>
      </c>
      <c r="G334" t="n">
        <v>4</v>
      </c>
      <c r="H334" t="n">
        <v>0</v>
      </c>
      <c r="I334" t="n">
        <v>0</v>
      </c>
      <c r="J334" t="n">
        <v>0</v>
      </c>
      <c r="K334" t="n">
        <v>0</v>
      </c>
      <c r="L334" t="n">
        <v>0</v>
      </c>
      <c r="M334" t="n">
        <v>0</v>
      </c>
      <c r="N334" t="n">
        <v>0</v>
      </c>
      <c r="O334" t="n">
        <v>0</v>
      </c>
      <c r="P334" t="n">
        <v>0</v>
      </c>
      <c r="Q334" t="n">
        <v>0</v>
      </c>
      <c r="R334" s="2" t="inlineStr"/>
    </row>
    <row r="335" ht="15" customHeight="1">
      <c r="A335" t="inlineStr">
        <is>
          <t>A 5050-2019</t>
        </is>
      </c>
      <c r="B335" s="1" t="n">
        <v>43487</v>
      </c>
      <c r="C335" s="1" t="n">
        <v>45356</v>
      </c>
      <c r="D335" t="inlineStr">
        <is>
          <t>VÄSTERNORRLANDS LÄN</t>
        </is>
      </c>
      <c r="E335" t="inlineStr">
        <is>
          <t>SOLLEFTEÅ</t>
        </is>
      </c>
      <c r="F335" t="inlineStr">
        <is>
          <t>Kyrkan</t>
        </is>
      </c>
      <c r="G335" t="n">
        <v>17.3</v>
      </c>
      <c r="H335" t="n">
        <v>0</v>
      </c>
      <c r="I335" t="n">
        <v>0</v>
      </c>
      <c r="J335" t="n">
        <v>0</v>
      </c>
      <c r="K335" t="n">
        <v>0</v>
      </c>
      <c r="L335" t="n">
        <v>0</v>
      </c>
      <c r="M335" t="n">
        <v>0</v>
      </c>
      <c r="N335" t="n">
        <v>0</v>
      </c>
      <c r="O335" t="n">
        <v>0</v>
      </c>
      <c r="P335" t="n">
        <v>0</v>
      </c>
      <c r="Q335" t="n">
        <v>0</v>
      </c>
      <c r="R335" s="2" t="inlineStr"/>
    </row>
    <row r="336" ht="15" customHeight="1">
      <c r="A336" t="inlineStr">
        <is>
          <t>A 7159-2019</t>
        </is>
      </c>
      <c r="B336" s="1" t="n">
        <v>43489</v>
      </c>
      <c r="C336" s="1" t="n">
        <v>45356</v>
      </c>
      <c r="D336" t="inlineStr">
        <is>
          <t>VÄSTERNORRLANDS LÄN</t>
        </is>
      </c>
      <c r="E336" t="inlineStr">
        <is>
          <t>SOLLEFTEÅ</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5923-2019</t>
        </is>
      </c>
      <c r="B337" s="1" t="n">
        <v>43490</v>
      </c>
      <c r="C337" s="1" t="n">
        <v>45356</v>
      </c>
      <c r="D337" t="inlineStr">
        <is>
          <t>VÄSTERNORRLANDS LÄN</t>
        </is>
      </c>
      <c r="E337" t="inlineStr">
        <is>
          <t>SOLLEFTEÅ</t>
        </is>
      </c>
      <c r="G337" t="n">
        <v>6.8</v>
      </c>
      <c r="H337" t="n">
        <v>0</v>
      </c>
      <c r="I337" t="n">
        <v>0</v>
      </c>
      <c r="J337" t="n">
        <v>0</v>
      </c>
      <c r="K337" t="n">
        <v>0</v>
      </c>
      <c r="L337" t="n">
        <v>0</v>
      </c>
      <c r="M337" t="n">
        <v>0</v>
      </c>
      <c r="N337" t="n">
        <v>0</v>
      </c>
      <c r="O337" t="n">
        <v>0</v>
      </c>
      <c r="P337" t="n">
        <v>0</v>
      </c>
      <c r="Q337" t="n">
        <v>0</v>
      </c>
      <c r="R337" s="2" t="inlineStr"/>
    </row>
    <row r="338" ht="15" customHeight="1">
      <c r="A338" t="inlineStr">
        <is>
          <t>A 7792-2019</t>
        </is>
      </c>
      <c r="B338" s="1" t="n">
        <v>43494</v>
      </c>
      <c r="C338" s="1" t="n">
        <v>45356</v>
      </c>
      <c r="D338" t="inlineStr">
        <is>
          <t>VÄSTERNORRLANDS LÄN</t>
        </is>
      </c>
      <c r="E338" t="inlineStr">
        <is>
          <t>SOLLEFTEÅ</t>
        </is>
      </c>
      <c r="G338" t="n">
        <v>2.5</v>
      </c>
      <c r="H338" t="n">
        <v>0</v>
      </c>
      <c r="I338" t="n">
        <v>0</v>
      </c>
      <c r="J338" t="n">
        <v>0</v>
      </c>
      <c r="K338" t="n">
        <v>0</v>
      </c>
      <c r="L338" t="n">
        <v>0</v>
      </c>
      <c r="M338" t="n">
        <v>0</v>
      </c>
      <c r="N338" t="n">
        <v>0</v>
      </c>
      <c r="O338" t="n">
        <v>0</v>
      </c>
      <c r="P338" t="n">
        <v>0</v>
      </c>
      <c r="Q338" t="n">
        <v>0</v>
      </c>
      <c r="R338" s="2" t="inlineStr"/>
    </row>
    <row r="339" ht="15" customHeight="1">
      <c r="A339" t="inlineStr">
        <is>
          <t>A 7878-2019</t>
        </is>
      </c>
      <c r="B339" s="1" t="n">
        <v>43500</v>
      </c>
      <c r="C339" s="1" t="n">
        <v>45356</v>
      </c>
      <c r="D339" t="inlineStr">
        <is>
          <t>VÄSTERNORRLANDS LÄN</t>
        </is>
      </c>
      <c r="E339" t="inlineStr">
        <is>
          <t>SOLLEFTEÅ</t>
        </is>
      </c>
      <c r="G339" t="n">
        <v>4</v>
      </c>
      <c r="H339" t="n">
        <v>0</v>
      </c>
      <c r="I339" t="n">
        <v>0</v>
      </c>
      <c r="J339" t="n">
        <v>0</v>
      </c>
      <c r="K339" t="n">
        <v>0</v>
      </c>
      <c r="L339" t="n">
        <v>0</v>
      </c>
      <c r="M339" t="n">
        <v>0</v>
      </c>
      <c r="N339" t="n">
        <v>0</v>
      </c>
      <c r="O339" t="n">
        <v>0</v>
      </c>
      <c r="P339" t="n">
        <v>0</v>
      </c>
      <c r="Q339" t="n">
        <v>0</v>
      </c>
      <c r="R339" s="2" t="inlineStr"/>
    </row>
    <row r="340" ht="15" customHeight="1">
      <c r="A340" t="inlineStr">
        <is>
          <t>A 8020-2019</t>
        </is>
      </c>
      <c r="B340" s="1" t="n">
        <v>43501</v>
      </c>
      <c r="C340" s="1" t="n">
        <v>45356</v>
      </c>
      <c r="D340" t="inlineStr">
        <is>
          <t>VÄSTERNORRLANDS LÄN</t>
        </is>
      </c>
      <c r="E340" t="inlineStr">
        <is>
          <t>SOLLEFTEÅ</t>
        </is>
      </c>
      <c r="G340" t="n">
        <v>9</v>
      </c>
      <c r="H340" t="n">
        <v>0</v>
      </c>
      <c r="I340" t="n">
        <v>0</v>
      </c>
      <c r="J340" t="n">
        <v>0</v>
      </c>
      <c r="K340" t="n">
        <v>0</v>
      </c>
      <c r="L340" t="n">
        <v>0</v>
      </c>
      <c r="M340" t="n">
        <v>0</v>
      </c>
      <c r="N340" t="n">
        <v>0</v>
      </c>
      <c r="O340" t="n">
        <v>0</v>
      </c>
      <c r="P340" t="n">
        <v>0</v>
      </c>
      <c r="Q340" t="n">
        <v>0</v>
      </c>
      <c r="R340" s="2" t="inlineStr"/>
    </row>
    <row r="341" ht="15" customHeight="1">
      <c r="A341" t="inlineStr">
        <is>
          <t>A 7970-2019</t>
        </is>
      </c>
      <c r="B341" s="1" t="n">
        <v>43501</v>
      </c>
      <c r="C341" s="1" t="n">
        <v>45356</v>
      </c>
      <c r="D341" t="inlineStr">
        <is>
          <t>VÄSTERNORRLANDS LÄN</t>
        </is>
      </c>
      <c r="E341" t="inlineStr">
        <is>
          <t>SOLLEFTEÅ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9051-2019</t>
        </is>
      </c>
      <c r="B342" s="1" t="n">
        <v>43504</v>
      </c>
      <c r="C342" s="1" t="n">
        <v>45356</v>
      </c>
      <c r="D342" t="inlineStr">
        <is>
          <t>VÄSTERNORRLANDS LÄN</t>
        </is>
      </c>
      <c r="E342" t="inlineStr">
        <is>
          <t>SOLLEFTEÅ</t>
        </is>
      </c>
      <c r="G342" t="n">
        <v>4.3</v>
      </c>
      <c r="H342" t="n">
        <v>0</v>
      </c>
      <c r="I342" t="n">
        <v>0</v>
      </c>
      <c r="J342" t="n">
        <v>0</v>
      </c>
      <c r="K342" t="n">
        <v>0</v>
      </c>
      <c r="L342" t="n">
        <v>0</v>
      </c>
      <c r="M342" t="n">
        <v>0</v>
      </c>
      <c r="N342" t="n">
        <v>0</v>
      </c>
      <c r="O342" t="n">
        <v>0</v>
      </c>
      <c r="P342" t="n">
        <v>0</v>
      </c>
      <c r="Q342" t="n">
        <v>0</v>
      </c>
      <c r="R342" s="2" t="inlineStr"/>
    </row>
    <row r="343" ht="15" customHeight="1">
      <c r="A343" t="inlineStr">
        <is>
          <t>A 9521-2019</t>
        </is>
      </c>
      <c r="B343" s="1" t="n">
        <v>43507</v>
      </c>
      <c r="C343" s="1" t="n">
        <v>45356</v>
      </c>
      <c r="D343" t="inlineStr">
        <is>
          <t>VÄSTERNORRLANDS LÄN</t>
        </is>
      </c>
      <c r="E343" t="inlineStr">
        <is>
          <t>SOLLEFTEÅ</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9519-2019</t>
        </is>
      </c>
      <c r="B344" s="1" t="n">
        <v>43507</v>
      </c>
      <c r="C344" s="1" t="n">
        <v>45356</v>
      </c>
      <c r="D344" t="inlineStr">
        <is>
          <t>VÄSTERNORRLANDS LÄN</t>
        </is>
      </c>
      <c r="E344" t="inlineStr">
        <is>
          <t>SOLLEFTEÅ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9367-2019</t>
        </is>
      </c>
      <c r="B345" s="1" t="n">
        <v>43507</v>
      </c>
      <c r="C345" s="1" t="n">
        <v>45356</v>
      </c>
      <c r="D345" t="inlineStr">
        <is>
          <t>VÄSTERNORRLANDS LÄN</t>
        </is>
      </c>
      <c r="E345" t="inlineStr">
        <is>
          <t>SOLLEFTEÅ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9610-2019</t>
        </is>
      </c>
      <c r="B346" s="1" t="n">
        <v>43508</v>
      </c>
      <c r="C346" s="1" t="n">
        <v>45356</v>
      </c>
      <c r="D346" t="inlineStr">
        <is>
          <t>VÄSTERNORRLANDS LÄN</t>
        </is>
      </c>
      <c r="E346" t="inlineStr">
        <is>
          <t>SOLLEFTEÅ</t>
        </is>
      </c>
      <c r="G346" t="n">
        <v>7.7</v>
      </c>
      <c r="H346" t="n">
        <v>0</v>
      </c>
      <c r="I346" t="n">
        <v>0</v>
      </c>
      <c r="J346" t="n">
        <v>0</v>
      </c>
      <c r="K346" t="n">
        <v>0</v>
      </c>
      <c r="L346" t="n">
        <v>0</v>
      </c>
      <c r="M346" t="n">
        <v>0</v>
      </c>
      <c r="N346" t="n">
        <v>0</v>
      </c>
      <c r="O346" t="n">
        <v>0</v>
      </c>
      <c r="P346" t="n">
        <v>0</v>
      </c>
      <c r="Q346" t="n">
        <v>0</v>
      </c>
      <c r="R346" s="2" t="inlineStr"/>
    </row>
    <row r="347" ht="15" customHeight="1">
      <c r="A347" t="inlineStr">
        <is>
          <t>A 9727-2019</t>
        </is>
      </c>
      <c r="B347" s="1" t="n">
        <v>43508</v>
      </c>
      <c r="C347" s="1" t="n">
        <v>45356</v>
      </c>
      <c r="D347" t="inlineStr">
        <is>
          <t>VÄSTERNORRLANDS LÄN</t>
        </is>
      </c>
      <c r="E347" t="inlineStr">
        <is>
          <t>SOLLEFTEÅ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11285-2019</t>
        </is>
      </c>
      <c r="B348" s="1" t="n">
        <v>43516</v>
      </c>
      <c r="C348" s="1" t="n">
        <v>45356</v>
      </c>
      <c r="D348" t="inlineStr">
        <is>
          <t>VÄSTERNORRLANDS LÄN</t>
        </is>
      </c>
      <c r="E348" t="inlineStr">
        <is>
          <t>SOLLEFTEÅ</t>
        </is>
      </c>
      <c r="F348" t="inlineStr">
        <is>
          <t>SCA</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11283-2019</t>
        </is>
      </c>
      <c r="B349" s="1" t="n">
        <v>43516</v>
      </c>
      <c r="C349" s="1" t="n">
        <v>45356</v>
      </c>
      <c r="D349" t="inlineStr">
        <is>
          <t>VÄSTERNORRLANDS LÄN</t>
        </is>
      </c>
      <c r="E349" t="inlineStr">
        <is>
          <t>SOLLEFTEÅ</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11177-2019</t>
        </is>
      </c>
      <c r="B350" s="1" t="n">
        <v>43516</v>
      </c>
      <c r="C350" s="1" t="n">
        <v>45356</v>
      </c>
      <c r="D350" t="inlineStr">
        <is>
          <t>VÄSTERNORRLANDS LÄN</t>
        </is>
      </c>
      <c r="E350" t="inlineStr">
        <is>
          <t>SOLLEFTEÅ</t>
        </is>
      </c>
      <c r="F350" t="inlineStr">
        <is>
          <t>Kyrkan</t>
        </is>
      </c>
      <c r="G350" t="n">
        <v>5.1</v>
      </c>
      <c r="H350" t="n">
        <v>0</v>
      </c>
      <c r="I350" t="n">
        <v>0</v>
      </c>
      <c r="J350" t="n">
        <v>0</v>
      </c>
      <c r="K350" t="n">
        <v>0</v>
      </c>
      <c r="L350" t="n">
        <v>0</v>
      </c>
      <c r="M350" t="n">
        <v>0</v>
      </c>
      <c r="N350" t="n">
        <v>0</v>
      </c>
      <c r="O350" t="n">
        <v>0</v>
      </c>
      <c r="P350" t="n">
        <v>0</v>
      </c>
      <c r="Q350" t="n">
        <v>0</v>
      </c>
      <c r="R350" s="2" t="inlineStr"/>
    </row>
    <row r="351" ht="15" customHeight="1">
      <c r="A351" t="inlineStr">
        <is>
          <t>A 11341-2019</t>
        </is>
      </c>
      <c r="B351" s="1" t="n">
        <v>43517</v>
      </c>
      <c r="C351" s="1" t="n">
        <v>45356</v>
      </c>
      <c r="D351" t="inlineStr">
        <is>
          <t>VÄSTERNORRLANDS LÄN</t>
        </is>
      </c>
      <c r="E351" t="inlineStr">
        <is>
          <t>SOLLEFTEÅ</t>
        </is>
      </c>
      <c r="G351" t="n">
        <v>7.2</v>
      </c>
      <c r="H351" t="n">
        <v>0</v>
      </c>
      <c r="I351" t="n">
        <v>0</v>
      </c>
      <c r="J351" t="n">
        <v>0</v>
      </c>
      <c r="K351" t="n">
        <v>0</v>
      </c>
      <c r="L351" t="n">
        <v>0</v>
      </c>
      <c r="M351" t="n">
        <v>0</v>
      </c>
      <c r="N351" t="n">
        <v>0</v>
      </c>
      <c r="O351" t="n">
        <v>0</v>
      </c>
      <c r="P351" t="n">
        <v>0</v>
      </c>
      <c r="Q351" t="n">
        <v>0</v>
      </c>
      <c r="R351" s="2" t="inlineStr"/>
    </row>
    <row r="352" ht="15" customHeight="1">
      <c r="A352" t="inlineStr">
        <is>
          <t>A 11766-2019</t>
        </is>
      </c>
      <c r="B352" s="1" t="n">
        <v>43520</v>
      </c>
      <c r="C352" s="1" t="n">
        <v>45356</v>
      </c>
      <c r="D352" t="inlineStr">
        <is>
          <t>VÄSTERNORRLANDS LÄN</t>
        </is>
      </c>
      <c r="E352" t="inlineStr">
        <is>
          <t>SOLLEFTEÅ</t>
        </is>
      </c>
      <c r="G352" t="n">
        <v>7.1</v>
      </c>
      <c r="H352" t="n">
        <v>0</v>
      </c>
      <c r="I352" t="n">
        <v>0</v>
      </c>
      <c r="J352" t="n">
        <v>0</v>
      </c>
      <c r="K352" t="n">
        <v>0</v>
      </c>
      <c r="L352" t="n">
        <v>0</v>
      </c>
      <c r="M352" t="n">
        <v>0</v>
      </c>
      <c r="N352" t="n">
        <v>0</v>
      </c>
      <c r="O352" t="n">
        <v>0</v>
      </c>
      <c r="P352" t="n">
        <v>0</v>
      </c>
      <c r="Q352" t="n">
        <v>0</v>
      </c>
      <c r="R352" s="2" t="inlineStr"/>
    </row>
    <row r="353" ht="15" customHeight="1">
      <c r="A353" t="inlineStr">
        <is>
          <t>A 11759-2019</t>
        </is>
      </c>
      <c r="B353" s="1" t="n">
        <v>43520</v>
      </c>
      <c r="C353" s="1" t="n">
        <v>45356</v>
      </c>
      <c r="D353" t="inlineStr">
        <is>
          <t>VÄSTERNORRLANDS LÄN</t>
        </is>
      </c>
      <c r="E353" t="inlineStr">
        <is>
          <t>SOLLEFTEÅ</t>
        </is>
      </c>
      <c r="G353" t="n">
        <v>0.3</v>
      </c>
      <c r="H353" t="n">
        <v>0</v>
      </c>
      <c r="I353" t="n">
        <v>0</v>
      </c>
      <c r="J353" t="n">
        <v>0</v>
      </c>
      <c r="K353" t="n">
        <v>0</v>
      </c>
      <c r="L353" t="n">
        <v>0</v>
      </c>
      <c r="M353" t="n">
        <v>0</v>
      </c>
      <c r="N353" t="n">
        <v>0</v>
      </c>
      <c r="O353" t="n">
        <v>0</v>
      </c>
      <c r="P353" t="n">
        <v>0</v>
      </c>
      <c r="Q353" t="n">
        <v>0</v>
      </c>
      <c r="R353" s="2" t="inlineStr"/>
    </row>
    <row r="354" ht="15" customHeight="1">
      <c r="A354" t="inlineStr">
        <is>
          <t>A 12510-2019</t>
        </is>
      </c>
      <c r="B354" s="1" t="n">
        <v>43523</v>
      </c>
      <c r="C354" s="1" t="n">
        <v>45356</v>
      </c>
      <c r="D354" t="inlineStr">
        <is>
          <t>VÄSTERNORRLANDS LÄN</t>
        </is>
      </c>
      <c r="E354" t="inlineStr">
        <is>
          <t>SOLLEFTEÅ</t>
        </is>
      </c>
      <c r="G354" t="n">
        <v>1</v>
      </c>
      <c r="H354" t="n">
        <v>0</v>
      </c>
      <c r="I354" t="n">
        <v>0</v>
      </c>
      <c r="J354" t="n">
        <v>0</v>
      </c>
      <c r="K354" t="n">
        <v>0</v>
      </c>
      <c r="L354" t="n">
        <v>0</v>
      </c>
      <c r="M354" t="n">
        <v>0</v>
      </c>
      <c r="N354" t="n">
        <v>0</v>
      </c>
      <c r="O354" t="n">
        <v>0</v>
      </c>
      <c r="P354" t="n">
        <v>0</v>
      </c>
      <c r="Q354" t="n">
        <v>0</v>
      </c>
      <c r="R354" s="2" t="inlineStr"/>
    </row>
    <row r="355" ht="15" customHeight="1">
      <c r="A355" t="inlineStr">
        <is>
          <t>A 12812-2019</t>
        </is>
      </c>
      <c r="B355" s="1" t="n">
        <v>43524</v>
      </c>
      <c r="C355" s="1" t="n">
        <v>45356</v>
      </c>
      <c r="D355" t="inlineStr">
        <is>
          <t>VÄSTERNORRLANDS LÄN</t>
        </is>
      </c>
      <c r="E355" t="inlineStr">
        <is>
          <t>SOLLEFTEÅ</t>
        </is>
      </c>
      <c r="G355" t="n">
        <v>6.4</v>
      </c>
      <c r="H355" t="n">
        <v>0</v>
      </c>
      <c r="I355" t="n">
        <v>0</v>
      </c>
      <c r="J355" t="n">
        <v>0</v>
      </c>
      <c r="K355" t="n">
        <v>0</v>
      </c>
      <c r="L355" t="n">
        <v>0</v>
      </c>
      <c r="M355" t="n">
        <v>0</v>
      </c>
      <c r="N355" t="n">
        <v>0</v>
      </c>
      <c r="O355" t="n">
        <v>0</v>
      </c>
      <c r="P355" t="n">
        <v>0</v>
      </c>
      <c r="Q355" t="n">
        <v>0</v>
      </c>
      <c r="R355" s="2" t="inlineStr"/>
    </row>
    <row r="356" ht="15" customHeight="1">
      <c r="A356" t="inlineStr">
        <is>
          <t>A 12987-2019</t>
        </is>
      </c>
      <c r="B356" s="1" t="n">
        <v>43525</v>
      </c>
      <c r="C356" s="1" t="n">
        <v>45356</v>
      </c>
      <c r="D356" t="inlineStr">
        <is>
          <t>VÄSTERNORRLANDS LÄN</t>
        </is>
      </c>
      <c r="E356" t="inlineStr">
        <is>
          <t>SOLLEFTEÅ</t>
        </is>
      </c>
      <c r="G356" t="n">
        <v>3</v>
      </c>
      <c r="H356" t="n">
        <v>0</v>
      </c>
      <c r="I356" t="n">
        <v>0</v>
      </c>
      <c r="J356" t="n">
        <v>0</v>
      </c>
      <c r="K356" t="n">
        <v>0</v>
      </c>
      <c r="L356" t="n">
        <v>0</v>
      </c>
      <c r="M356" t="n">
        <v>0</v>
      </c>
      <c r="N356" t="n">
        <v>0</v>
      </c>
      <c r="O356" t="n">
        <v>0</v>
      </c>
      <c r="P356" t="n">
        <v>0</v>
      </c>
      <c r="Q356" t="n">
        <v>0</v>
      </c>
      <c r="R356" s="2" t="inlineStr"/>
    </row>
    <row r="357" ht="15" customHeight="1">
      <c r="A357" t="inlineStr">
        <is>
          <t>A 13653-2019</t>
        </is>
      </c>
      <c r="B357" s="1" t="n">
        <v>43530</v>
      </c>
      <c r="C357" s="1" t="n">
        <v>45356</v>
      </c>
      <c r="D357" t="inlineStr">
        <is>
          <t>VÄSTERNORRLANDS LÄN</t>
        </is>
      </c>
      <c r="E357" t="inlineStr">
        <is>
          <t>SOLLEFTEÅ</t>
        </is>
      </c>
      <c r="G357" t="n">
        <v>3.7</v>
      </c>
      <c r="H357" t="n">
        <v>0</v>
      </c>
      <c r="I357" t="n">
        <v>0</v>
      </c>
      <c r="J357" t="n">
        <v>0</v>
      </c>
      <c r="K357" t="n">
        <v>0</v>
      </c>
      <c r="L357" t="n">
        <v>0</v>
      </c>
      <c r="M357" t="n">
        <v>0</v>
      </c>
      <c r="N357" t="n">
        <v>0</v>
      </c>
      <c r="O357" t="n">
        <v>0</v>
      </c>
      <c r="P357" t="n">
        <v>0</v>
      </c>
      <c r="Q357" t="n">
        <v>0</v>
      </c>
      <c r="R357" s="2" t="inlineStr"/>
    </row>
    <row r="358" ht="15" customHeight="1">
      <c r="A358" t="inlineStr">
        <is>
          <t>A 13711-2019</t>
        </is>
      </c>
      <c r="B358" s="1" t="n">
        <v>43530</v>
      </c>
      <c r="C358" s="1" t="n">
        <v>45356</v>
      </c>
      <c r="D358" t="inlineStr">
        <is>
          <t>VÄSTERNORRLANDS LÄN</t>
        </is>
      </c>
      <c r="E358" t="inlineStr">
        <is>
          <t>SOLLEFTEÅ</t>
        </is>
      </c>
      <c r="G358" t="n">
        <v>5.6</v>
      </c>
      <c r="H358" t="n">
        <v>0</v>
      </c>
      <c r="I358" t="n">
        <v>0</v>
      </c>
      <c r="J358" t="n">
        <v>0</v>
      </c>
      <c r="K358" t="n">
        <v>0</v>
      </c>
      <c r="L358" t="n">
        <v>0</v>
      </c>
      <c r="M358" t="n">
        <v>0</v>
      </c>
      <c r="N358" t="n">
        <v>0</v>
      </c>
      <c r="O358" t="n">
        <v>0</v>
      </c>
      <c r="P358" t="n">
        <v>0</v>
      </c>
      <c r="Q358" t="n">
        <v>0</v>
      </c>
      <c r="R358" s="2" t="inlineStr"/>
    </row>
    <row r="359" ht="15" customHeight="1">
      <c r="A359" t="inlineStr">
        <is>
          <t>A 13801-2019</t>
        </is>
      </c>
      <c r="B359" s="1" t="n">
        <v>43530</v>
      </c>
      <c r="C359" s="1" t="n">
        <v>45356</v>
      </c>
      <c r="D359" t="inlineStr">
        <is>
          <t>VÄSTERNORRLANDS LÄN</t>
        </is>
      </c>
      <c r="E359" t="inlineStr">
        <is>
          <t>SOLLEFTEÅ</t>
        </is>
      </c>
      <c r="G359" t="n">
        <v>1.8</v>
      </c>
      <c r="H359" t="n">
        <v>0</v>
      </c>
      <c r="I359" t="n">
        <v>0</v>
      </c>
      <c r="J359" t="n">
        <v>0</v>
      </c>
      <c r="K359" t="n">
        <v>0</v>
      </c>
      <c r="L359" t="n">
        <v>0</v>
      </c>
      <c r="M359" t="n">
        <v>0</v>
      </c>
      <c r="N359" t="n">
        <v>0</v>
      </c>
      <c r="O359" t="n">
        <v>0</v>
      </c>
      <c r="P359" t="n">
        <v>0</v>
      </c>
      <c r="Q359" t="n">
        <v>0</v>
      </c>
      <c r="R359" s="2" t="inlineStr"/>
    </row>
    <row r="360" ht="15" customHeight="1">
      <c r="A360" t="inlineStr">
        <is>
          <t>A 13648-2019</t>
        </is>
      </c>
      <c r="B360" s="1" t="n">
        <v>43530</v>
      </c>
      <c r="C360" s="1" t="n">
        <v>45356</v>
      </c>
      <c r="D360" t="inlineStr">
        <is>
          <t>VÄSTERNORRLANDS LÄN</t>
        </is>
      </c>
      <c r="E360" t="inlineStr">
        <is>
          <t>SOLLEFTEÅ</t>
        </is>
      </c>
      <c r="G360" t="n">
        <v>4.1</v>
      </c>
      <c r="H360" t="n">
        <v>0</v>
      </c>
      <c r="I360" t="n">
        <v>0</v>
      </c>
      <c r="J360" t="n">
        <v>0</v>
      </c>
      <c r="K360" t="n">
        <v>0</v>
      </c>
      <c r="L360" t="n">
        <v>0</v>
      </c>
      <c r="M360" t="n">
        <v>0</v>
      </c>
      <c r="N360" t="n">
        <v>0</v>
      </c>
      <c r="O360" t="n">
        <v>0</v>
      </c>
      <c r="P360" t="n">
        <v>0</v>
      </c>
      <c r="Q360" t="n">
        <v>0</v>
      </c>
      <c r="R360" s="2" t="inlineStr"/>
    </row>
    <row r="361" ht="15" customHeight="1">
      <c r="A361" t="inlineStr">
        <is>
          <t>A 13800-2019</t>
        </is>
      </c>
      <c r="B361" s="1" t="n">
        <v>43530</v>
      </c>
      <c r="C361" s="1" t="n">
        <v>45356</v>
      </c>
      <c r="D361" t="inlineStr">
        <is>
          <t>VÄSTERNORRLANDS LÄN</t>
        </is>
      </c>
      <c r="E361" t="inlineStr">
        <is>
          <t>SOLLEFTEÅ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13914-2019</t>
        </is>
      </c>
      <c r="B362" s="1" t="n">
        <v>43531</v>
      </c>
      <c r="C362" s="1" t="n">
        <v>45356</v>
      </c>
      <c r="D362" t="inlineStr">
        <is>
          <t>VÄSTERNORRLANDS LÄN</t>
        </is>
      </c>
      <c r="E362" t="inlineStr">
        <is>
          <t>SOLLEFTEÅ</t>
        </is>
      </c>
      <c r="G362" t="n">
        <v>4.1</v>
      </c>
      <c r="H362" t="n">
        <v>0</v>
      </c>
      <c r="I362" t="n">
        <v>0</v>
      </c>
      <c r="J362" t="n">
        <v>0</v>
      </c>
      <c r="K362" t="n">
        <v>0</v>
      </c>
      <c r="L362" t="n">
        <v>0</v>
      </c>
      <c r="M362" t="n">
        <v>0</v>
      </c>
      <c r="N362" t="n">
        <v>0</v>
      </c>
      <c r="O362" t="n">
        <v>0</v>
      </c>
      <c r="P362" t="n">
        <v>0</v>
      </c>
      <c r="Q362" t="n">
        <v>0</v>
      </c>
      <c r="R362" s="2" t="inlineStr"/>
    </row>
    <row r="363" ht="15" customHeight="1">
      <c r="A363" t="inlineStr">
        <is>
          <t>A 13912-2019</t>
        </is>
      </c>
      <c r="B363" s="1" t="n">
        <v>43531</v>
      </c>
      <c r="C363" s="1" t="n">
        <v>45356</v>
      </c>
      <c r="D363" t="inlineStr">
        <is>
          <t>VÄSTERNORRLANDS LÄN</t>
        </is>
      </c>
      <c r="E363" t="inlineStr">
        <is>
          <t>SOLLEFTEÅ</t>
        </is>
      </c>
      <c r="G363" t="n">
        <v>6.1</v>
      </c>
      <c r="H363" t="n">
        <v>0</v>
      </c>
      <c r="I363" t="n">
        <v>0</v>
      </c>
      <c r="J363" t="n">
        <v>0</v>
      </c>
      <c r="K363" t="n">
        <v>0</v>
      </c>
      <c r="L363" t="n">
        <v>0</v>
      </c>
      <c r="M363" t="n">
        <v>0</v>
      </c>
      <c r="N363" t="n">
        <v>0</v>
      </c>
      <c r="O363" t="n">
        <v>0</v>
      </c>
      <c r="P363" t="n">
        <v>0</v>
      </c>
      <c r="Q363" t="n">
        <v>0</v>
      </c>
      <c r="R363" s="2" t="inlineStr"/>
    </row>
    <row r="364" ht="15" customHeight="1">
      <c r="A364" t="inlineStr">
        <is>
          <t>A 15272-2019</t>
        </is>
      </c>
      <c r="B364" s="1" t="n">
        <v>43539</v>
      </c>
      <c r="C364" s="1" t="n">
        <v>45356</v>
      </c>
      <c r="D364" t="inlineStr">
        <is>
          <t>VÄSTERNORRLANDS LÄN</t>
        </is>
      </c>
      <c r="E364" t="inlineStr">
        <is>
          <t>SOLLEFTEÅ</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15737-2019</t>
        </is>
      </c>
      <c r="B365" s="1" t="n">
        <v>43542</v>
      </c>
      <c r="C365" s="1" t="n">
        <v>45356</v>
      </c>
      <c r="D365" t="inlineStr">
        <is>
          <t>VÄSTERNORRLANDS LÄN</t>
        </is>
      </c>
      <c r="E365" t="inlineStr">
        <is>
          <t>SOLLEFTEÅ</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15897-2019</t>
        </is>
      </c>
      <c r="B366" s="1" t="n">
        <v>43543</v>
      </c>
      <c r="C366" s="1" t="n">
        <v>45356</v>
      </c>
      <c r="D366" t="inlineStr">
        <is>
          <t>VÄSTERNORRLANDS LÄN</t>
        </is>
      </c>
      <c r="E366" t="inlineStr">
        <is>
          <t>SOLLEFTEÅ</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16033-2019</t>
        </is>
      </c>
      <c r="B367" s="1" t="n">
        <v>43543</v>
      </c>
      <c r="C367" s="1" t="n">
        <v>45356</v>
      </c>
      <c r="D367" t="inlineStr">
        <is>
          <t>VÄSTERNORRLANDS LÄN</t>
        </is>
      </c>
      <c r="E367" t="inlineStr">
        <is>
          <t>SOLLEFTEÅ</t>
        </is>
      </c>
      <c r="G367" t="n">
        <v>6.3</v>
      </c>
      <c r="H367" t="n">
        <v>0</v>
      </c>
      <c r="I367" t="n">
        <v>0</v>
      </c>
      <c r="J367" t="n">
        <v>0</v>
      </c>
      <c r="K367" t="n">
        <v>0</v>
      </c>
      <c r="L367" t="n">
        <v>0</v>
      </c>
      <c r="M367" t="n">
        <v>0</v>
      </c>
      <c r="N367" t="n">
        <v>0</v>
      </c>
      <c r="O367" t="n">
        <v>0</v>
      </c>
      <c r="P367" t="n">
        <v>0</v>
      </c>
      <c r="Q367" t="n">
        <v>0</v>
      </c>
      <c r="R367" s="2" t="inlineStr"/>
    </row>
    <row r="368" ht="15" customHeight="1">
      <c r="A368" t="inlineStr">
        <is>
          <t>A 16565-2019</t>
        </is>
      </c>
      <c r="B368" s="1" t="n">
        <v>43546</v>
      </c>
      <c r="C368" s="1" t="n">
        <v>45356</v>
      </c>
      <c r="D368" t="inlineStr">
        <is>
          <t>VÄSTERNORRLANDS LÄN</t>
        </is>
      </c>
      <c r="E368" t="inlineStr">
        <is>
          <t>SOLLEFTEÅ</t>
        </is>
      </c>
      <c r="F368" t="inlineStr">
        <is>
          <t>SCA</t>
        </is>
      </c>
      <c r="G368" t="n">
        <v>13.6</v>
      </c>
      <c r="H368" t="n">
        <v>0</v>
      </c>
      <c r="I368" t="n">
        <v>0</v>
      </c>
      <c r="J368" t="n">
        <v>0</v>
      </c>
      <c r="K368" t="n">
        <v>0</v>
      </c>
      <c r="L368" t="n">
        <v>0</v>
      </c>
      <c r="M368" t="n">
        <v>0</v>
      </c>
      <c r="N368" t="n">
        <v>0</v>
      </c>
      <c r="O368" t="n">
        <v>0</v>
      </c>
      <c r="P368" t="n">
        <v>0</v>
      </c>
      <c r="Q368" t="n">
        <v>0</v>
      </c>
      <c r="R368" s="2" t="inlineStr"/>
    </row>
    <row r="369" ht="15" customHeight="1">
      <c r="A369" t="inlineStr">
        <is>
          <t>A 16552-2019</t>
        </is>
      </c>
      <c r="B369" s="1" t="n">
        <v>43546</v>
      </c>
      <c r="C369" s="1" t="n">
        <v>45356</v>
      </c>
      <c r="D369" t="inlineStr">
        <is>
          <t>VÄSTERNORRLANDS LÄN</t>
        </is>
      </c>
      <c r="E369" t="inlineStr">
        <is>
          <t>SOLLEFTEÅ</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16840-2019</t>
        </is>
      </c>
      <c r="B370" s="1" t="n">
        <v>43549</v>
      </c>
      <c r="C370" s="1" t="n">
        <v>45356</v>
      </c>
      <c r="D370" t="inlineStr">
        <is>
          <t>VÄSTERNORRLANDS LÄN</t>
        </is>
      </c>
      <c r="E370" t="inlineStr">
        <is>
          <t>SOLLEFTEÅ</t>
        </is>
      </c>
      <c r="F370" t="inlineStr">
        <is>
          <t>SCA</t>
        </is>
      </c>
      <c r="G370" t="n">
        <v>31.7</v>
      </c>
      <c r="H370" t="n">
        <v>0</v>
      </c>
      <c r="I370" t="n">
        <v>0</v>
      </c>
      <c r="J370" t="n">
        <v>0</v>
      </c>
      <c r="K370" t="n">
        <v>0</v>
      </c>
      <c r="L370" t="n">
        <v>0</v>
      </c>
      <c r="M370" t="n">
        <v>0</v>
      </c>
      <c r="N370" t="n">
        <v>0</v>
      </c>
      <c r="O370" t="n">
        <v>0</v>
      </c>
      <c r="P370" t="n">
        <v>0</v>
      </c>
      <c r="Q370" t="n">
        <v>0</v>
      </c>
      <c r="R370" s="2" t="inlineStr"/>
    </row>
    <row r="371" ht="15" customHeight="1">
      <c r="A371" t="inlineStr">
        <is>
          <t>A 16833-2019</t>
        </is>
      </c>
      <c r="B371" s="1" t="n">
        <v>43549</v>
      </c>
      <c r="C371" s="1" t="n">
        <v>45356</v>
      </c>
      <c r="D371" t="inlineStr">
        <is>
          <t>VÄSTERNORRLANDS LÄN</t>
        </is>
      </c>
      <c r="E371" t="inlineStr">
        <is>
          <t>SOLLEFTEÅ</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16832-2019</t>
        </is>
      </c>
      <c r="B372" s="1" t="n">
        <v>43549</v>
      </c>
      <c r="C372" s="1" t="n">
        <v>45356</v>
      </c>
      <c r="D372" t="inlineStr">
        <is>
          <t>VÄSTERNORRLANDS LÄN</t>
        </is>
      </c>
      <c r="E372" t="inlineStr">
        <is>
          <t>SOLLEFTEÅ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17670-2019</t>
        </is>
      </c>
      <c r="B373" s="1" t="n">
        <v>43552</v>
      </c>
      <c r="C373" s="1" t="n">
        <v>45356</v>
      </c>
      <c r="D373" t="inlineStr">
        <is>
          <t>VÄSTERNORRLANDS LÄN</t>
        </is>
      </c>
      <c r="E373" t="inlineStr">
        <is>
          <t>SOLLEFTEÅ</t>
        </is>
      </c>
      <c r="G373" t="n">
        <v>6.6</v>
      </c>
      <c r="H373" t="n">
        <v>0</v>
      </c>
      <c r="I373" t="n">
        <v>0</v>
      </c>
      <c r="J373" t="n">
        <v>0</v>
      </c>
      <c r="K373" t="n">
        <v>0</v>
      </c>
      <c r="L373" t="n">
        <v>0</v>
      </c>
      <c r="M373" t="n">
        <v>0</v>
      </c>
      <c r="N373" t="n">
        <v>0</v>
      </c>
      <c r="O373" t="n">
        <v>0</v>
      </c>
      <c r="P373" t="n">
        <v>0</v>
      </c>
      <c r="Q373" t="n">
        <v>0</v>
      </c>
      <c r="R373" s="2" t="inlineStr"/>
    </row>
    <row r="374" ht="15" customHeight="1">
      <c r="A374" t="inlineStr">
        <is>
          <t>A 18277-2019</t>
        </is>
      </c>
      <c r="B374" s="1" t="n">
        <v>43557</v>
      </c>
      <c r="C374" s="1" t="n">
        <v>45356</v>
      </c>
      <c r="D374" t="inlineStr">
        <is>
          <t>VÄSTERNORRLANDS LÄN</t>
        </is>
      </c>
      <c r="E374" t="inlineStr">
        <is>
          <t>SOLLEFTEÅ</t>
        </is>
      </c>
      <c r="G374" t="n">
        <v>6.2</v>
      </c>
      <c r="H374" t="n">
        <v>0</v>
      </c>
      <c r="I374" t="n">
        <v>0</v>
      </c>
      <c r="J374" t="n">
        <v>0</v>
      </c>
      <c r="K374" t="n">
        <v>0</v>
      </c>
      <c r="L374" t="n">
        <v>0</v>
      </c>
      <c r="M374" t="n">
        <v>0</v>
      </c>
      <c r="N374" t="n">
        <v>0</v>
      </c>
      <c r="O374" t="n">
        <v>0</v>
      </c>
      <c r="P374" t="n">
        <v>0</v>
      </c>
      <c r="Q374" t="n">
        <v>0</v>
      </c>
      <c r="R374" s="2" t="inlineStr"/>
    </row>
    <row r="375" ht="15" customHeight="1">
      <c r="A375" t="inlineStr">
        <is>
          <t>A 18578-2019</t>
        </is>
      </c>
      <c r="B375" s="1" t="n">
        <v>43558</v>
      </c>
      <c r="C375" s="1" t="n">
        <v>45356</v>
      </c>
      <c r="D375" t="inlineStr">
        <is>
          <t>VÄSTERNORRLANDS LÄN</t>
        </is>
      </c>
      <c r="E375" t="inlineStr">
        <is>
          <t>SOLLEFTEÅ</t>
        </is>
      </c>
      <c r="G375" t="n">
        <v>1.7</v>
      </c>
      <c r="H375" t="n">
        <v>0</v>
      </c>
      <c r="I375" t="n">
        <v>0</v>
      </c>
      <c r="J375" t="n">
        <v>0</v>
      </c>
      <c r="K375" t="n">
        <v>0</v>
      </c>
      <c r="L375" t="n">
        <v>0</v>
      </c>
      <c r="M375" t="n">
        <v>0</v>
      </c>
      <c r="N375" t="n">
        <v>0</v>
      </c>
      <c r="O375" t="n">
        <v>0</v>
      </c>
      <c r="P375" t="n">
        <v>0</v>
      </c>
      <c r="Q375" t="n">
        <v>0</v>
      </c>
      <c r="R375" s="2" t="inlineStr"/>
    </row>
    <row r="376" ht="15" customHeight="1">
      <c r="A376" t="inlineStr">
        <is>
          <t>A 18452-2019</t>
        </is>
      </c>
      <c r="B376" s="1" t="n">
        <v>43559</v>
      </c>
      <c r="C376" s="1" t="n">
        <v>45356</v>
      </c>
      <c r="D376" t="inlineStr">
        <is>
          <t>VÄSTERNORRLANDS LÄN</t>
        </is>
      </c>
      <c r="E376" t="inlineStr">
        <is>
          <t>SOLLEFTEÅ</t>
        </is>
      </c>
      <c r="G376" t="n">
        <v>2.2</v>
      </c>
      <c r="H376" t="n">
        <v>0</v>
      </c>
      <c r="I376" t="n">
        <v>0</v>
      </c>
      <c r="J376" t="n">
        <v>0</v>
      </c>
      <c r="K376" t="n">
        <v>0</v>
      </c>
      <c r="L376" t="n">
        <v>0</v>
      </c>
      <c r="M376" t="n">
        <v>0</v>
      </c>
      <c r="N376" t="n">
        <v>0</v>
      </c>
      <c r="O376" t="n">
        <v>0</v>
      </c>
      <c r="P376" t="n">
        <v>0</v>
      </c>
      <c r="Q376" t="n">
        <v>0</v>
      </c>
      <c r="R376" s="2" t="inlineStr"/>
    </row>
    <row r="377" ht="15" customHeight="1">
      <c r="A377" t="inlineStr">
        <is>
          <t>A 18925-2019</t>
        </is>
      </c>
      <c r="B377" s="1" t="n">
        <v>43563</v>
      </c>
      <c r="C377" s="1" t="n">
        <v>45356</v>
      </c>
      <c r="D377" t="inlineStr">
        <is>
          <t>VÄSTERNORRLANDS LÄN</t>
        </is>
      </c>
      <c r="E377" t="inlineStr">
        <is>
          <t>SOLLEFTEÅ</t>
        </is>
      </c>
      <c r="G377" t="n">
        <v>1.9</v>
      </c>
      <c r="H377" t="n">
        <v>0</v>
      </c>
      <c r="I377" t="n">
        <v>0</v>
      </c>
      <c r="J377" t="n">
        <v>0</v>
      </c>
      <c r="K377" t="n">
        <v>0</v>
      </c>
      <c r="L377" t="n">
        <v>0</v>
      </c>
      <c r="M377" t="n">
        <v>0</v>
      </c>
      <c r="N377" t="n">
        <v>0</v>
      </c>
      <c r="O377" t="n">
        <v>0</v>
      </c>
      <c r="P377" t="n">
        <v>0</v>
      </c>
      <c r="Q377" t="n">
        <v>0</v>
      </c>
      <c r="R377" s="2" t="inlineStr"/>
    </row>
    <row r="378" ht="15" customHeight="1">
      <c r="A378" t="inlineStr">
        <is>
          <t>A 19123-2019</t>
        </is>
      </c>
      <c r="B378" s="1" t="n">
        <v>43564</v>
      </c>
      <c r="C378" s="1" t="n">
        <v>45356</v>
      </c>
      <c r="D378" t="inlineStr">
        <is>
          <t>VÄSTERNORRLANDS LÄN</t>
        </is>
      </c>
      <c r="E378" t="inlineStr">
        <is>
          <t>SOLLEFTEÅ</t>
        </is>
      </c>
      <c r="G378" t="n">
        <v>9.4</v>
      </c>
      <c r="H378" t="n">
        <v>0</v>
      </c>
      <c r="I378" t="n">
        <v>0</v>
      </c>
      <c r="J378" t="n">
        <v>0</v>
      </c>
      <c r="K378" t="n">
        <v>0</v>
      </c>
      <c r="L378" t="n">
        <v>0</v>
      </c>
      <c r="M378" t="n">
        <v>0</v>
      </c>
      <c r="N378" t="n">
        <v>0</v>
      </c>
      <c r="O378" t="n">
        <v>0</v>
      </c>
      <c r="P378" t="n">
        <v>0</v>
      </c>
      <c r="Q378" t="n">
        <v>0</v>
      </c>
      <c r="R378" s="2" t="inlineStr"/>
    </row>
    <row r="379" ht="15" customHeight="1">
      <c r="A379" t="inlineStr">
        <is>
          <t>A 19219-2019</t>
        </is>
      </c>
      <c r="B379" s="1" t="n">
        <v>43564</v>
      </c>
      <c r="C379" s="1" t="n">
        <v>45356</v>
      </c>
      <c r="D379" t="inlineStr">
        <is>
          <t>VÄSTERNORRLANDS LÄN</t>
        </is>
      </c>
      <c r="E379" t="inlineStr">
        <is>
          <t>SOLLEFTEÅ</t>
        </is>
      </c>
      <c r="G379" t="n">
        <v>37</v>
      </c>
      <c r="H379" t="n">
        <v>0</v>
      </c>
      <c r="I379" t="n">
        <v>0</v>
      </c>
      <c r="J379" t="n">
        <v>0</v>
      </c>
      <c r="K379" t="n">
        <v>0</v>
      </c>
      <c r="L379" t="n">
        <v>0</v>
      </c>
      <c r="M379" t="n">
        <v>0</v>
      </c>
      <c r="N379" t="n">
        <v>0</v>
      </c>
      <c r="O379" t="n">
        <v>0</v>
      </c>
      <c r="P379" t="n">
        <v>0</v>
      </c>
      <c r="Q379" t="n">
        <v>0</v>
      </c>
      <c r="R379" s="2" t="inlineStr"/>
    </row>
    <row r="380" ht="15" customHeight="1">
      <c r="A380" t="inlineStr">
        <is>
          <t>A 19553-2019</t>
        </is>
      </c>
      <c r="B380" s="1" t="n">
        <v>43565</v>
      </c>
      <c r="C380" s="1" t="n">
        <v>45356</v>
      </c>
      <c r="D380" t="inlineStr">
        <is>
          <t>VÄSTERNORRLANDS LÄN</t>
        </is>
      </c>
      <c r="E380" t="inlineStr">
        <is>
          <t>SOLLEFTEÅ</t>
        </is>
      </c>
      <c r="G380" t="n">
        <v>28.1</v>
      </c>
      <c r="H380" t="n">
        <v>0</v>
      </c>
      <c r="I380" t="n">
        <v>0</v>
      </c>
      <c r="J380" t="n">
        <v>0</v>
      </c>
      <c r="K380" t="n">
        <v>0</v>
      </c>
      <c r="L380" t="n">
        <v>0</v>
      </c>
      <c r="M380" t="n">
        <v>0</v>
      </c>
      <c r="N380" t="n">
        <v>0</v>
      </c>
      <c r="O380" t="n">
        <v>0</v>
      </c>
      <c r="P380" t="n">
        <v>0</v>
      </c>
      <c r="Q380" t="n">
        <v>0</v>
      </c>
      <c r="R380" s="2" t="inlineStr"/>
    </row>
    <row r="381" ht="15" customHeight="1">
      <c r="A381" t="inlineStr">
        <is>
          <t>A 19730-2019</t>
        </is>
      </c>
      <c r="B381" s="1" t="n">
        <v>43566</v>
      </c>
      <c r="C381" s="1" t="n">
        <v>45356</v>
      </c>
      <c r="D381" t="inlineStr">
        <is>
          <t>VÄSTERNORRLANDS LÄN</t>
        </is>
      </c>
      <c r="E381" t="inlineStr">
        <is>
          <t>SOLLEFTEÅ</t>
        </is>
      </c>
      <c r="G381" t="n">
        <v>2</v>
      </c>
      <c r="H381" t="n">
        <v>0</v>
      </c>
      <c r="I381" t="n">
        <v>0</v>
      </c>
      <c r="J381" t="n">
        <v>0</v>
      </c>
      <c r="K381" t="n">
        <v>0</v>
      </c>
      <c r="L381" t="n">
        <v>0</v>
      </c>
      <c r="M381" t="n">
        <v>0</v>
      </c>
      <c r="N381" t="n">
        <v>0</v>
      </c>
      <c r="O381" t="n">
        <v>0</v>
      </c>
      <c r="P381" t="n">
        <v>0</v>
      </c>
      <c r="Q381" t="n">
        <v>0</v>
      </c>
      <c r="R381" s="2" t="inlineStr"/>
    </row>
    <row r="382" ht="15" customHeight="1">
      <c r="A382" t="inlineStr">
        <is>
          <t>A 19595-2019</t>
        </is>
      </c>
      <c r="B382" s="1" t="n">
        <v>43566</v>
      </c>
      <c r="C382" s="1" t="n">
        <v>45356</v>
      </c>
      <c r="D382" t="inlineStr">
        <is>
          <t>VÄSTERNORRLANDS LÄN</t>
        </is>
      </c>
      <c r="E382" t="inlineStr">
        <is>
          <t>SOLLEFTEÅ</t>
        </is>
      </c>
      <c r="F382" t="inlineStr">
        <is>
          <t>Kyrkan</t>
        </is>
      </c>
      <c r="G382" t="n">
        <v>2.5</v>
      </c>
      <c r="H382" t="n">
        <v>0</v>
      </c>
      <c r="I382" t="n">
        <v>0</v>
      </c>
      <c r="J382" t="n">
        <v>0</v>
      </c>
      <c r="K382" t="n">
        <v>0</v>
      </c>
      <c r="L382" t="n">
        <v>0</v>
      </c>
      <c r="M382" t="n">
        <v>0</v>
      </c>
      <c r="N382" t="n">
        <v>0</v>
      </c>
      <c r="O382" t="n">
        <v>0</v>
      </c>
      <c r="P382" t="n">
        <v>0</v>
      </c>
      <c r="Q382" t="n">
        <v>0</v>
      </c>
      <c r="R382" s="2" t="inlineStr"/>
    </row>
    <row r="383" ht="15" customHeight="1">
      <c r="A383" t="inlineStr">
        <is>
          <t>A 19732-2019</t>
        </is>
      </c>
      <c r="B383" s="1" t="n">
        <v>43566</v>
      </c>
      <c r="C383" s="1" t="n">
        <v>45356</v>
      </c>
      <c r="D383" t="inlineStr">
        <is>
          <t>VÄSTERNORRLANDS LÄN</t>
        </is>
      </c>
      <c r="E383" t="inlineStr">
        <is>
          <t>SOLLEFTEÅ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19731-2019</t>
        </is>
      </c>
      <c r="B384" s="1" t="n">
        <v>43566</v>
      </c>
      <c r="C384" s="1" t="n">
        <v>45356</v>
      </c>
      <c r="D384" t="inlineStr">
        <is>
          <t>VÄSTERNORRLANDS LÄN</t>
        </is>
      </c>
      <c r="E384" t="inlineStr">
        <is>
          <t>SOLLEFTEÅ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20201-2019</t>
        </is>
      </c>
      <c r="B385" s="1" t="n">
        <v>43570</v>
      </c>
      <c r="C385" s="1" t="n">
        <v>45356</v>
      </c>
      <c r="D385" t="inlineStr">
        <is>
          <t>VÄSTERNORRLANDS LÄN</t>
        </is>
      </c>
      <c r="E385" t="inlineStr">
        <is>
          <t>SOLLEFTEÅ</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20198-2019</t>
        </is>
      </c>
      <c r="B386" s="1" t="n">
        <v>43570</v>
      </c>
      <c r="C386" s="1" t="n">
        <v>45356</v>
      </c>
      <c r="D386" t="inlineStr">
        <is>
          <t>VÄSTERNORRLANDS LÄN</t>
        </is>
      </c>
      <c r="E386" t="inlineStr">
        <is>
          <t>SOLLEFTEÅ</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20200-2019</t>
        </is>
      </c>
      <c r="B387" s="1" t="n">
        <v>43570</v>
      </c>
      <c r="C387" s="1" t="n">
        <v>45356</v>
      </c>
      <c r="D387" t="inlineStr">
        <is>
          <t>VÄSTERNORRLANDS LÄN</t>
        </is>
      </c>
      <c r="E387" t="inlineStr">
        <is>
          <t>SOLLEFTEÅ</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20444-2019</t>
        </is>
      </c>
      <c r="B388" s="1" t="n">
        <v>43571</v>
      </c>
      <c r="C388" s="1" t="n">
        <v>45356</v>
      </c>
      <c r="D388" t="inlineStr">
        <is>
          <t>VÄSTERNORRLANDS LÄN</t>
        </is>
      </c>
      <c r="E388" t="inlineStr">
        <is>
          <t>SOLLEFTEÅ</t>
        </is>
      </c>
      <c r="G388" t="n">
        <v>2.9</v>
      </c>
      <c r="H388" t="n">
        <v>0</v>
      </c>
      <c r="I388" t="n">
        <v>0</v>
      </c>
      <c r="J388" t="n">
        <v>0</v>
      </c>
      <c r="K388" t="n">
        <v>0</v>
      </c>
      <c r="L388" t="n">
        <v>0</v>
      </c>
      <c r="M388" t="n">
        <v>0</v>
      </c>
      <c r="N388" t="n">
        <v>0</v>
      </c>
      <c r="O388" t="n">
        <v>0</v>
      </c>
      <c r="P388" t="n">
        <v>0</v>
      </c>
      <c r="Q388" t="n">
        <v>0</v>
      </c>
      <c r="R388" s="2" t="inlineStr"/>
    </row>
    <row r="389" ht="15" customHeight="1">
      <c r="A389" t="inlineStr">
        <is>
          <t>A 20649-2019</t>
        </is>
      </c>
      <c r="B389" s="1" t="n">
        <v>43572</v>
      </c>
      <c r="C389" s="1" t="n">
        <v>45356</v>
      </c>
      <c r="D389" t="inlineStr">
        <is>
          <t>VÄSTERNORRLANDS LÄN</t>
        </is>
      </c>
      <c r="E389" t="inlineStr">
        <is>
          <t>SOLLEFTEÅ</t>
        </is>
      </c>
      <c r="G389" t="n">
        <v>1.9</v>
      </c>
      <c r="H389" t="n">
        <v>0</v>
      </c>
      <c r="I389" t="n">
        <v>0</v>
      </c>
      <c r="J389" t="n">
        <v>0</v>
      </c>
      <c r="K389" t="n">
        <v>0</v>
      </c>
      <c r="L389" t="n">
        <v>0</v>
      </c>
      <c r="M389" t="n">
        <v>0</v>
      </c>
      <c r="N389" t="n">
        <v>0</v>
      </c>
      <c r="O389" t="n">
        <v>0</v>
      </c>
      <c r="P389" t="n">
        <v>0</v>
      </c>
      <c r="Q389" t="n">
        <v>0</v>
      </c>
      <c r="R389" s="2" t="inlineStr"/>
    </row>
    <row r="390" ht="15" customHeight="1">
      <c r="A390" t="inlineStr">
        <is>
          <t>A 20648-2019</t>
        </is>
      </c>
      <c r="B390" s="1" t="n">
        <v>43572</v>
      </c>
      <c r="C390" s="1" t="n">
        <v>45356</v>
      </c>
      <c r="D390" t="inlineStr">
        <is>
          <t>VÄSTERNORRLANDS LÄN</t>
        </is>
      </c>
      <c r="E390" t="inlineStr">
        <is>
          <t>SOLLEFTEÅ</t>
        </is>
      </c>
      <c r="G390" t="n">
        <v>3.9</v>
      </c>
      <c r="H390" t="n">
        <v>0</v>
      </c>
      <c r="I390" t="n">
        <v>0</v>
      </c>
      <c r="J390" t="n">
        <v>0</v>
      </c>
      <c r="K390" t="n">
        <v>0</v>
      </c>
      <c r="L390" t="n">
        <v>0</v>
      </c>
      <c r="M390" t="n">
        <v>0</v>
      </c>
      <c r="N390" t="n">
        <v>0</v>
      </c>
      <c r="O390" t="n">
        <v>0</v>
      </c>
      <c r="P390" t="n">
        <v>0</v>
      </c>
      <c r="Q390" t="n">
        <v>0</v>
      </c>
      <c r="R390" s="2" t="inlineStr"/>
    </row>
    <row r="391" ht="15" customHeight="1">
      <c r="A391" t="inlineStr">
        <is>
          <t>A 21119-2019</t>
        </is>
      </c>
      <c r="B391" s="1" t="n">
        <v>43578</v>
      </c>
      <c r="C391" s="1" t="n">
        <v>45356</v>
      </c>
      <c r="D391" t="inlineStr">
        <is>
          <t>VÄSTERNORRLANDS LÄN</t>
        </is>
      </c>
      <c r="E391" t="inlineStr">
        <is>
          <t>SOLLEFTEÅ</t>
        </is>
      </c>
      <c r="F391" t="inlineStr">
        <is>
          <t>SCA</t>
        </is>
      </c>
      <c r="G391" t="n">
        <v>57.7</v>
      </c>
      <c r="H391" t="n">
        <v>0</v>
      </c>
      <c r="I391" t="n">
        <v>0</v>
      </c>
      <c r="J391" t="n">
        <v>0</v>
      </c>
      <c r="K391" t="n">
        <v>0</v>
      </c>
      <c r="L391" t="n">
        <v>0</v>
      </c>
      <c r="M391" t="n">
        <v>0</v>
      </c>
      <c r="N391" t="n">
        <v>0</v>
      </c>
      <c r="O391" t="n">
        <v>0</v>
      </c>
      <c r="P391" t="n">
        <v>0</v>
      </c>
      <c r="Q391" t="n">
        <v>0</v>
      </c>
      <c r="R391" s="2" t="inlineStr"/>
    </row>
    <row r="392" ht="15" customHeight="1">
      <c r="A392" t="inlineStr">
        <is>
          <t>A 21526-2019</t>
        </is>
      </c>
      <c r="B392" s="1" t="n">
        <v>43580</v>
      </c>
      <c r="C392" s="1" t="n">
        <v>45356</v>
      </c>
      <c r="D392" t="inlineStr">
        <is>
          <t>VÄSTERNORRLANDS LÄN</t>
        </is>
      </c>
      <c r="E392" t="inlineStr">
        <is>
          <t>SOLLEFTEÅ</t>
        </is>
      </c>
      <c r="G392" t="n">
        <v>3.1</v>
      </c>
      <c r="H392" t="n">
        <v>0</v>
      </c>
      <c r="I392" t="n">
        <v>0</v>
      </c>
      <c r="J392" t="n">
        <v>0</v>
      </c>
      <c r="K392" t="n">
        <v>0</v>
      </c>
      <c r="L392" t="n">
        <v>0</v>
      </c>
      <c r="M392" t="n">
        <v>0</v>
      </c>
      <c r="N392" t="n">
        <v>0</v>
      </c>
      <c r="O392" t="n">
        <v>0</v>
      </c>
      <c r="P392" t="n">
        <v>0</v>
      </c>
      <c r="Q392" t="n">
        <v>0</v>
      </c>
      <c r="R392" s="2" t="inlineStr"/>
    </row>
    <row r="393" ht="15" customHeight="1">
      <c r="A393" t="inlineStr">
        <is>
          <t>A 21799-2019</t>
        </is>
      </c>
      <c r="B393" s="1" t="n">
        <v>43581</v>
      </c>
      <c r="C393" s="1" t="n">
        <v>45356</v>
      </c>
      <c r="D393" t="inlineStr">
        <is>
          <t>VÄSTERNORRLANDS LÄN</t>
        </is>
      </c>
      <c r="E393" t="inlineStr">
        <is>
          <t>SOLLEFTEÅ</t>
        </is>
      </c>
      <c r="F393" t="inlineStr">
        <is>
          <t>SCA</t>
        </is>
      </c>
      <c r="G393" t="n">
        <v>14.1</v>
      </c>
      <c r="H393" t="n">
        <v>0</v>
      </c>
      <c r="I393" t="n">
        <v>0</v>
      </c>
      <c r="J393" t="n">
        <v>0</v>
      </c>
      <c r="K393" t="n">
        <v>0</v>
      </c>
      <c r="L393" t="n">
        <v>0</v>
      </c>
      <c r="M393" t="n">
        <v>0</v>
      </c>
      <c r="N393" t="n">
        <v>0</v>
      </c>
      <c r="O393" t="n">
        <v>0</v>
      </c>
      <c r="P393" t="n">
        <v>0</v>
      </c>
      <c r="Q393" t="n">
        <v>0</v>
      </c>
      <c r="R393" s="2" t="inlineStr"/>
    </row>
    <row r="394" ht="15" customHeight="1">
      <c r="A394" t="inlineStr">
        <is>
          <t>A 21788-2019</t>
        </is>
      </c>
      <c r="B394" s="1" t="n">
        <v>43581</v>
      </c>
      <c r="C394" s="1" t="n">
        <v>45356</v>
      </c>
      <c r="D394" t="inlineStr">
        <is>
          <t>VÄSTERNORRLANDS LÄN</t>
        </is>
      </c>
      <c r="E394" t="inlineStr">
        <is>
          <t>SOLLEFTEÅ</t>
        </is>
      </c>
      <c r="F394" t="inlineStr">
        <is>
          <t>SCA</t>
        </is>
      </c>
      <c r="G394" t="n">
        <v>7.7</v>
      </c>
      <c r="H394" t="n">
        <v>0</v>
      </c>
      <c r="I394" t="n">
        <v>0</v>
      </c>
      <c r="J394" t="n">
        <v>0</v>
      </c>
      <c r="K394" t="n">
        <v>0</v>
      </c>
      <c r="L394" t="n">
        <v>0</v>
      </c>
      <c r="M394" t="n">
        <v>0</v>
      </c>
      <c r="N394" t="n">
        <v>0</v>
      </c>
      <c r="O394" t="n">
        <v>0</v>
      </c>
      <c r="P394" t="n">
        <v>0</v>
      </c>
      <c r="Q394" t="n">
        <v>0</v>
      </c>
      <c r="R394" s="2" t="inlineStr"/>
    </row>
    <row r="395" ht="15" customHeight="1">
      <c r="A395" t="inlineStr">
        <is>
          <t>A 22088-2019</t>
        </is>
      </c>
      <c r="B395" s="1" t="n">
        <v>43584</v>
      </c>
      <c r="C395" s="1" t="n">
        <v>45356</v>
      </c>
      <c r="D395" t="inlineStr">
        <is>
          <t>VÄSTERNORRLANDS LÄN</t>
        </is>
      </c>
      <c r="E395" t="inlineStr">
        <is>
          <t>SOLLEFTEÅ</t>
        </is>
      </c>
      <c r="F395" t="inlineStr">
        <is>
          <t>SCA</t>
        </is>
      </c>
      <c r="G395" t="n">
        <v>37.9</v>
      </c>
      <c r="H395" t="n">
        <v>0</v>
      </c>
      <c r="I395" t="n">
        <v>0</v>
      </c>
      <c r="J395" t="n">
        <v>0</v>
      </c>
      <c r="K395" t="n">
        <v>0</v>
      </c>
      <c r="L395" t="n">
        <v>0</v>
      </c>
      <c r="M395" t="n">
        <v>0</v>
      </c>
      <c r="N395" t="n">
        <v>0</v>
      </c>
      <c r="O395" t="n">
        <v>0</v>
      </c>
      <c r="P395" t="n">
        <v>0</v>
      </c>
      <c r="Q395" t="n">
        <v>0</v>
      </c>
      <c r="R395" s="2" t="inlineStr"/>
    </row>
    <row r="396" ht="15" customHeight="1">
      <c r="A396" t="inlineStr">
        <is>
          <t>A 22283-2019</t>
        </is>
      </c>
      <c r="B396" s="1" t="n">
        <v>43585</v>
      </c>
      <c r="C396" s="1" t="n">
        <v>45356</v>
      </c>
      <c r="D396" t="inlineStr">
        <is>
          <t>VÄSTERNORRLANDS LÄN</t>
        </is>
      </c>
      <c r="E396" t="inlineStr">
        <is>
          <t>SOLLEFTEÅ</t>
        </is>
      </c>
      <c r="F396" t="inlineStr">
        <is>
          <t>SCA</t>
        </is>
      </c>
      <c r="G396" t="n">
        <v>9.1</v>
      </c>
      <c r="H396" t="n">
        <v>0</v>
      </c>
      <c r="I396" t="n">
        <v>0</v>
      </c>
      <c r="J396" t="n">
        <v>0</v>
      </c>
      <c r="K396" t="n">
        <v>0</v>
      </c>
      <c r="L396" t="n">
        <v>0</v>
      </c>
      <c r="M396" t="n">
        <v>0</v>
      </c>
      <c r="N396" t="n">
        <v>0</v>
      </c>
      <c r="O396" t="n">
        <v>0</v>
      </c>
      <c r="P396" t="n">
        <v>0</v>
      </c>
      <c r="Q396" t="n">
        <v>0</v>
      </c>
      <c r="R396" s="2" t="inlineStr"/>
    </row>
    <row r="397" ht="15" customHeight="1">
      <c r="A397" t="inlineStr">
        <is>
          <t>A 22587-2019</t>
        </is>
      </c>
      <c r="B397" s="1" t="n">
        <v>43587</v>
      </c>
      <c r="C397" s="1" t="n">
        <v>45356</v>
      </c>
      <c r="D397" t="inlineStr">
        <is>
          <t>VÄSTERNORRLANDS LÄN</t>
        </is>
      </c>
      <c r="E397" t="inlineStr">
        <is>
          <t>SOLLEFTEÅ</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23241-2019</t>
        </is>
      </c>
      <c r="B398" s="1" t="n">
        <v>43591</v>
      </c>
      <c r="C398" s="1" t="n">
        <v>45356</v>
      </c>
      <c r="D398" t="inlineStr">
        <is>
          <t>VÄSTERNORRLANDS LÄN</t>
        </is>
      </c>
      <c r="E398" t="inlineStr">
        <is>
          <t>SOLLEFTEÅ</t>
        </is>
      </c>
      <c r="G398" t="n">
        <v>6.2</v>
      </c>
      <c r="H398" t="n">
        <v>0</v>
      </c>
      <c r="I398" t="n">
        <v>0</v>
      </c>
      <c r="J398" t="n">
        <v>0</v>
      </c>
      <c r="K398" t="n">
        <v>0</v>
      </c>
      <c r="L398" t="n">
        <v>0</v>
      </c>
      <c r="M398" t="n">
        <v>0</v>
      </c>
      <c r="N398" t="n">
        <v>0</v>
      </c>
      <c r="O398" t="n">
        <v>0</v>
      </c>
      <c r="P398" t="n">
        <v>0</v>
      </c>
      <c r="Q398" t="n">
        <v>0</v>
      </c>
      <c r="R398" s="2" t="inlineStr"/>
    </row>
    <row r="399" ht="15" customHeight="1">
      <c r="A399" t="inlineStr">
        <is>
          <t>A 23314-2019</t>
        </is>
      </c>
      <c r="B399" s="1" t="n">
        <v>43591</v>
      </c>
      <c r="C399" s="1" t="n">
        <v>45356</v>
      </c>
      <c r="D399" t="inlineStr">
        <is>
          <t>VÄSTERNORRLANDS LÄN</t>
        </is>
      </c>
      <c r="E399" t="inlineStr">
        <is>
          <t>SOLLEFTEÅ</t>
        </is>
      </c>
      <c r="G399" t="n">
        <v>2.5</v>
      </c>
      <c r="H399" t="n">
        <v>0</v>
      </c>
      <c r="I399" t="n">
        <v>0</v>
      </c>
      <c r="J399" t="n">
        <v>0</v>
      </c>
      <c r="K399" t="n">
        <v>0</v>
      </c>
      <c r="L399" t="n">
        <v>0</v>
      </c>
      <c r="M399" t="n">
        <v>0</v>
      </c>
      <c r="N399" t="n">
        <v>0</v>
      </c>
      <c r="O399" t="n">
        <v>0</v>
      </c>
      <c r="P399" t="n">
        <v>0</v>
      </c>
      <c r="Q399" t="n">
        <v>0</v>
      </c>
      <c r="R399" s="2" t="inlineStr"/>
    </row>
    <row r="400" ht="15" customHeight="1">
      <c r="A400" t="inlineStr">
        <is>
          <t>A 23323-2019</t>
        </is>
      </c>
      <c r="B400" s="1" t="n">
        <v>43591</v>
      </c>
      <c r="C400" s="1" t="n">
        <v>45356</v>
      </c>
      <c r="D400" t="inlineStr">
        <is>
          <t>VÄSTERNORRLANDS LÄN</t>
        </is>
      </c>
      <c r="E400" t="inlineStr">
        <is>
          <t>SOLLEFTEÅ</t>
        </is>
      </c>
      <c r="G400" t="n">
        <v>2.4</v>
      </c>
      <c r="H400" t="n">
        <v>0</v>
      </c>
      <c r="I400" t="n">
        <v>0</v>
      </c>
      <c r="J400" t="n">
        <v>0</v>
      </c>
      <c r="K400" t="n">
        <v>0</v>
      </c>
      <c r="L400" t="n">
        <v>0</v>
      </c>
      <c r="M400" t="n">
        <v>0</v>
      </c>
      <c r="N400" t="n">
        <v>0</v>
      </c>
      <c r="O400" t="n">
        <v>0</v>
      </c>
      <c r="P400" t="n">
        <v>0</v>
      </c>
      <c r="Q400" t="n">
        <v>0</v>
      </c>
      <c r="R400" s="2" t="inlineStr"/>
    </row>
    <row r="401" ht="15" customHeight="1">
      <c r="A401" t="inlineStr">
        <is>
          <t>A 23246-2019</t>
        </is>
      </c>
      <c r="B401" s="1" t="n">
        <v>43591</v>
      </c>
      <c r="C401" s="1" t="n">
        <v>45356</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24157-2019</t>
        </is>
      </c>
      <c r="B402" s="1" t="n">
        <v>43598</v>
      </c>
      <c r="C402" s="1" t="n">
        <v>45356</v>
      </c>
      <c r="D402" t="inlineStr">
        <is>
          <t>VÄSTERNORRLANDS LÄN</t>
        </is>
      </c>
      <c r="E402" t="inlineStr">
        <is>
          <t>SOLLEFTEÅ</t>
        </is>
      </c>
      <c r="F402" t="inlineStr">
        <is>
          <t>SCA</t>
        </is>
      </c>
      <c r="G402" t="n">
        <v>0.1</v>
      </c>
      <c r="H402" t="n">
        <v>0</v>
      </c>
      <c r="I402" t="n">
        <v>0</v>
      </c>
      <c r="J402" t="n">
        <v>0</v>
      </c>
      <c r="K402" t="n">
        <v>0</v>
      </c>
      <c r="L402" t="n">
        <v>0</v>
      </c>
      <c r="M402" t="n">
        <v>0</v>
      </c>
      <c r="N402" t="n">
        <v>0</v>
      </c>
      <c r="O402" t="n">
        <v>0</v>
      </c>
      <c r="P402" t="n">
        <v>0</v>
      </c>
      <c r="Q402" t="n">
        <v>0</v>
      </c>
      <c r="R402" s="2" t="inlineStr"/>
    </row>
    <row r="403" ht="15" customHeight="1">
      <c r="A403" t="inlineStr">
        <is>
          <t>A 24168-2019</t>
        </is>
      </c>
      <c r="B403" s="1" t="n">
        <v>43598</v>
      </c>
      <c r="C403" s="1" t="n">
        <v>45356</v>
      </c>
      <c r="D403" t="inlineStr">
        <is>
          <t>VÄSTERNORRLANDS LÄN</t>
        </is>
      </c>
      <c r="E403" t="inlineStr">
        <is>
          <t>SOLLEFTEÅ</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25334-2019</t>
        </is>
      </c>
      <c r="B404" s="1" t="n">
        <v>43601</v>
      </c>
      <c r="C404" s="1" t="n">
        <v>45356</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25331-2019</t>
        </is>
      </c>
      <c r="B405" s="1" t="n">
        <v>43601</v>
      </c>
      <c r="C405" s="1" t="n">
        <v>45356</v>
      </c>
      <c r="D405" t="inlineStr">
        <is>
          <t>VÄSTERNORRLANDS LÄN</t>
        </is>
      </c>
      <c r="E405" t="inlineStr">
        <is>
          <t>SOLLEFTEÅ</t>
        </is>
      </c>
      <c r="G405" t="n">
        <v>7.2</v>
      </c>
      <c r="H405" t="n">
        <v>0</v>
      </c>
      <c r="I405" t="n">
        <v>0</v>
      </c>
      <c r="J405" t="n">
        <v>0</v>
      </c>
      <c r="K405" t="n">
        <v>0</v>
      </c>
      <c r="L405" t="n">
        <v>0</v>
      </c>
      <c r="M405" t="n">
        <v>0</v>
      </c>
      <c r="N405" t="n">
        <v>0</v>
      </c>
      <c r="O405" t="n">
        <v>0</v>
      </c>
      <c r="P405" t="n">
        <v>0</v>
      </c>
      <c r="Q405" t="n">
        <v>0</v>
      </c>
      <c r="R405" s="2" t="inlineStr"/>
    </row>
    <row r="406" ht="15" customHeight="1">
      <c r="A406" t="inlineStr">
        <is>
          <t>A 25260-2019</t>
        </is>
      </c>
      <c r="B406" s="1" t="n">
        <v>43601</v>
      </c>
      <c r="C406" s="1" t="n">
        <v>45356</v>
      </c>
      <c r="D406" t="inlineStr">
        <is>
          <t>VÄSTERNORRLANDS LÄN</t>
        </is>
      </c>
      <c r="E406" t="inlineStr">
        <is>
          <t>SOLLEFTEÅ</t>
        </is>
      </c>
      <c r="G406" t="n">
        <v>3.4</v>
      </c>
      <c r="H406" t="n">
        <v>0</v>
      </c>
      <c r="I406" t="n">
        <v>0</v>
      </c>
      <c r="J406" t="n">
        <v>0</v>
      </c>
      <c r="K406" t="n">
        <v>0</v>
      </c>
      <c r="L406" t="n">
        <v>0</v>
      </c>
      <c r="M406" t="n">
        <v>0</v>
      </c>
      <c r="N406" t="n">
        <v>0</v>
      </c>
      <c r="O406" t="n">
        <v>0</v>
      </c>
      <c r="P406" t="n">
        <v>0</v>
      </c>
      <c r="Q406" t="n">
        <v>0</v>
      </c>
      <c r="R406" s="2" t="inlineStr"/>
    </row>
    <row r="407" ht="15" customHeight="1">
      <c r="A407" t="inlineStr">
        <is>
          <t>A 25328-2019</t>
        </is>
      </c>
      <c r="B407" s="1" t="n">
        <v>43601</v>
      </c>
      <c r="C407" s="1" t="n">
        <v>45356</v>
      </c>
      <c r="D407" t="inlineStr">
        <is>
          <t>VÄSTERNORRLANDS LÄN</t>
        </is>
      </c>
      <c r="E407" t="inlineStr">
        <is>
          <t>SOLLEFTEÅ</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25014-2019</t>
        </is>
      </c>
      <c r="B408" s="1" t="n">
        <v>43602</v>
      </c>
      <c r="C408" s="1" t="n">
        <v>45356</v>
      </c>
      <c r="D408" t="inlineStr">
        <is>
          <t>VÄSTERNORRLANDS LÄN</t>
        </is>
      </c>
      <c r="E408" t="inlineStr">
        <is>
          <t>SOLLEFTEÅ</t>
        </is>
      </c>
      <c r="F408" t="inlineStr">
        <is>
          <t>SCA</t>
        </is>
      </c>
      <c r="G408" t="n">
        <v>11.1</v>
      </c>
      <c r="H408" t="n">
        <v>0</v>
      </c>
      <c r="I408" t="n">
        <v>0</v>
      </c>
      <c r="J408" t="n">
        <v>0</v>
      </c>
      <c r="K408" t="n">
        <v>0</v>
      </c>
      <c r="L408" t="n">
        <v>0</v>
      </c>
      <c r="M408" t="n">
        <v>0</v>
      </c>
      <c r="N408" t="n">
        <v>0</v>
      </c>
      <c r="O408" t="n">
        <v>0</v>
      </c>
      <c r="P408" t="n">
        <v>0</v>
      </c>
      <c r="Q408" t="n">
        <v>0</v>
      </c>
      <c r="R408" s="2" t="inlineStr"/>
    </row>
    <row r="409" ht="15" customHeight="1">
      <c r="A409" t="inlineStr">
        <is>
          <t>A 26111-2019</t>
        </is>
      </c>
      <c r="B409" s="1" t="n">
        <v>43605</v>
      </c>
      <c r="C409" s="1" t="n">
        <v>45356</v>
      </c>
      <c r="D409" t="inlineStr">
        <is>
          <t>VÄSTERNORRLANDS LÄN</t>
        </is>
      </c>
      <c r="E409" t="inlineStr">
        <is>
          <t>SOLLEFTEÅ</t>
        </is>
      </c>
      <c r="G409" t="n">
        <v>3.5</v>
      </c>
      <c r="H409" t="n">
        <v>0</v>
      </c>
      <c r="I409" t="n">
        <v>0</v>
      </c>
      <c r="J409" t="n">
        <v>0</v>
      </c>
      <c r="K409" t="n">
        <v>0</v>
      </c>
      <c r="L409" t="n">
        <v>0</v>
      </c>
      <c r="M409" t="n">
        <v>0</v>
      </c>
      <c r="N409" t="n">
        <v>0</v>
      </c>
      <c r="O409" t="n">
        <v>0</v>
      </c>
      <c r="P409" t="n">
        <v>0</v>
      </c>
      <c r="Q409" t="n">
        <v>0</v>
      </c>
      <c r="R409" s="2" t="inlineStr"/>
    </row>
    <row r="410" ht="15" customHeight="1">
      <c r="A410" t="inlineStr">
        <is>
          <t>A 25714-2019</t>
        </is>
      </c>
      <c r="B410" s="1" t="n">
        <v>43607</v>
      </c>
      <c r="C410" s="1" t="n">
        <v>45356</v>
      </c>
      <c r="D410" t="inlineStr">
        <is>
          <t>VÄSTERNORRLANDS LÄN</t>
        </is>
      </c>
      <c r="E410" t="inlineStr">
        <is>
          <t>SOLLEFTEÅ</t>
        </is>
      </c>
      <c r="F410" t="inlineStr">
        <is>
          <t>SCA</t>
        </is>
      </c>
      <c r="G410" t="n">
        <v>28.3</v>
      </c>
      <c r="H410" t="n">
        <v>0</v>
      </c>
      <c r="I410" t="n">
        <v>0</v>
      </c>
      <c r="J410" t="n">
        <v>0</v>
      </c>
      <c r="K410" t="n">
        <v>0</v>
      </c>
      <c r="L410" t="n">
        <v>0</v>
      </c>
      <c r="M410" t="n">
        <v>0</v>
      </c>
      <c r="N410" t="n">
        <v>0</v>
      </c>
      <c r="O410" t="n">
        <v>0</v>
      </c>
      <c r="P410" t="n">
        <v>0</v>
      </c>
      <c r="Q410" t="n">
        <v>0</v>
      </c>
      <c r="R410" s="2" t="inlineStr"/>
    </row>
    <row r="411" ht="15" customHeight="1">
      <c r="A411" t="inlineStr">
        <is>
          <t>A 25979-2019</t>
        </is>
      </c>
      <c r="B411" s="1" t="n">
        <v>43608</v>
      </c>
      <c r="C411" s="1" t="n">
        <v>45356</v>
      </c>
      <c r="D411" t="inlineStr">
        <is>
          <t>VÄSTERNORRLANDS LÄN</t>
        </is>
      </c>
      <c r="E411" t="inlineStr">
        <is>
          <t>SOLLEFTEÅ</t>
        </is>
      </c>
      <c r="F411" t="inlineStr">
        <is>
          <t>SCA</t>
        </is>
      </c>
      <c r="G411" t="n">
        <v>26.1</v>
      </c>
      <c r="H411" t="n">
        <v>0</v>
      </c>
      <c r="I411" t="n">
        <v>0</v>
      </c>
      <c r="J411" t="n">
        <v>0</v>
      </c>
      <c r="K411" t="n">
        <v>0</v>
      </c>
      <c r="L411" t="n">
        <v>0</v>
      </c>
      <c r="M411" t="n">
        <v>0</v>
      </c>
      <c r="N411" t="n">
        <v>0</v>
      </c>
      <c r="O411" t="n">
        <v>0</v>
      </c>
      <c r="P411" t="n">
        <v>0</v>
      </c>
      <c r="Q411" t="n">
        <v>0</v>
      </c>
      <c r="R411" s="2" t="inlineStr"/>
    </row>
    <row r="412" ht="15" customHeight="1">
      <c r="A412" t="inlineStr">
        <is>
          <t>A 25982-2019</t>
        </is>
      </c>
      <c r="B412" s="1" t="n">
        <v>43608</v>
      </c>
      <c r="C412" s="1" t="n">
        <v>45356</v>
      </c>
      <c r="D412" t="inlineStr">
        <is>
          <t>VÄSTERNORRLANDS LÄN</t>
        </is>
      </c>
      <c r="E412" t="inlineStr">
        <is>
          <t>SOLLEFTEÅ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25997-2019</t>
        </is>
      </c>
      <c r="B413" s="1" t="n">
        <v>43608</v>
      </c>
      <c r="C413" s="1" t="n">
        <v>45356</v>
      </c>
      <c r="D413" t="inlineStr">
        <is>
          <t>VÄSTERNORRLANDS LÄN</t>
        </is>
      </c>
      <c r="E413" t="inlineStr">
        <is>
          <t>SOLLEFTEÅ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25959-2019</t>
        </is>
      </c>
      <c r="B414" s="1" t="n">
        <v>43608</v>
      </c>
      <c r="C414" s="1" t="n">
        <v>45356</v>
      </c>
      <c r="D414" t="inlineStr">
        <is>
          <t>VÄSTERNORRLANDS LÄN</t>
        </is>
      </c>
      <c r="E414" t="inlineStr">
        <is>
          <t>SOLLEFTEÅ</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26254-2019</t>
        </is>
      </c>
      <c r="B415" s="1" t="n">
        <v>43609</v>
      </c>
      <c r="C415" s="1" t="n">
        <v>45356</v>
      </c>
      <c r="D415" t="inlineStr">
        <is>
          <t>VÄSTERNORRLANDS LÄN</t>
        </is>
      </c>
      <c r="E415" t="inlineStr">
        <is>
          <t>SOLLEFTEÅ</t>
        </is>
      </c>
      <c r="F415" t="inlineStr">
        <is>
          <t>SCA</t>
        </is>
      </c>
      <c r="G415" t="n">
        <v>0.3</v>
      </c>
      <c r="H415" t="n">
        <v>0</v>
      </c>
      <c r="I415" t="n">
        <v>0</v>
      </c>
      <c r="J415" t="n">
        <v>0</v>
      </c>
      <c r="K415" t="n">
        <v>0</v>
      </c>
      <c r="L415" t="n">
        <v>0</v>
      </c>
      <c r="M415" t="n">
        <v>0</v>
      </c>
      <c r="N415" t="n">
        <v>0</v>
      </c>
      <c r="O415" t="n">
        <v>0</v>
      </c>
      <c r="P415" t="n">
        <v>0</v>
      </c>
      <c r="Q415" t="n">
        <v>0</v>
      </c>
      <c r="R415" s="2" t="inlineStr"/>
    </row>
    <row r="416" ht="15" customHeight="1">
      <c r="A416" t="inlineStr">
        <is>
          <t>A 26253-2019</t>
        </is>
      </c>
      <c r="B416" s="1" t="n">
        <v>43609</v>
      </c>
      <c r="C416" s="1" t="n">
        <v>45356</v>
      </c>
      <c r="D416" t="inlineStr">
        <is>
          <t>VÄSTERNORRLANDS LÄN</t>
        </is>
      </c>
      <c r="E416" t="inlineStr">
        <is>
          <t>SOLLEFTEÅ</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26640-2019</t>
        </is>
      </c>
      <c r="B417" s="1" t="n">
        <v>43612</v>
      </c>
      <c r="C417" s="1" t="n">
        <v>45356</v>
      </c>
      <c r="D417" t="inlineStr">
        <is>
          <t>VÄSTERNORRLANDS LÄN</t>
        </is>
      </c>
      <c r="E417" t="inlineStr">
        <is>
          <t>SOLLEFTEÅ</t>
        </is>
      </c>
      <c r="F417" t="inlineStr">
        <is>
          <t>SCA</t>
        </is>
      </c>
      <c r="G417" t="n">
        <v>10.4</v>
      </c>
      <c r="H417" t="n">
        <v>0</v>
      </c>
      <c r="I417" t="n">
        <v>0</v>
      </c>
      <c r="J417" t="n">
        <v>0</v>
      </c>
      <c r="K417" t="n">
        <v>0</v>
      </c>
      <c r="L417" t="n">
        <v>0</v>
      </c>
      <c r="M417" t="n">
        <v>0</v>
      </c>
      <c r="N417" t="n">
        <v>0</v>
      </c>
      <c r="O417" t="n">
        <v>0</v>
      </c>
      <c r="P417" t="n">
        <v>0</v>
      </c>
      <c r="Q417" t="n">
        <v>0</v>
      </c>
      <c r="R417" s="2" t="inlineStr"/>
    </row>
    <row r="418" ht="15" customHeight="1">
      <c r="A418" t="inlineStr">
        <is>
          <t>A 27597-2019</t>
        </is>
      </c>
      <c r="B418" s="1" t="n">
        <v>43612</v>
      </c>
      <c r="C418" s="1" t="n">
        <v>45356</v>
      </c>
      <c r="D418" t="inlineStr">
        <is>
          <t>VÄSTERNORRLANDS LÄN</t>
        </is>
      </c>
      <c r="E418" t="inlineStr">
        <is>
          <t>SOLLEFTEÅ</t>
        </is>
      </c>
      <c r="G418" t="n">
        <v>5.6</v>
      </c>
      <c r="H418" t="n">
        <v>0</v>
      </c>
      <c r="I418" t="n">
        <v>0</v>
      </c>
      <c r="J418" t="n">
        <v>0</v>
      </c>
      <c r="K418" t="n">
        <v>0</v>
      </c>
      <c r="L418" t="n">
        <v>0</v>
      </c>
      <c r="M418" t="n">
        <v>0</v>
      </c>
      <c r="N418" t="n">
        <v>0</v>
      </c>
      <c r="O418" t="n">
        <v>0</v>
      </c>
      <c r="P418" t="n">
        <v>0</v>
      </c>
      <c r="Q418" t="n">
        <v>0</v>
      </c>
      <c r="R418" s="2" t="inlineStr"/>
    </row>
    <row r="419" ht="15" customHeight="1">
      <c r="A419" t="inlineStr">
        <is>
          <t>A 26945-2019</t>
        </is>
      </c>
      <c r="B419" s="1" t="n">
        <v>43613</v>
      </c>
      <c r="C419" s="1" t="n">
        <v>45356</v>
      </c>
      <c r="D419" t="inlineStr">
        <is>
          <t>VÄSTERNORRLANDS LÄN</t>
        </is>
      </c>
      <c r="E419" t="inlineStr">
        <is>
          <t>SOLLEFTEÅ</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26957-2019</t>
        </is>
      </c>
      <c r="B420" s="1" t="n">
        <v>43613</v>
      </c>
      <c r="C420" s="1" t="n">
        <v>45356</v>
      </c>
      <c r="D420" t="inlineStr">
        <is>
          <t>VÄSTERNORRLANDS LÄN</t>
        </is>
      </c>
      <c r="E420" t="inlineStr">
        <is>
          <t>SOLLEFTEÅ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27226-2019</t>
        </is>
      </c>
      <c r="B421" s="1" t="n">
        <v>43614</v>
      </c>
      <c r="C421" s="1" t="n">
        <v>45356</v>
      </c>
      <c r="D421" t="inlineStr">
        <is>
          <t>VÄSTERNORRLANDS LÄN</t>
        </is>
      </c>
      <c r="E421" t="inlineStr">
        <is>
          <t>SOLLEFTEÅ</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27979-2019</t>
        </is>
      </c>
      <c r="B422" s="1" t="n">
        <v>43620</v>
      </c>
      <c r="C422" s="1" t="n">
        <v>45356</v>
      </c>
      <c r="D422" t="inlineStr">
        <is>
          <t>VÄSTERNORRLANDS LÄN</t>
        </is>
      </c>
      <c r="E422" t="inlineStr">
        <is>
          <t>SOLLEFTEÅ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28212-2019</t>
        </is>
      </c>
      <c r="B423" s="1" t="n">
        <v>43621</v>
      </c>
      <c r="C423" s="1" t="n">
        <v>45356</v>
      </c>
      <c r="D423" t="inlineStr">
        <is>
          <t>VÄSTERNORRLANDS LÄN</t>
        </is>
      </c>
      <c r="E423" t="inlineStr">
        <is>
          <t>SOLLEFTEÅ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28236-2019</t>
        </is>
      </c>
      <c r="B424" s="1" t="n">
        <v>43621</v>
      </c>
      <c r="C424" s="1" t="n">
        <v>45356</v>
      </c>
      <c r="D424" t="inlineStr">
        <is>
          <t>VÄSTERNORRLANDS LÄN</t>
        </is>
      </c>
      <c r="E424" t="inlineStr">
        <is>
          <t>SOLLEFTEÅ</t>
        </is>
      </c>
      <c r="G424" t="n">
        <v>0.6</v>
      </c>
      <c r="H424" t="n">
        <v>0</v>
      </c>
      <c r="I424" t="n">
        <v>0</v>
      </c>
      <c r="J424" t="n">
        <v>0</v>
      </c>
      <c r="K424" t="n">
        <v>0</v>
      </c>
      <c r="L424" t="n">
        <v>0</v>
      </c>
      <c r="M424" t="n">
        <v>0</v>
      </c>
      <c r="N424" t="n">
        <v>0</v>
      </c>
      <c r="O424" t="n">
        <v>0</v>
      </c>
      <c r="P424" t="n">
        <v>0</v>
      </c>
      <c r="Q424" t="n">
        <v>0</v>
      </c>
      <c r="R424" s="2" t="inlineStr"/>
    </row>
    <row r="425" ht="15" customHeight="1">
      <c r="A425" t="inlineStr">
        <is>
          <t>A 30383-2019</t>
        </is>
      </c>
      <c r="B425" s="1" t="n">
        <v>43634</v>
      </c>
      <c r="C425" s="1" t="n">
        <v>45356</v>
      </c>
      <c r="D425" t="inlineStr">
        <is>
          <t>VÄSTERNORRLANDS LÄN</t>
        </is>
      </c>
      <c r="E425" t="inlineStr">
        <is>
          <t>SOLLEFTEÅ</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30628-2019</t>
        </is>
      </c>
      <c r="B426" s="1" t="n">
        <v>43635</v>
      </c>
      <c r="C426" s="1" t="n">
        <v>45356</v>
      </c>
      <c r="D426" t="inlineStr">
        <is>
          <t>VÄSTERNORRLANDS LÄN</t>
        </is>
      </c>
      <c r="E426" t="inlineStr">
        <is>
          <t>SOLLEFTEÅ</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32202-2019</t>
        </is>
      </c>
      <c r="B427" s="1" t="n">
        <v>43643</v>
      </c>
      <c r="C427" s="1" t="n">
        <v>45356</v>
      </c>
      <c r="D427" t="inlineStr">
        <is>
          <t>VÄSTERNORRLANDS LÄN</t>
        </is>
      </c>
      <c r="E427" t="inlineStr">
        <is>
          <t>SOLLEFTEÅ</t>
        </is>
      </c>
      <c r="G427" t="n">
        <v>2.7</v>
      </c>
      <c r="H427" t="n">
        <v>0</v>
      </c>
      <c r="I427" t="n">
        <v>0</v>
      </c>
      <c r="J427" t="n">
        <v>0</v>
      </c>
      <c r="K427" t="n">
        <v>0</v>
      </c>
      <c r="L427" t="n">
        <v>0</v>
      </c>
      <c r="M427" t="n">
        <v>0</v>
      </c>
      <c r="N427" t="n">
        <v>0</v>
      </c>
      <c r="O427" t="n">
        <v>0</v>
      </c>
      <c r="P427" t="n">
        <v>0</v>
      </c>
      <c r="Q427" t="n">
        <v>0</v>
      </c>
      <c r="R427" s="2" t="inlineStr"/>
    </row>
    <row r="428" ht="15" customHeight="1">
      <c r="A428" t="inlineStr">
        <is>
          <t>A 32203-2019</t>
        </is>
      </c>
      <c r="B428" s="1" t="n">
        <v>43643</v>
      </c>
      <c r="C428" s="1" t="n">
        <v>45356</v>
      </c>
      <c r="D428" t="inlineStr">
        <is>
          <t>VÄSTERNORRLANDS LÄN</t>
        </is>
      </c>
      <c r="E428" t="inlineStr">
        <is>
          <t>SOLLEFTEÅ</t>
        </is>
      </c>
      <c r="G428" t="n">
        <v>1.7</v>
      </c>
      <c r="H428" t="n">
        <v>0</v>
      </c>
      <c r="I428" t="n">
        <v>0</v>
      </c>
      <c r="J428" t="n">
        <v>0</v>
      </c>
      <c r="K428" t="n">
        <v>0</v>
      </c>
      <c r="L428" t="n">
        <v>0</v>
      </c>
      <c r="M428" t="n">
        <v>0</v>
      </c>
      <c r="N428" t="n">
        <v>0</v>
      </c>
      <c r="O428" t="n">
        <v>0</v>
      </c>
      <c r="P428" t="n">
        <v>0</v>
      </c>
      <c r="Q428" t="n">
        <v>0</v>
      </c>
      <c r="R428" s="2" t="inlineStr"/>
    </row>
    <row r="429" ht="15" customHeight="1">
      <c r="A429" t="inlineStr">
        <is>
          <t>A 32744-2019</t>
        </is>
      </c>
      <c r="B429" s="1" t="n">
        <v>43647</v>
      </c>
      <c r="C429" s="1" t="n">
        <v>45356</v>
      </c>
      <c r="D429" t="inlineStr">
        <is>
          <t>VÄSTERNORRLANDS LÄN</t>
        </is>
      </c>
      <c r="E429" t="inlineStr">
        <is>
          <t>SOLLEFTEÅ</t>
        </is>
      </c>
      <c r="F429" t="inlineStr">
        <is>
          <t>SCA</t>
        </is>
      </c>
      <c r="G429" t="n">
        <v>33.3</v>
      </c>
      <c r="H429" t="n">
        <v>0</v>
      </c>
      <c r="I429" t="n">
        <v>0</v>
      </c>
      <c r="J429" t="n">
        <v>0</v>
      </c>
      <c r="K429" t="n">
        <v>0</v>
      </c>
      <c r="L429" t="n">
        <v>0</v>
      </c>
      <c r="M429" t="n">
        <v>0</v>
      </c>
      <c r="N429" t="n">
        <v>0</v>
      </c>
      <c r="O429" t="n">
        <v>0</v>
      </c>
      <c r="P429" t="n">
        <v>0</v>
      </c>
      <c r="Q429" t="n">
        <v>0</v>
      </c>
      <c r="R429" s="2" t="inlineStr"/>
    </row>
    <row r="430" ht="15" customHeight="1">
      <c r="A430" t="inlineStr">
        <is>
          <t>A 33217-2019</t>
        </is>
      </c>
      <c r="B430" s="1" t="n">
        <v>43649</v>
      </c>
      <c r="C430" s="1" t="n">
        <v>45356</v>
      </c>
      <c r="D430" t="inlineStr">
        <is>
          <t>VÄSTERNORRLANDS LÄN</t>
        </is>
      </c>
      <c r="E430" t="inlineStr">
        <is>
          <t>SOLLEFTEÅ</t>
        </is>
      </c>
      <c r="G430" t="n">
        <v>29.3</v>
      </c>
      <c r="H430" t="n">
        <v>0</v>
      </c>
      <c r="I430" t="n">
        <v>0</v>
      </c>
      <c r="J430" t="n">
        <v>0</v>
      </c>
      <c r="K430" t="n">
        <v>0</v>
      </c>
      <c r="L430" t="n">
        <v>0</v>
      </c>
      <c r="M430" t="n">
        <v>0</v>
      </c>
      <c r="N430" t="n">
        <v>0</v>
      </c>
      <c r="O430" t="n">
        <v>0</v>
      </c>
      <c r="P430" t="n">
        <v>0</v>
      </c>
      <c r="Q430" t="n">
        <v>0</v>
      </c>
      <c r="R430" s="2" t="inlineStr"/>
    </row>
    <row r="431" ht="15" customHeight="1">
      <c r="A431" t="inlineStr">
        <is>
          <t>A 34886-2019</t>
        </is>
      </c>
      <c r="B431" s="1" t="n">
        <v>43650</v>
      </c>
      <c r="C431" s="1" t="n">
        <v>45356</v>
      </c>
      <c r="D431" t="inlineStr">
        <is>
          <t>VÄSTERNORRLANDS LÄN</t>
        </is>
      </c>
      <c r="E431" t="inlineStr">
        <is>
          <t>SOLLEFTEÅ</t>
        </is>
      </c>
      <c r="G431" t="n">
        <v>22</v>
      </c>
      <c r="H431" t="n">
        <v>0</v>
      </c>
      <c r="I431" t="n">
        <v>0</v>
      </c>
      <c r="J431" t="n">
        <v>0</v>
      </c>
      <c r="K431" t="n">
        <v>0</v>
      </c>
      <c r="L431" t="n">
        <v>0</v>
      </c>
      <c r="M431" t="n">
        <v>0</v>
      </c>
      <c r="N431" t="n">
        <v>0</v>
      </c>
      <c r="O431" t="n">
        <v>0</v>
      </c>
      <c r="P431" t="n">
        <v>0</v>
      </c>
      <c r="Q431" t="n">
        <v>0</v>
      </c>
      <c r="R431" s="2" t="inlineStr"/>
    </row>
    <row r="432" ht="15" customHeight="1">
      <c r="A432" t="inlineStr">
        <is>
          <t>A 33833-2019</t>
        </is>
      </c>
      <c r="B432" s="1" t="n">
        <v>43651</v>
      </c>
      <c r="C432" s="1" t="n">
        <v>45356</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33826-2019</t>
        </is>
      </c>
      <c r="B433" s="1" t="n">
        <v>43651</v>
      </c>
      <c r="C433" s="1" t="n">
        <v>45356</v>
      </c>
      <c r="D433" t="inlineStr">
        <is>
          <t>VÄSTERNORRLANDS LÄN</t>
        </is>
      </c>
      <c r="E433" t="inlineStr">
        <is>
          <t>SOLLEFTEÅ</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33852-2019</t>
        </is>
      </c>
      <c r="B434" s="1" t="n">
        <v>43651</v>
      </c>
      <c r="C434" s="1" t="n">
        <v>45356</v>
      </c>
      <c r="D434" t="inlineStr">
        <is>
          <t>VÄSTERNORRLANDS LÄN</t>
        </is>
      </c>
      <c r="E434" t="inlineStr">
        <is>
          <t>SOLLEFTEÅ</t>
        </is>
      </c>
      <c r="G434" t="n">
        <v>1.6</v>
      </c>
      <c r="H434" t="n">
        <v>0</v>
      </c>
      <c r="I434" t="n">
        <v>0</v>
      </c>
      <c r="J434" t="n">
        <v>0</v>
      </c>
      <c r="K434" t="n">
        <v>0</v>
      </c>
      <c r="L434" t="n">
        <v>0</v>
      </c>
      <c r="M434" t="n">
        <v>0</v>
      </c>
      <c r="N434" t="n">
        <v>0</v>
      </c>
      <c r="O434" t="n">
        <v>0</v>
      </c>
      <c r="P434" t="n">
        <v>0</v>
      </c>
      <c r="Q434" t="n">
        <v>0</v>
      </c>
      <c r="R434" s="2" t="inlineStr"/>
    </row>
    <row r="435" ht="15" customHeight="1">
      <c r="A435" t="inlineStr">
        <is>
          <t>A 33914-2019</t>
        </is>
      </c>
      <c r="B435" s="1" t="n">
        <v>43654</v>
      </c>
      <c r="C435" s="1" t="n">
        <v>45356</v>
      </c>
      <c r="D435" t="inlineStr">
        <is>
          <t>VÄSTERNORRLANDS LÄN</t>
        </is>
      </c>
      <c r="E435" t="inlineStr">
        <is>
          <t>SOLLEFTEÅ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34113-2019</t>
        </is>
      </c>
      <c r="B436" s="1" t="n">
        <v>43654</v>
      </c>
      <c r="C436" s="1" t="n">
        <v>45356</v>
      </c>
      <c r="D436" t="inlineStr">
        <is>
          <t>VÄSTERNORRLANDS LÄN</t>
        </is>
      </c>
      <c r="E436" t="inlineStr">
        <is>
          <t>SOLLEFTEÅ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34311-2019</t>
        </is>
      </c>
      <c r="B437" s="1" t="n">
        <v>43655</v>
      </c>
      <c r="C437" s="1" t="n">
        <v>45356</v>
      </c>
      <c r="D437" t="inlineStr">
        <is>
          <t>VÄSTERNORRLANDS LÄN</t>
        </is>
      </c>
      <c r="E437" t="inlineStr">
        <is>
          <t>SOLLEFTEÅ</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34229-2019</t>
        </is>
      </c>
      <c r="B438" s="1" t="n">
        <v>43655</v>
      </c>
      <c r="C438" s="1" t="n">
        <v>45356</v>
      </c>
      <c r="D438" t="inlineStr">
        <is>
          <t>VÄSTERNORRLANDS LÄN</t>
        </is>
      </c>
      <c r="E438" t="inlineStr">
        <is>
          <t>SOLLEFTEÅ</t>
        </is>
      </c>
      <c r="G438" t="n">
        <v>7.9</v>
      </c>
      <c r="H438" t="n">
        <v>0</v>
      </c>
      <c r="I438" t="n">
        <v>0</v>
      </c>
      <c r="J438" t="n">
        <v>0</v>
      </c>
      <c r="K438" t="n">
        <v>0</v>
      </c>
      <c r="L438" t="n">
        <v>0</v>
      </c>
      <c r="M438" t="n">
        <v>0</v>
      </c>
      <c r="N438" t="n">
        <v>0</v>
      </c>
      <c r="O438" t="n">
        <v>0</v>
      </c>
      <c r="P438" t="n">
        <v>0</v>
      </c>
      <c r="Q438" t="n">
        <v>0</v>
      </c>
      <c r="R438" s="2" t="inlineStr"/>
    </row>
    <row r="439" ht="15" customHeight="1">
      <c r="A439" t="inlineStr">
        <is>
          <t>A 34302-2019</t>
        </is>
      </c>
      <c r="B439" s="1" t="n">
        <v>43655</v>
      </c>
      <c r="C439" s="1" t="n">
        <v>45356</v>
      </c>
      <c r="D439" t="inlineStr">
        <is>
          <t>VÄSTERNORRLANDS LÄN</t>
        </is>
      </c>
      <c r="E439" t="inlineStr">
        <is>
          <t>SOLLEFTEÅ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34738-2019</t>
        </is>
      </c>
      <c r="B440" s="1" t="n">
        <v>43657</v>
      </c>
      <c r="C440" s="1" t="n">
        <v>45356</v>
      </c>
      <c r="D440" t="inlineStr">
        <is>
          <t>VÄSTERNORRLANDS LÄN</t>
        </is>
      </c>
      <c r="E440" t="inlineStr">
        <is>
          <t>SOLLEFTEÅ</t>
        </is>
      </c>
      <c r="G440" t="n">
        <v>4.2</v>
      </c>
      <c r="H440" t="n">
        <v>0</v>
      </c>
      <c r="I440" t="n">
        <v>0</v>
      </c>
      <c r="J440" t="n">
        <v>0</v>
      </c>
      <c r="K440" t="n">
        <v>0</v>
      </c>
      <c r="L440" t="n">
        <v>0</v>
      </c>
      <c r="M440" t="n">
        <v>0</v>
      </c>
      <c r="N440" t="n">
        <v>0</v>
      </c>
      <c r="O440" t="n">
        <v>0</v>
      </c>
      <c r="P440" t="n">
        <v>0</v>
      </c>
      <c r="Q440" t="n">
        <v>0</v>
      </c>
      <c r="R440" s="2" t="inlineStr"/>
    </row>
    <row r="441" ht="15" customHeight="1">
      <c r="A441" t="inlineStr">
        <is>
          <t>A 34916-2019</t>
        </is>
      </c>
      <c r="B441" s="1" t="n">
        <v>43658</v>
      </c>
      <c r="C441" s="1" t="n">
        <v>45356</v>
      </c>
      <c r="D441" t="inlineStr">
        <is>
          <t>VÄSTERNORRLANDS LÄN</t>
        </is>
      </c>
      <c r="E441" t="inlineStr">
        <is>
          <t>SOLLEFTEÅ</t>
        </is>
      </c>
      <c r="G441" t="n">
        <v>2.6</v>
      </c>
      <c r="H441" t="n">
        <v>0</v>
      </c>
      <c r="I441" t="n">
        <v>0</v>
      </c>
      <c r="J441" t="n">
        <v>0</v>
      </c>
      <c r="K441" t="n">
        <v>0</v>
      </c>
      <c r="L441" t="n">
        <v>0</v>
      </c>
      <c r="M441" t="n">
        <v>0</v>
      </c>
      <c r="N441" t="n">
        <v>0</v>
      </c>
      <c r="O441" t="n">
        <v>0</v>
      </c>
      <c r="P441" t="n">
        <v>0</v>
      </c>
      <c r="Q441" t="n">
        <v>0</v>
      </c>
      <c r="R441" s="2" t="inlineStr"/>
    </row>
    <row r="442" ht="15" customHeight="1">
      <c r="A442" t="inlineStr">
        <is>
          <t>A 35320-2019</t>
        </is>
      </c>
      <c r="B442" s="1" t="n">
        <v>43662</v>
      </c>
      <c r="C442" s="1" t="n">
        <v>45356</v>
      </c>
      <c r="D442" t="inlineStr">
        <is>
          <t>VÄSTERNORRLANDS LÄN</t>
        </is>
      </c>
      <c r="E442" t="inlineStr">
        <is>
          <t>SOLLEFTEÅ</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35970-2019</t>
        </is>
      </c>
      <c r="B443" s="1" t="n">
        <v>43665</v>
      </c>
      <c r="C443" s="1" t="n">
        <v>45356</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35969-2019</t>
        </is>
      </c>
      <c r="B444" s="1" t="n">
        <v>43665</v>
      </c>
      <c r="C444" s="1" t="n">
        <v>45356</v>
      </c>
      <c r="D444" t="inlineStr">
        <is>
          <t>VÄSTERNORRLANDS LÄN</t>
        </is>
      </c>
      <c r="E444" t="inlineStr">
        <is>
          <t>SOLLEFTEÅ</t>
        </is>
      </c>
      <c r="F444" t="inlineStr">
        <is>
          <t>SCA</t>
        </is>
      </c>
      <c r="G444" t="n">
        <v>6</v>
      </c>
      <c r="H444" t="n">
        <v>0</v>
      </c>
      <c r="I444" t="n">
        <v>0</v>
      </c>
      <c r="J444" t="n">
        <v>0</v>
      </c>
      <c r="K444" t="n">
        <v>0</v>
      </c>
      <c r="L444" t="n">
        <v>0</v>
      </c>
      <c r="M444" t="n">
        <v>0</v>
      </c>
      <c r="N444" t="n">
        <v>0</v>
      </c>
      <c r="O444" t="n">
        <v>0</v>
      </c>
      <c r="P444" t="n">
        <v>0</v>
      </c>
      <c r="Q444" t="n">
        <v>0</v>
      </c>
      <c r="R444" s="2" t="inlineStr"/>
    </row>
    <row r="445" ht="15" customHeight="1">
      <c r="A445" t="inlineStr">
        <is>
          <t>A 36137-2019</t>
        </is>
      </c>
      <c r="B445" s="1" t="n">
        <v>43668</v>
      </c>
      <c r="C445" s="1" t="n">
        <v>45356</v>
      </c>
      <c r="D445" t="inlineStr">
        <is>
          <t>VÄSTERNORRLANDS LÄN</t>
        </is>
      </c>
      <c r="E445" t="inlineStr">
        <is>
          <t>SOLLEFTEÅ</t>
        </is>
      </c>
      <c r="G445" t="n">
        <v>1.2</v>
      </c>
      <c r="H445" t="n">
        <v>0</v>
      </c>
      <c r="I445" t="n">
        <v>0</v>
      </c>
      <c r="J445" t="n">
        <v>0</v>
      </c>
      <c r="K445" t="n">
        <v>0</v>
      </c>
      <c r="L445" t="n">
        <v>0</v>
      </c>
      <c r="M445" t="n">
        <v>0</v>
      </c>
      <c r="N445" t="n">
        <v>0</v>
      </c>
      <c r="O445" t="n">
        <v>0</v>
      </c>
      <c r="P445" t="n">
        <v>0</v>
      </c>
      <c r="Q445" t="n">
        <v>0</v>
      </c>
      <c r="R445" s="2" t="inlineStr"/>
    </row>
    <row r="446" ht="15" customHeight="1">
      <c r="A446" t="inlineStr">
        <is>
          <t>A 36486-2019</t>
        </is>
      </c>
      <c r="B446" s="1" t="n">
        <v>43668</v>
      </c>
      <c r="C446" s="1" t="n">
        <v>45356</v>
      </c>
      <c r="D446" t="inlineStr">
        <is>
          <t>VÄSTERNORRLANDS LÄN</t>
        </is>
      </c>
      <c r="E446" t="inlineStr">
        <is>
          <t>SOLLEFTEÅ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36293-2019</t>
        </is>
      </c>
      <c r="B447" s="1" t="n">
        <v>43669</v>
      </c>
      <c r="C447" s="1" t="n">
        <v>45356</v>
      </c>
      <c r="D447" t="inlineStr">
        <is>
          <t>VÄSTERNORRLANDS LÄN</t>
        </is>
      </c>
      <c r="E447" t="inlineStr">
        <is>
          <t>SOLLEFTEÅ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36711-2019</t>
        </is>
      </c>
      <c r="B448" s="1" t="n">
        <v>43671</v>
      </c>
      <c r="C448" s="1" t="n">
        <v>45356</v>
      </c>
      <c r="D448" t="inlineStr">
        <is>
          <t>VÄSTERNORRLANDS LÄN</t>
        </is>
      </c>
      <c r="E448" t="inlineStr">
        <is>
          <t>SOLLEFTEÅ</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37292-2019</t>
        </is>
      </c>
      <c r="B449" s="1" t="n">
        <v>43677</v>
      </c>
      <c r="C449" s="1" t="n">
        <v>45356</v>
      </c>
      <c r="D449" t="inlineStr">
        <is>
          <t>VÄSTERNORRLANDS LÄN</t>
        </is>
      </c>
      <c r="E449" t="inlineStr">
        <is>
          <t>SOLLEFTEÅ</t>
        </is>
      </c>
      <c r="G449" t="n">
        <v>7.8</v>
      </c>
      <c r="H449" t="n">
        <v>0</v>
      </c>
      <c r="I449" t="n">
        <v>0</v>
      </c>
      <c r="J449" t="n">
        <v>0</v>
      </c>
      <c r="K449" t="n">
        <v>0</v>
      </c>
      <c r="L449" t="n">
        <v>0</v>
      </c>
      <c r="M449" t="n">
        <v>0</v>
      </c>
      <c r="N449" t="n">
        <v>0</v>
      </c>
      <c r="O449" t="n">
        <v>0</v>
      </c>
      <c r="P449" t="n">
        <v>0</v>
      </c>
      <c r="Q449" t="n">
        <v>0</v>
      </c>
      <c r="R449" s="2" t="inlineStr"/>
    </row>
    <row r="450" ht="15" customHeight="1">
      <c r="A450" t="inlineStr">
        <is>
          <t>A 37291-2019</t>
        </is>
      </c>
      <c r="B450" s="1" t="n">
        <v>43677</v>
      </c>
      <c r="C450" s="1" t="n">
        <v>45356</v>
      </c>
      <c r="D450" t="inlineStr">
        <is>
          <t>VÄSTERNORRLANDS LÄN</t>
        </is>
      </c>
      <c r="E450" t="inlineStr">
        <is>
          <t>SOLLEFTEÅ</t>
        </is>
      </c>
      <c r="G450" t="n">
        <v>7.4</v>
      </c>
      <c r="H450" t="n">
        <v>0</v>
      </c>
      <c r="I450" t="n">
        <v>0</v>
      </c>
      <c r="J450" t="n">
        <v>0</v>
      </c>
      <c r="K450" t="n">
        <v>0</v>
      </c>
      <c r="L450" t="n">
        <v>0</v>
      </c>
      <c r="M450" t="n">
        <v>0</v>
      </c>
      <c r="N450" t="n">
        <v>0</v>
      </c>
      <c r="O450" t="n">
        <v>0</v>
      </c>
      <c r="P450" t="n">
        <v>0</v>
      </c>
      <c r="Q450" t="n">
        <v>0</v>
      </c>
      <c r="R450" s="2" t="inlineStr"/>
    </row>
    <row r="451" ht="15" customHeight="1">
      <c r="A451" t="inlineStr">
        <is>
          <t>A 37434-2019</t>
        </is>
      </c>
      <c r="B451" s="1" t="n">
        <v>43678</v>
      </c>
      <c r="C451" s="1" t="n">
        <v>45356</v>
      </c>
      <c r="D451" t="inlineStr">
        <is>
          <t>VÄSTERNORRLANDS LÄN</t>
        </is>
      </c>
      <c r="E451" t="inlineStr">
        <is>
          <t>SOLLEFTEÅ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37652-2019</t>
        </is>
      </c>
      <c r="B452" s="1" t="n">
        <v>43679</v>
      </c>
      <c r="C452" s="1" t="n">
        <v>45356</v>
      </c>
      <c r="D452" t="inlineStr">
        <is>
          <t>VÄSTERNORRLANDS LÄN</t>
        </is>
      </c>
      <c r="E452" t="inlineStr">
        <is>
          <t>SOLLEFTEÅ</t>
        </is>
      </c>
      <c r="G452" t="n">
        <v>3.6</v>
      </c>
      <c r="H452" t="n">
        <v>0</v>
      </c>
      <c r="I452" t="n">
        <v>0</v>
      </c>
      <c r="J452" t="n">
        <v>0</v>
      </c>
      <c r="K452" t="n">
        <v>0</v>
      </c>
      <c r="L452" t="n">
        <v>0</v>
      </c>
      <c r="M452" t="n">
        <v>0</v>
      </c>
      <c r="N452" t="n">
        <v>0</v>
      </c>
      <c r="O452" t="n">
        <v>0</v>
      </c>
      <c r="P452" t="n">
        <v>0</v>
      </c>
      <c r="Q452" t="n">
        <v>0</v>
      </c>
      <c r="R452" s="2" t="inlineStr"/>
    </row>
    <row r="453" ht="15" customHeight="1">
      <c r="A453" t="inlineStr">
        <is>
          <t>A 37670-2019</t>
        </is>
      </c>
      <c r="B453" s="1" t="n">
        <v>43679</v>
      </c>
      <c r="C453" s="1" t="n">
        <v>45356</v>
      </c>
      <c r="D453" t="inlineStr">
        <is>
          <t>VÄSTERNORRLANDS LÄN</t>
        </is>
      </c>
      <c r="E453" t="inlineStr">
        <is>
          <t>SOLLEFTEÅ</t>
        </is>
      </c>
      <c r="G453" t="n">
        <v>3.2</v>
      </c>
      <c r="H453" t="n">
        <v>0</v>
      </c>
      <c r="I453" t="n">
        <v>0</v>
      </c>
      <c r="J453" t="n">
        <v>0</v>
      </c>
      <c r="K453" t="n">
        <v>0</v>
      </c>
      <c r="L453" t="n">
        <v>0</v>
      </c>
      <c r="M453" t="n">
        <v>0</v>
      </c>
      <c r="N453" t="n">
        <v>0</v>
      </c>
      <c r="O453" t="n">
        <v>0</v>
      </c>
      <c r="P453" t="n">
        <v>0</v>
      </c>
      <c r="Q453" t="n">
        <v>0</v>
      </c>
      <c r="R453" s="2" t="inlineStr"/>
    </row>
    <row r="454" ht="15" customHeight="1">
      <c r="A454" t="inlineStr">
        <is>
          <t>A 38081-2019</t>
        </is>
      </c>
      <c r="B454" s="1" t="n">
        <v>43682</v>
      </c>
      <c r="C454" s="1" t="n">
        <v>45356</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38074-2019</t>
        </is>
      </c>
      <c r="B455" s="1" t="n">
        <v>43682</v>
      </c>
      <c r="C455" s="1" t="n">
        <v>45356</v>
      </c>
      <c r="D455" t="inlineStr">
        <is>
          <t>VÄSTERNORRLANDS LÄN</t>
        </is>
      </c>
      <c r="E455" t="inlineStr">
        <is>
          <t>SOLLEFTEÅ</t>
        </is>
      </c>
      <c r="G455" t="n">
        <v>4.2</v>
      </c>
      <c r="H455" t="n">
        <v>0</v>
      </c>
      <c r="I455" t="n">
        <v>0</v>
      </c>
      <c r="J455" t="n">
        <v>0</v>
      </c>
      <c r="K455" t="n">
        <v>0</v>
      </c>
      <c r="L455" t="n">
        <v>0</v>
      </c>
      <c r="M455" t="n">
        <v>0</v>
      </c>
      <c r="N455" t="n">
        <v>0</v>
      </c>
      <c r="O455" t="n">
        <v>0</v>
      </c>
      <c r="P455" t="n">
        <v>0</v>
      </c>
      <c r="Q455" t="n">
        <v>0</v>
      </c>
      <c r="R455" s="2" t="inlineStr"/>
    </row>
    <row r="456" ht="15" customHeight="1">
      <c r="A456" t="inlineStr">
        <is>
          <t>A 38080-2019</t>
        </is>
      </c>
      <c r="B456" s="1" t="n">
        <v>43682</v>
      </c>
      <c r="C456" s="1" t="n">
        <v>45356</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38083-2019</t>
        </is>
      </c>
      <c r="B457" s="1" t="n">
        <v>43682</v>
      </c>
      <c r="C457" s="1" t="n">
        <v>45356</v>
      </c>
      <c r="D457" t="inlineStr">
        <is>
          <t>VÄSTERNORRLANDS LÄN</t>
        </is>
      </c>
      <c r="E457" t="inlineStr">
        <is>
          <t>SOLLEFTEÅ</t>
        </is>
      </c>
      <c r="G457" t="n">
        <v>9.6</v>
      </c>
      <c r="H457" t="n">
        <v>0</v>
      </c>
      <c r="I457" t="n">
        <v>0</v>
      </c>
      <c r="J457" t="n">
        <v>0</v>
      </c>
      <c r="K457" t="n">
        <v>0</v>
      </c>
      <c r="L457" t="n">
        <v>0</v>
      </c>
      <c r="M457" t="n">
        <v>0</v>
      </c>
      <c r="N457" t="n">
        <v>0</v>
      </c>
      <c r="O457" t="n">
        <v>0</v>
      </c>
      <c r="P457" t="n">
        <v>0</v>
      </c>
      <c r="Q457" t="n">
        <v>0</v>
      </c>
      <c r="R457" s="2" t="inlineStr"/>
    </row>
    <row r="458" ht="15" customHeight="1">
      <c r="A458" t="inlineStr">
        <is>
          <t>A 38544-2019</t>
        </is>
      </c>
      <c r="B458" s="1" t="n">
        <v>43684</v>
      </c>
      <c r="C458" s="1" t="n">
        <v>45356</v>
      </c>
      <c r="D458" t="inlineStr">
        <is>
          <t>VÄSTERNORRLANDS LÄN</t>
        </is>
      </c>
      <c r="E458" t="inlineStr">
        <is>
          <t>SOLLEFTEÅ</t>
        </is>
      </c>
      <c r="G458" t="n">
        <v>6.6</v>
      </c>
      <c r="H458" t="n">
        <v>0</v>
      </c>
      <c r="I458" t="n">
        <v>0</v>
      </c>
      <c r="J458" t="n">
        <v>0</v>
      </c>
      <c r="K458" t="n">
        <v>0</v>
      </c>
      <c r="L458" t="n">
        <v>0</v>
      </c>
      <c r="M458" t="n">
        <v>0</v>
      </c>
      <c r="N458" t="n">
        <v>0</v>
      </c>
      <c r="O458" t="n">
        <v>0</v>
      </c>
      <c r="P458" t="n">
        <v>0</v>
      </c>
      <c r="Q458" t="n">
        <v>0</v>
      </c>
      <c r="R458" s="2" t="inlineStr"/>
    </row>
    <row r="459" ht="15" customHeight="1">
      <c r="A459" t="inlineStr">
        <is>
          <t>A 38252-2019</t>
        </is>
      </c>
      <c r="B459" s="1" t="n">
        <v>43684</v>
      </c>
      <c r="C459" s="1" t="n">
        <v>45356</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38566-2019</t>
        </is>
      </c>
      <c r="B460" s="1" t="n">
        <v>43685</v>
      </c>
      <c r="C460" s="1" t="n">
        <v>45356</v>
      </c>
      <c r="D460" t="inlineStr">
        <is>
          <t>VÄSTERNORRLANDS LÄN</t>
        </is>
      </c>
      <c r="E460" t="inlineStr">
        <is>
          <t>SOLLEFTEÅ</t>
        </is>
      </c>
      <c r="F460" t="inlineStr">
        <is>
          <t>SCA</t>
        </is>
      </c>
      <c r="G460" t="n">
        <v>15.1</v>
      </c>
      <c r="H460" t="n">
        <v>0</v>
      </c>
      <c r="I460" t="n">
        <v>0</v>
      </c>
      <c r="J460" t="n">
        <v>0</v>
      </c>
      <c r="K460" t="n">
        <v>0</v>
      </c>
      <c r="L460" t="n">
        <v>0</v>
      </c>
      <c r="M460" t="n">
        <v>0</v>
      </c>
      <c r="N460" t="n">
        <v>0</v>
      </c>
      <c r="O460" t="n">
        <v>0</v>
      </c>
      <c r="P460" t="n">
        <v>0</v>
      </c>
      <c r="Q460" t="n">
        <v>0</v>
      </c>
      <c r="R460" s="2" t="inlineStr"/>
    </row>
    <row r="461" ht="15" customHeight="1">
      <c r="A461" t="inlineStr">
        <is>
          <t>A 38762-2019</t>
        </is>
      </c>
      <c r="B461" s="1" t="n">
        <v>43686</v>
      </c>
      <c r="C461" s="1" t="n">
        <v>45356</v>
      </c>
      <c r="D461" t="inlineStr">
        <is>
          <t>VÄSTERNORRLANDS LÄN</t>
        </is>
      </c>
      <c r="E461" t="inlineStr">
        <is>
          <t>SOLLEFTEÅ</t>
        </is>
      </c>
      <c r="G461" t="n">
        <v>7.7</v>
      </c>
      <c r="H461" t="n">
        <v>0</v>
      </c>
      <c r="I461" t="n">
        <v>0</v>
      </c>
      <c r="J461" t="n">
        <v>0</v>
      </c>
      <c r="K461" t="n">
        <v>0</v>
      </c>
      <c r="L461" t="n">
        <v>0</v>
      </c>
      <c r="M461" t="n">
        <v>0</v>
      </c>
      <c r="N461" t="n">
        <v>0</v>
      </c>
      <c r="O461" t="n">
        <v>0</v>
      </c>
      <c r="P461" t="n">
        <v>0</v>
      </c>
      <c r="Q461" t="n">
        <v>0</v>
      </c>
      <c r="R461" s="2" t="inlineStr"/>
    </row>
    <row r="462" ht="15" customHeight="1">
      <c r="A462" t="inlineStr">
        <is>
          <t>A 38763-2019</t>
        </is>
      </c>
      <c r="B462" s="1" t="n">
        <v>43686</v>
      </c>
      <c r="C462" s="1" t="n">
        <v>45356</v>
      </c>
      <c r="D462" t="inlineStr">
        <is>
          <t>VÄSTERNORRLANDS LÄN</t>
        </is>
      </c>
      <c r="E462" t="inlineStr">
        <is>
          <t>SOLLEFTEÅ</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39123-2019</t>
        </is>
      </c>
      <c r="B463" s="1" t="n">
        <v>43689</v>
      </c>
      <c r="C463" s="1" t="n">
        <v>45356</v>
      </c>
      <c r="D463" t="inlineStr">
        <is>
          <t>VÄSTERNORRLANDS LÄN</t>
        </is>
      </c>
      <c r="E463" t="inlineStr">
        <is>
          <t>SOLLEFTEÅ</t>
        </is>
      </c>
      <c r="G463" t="n">
        <v>10.9</v>
      </c>
      <c r="H463" t="n">
        <v>0</v>
      </c>
      <c r="I463" t="n">
        <v>0</v>
      </c>
      <c r="J463" t="n">
        <v>0</v>
      </c>
      <c r="K463" t="n">
        <v>0</v>
      </c>
      <c r="L463" t="n">
        <v>0</v>
      </c>
      <c r="M463" t="n">
        <v>0</v>
      </c>
      <c r="N463" t="n">
        <v>0</v>
      </c>
      <c r="O463" t="n">
        <v>0</v>
      </c>
      <c r="P463" t="n">
        <v>0</v>
      </c>
      <c r="Q463" t="n">
        <v>0</v>
      </c>
      <c r="R463" s="2" t="inlineStr"/>
    </row>
    <row r="464" ht="15" customHeight="1">
      <c r="A464" t="inlineStr">
        <is>
          <t>A 39768-2019</t>
        </is>
      </c>
      <c r="B464" s="1" t="n">
        <v>43689</v>
      </c>
      <c r="C464" s="1" t="n">
        <v>45356</v>
      </c>
      <c r="D464" t="inlineStr">
        <is>
          <t>VÄSTERNORRLANDS LÄN</t>
        </is>
      </c>
      <c r="E464" t="inlineStr">
        <is>
          <t>SOLLEFTEÅ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40764-2019</t>
        </is>
      </c>
      <c r="B465" s="1" t="n">
        <v>43692</v>
      </c>
      <c r="C465" s="1" t="n">
        <v>45356</v>
      </c>
      <c r="D465" t="inlineStr">
        <is>
          <t>VÄSTERNORRLANDS LÄN</t>
        </is>
      </c>
      <c r="E465" t="inlineStr">
        <is>
          <t>SOLLEFTEÅ</t>
        </is>
      </c>
      <c r="G465" t="n">
        <v>2.9</v>
      </c>
      <c r="H465" t="n">
        <v>0</v>
      </c>
      <c r="I465" t="n">
        <v>0</v>
      </c>
      <c r="J465" t="n">
        <v>0</v>
      </c>
      <c r="K465" t="n">
        <v>0</v>
      </c>
      <c r="L465" t="n">
        <v>0</v>
      </c>
      <c r="M465" t="n">
        <v>0</v>
      </c>
      <c r="N465" t="n">
        <v>0</v>
      </c>
      <c r="O465" t="n">
        <v>0</v>
      </c>
      <c r="P465" t="n">
        <v>0</v>
      </c>
      <c r="Q465" t="n">
        <v>0</v>
      </c>
      <c r="R465" s="2" t="inlineStr"/>
    </row>
    <row r="466" ht="15" customHeight="1">
      <c r="A466" t="inlineStr">
        <is>
          <t>A 40769-2019</t>
        </is>
      </c>
      <c r="B466" s="1" t="n">
        <v>43692</v>
      </c>
      <c r="C466" s="1" t="n">
        <v>45356</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41069-2019</t>
        </is>
      </c>
      <c r="B467" s="1" t="n">
        <v>43693</v>
      </c>
      <c r="C467" s="1" t="n">
        <v>45356</v>
      </c>
      <c r="D467" t="inlineStr">
        <is>
          <t>VÄSTERNORRLANDS LÄN</t>
        </is>
      </c>
      <c r="E467" t="inlineStr">
        <is>
          <t>SOLLEFTEÅ</t>
        </is>
      </c>
      <c r="G467" t="n">
        <v>2.2</v>
      </c>
      <c r="H467" t="n">
        <v>0</v>
      </c>
      <c r="I467" t="n">
        <v>0</v>
      </c>
      <c r="J467" t="n">
        <v>0</v>
      </c>
      <c r="K467" t="n">
        <v>0</v>
      </c>
      <c r="L467" t="n">
        <v>0</v>
      </c>
      <c r="M467" t="n">
        <v>0</v>
      </c>
      <c r="N467" t="n">
        <v>0</v>
      </c>
      <c r="O467" t="n">
        <v>0</v>
      </c>
      <c r="P467" t="n">
        <v>0</v>
      </c>
      <c r="Q467" t="n">
        <v>0</v>
      </c>
      <c r="R467" s="2" t="inlineStr"/>
    </row>
    <row r="468" ht="15" customHeight="1">
      <c r="A468" t="inlineStr">
        <is>
          <t>A 40512-2019</t>
        </is>
      </c>
      <c r="B468" s="1" t="n">
        <v>43696</v>
      </c>
      <c r="C468" s="1" t="n">
        <v>45356</v>
      </c>
      <c r="D468" t="inlineStr">
        <is>
          <t>VÄSTERNORRLANDS LÄN</t>
        </is>
      </c>
      <c r="E468" t="inlineStr">
        <is>
          <t>SOLLEFTEÅ</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40685-2019</t>
        </is>
      </c>
      <c r="B469" s="1" t="n">
        <v>43696</v>
      </c>
      <c r="C469" s="1" t="n">
        <v>45356</v>
      </c>
      <c r="D469" t="inlineStr">
        <is>
          <t>VÄSTERNORRLANDS LÄN</t>
        </is>
      </c>
      <c r="E469" t="inlineStr">
        <is>
          <t>SOLLEFTEÅ</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40682-2019</t>
        </is>
      </c>
      <c r="B470" s="1" t="n">
        <v>43696</v>
      </c>
      <c r="C470" s="1" t="n">
        <v>45356</v>
      </c>
      <c r="D470" t="inlineStr">
        <is>
          <t>VÄSTERNORRLANDS LÄN</t>
        </is>
      </c>
      <c r="E470" t="inlineStr">
        <is>
          <t>SOLLEFTEÅ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40514-2019</t>
        </is>
      </c>
      <c r="B471" s="1" t="n">
        <v>43696</v>
      </c>
      <c r="C471" s="1" t="n">
        <v>45356</v>
      </c>
      <c r="D471" t="inlineStr">
        <is>
          <t>VÄSTERNORRLANDS LÄN</t>
        </is>
      </c>
      <c r="E471" t="inlineStr">
        <is>
          <t>SOLLEFTEÅ</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40679-2019</t>
        </is>
      </c>
      <c r="B472" s="1" t="n">
        <v>43696</v>
      </c>
      <c r="C472" s="1" t="n">
        <v>45356</v>
      </c>
      <c r="D472" t="inlineStr">
        <is>
          <t>VÄSTERNORRLANDS LÄN</t>
        </is>
      </c>
      <c r="E472" t="inlineStr">
        <is>
          <t>SOLLEFTEÅ</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41786-2019</t>
        </is>
      </c>
      <c r="B473" s="1" t="n">
        <v>43699</v>
      </c>
      <c r="C473" s="1" t="n">
        <v>45356</v>
      </c>
      <c r="D473" t="inlineStr">
        <is>
          <t>VÄSTERNORRLANDS LÄN</t>
        </is>
      </c>
      <c r="E473" t="inlineStr">
        <is>
          <t>SOLLEFTEÅ</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42417-2019</t>
        </is>
      </c>
      <c r="B474" s="1" t="n">
        <v>43703</v>
      </c>
      <c r="C474" s="1" t="n">
        <v>45356</v>
      </c>
      <c r="D474" t="inlineStr">
        <is>
          <t>VÄSTERNORRLANDS LÄN</t>
        </is>
      </c>
      <c r="E474" t="inlineStr">
        <is>
          <t>SOLLEFTEÅ</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42791-2019</t>
        </is>
      </c>
      <c r="B475" s="1" t="n">
        <v>43704</v>
      </c>
      <c r="C475" s="1" t="n">
        <v>45356</v>
      </c>
      <c r="D475" t="inlineStr">
        <is>
          <t>VÄSTERNORRLANDS LÄN</t>
        </is>
      </c>
      <c r="E475" t="inlineStr">
        <is>
          <t>SOLLEFTEÅ</t>
        </is>
      </c>
      <c r="G475" t="n">
        <v>4.1</v>
      </c>
      <c r="H475" t="n">
        <v>0</v>
      </c>
      <c r="I475" t="n">
        <v>0</v>
      </c>
      <c r="J475" t="n">
        <v>0</v>
      </c>
      <c r="K475" t="n">
        <v>0</v>
      </c>
      <c r="L475" t="n">
        <v>0</v>
      </c>
      <c r="M475" t="n">
        <v>0</v>
      </c>
      <c r="N475" t="n">
        <v>0</v>
      </c>
      <c r="O475" t="n">
        <v>0</v>
      </c>
      <c r="P475" t="n">
        <v>0</v>
      </c>
      <c r="Q475" t="n">
        <v>0</v>
      </c>
      <c r="R475" s="2" t="inlineStr"/>
    </row>
    <row r="476" ht="15" customHeight="1">
      <c r="A476" t="inlineStr">
        <is>
          <t>A 42792-2019</t>
        </is>
      </c>
      <c r="B476" s="1" t="n">
        <v>43704</v>
      </c>
      <c r="C476" s="1" t="n">
        <v>45356</v>
      </c>
      <c r="D476" t="inlineStr">
        <is>
          <t>VÄSTERNORRLANDS LÄN</t>
        </is>
      </c>
      <c r="E476" t="inlineStr">
        <is>
          <t>SOLLEFTEÅ</t>
        </is>
      </c>
      <c r="G476" t="n">
        <v>5.7</v>
      </c>
      <c r="H476" t="n">
        <v>0</v>
      </c>
      <c r="I476" t="n">
        <v>0</v>
      </c>
      <c r="J476" t="n">
        <v>0</v>
      </c>
      <c r="K476" t="n">
        <v>0</v>
      </c>
      <c r="L476" t="n">
        <v>0</v>
      </c>
      <c r="M476" t="n">
        <v>0</v>
      </c>
      <c r="N476" t="n">
        <v>0</v>
      </c>
      <c r="O476" t="n">
        <v>0</v>
      </c>
      <c r="P476" t="n">
        <v>0</v>
      </c>
      <c r="Q476" t="n">
        <v>0</v>
      </c>
      <c r="R476" s="2" t="inlineStr"/>
    </row>
    <row r="477" ht="15" customHeight="1">
      <c r="A477" t="inlineStr">
        <is>
          <t>A 43499-2019</t>
        </is>
      </c>
      <c r="B477" s="1" t="n">
        <v>43706</v>
      </c>
      <c r="C477" s="1" t="n">
        <v>45356</v>
      </c>
      <c r="D477" t="inlineStr">
        <is>
          <t>VÄSTERNORRLANDS LÄN</t>
        </is>
      </c>
      <c r="E477" t="inlineStr">
        <is>
          <t>SOLLEFTEÅ</t>
        </is>
      </c>
      <c r="G477" t="n">
        <v>19.3</v>
      </c>
      <c r="H477" t="n">
        <v>0</v>
      </c>
      <c r="I477" t="n">
        <v>0</v>
      </c>
      <c r="J477" t="n">
        <v>0</v>
      </c>
      <c r="K477" t="n">
        <v>0</v>
      </c>
      <c r="L477" t="n">
        <v>0</v>
      </c>
      <c r="M477" t="n">
        <v>0</v>
      </c>
      <c r="N477" t="n">
        <v>0</v>
      </c>
      <c r="O477" t="n">
        <v>0</v>
      </c>
      <c r="P477" t="n">
        <v>0</v>
      </c>
      <c r="Q477" t="n">
        <v>0</v>
      </c>
      <c r="R477" s="2" t="inlineStr"/>
    </row>
    <row r="478" ht="15" customHeight="1">
      <c r="A478" t="inlineStr">
        <is>
          <t>A 45032-2019</t>
        </is>
      </c>
      <c r="B478" s="1" t="n">
        <v>43707</v>
      </c>
      <c r="C478" s="1" t="n">
        <v>45356</v>
      </c>
      <c r="D478" t="inlineStr">
        <is>
          <t>VÄSTERNORRLANDS LÄN</t>
        </is>
      </c>
      <c r="E478" t="inlineStr">
        <is>
          <t>SOLLEFTEÅ</t>
        </is>
      </c>
      <c r="G478" t="n">
        <v>9.4</v>
      </c>
      <c r="H478" t="n">
        <v>0</v>
      </c>
      <c r="I478" t="n">
        <v>0</v>
      </c>
      <c r="J478" t="n">
        <v>0</v>
      </c>
      <c r="K478" t="n">
        <v>0</v>
      </c>
      <c r="L478" t="n">
        <v>0</v>
      </c>
      <c r="M478" t="n">
        <v>0</v>
      </c>
      <c r="N478" t="n">
        <v>0</v>
      </c>
      <c r="O478" t="n">
        <v>0</v>
      </c>
      <c r="P478" t="n">
        <v>0</v>
      </c>
      <c r="Q478" t="n">
        <v>0</v>
      </c>
      <c r="R478" s="2" t="inlineStr"/>
    </row>
    <row r="479" ht="15" customHeight="1">
      <c r="A479" t="inlineStr">
        <is>
          <t>A 44815-2019</t>
        </is>
      </c>
      <c r="B479" s="1" t="n">
        <v>43712</v>
      </c>
      <c r="C479" s="1" t="n">
        <v>45356</v>
      </c>
      <c r="D479" t="inlineStr">
        <is>
          <t>VÄSTERNORRLANDS LÄN</t>
        </is>
      </c>
      <c r="E479" t="inlineStr">
        <is>
          <t>SOLLEFTEÅ</t>
        </is>
      </c>
      <c r="G479" t="n">
        <v>3</v>
      </c>
      <c r="H479" t="n">
        <v>0</v>
      </c>
      <c r="I479" t="n">
        <v>0</v>
      </c>
      <c r="J479" t="n">
        <v>0</v>
      </c>
      <c r="K479" t="n">
        <v>0</v>
      </c>
      <c r="L479" t="n">
        <v>0</v>
      </c>
      <c r="M479" t="n">
        <v>0</v>
      </c>
      <c r="N479" t="n">
        <v>0</v>
      </c>
      <c r="O479" t="n">
        <v>0</v>
      </c>
      <c r="P479" t="n">
        <v>0</v>
      </c>
      <c r="Q479" t="n">
        <v>0</v>
      </c>
      <c r="R479" s="2" t="inlineStr"/>
    </row>
    <row r="480" ht="15" customHeight="1">
      <c r="A480" t="inlineStr">
        <is>
          <t>A 45941-2019</t>
        </is>
      </c>
      <c r="B480" s="1" t="n">
        <v>43712</v>
      </c>
      <c r="C480" s="1" t="n">
        <v>45356</v>
      </c>
      <c r="D480" t="inlineStr">
        <is>
          <t>VÄSTERNORRLANDS LÄN</t>
        </is>
      </c>
      <c r="E480" t="inlineStr">
        <is>
          <t>SOLLEFTEÅ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44888-2019</t>
        </is>
      </c>
      <c r="B481" s="1" t="n">
        <v>43712</v>
      </c>
      <c r="C481" s="1" t="n">
        <v>45356</v>
      </c>
      <c r="D481" t="inlineStr">
        <is>
          <t>VÄSTERNORRLANDS LÄN</t>
        </is>
      </c>
      <c r="E481" t="inlineStr">
        <is>
          <t>SOLLEFTEÅ</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44960-2019</t>
        </is>
      </c>
      <c r="B482" s="1" t="n">
        <v>43713</v>
      </c>
      <c r="C482" s="1" t="n">
        <v>45356</v>
      </c>
      <c r="D482" t="inlineStr">
        <is>
          <t>VÄSTERNORRLANDS LÄN</t>
        </is>
      </c>
      <c r="E482" t="inlineStr">
        <is>
          <t>SOLLEFTEÅ</t>
        </is>
      </c>
      <c r="G482" t="n">
        <v>14.9</v>
      </c>
      <c r="H482" t="n">
        <v>0</v>
      </c>
      <c r="I482" t="n">
        <v>0</v>
      </c>
      <c r="J482" t="n">
        <v>0</v>
      </c>
      <c r="K482" t="n">
        <v>0</v>
      </c>
      <c r="L482" t="n">
        <v>0</v>
      </c>
      <c r="M482" t="n">
        <v>0</v>
      </c>
      <c r="N482" t="n">
        <v>0</v>
      </c>
      <c r="O482" t="n">
        <v>0</v>
      </c>
      <c r="P482" t="n">
        <v>0</v>
      </c>
      <c r="Q482" t="n">
        <v>0</v>
      </c>
      <c r="R482" s="2" t="inlineStr"/>
    </row>
    <row r="483" ht="15" customHeight="1">
      <c r="A483" t="inlineStr">
        <is>
          <t>A 45537-2019</t>
        </is>
      </c>
      <c r="B483" s="1" t="n">
        <v>43714</v>
      </c>
      <c r="C483" s="1" t="n">
        <v>45356</v>
      </c>
      <c r="D483" t="inlineStr">
        <is>
          <t>VÄSTERNORRLANDS LÄN</t>
        </is>
      </c>
      <c r="E483" t="inlineStr">
        <is>
          <t>SOLLEFTEÅ</t>
        </is>
      </c>
      <c r="F483" t="inlineStr">
        <is>
          <t>SCA</t>
        </is>
      </c>
      <c r="G483" t="n">
        <v>35.1</v>
      </c>
      <c r="H483" t="n">
        <v>0</v>
      </c>
      <c r="I483" t="n">
        <v>0</v>
      </c>
      <c r="J483" t="n">
        <v>0</v>
      </c>
      <c r="K483" t="n">
        <v>0</v>
      </c>
      <c r="L483" t="n">
        <v>0</v>
      </c>
      <c r="M483" t="n">
        <v>0</v>
      </c>
      <c r="N483" t="n">
        <v>0</v>
      </c>
      <c r="O483" t="n">
        <v>0</v>
      </c>
      <c r="P483" t="n">
        <v>0</v>
      </c>
      <c r="Q483" t="n">
        <v>0</v>
      </c>
      <c r="R483" s="2" t="inlineStr"/>
    </row>
    <row r="484" ht="15" customHeight="1">
      <c r="A484" t="inlineStr">
        <is>
          <t>A 46345-2019</t>
        </is>
      </c>
      <c r="B484" s="1" t="n">
        <v>43718</v>
      </c>
      <c r="C484" s="1" t="n">
        <v>45356</v>
      </c>
      <c r="D484" t="inlineStr">
        <is>
          <t>VÄSTERNORRLANDS LÄN</t>
        </is>
      </c>
      <c r="E484" t="inlineStr">
        <is>
          <t>SOLLEFTEÅ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46956-2019</t>
        </is>
      </c>
      <c r="B485" s="1" t="n">
        <v>43719</v>
      </c>
      <c r="C485" s="1" t="n">
        <v>45356</v>
      </c>
      <c r="D485" t="inlineStr">
        <is>
          <t>VÄSTERNORRLANDS LÄN</t>
        </is>
      </c>
      <c r="E485" t="inlineStr">
        <is>
          <t>SOLLEFTEÅ</t>
        </is>
      </c>
      <c r="G485" t="n">
        <v>18.1</v>
      </c>
      <c r="H485" t="n">
        <v>0</v>
      </c>
      <c r="I485" t="n">
        <v>0</v>
      </c>
      <c r="J485" t="n">
        <v>0</v>
      </c>
      <c r="K485" t="n">
        <v>0</v>
      </c>
      <c r="L485" t="n">
        <v>0</v>
      </c>
      <c r="M485" t="n">
        <v>0</v>
      </c>
      <c r="N485" t="n">
        <v>0</v>
      </c>
      <c r="O485" t="n">
        <v>0</v>
      </c>
      <c r="P485" t="n">
        <v>0</v>
      </c>
      <c r="Q485" t="n">
        <v>0</v>
      </c>
      <c r="R485" s="2" t="inlineStr"/>
    </row>
    <row r="486" ht="15" customHeight="1">
      <c r="A486" t="inlineStr">
        <is>
          <t>A 47366-2019</t>
        </is>
      </c>
      <c r="B486" s="1" t="n">
        <v>43721</v>
      </c>
      <c r="C486" s="1" t="n">
        <v>45356</v>
      </c>
      <c r="D486" t="inlineStr">
        <is>
          <t>VÄSTERNORRLANDS LÄN</t>
        </is>
      </c>
      <c r="E486" t="inlineStr">
        <is>
          <t>SOLLEFTEÅ</t>
        </is>
      </c>
      <c r="G486" t="n">
        <v>1.1</v>
      </c>
      <c r="H486" t="n">
        <v>0</v>
      </c>
      <c r="I486" t="n">
        <v>0</v>
      </c>
      <c r="J486" t="n">
        <v>0</v>
      </c>
      <c r="K486" t="n">
        <v>0</v>
      </c>
      <c r="L486" t="n">
        <v>0</v>
      </c>
      <c r="M486" t="n">
        <v>0</v>
      </c>
      <c r="N486" t="n">
        <v>0</v>
      </c>
      <c r="O486" t="n">
        <v>0</v>
      </c>
      <c r="P486" t="n">
        <v>0</v>
      </c>
      <c r="Q486" t="n">
        <v>0</v>
      </c>
      <c r="R486" s="2" t="inlineStr"/>
    </row>
    <row r="487" ht="15" customHeight="1">
      <c r="A487" t="inlineStr">
        <is>
          <t>A 47764-2019</t>
        </is>
      </c>
      <c r="B487" s="1" t="n">
        <v>43724</v>
      </c>
      <c r="C487" s="1" t="n">
        <v>45356</v>
      </c>
      <c r="D487" t="inlineStr">
        <is>
          <t>VÄSTERNORRLANDS LÄN</t>
        </is>
      </c>
      <c r="E487" t="inlineStr">
        <is>
          <t>SOLLEFTEÅ</t>
        </is>
      </c>
      <c r="F487" t="inlineStr">
        <is>
          <t>Kyrkan</t>
        </is>
      </c>
      <c r="G487" t="n">
        <v>4.1</v>
      </c>
      <c r="H487" t="n">
        <v>0</v>
      </c>
      <c r="I487" t="n">
        <v>0</v>
      </c>
      <c r="J487" t="n">
        <v>0</v>
      </c>
      <c r="K487" t="n">
        <v>0</v>
      </c>
      <c r="L487" t="n">
        <v>0</v>
      </c>
      <c r="M487" t="n">
        <v>0</v>
      </c>
      <c r="N487" t="n">
        <v>0</v>
      </c>
      <c r="O487" t="n">
        <v>0</v>
      </c>
      <c r="P487" t="n">
        <v>0</v>
      </c>
      <c r="Q487" t="n">
        <v>0</v>
      </c>
      <c r="R487" s="2" t="inlineStr"/>
    </row>
    <row r="488" ht="15" customHeight="1">
      <c r="A488" t="inlineStr">
        <is>
          <t>A 47768-2019</t>
        </is>
      </c>
      <c r="B488" s="1" t="n">
        <v>43724</v>
      </c>
      <c r="C488" s="1" t="n">
        <v>45356</v>
      </c>
      <c r="D488" t="inlineStr">
        <is>
          <t>VÄSTERNORRLANDS LÄN</t>
        </is>
      </c>
      <c r="E488" t="inlineStr">
        <is>
          <t>SOLLEFTEÅ</t>
        </is>
      </c>
      <c r="F488" t="inlineStr">
        <is>
          <t>Kyrkan</t>
        </is>
      </c>
      <c r="G488" t="n">
        <v>12.1</v>
      </c>
      <c r="H488" t="n">
        <v>0</v>
      </c>
      <c r="I488" t="n">
        <v>0</v>
      </c>
      <c r="J488" t="n">
        <v>0</v>
      </c>
      <c r="K488" t="n">
        <v>0</v>
      </c>
      <c r="L488" t="n">
        <v>0</v>
      </c>
      <c r="M488" t="n">
        <v>0</v>
      </c>
      <c r="N488" t="n">
        <v>0</v>
      </c>
      <c r="O488" t="n">
        <v>0</v>
      </c>
      <c r="P488" t="n">
        <v>0</v>
      </c>
      <c r="Q488" t="n">
        <v>0</v>
      </c>
      <c r="R488" s="2" t="inlineStr"/>
    </row>
    <row r="489" ht="15" customHeight="1">
      <c r="A489" t="inlineStr">
        <is>
          <t>A 49381-2019</t>
        </is>
      </c>
      <c r="B489" s="1" t="n">
        <v>43731</v>
      </c>
      <c r="C489" s="1" t="n">
        <v>45356</v>
      </c>
      <c r="D489" t="inlineStr">
        <is>
          <t>VÄSTERNORRLANDS LÄN</t>
        </is>
      </c>
      <c r="E489" t="inlineStr">
        <is>
          <t>SOLLEFTEÅ</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49380-2019</t>
        </is>
      </c>
      <c r="B490" s="1" t="n">
        <v>43731</v>
      </c>
      <c r="C490" s="1" t="n">
        <v>45356</v>
      </c>
      <c r="D490" t="inlineStr">
        <is>
          <t>VÄSTERNORRLANDS LÄN</t>
        </is>
      </c>
      <c r="E490" t="inlineStr">
        <is>
          <t>SOLLEFTEÅ</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49674-2019</t>
        </is>
      </c>
      <c r="B491" s="1" t="n">
        <v>43732</v>
      </c>
      <c r="C491" s="1" t="n">
        <v>45356</v>
      </c>
      <c r="D491" t="inlineStr">
        <is>
          <t>VÄSTERNORRLANDS LÄN</t>
        </is>
      </c>
      <c r="E491" t="inlineStr">
        <is>
          <t>SOLLEFTEÅ</t>
        </is>
      </c>
      <c r="G491" t="n">
        <v>2.2</v>
      </c>
      <c r="H491" t="n">
        <v>0</v>
      </c>
      <c r="I491" t="n">
        <v>0</v>
      </c>
      <c r="J491" t="n">
        <v>0</v>
      </c>
      <c r="K491" t="n">
        <v>0</v>
      </c>
      <c r="L491" t="n">
        <v>0</v>
      </c>
      <c r="M491" t="n">
        <v>0</v>
      </c>
      <c r="N491" t="n">
        <v>0</v>
      </c>
      <c r="O491" t="n">
        <v>0</v>
      </c>
      <c r="P491" t="n">
        <v>0</v>
      </c>
      <c r="Q491" t="n">
        <v>0</v>
      </c>
      <c r="R491" s="2" t="inlineStr"/>
    </row>
    <row r="492" ht="15" customHeight="1">
      <c r="A492" t="inlineStr">
        <is>
          <t>A 50283-2019</t>
        </is>
      </c>
      <c r="B492" s="1" t="n">
        <v>43734</v>
      </c>
      <c r="C492" s="1" t="n">
        <v>45356</v>
      </c>
      <c r="D492" t="inlineStr">
        <is>
          <t>VÄSTERNORRLANDS LÄN</t>
        </is>
      </c>
      <c r="E492" t="inlineStr">
        <is>
          <t>SOLLEFTEÅ</t>
        </is>
      </c>
      <c r="F492" t="inlineStr">
        <is>
          <t>SCA</t>
        </is>
      </c>
      <c r="G492" t="n">
        <v>10.6</v>
      </c>
      <c r="H492" t="n">
        <v>0</v>
      </c>
      <c r="I492" t="n">
        <v>0</v>
      </c>
      <c r="J492" t="n">
        <v>0</v>
      </c>
      <c r="K492" t="n">
        <v>0</v>
      </c>
      <c r="L492" t="n">
        <v>0</v>
      </c>
      <c r="M492" t="n">
        <v>0</v>
      </c>
      <c r="N492" t="n">
        <v>0</v>
      </c>
      <c r="O492" t="n">
        <v>0</v>
      </c>
      <c r="P492" t="n">
        <v>0</v>
      </c>
      <c r="Q492" t="n">
        <v>0</v>
      </c>
      <c r="R492" s="2" t="inlineStr"/>
    </row>
    <row r="493" ht="15" customHeight="1">
      <c r="A493" t="inlineStr">
        <is>
          <t>A 50513-2019</t>
        </is>
      </c>
      <c r="B493" s="1" t="n">
        <v>43735</v>
      </c>
      <c r="C493" s="1" t="n">
        <v>45356</v>
      </c>
      <c r="D493" t="inlineStr">
        <is>
          <t>VÄSTERNORRLANDS LÄN</t>
        </is>
      </c>
      <c r="E493" t="inlineStr">
        <is>
          <t>SOLLEFTEÅ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50668-2019</t>
        </is>
      </c>
      <c r="B494" s="1" t="n">
        <v>43737</v>
      </c>
      <c r="C494" s="1" t="n">
        <v>45356</v>
      </c>
      <c r="D494" t="inlineStr">
        <is>
          <t>VÄSTERNORRLANDS LÄN</t>
        </is>
      </c>
      <c r="E494" t="inlineStr">
        <is>
          <t>SOLLEFTEÅ</t>
        </is>
      </c>
      <c r="F494" t="inlineStr">
        <is>
          <t>SCA</t>
        </is>
      </c>
      <c r="G494" t="n">
        <v>5.7</v>
      </c>
      <c r="H494" t="n">
        <v>0</v>
      </c>
      <c r="I494" t="n">
        <v>0</v>
      </c>
      <c r="J494" t="n">
        <v>0</v>
      </c>
      <c r="K494" t="n">
        <v>0</v>
      </c>
      <c r="L494" t="n">
        <v>0</v>
      </c>
      <c r="M494" t="n">
        <v>0</v>
      </c>
      <c r="N494" t="n">
        <v>0</v>
      </c>
      <c r="O494" t="n">
        <v>0</v>
      </c>
      <c r="P494" t="n">
        <v>0</v>
      </c>
      <c r="Q494" t="n">
        <v>0</v>
      </c>
      <c r="R494" s="2" t="inlineStr"/>
    </row>
    <row r="495" ht="15" customHeight="1">
      <c r="A495" t="inlineStr">
        <is>
          <t>A 51002-2019</t>
        </is>
      </c>
      <c r="B495" s="1" t="n">
        <v>43738</v>
      </c>
      <c r="C495" s="1" t="n">
        <v>45356</v>
      </c>
      <c r="D495" t="inlineStr">
        <is>
          <t>VÄSTERNORRLANDS LÄN</t>
        </is>
      </c>
      <c r="E495" t="inlineStr">
        <is>
          <t>SOLLEFTEÅ</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50999-2019</t>
        </is>
      </c>
      <c r="B496" s="1" t="n">
        <v>43738</v>
      </c>
      <c r="C496" s="1" t="n">
        <v>45356</v>
      </c>
      <c r="D496" t="inlineStr">
        <is>
          <t>VÄSTERNORRLANDS LÄN</t>
        </is>
      </c>
      <c r="E496" t="inlineStr">
        <is>
          <t>SOLLEFTEÅ</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51675-2019</t>
        </is>
      </c>
      <c r="B497" s="1" t="n">
        <v>43740</v>
      </c>
      <c r="C497" s="1" t="n">
        <v>45356</v>
      </c>
      <c r="D497" t="inlineStr">
        <is>
          <t>VÄSTERNORRLANDS LÄN</t>
        </is>
      </c>
      <c r="E497" t="inlineStr">
        <is>
          <t>SOLLEFTEÅ</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51671-2019</t>
        </is>
      </c>
      <c r="B498" s="1" t="n">
        <v>43740</v>
      </c>
      <c r="C498" s="1" t="n">
        <v>45356</v>
      </c>
      <c r="D498" t="inlineStr">
        <is>
          <t>VÄSTERNORRLANDS LÄN</t>
        </is>
      </c>
      <c r="E498" t="inlineStr">
        <is>
          <t>SOLLEFTEÅ</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51682-2019</t>
        </is>
      </c>
      <c r="B499" s="1" t="n">
        <v>43740</v>
      </c>
      <c r="C499" s="1" t="n">
        <v>45356</v>
      </c>
      <c r="D499" t="inlineStr">
        <is>
          <t>VÄSTERNORRLANDS LÄN</t>
        </is>
      </c>
      <c r="E499" t="inlineStr">
        <is>
          <t>SOLLEFTEÅ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53079-2019</t>
        </is>
      </c>
      <c r="B500" s="1" t="n">
        <v>43740</v>
      </c>
      <c r="C500" s="1" t="n">
        <v>45356</v>
      </c>
      <c r="D500" t="inlineStr">
        <is>
          <t>VÄSTERNORRLANDS LÄN</t>
        </is>
      </c>
      <c r="E500" t="inlineStr">
        <is>
          <t>SOLLEFTEÅ</t>
        </is>
      </c>
      <c r="G500" t="n">
        <v>7.9</v>
      </c>
      <c r="H500" t="n">
        <v>0</v>
      </c>
      <c r="I500" t="n">
        <v>0</v>
      </c>
      <c r="J500" t="n">
        <v>0</v>
      </c>
      <c r="K500" t="n">
        <v>0</v>
      </c>
      <c r="L500" t="n">
        <v>0</v>
      </c>
      <c r="M500" t="n">
        <v>0</v>
      </c>
      <c r="N500" t="n">
        <v>0</v>
      </c>
      <c r="O500" t="n">
        <v>0</v>
      </c>
      <c r="P500" t="n">
        <v>0</v>
      </c>
      <c r="Q500" t="n">
        <v>0</v>
      </c>
      <c r="R500" s="2" t="inlineStr"/>
    </row>
    <row r="501" ht="15" customHeight="1">
      <c r="A501" t="inlineStr">
        <is>
          <t>A 51673-2019</t>
        </is>
      </c>
      <c r="B501" s="1" t="n">
        <v>43740</v>
      </c>
      <c r="C501" s="1" t="n">
        <v>45356</v>
      </c>
      <c r="D501" t="inlineStr">
        <is>
          <t>VÄSTERNORRLANDS LÄN</t>
        </is>
      </c>
      <c r="E501" t="inlineStr">
        <is>
          <t>SOLLEFTEÅ</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53076-2019</t>
        </is>
      </c>
      <c r="B502" s="1" t="n">
        <v>43740</v>
      </c>
      <c r="C502" s="1" t="n">
        <v>45356</v>
      </c>
      <c r="D502" t="inlineStr">
        <is>
          <t>VÄSTERNORRLANDS LÄN</t>
        </is>
      </c>
      <c r="E502" t="inlineStr">
        <is>
          <t>SOLLEFTEÅ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53088-2019</t>
        </is>
      </c>
      <c r="B503" s="1" t="n">
        <v>43740</v>
      </c>
      <c r="C503" s="1" t="n">
        <v>45356</v>
      </c>
      <c r="D503" t="inlineStr">
        <is>
          <t>VÄSTERNORRLANDS LÄN</t>
        </is>
      </c>
      <c r="E503" t="inlineStr">
        <is>
          <t>SOLLEFTEÅ</t>
        </is>
      </c>
      <c r="G503" t="n">
        <v>3</v>
      </c>
      <c r="H503" t="n">
        <v>0</v>
      </c>
      <c r="I503" t="n">
        <v>0</v>
      </c>
      <c r="J503" t="n">
        <v>0</v>
      </c>
      <c r="K503" t="n">
        <v>0</v>
      </c>
      <c r="L503" t="n">
        <v>0</v>
      </c>
      <c r="M503" t="n">
        <v>0</v>
      </c>
      <c r="N503" t="n">
        <v>0</v>
      </c>
      <c r="O503" t="n">
        <v>0</v>
      </c>
      <c r="P503" t="n">
        <v>0</v>
      </c>
      <c r="Q503" t="n">
        <v>0</v>
      </c>
      <c r="R503" s="2" t="inlineStr"/>
    </row>
    <row r="504" ht="15" customHeight="1">
      <c r="A504" t="inlineStr">
        <is>
          <t>A 51665-2019</t>
        </is>
      </c>
      <c r="B504" s="1" t="n">
        <v>43740</v>
      </c>
      <c r="C504" s="1" t="n">
        <v>45356</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51953-2019</t>
        </is>
      </c>
      <c r="B505" s="1" t="n">
        <v>43741</v>
      </c>
      <c r="C505" s="1" t="n">
        <v>45356</v>
      </c>
      <c r="D505" t="inlineStr">
        <is>
          <t>VÄSTERNORRLANDS LÄN</t>
        </is>
      </c>
      <c r="E505" t="inlineStr">
        <is>
          <t>SOLLEFTEÅ</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53677-2019</t>
        </is>
      </c>
      <c r="B506" s="1" t="n">
        <v>43741</v>
      </c>
      <c r="C506" s="1" t="n">
        <v>45356</v>
      </c>
      <c r="D506" t="inlineStr">
        <is>
          <t>VÄSTERNORRLANDS LÄN</t>
        </is>
      </c>
      <c r="E506" t="inlineStr">
        <is>
          <t>SOLLEFTEÅ</t>
        </is>
      </c>
      <c r="G506" t="n">
        <v>1.5</v>
      </c>
      <c r="H506" t="n">
        <v>0</v>
      </c>
      <c r="I506" t="n">
        <v>0</v>
      </c>
      <c r="J506" t="n">
        <v>0</v>
      </c>
      <c r="K506" t="n">
        <v>0</v>
      </c>
      <c r="L506" t="n">
        <v>0</v>
      </c>
      <c r="M506" t="n">
        <v>0</v>
      </c>
      <c r="N506" t="n">
        <v>0</v>
      </c>
      <c r="O506" t="n">
        <v>0</v>
      </c>
      <c r="P506" t="n">
        <v>0</v>
      </c>
      <c r="Q506" t="n">
        <v>0</v>
      </c>
      <c r="R506" s="2" t="inlineStr"/>
    </row>
    <row r="507" ht="15" customHeight="1">
      <c r="A507" t="inlineStr">
        <is>
          <t>A 51952-2019</t>
        </is>
      </c>
      <c r="B507" s="1" t="n">
        <v>43741</v>
      </c>
      <c r="C507" s="1" t="n">
        <v>45356</v>
      </c>
      <c r="D507" t="inlineStr">
        <is>
          <t>VÄSTERNORRLANDS LÄN</t>
        </is>
      </c>
      <c r="E507" t="inlineStr">
        <is>
          <t>SOLLEFTEÅ</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52568-2019</t>
        </is>
      </c>
      <c r="B508" s="1" t="n">
        <v>43745</v>
      </c>
      <c r="C508" s="1" t="n">
        <v>45356</v>
      </c>
      <c r="D508" t="inlineStr">
        <is>
          <t>VÄSTERNORRLANDS LÄN</t>
        </is>
      </c>
      <c r="E508" t="inlineStr">
        <is>
          <t>SOLLEFTEÅ</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52569-2019</t>
        </is>
      </c>
      <c r="B509" s="1" t="n">
        <v>43745</v>
      </c>
      <c r="C509" s="1" t="n">
        <v>45356</v>
      </c>
      <c r="D509" t="inlineStr">
        <is>
          <t>VÄSTERNORRLANDS LÄN</t>
        </is>
      </c>
      <c r="E509" t="inlineStr">
        <is>
          <t>SOLLEFTEÅ</t>
        </is>
      </c>
      <c r="G509" t="n">
        <v>7.1</v>
      </c>
      <c r="H509" t="n">
        <v>0</v>
      </c>
      <c r="I509" t="n">
        <v>0</v>
      </c>
      <c r="J509" t="n">
        <v>0</v>
      </c>
      <c r="K509" t="n">
        <v>0</v>
      </c>
      <c r="L509" t="n">
        <v>0</v>
      </c>
      <c r="M509" t="n">
        <v>0</v>
      </c>
      <c r="N509" t="n">
        <v>0</v>
      </c>
      <c r="O509" t="n">
        <v>0</v>
      </c>
      <c r="P509" t="n">
        <v>0</v>
      </c>
      <c r="Q509" t="n">
        <v>0</v>
      </c>
      <c r="R509" s="2" t="inlineStr"/>
    </row>
    <row r="510" ht="15" customHeight="1">
      <c r="A510" t="inlineStr">
        <is>
          <t>A 52922-2019</t>
        </is>
      </c>
      <c r="B510" s="1" t="n">
        <v>43746</v>
      </c>
      <c r="C510" s="1" t="n">
        <v>45356</v>
      </c>
      <c r="D510" t="inlineStr">
        <is>
          <t>VÄSTERNORRLANDS LÄN</t>
        </is>
      </c>
      <c r="E510" t="inlineStr">
        <is>
          <t>SOLLEFTEÅ</t>
        </is>
      </c>
      <c r="G510" t="n">
        <v>6.5</v>
      </c>
      <c r="H510" t="n">
        <v>0</v>
      </c>
      <c r="I510" t="n">
        <v>0</v>
      </c>
      <c r="J510" t="n">
        <v>0</v>
      </c>
      <c r="K510" t="n">
        <v>0</v>
      </c>
      <c r="L510" t="n">
        <v>0</v>
      </c>
      <c r="M510" t="n">
        <v>0</v>
      </c>
      <c r="N510" t="n">
        <v>0</v>
      </c>
      <c r="O510" t="n">
        <v>0</v>
      </c>
      <c r="P510" t="n">
        <v>0</v>
      </c>
      <c r="Q510" t="n">
        <v>0</v>
      </c>
      <c r="R510" s="2" t="inlineStr"/>
    </row>
    <row r="511" ht="15" customHeight="1">
      <c r="A511" t="inlineStr">
        <is>
          <t>A 53161-2019</t>
        </is>
      </c>
      <c r="B511" s="1" t="n">
        <v>43747</v>
      </c>
      <c r="C511" s="1" t="n">
        <v>45356</v>
      </c>
      <c r="D511" t="inlineStr">
        <is>
          <t>VÄSTERNORRLANDS LÄN</t>
        </is>
      </c>
      <c r="E511" t="inlineStr">
        <is>
          <t>SOLLEFTEÅ</t>
        </is>
      </c>
      <c r="F511" t="inlineStr">
        <is>
          <t>Kommuner</t>
        </is>
      </c>
      <c r="G511" t="n">
        <v>0.4</v>
      </c>
      <c r="H511" t="n">
        <v>0</v>
      </c>
      <c r="I511" t="n">
        <v>0</v>
      </c>
      <c r="J511" t="n">
        <v>0</v>
      </c>
      <c r="K511" t="n">
        <v>0</v>
      </c>
      <c r="L511" t="n">
        <v>0</v>
      </c>
      <c r="M511" t="n">
        <v>0</v>
      </c>
      <c r="N511" t="n">
        <v>0</v>
      </c>
      <c r="O511" t="n">
        <v>0</v>
      </c>
      <c r="P511" t="n">
        <v>0</v>
      </c>
      <c r="Q511" t="n">
        <v>0</v>
      </c>
      <c r="R511" s="2" t="inlineStr"/>
    </row>
    <row r="512" ht="15" customHeight="1">
      <c r="A512" t="inlineStr">
        <is>
          <t>A 55623-2019</t>
        </is>
      </c>
      <c r="B512" s="1" t="n">
        <v>43755</v>
      </c>
      <c r="C512" s="1" t="n">
        <v>45356</v>
      </c>
      <c r="D512" t="inlineStr">
        <is>
          <t>VÄSTERNORRLANDS LÄN</t>
        </is>
      </c>
      <c r="E512" t="inlineStr">
        <is>
          <t>SOLLEFTEÅ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55925-2019</t>
        </is>
      </c>
      <c r="B513" s="1" t="n">
        <v>43755</v>
      </c>
      <c r="C513" s="1" t="n">
        <v>45356</v>
      </c>
      <c r="D513" t="inlineStr">
        <is>
          <t>VÄSTERNORRLANDS LÄN</t>
        </is>
      </c>
      <c r="E513" t="inlineStr">
        <is>
          <t>SOLLEFTEÅ</t>
        </is>
      </c>
      <c r="G513" t="n">
        <v>6.4</v>
      </c>
      <c r="H513" t="n">
        <v>0</v>
      </c>
      <c r="I513" t="n">
        <v>0</v>
      </c>
      <c r="J513" t="n">
        <v>0</v>
      </c>
      <c r="K513" t="n">
        <v>0</v>
      </c>
      <c r="L513" t="n">
        <v>0</v>
      </c>
      <c r="M513" t="n">
        <v>0</v>
      </c>
      <c r="N513" t="n">
        <v>0</v>
      </c>
      <c r="O513" t="n">
        <v>0</v>
      </c>
      <c r="P513" t="n">
        <v>0</v>
      </c>
      <c r="Q513" t="n">
        <v>0</v>
      </c>
      <c r="R513" s="2" t="inlineStr"/>
    </row>
    <row r="514" ht="15" customHeight="1">
      <c r="A514" t="inlineStr">
        <is>
          <t>A 55628-2019</t>
        </is>
      </c>
      <c r="B514" s="1" t="n">
        <v>43755</v>
      </c>
      <c r="C514" s="1" t="n">
        <v>45356</v>
      </c>
      <c r="D514" t="inlineStr">
        <is>
          <t>VÄSTERNORRLANDS LÄN</t>
        </is>
      </c>
      <c r="E514" t="inlineStr">
        <is>
          <t>SOLLEFTEÅ</t>
        </is>
      </c>
      <c r="G514" t="n">
        <v>2.6</v>
      </c>
      <c r="H514" t="n">
        <v>0</v>
      </c>
      <c r="I514" t="n">
        <v>0</v>
      </c>
      <c r="J514" t="n">
        <v>0</v>
      </c>
      <c r="K514" t="n">
        <v>0</v>
      </c>
      <c r="L514" t="n">
        <v>0</v>
      </c>
      <c r="M514" t="n">
        <v>0</v>
      </c>
      <c r="N514" t="n">
        <v>0</v>
      </c>
      <c r="O514" t="n">
        <v>0</v>
      </c>
      <c r="P514" t="n">
        <v>0</v>
      </c>
      <c r="Q514" t="n">
        <v>0</v>
      </c>
      <c r="R514" s="2" t="inlineStr"/>
    </row>
    <row r="515" ht="15" customHeight="1">
      <c r="A515" t="inlineStr">
        <is>
          <t>A 55625-2019</t>
        </is>
      </c>
      <c r="B515" s="1" t="n">
        <v>43755</v>
      </c>
      <c r="C515" s="1" t="n">
        <v>45356</v>
      </c>
      <c r="D515" t="inlineStr">
        <is>
          <t>VÄSTERNORRLANDS LÄN</t>
        </is>
      </c>
      <c r="E515" t="inlineStr">
        <is>
          <t>SOLLEFTEÅ</t>
        </is>
      </c>
      <c r="G515" t="n">
        <v>2.2</v>
      </c>
      <c r="H515" t="n">
        <v>0</v>
      </c>
      <c r="I515" t="n">
        <v>0</v>
      </c>
      <c r="J515" t="n">
        <v>0</v>
      </c>
      <c r="K515" t="n">
        <v>0</v>
      </c>
      <c r="L515" t="n">
        <v>0</v>
      </c>
      <c r="M515" t="n">
        <v>0</v>
      </c>
      <c r="N515" t="n">
        <v>0</v>
      </c>
      <c r="O515" t="n">
        <v>0</v>
      </c>
      <c r="P515" t="n">
        <v>0</v>
      </c>
      <c r="Q515" t="n">
        <v>0</v>
      </c>
      <c r="R515" s="2" t="inlineStr"/>
    </row>
    <row r="516" ht="15" customHeight="1">
      <c r="A516" t="inlineStr">
        <is>
          <t>A 57365-2019</t>
        </is>
      </c>
      <c r="B516" s="1" t="n">
        <v>43760</v>
      </c>
      <c r="C516" s="1" t="n">
        <v>45356</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57575-2019</t>
        </is>
      </c>
      <c r="B517" s="1" t="n">
        <v>43761</v>
      </c>
      <c r="C517" s="1" t="n">
        <v>45356</v>
      </c>
      <c r="D517" t="inlineStr">
        <is>
          <t>VÄSTERNORRLANDS LÄN</t>
        </is>
      </c>
      <c r="E517" t="inlineStr">
        <is>
          <t>SOLLEFTEÅ</t>
        </is>
      </c>
      <c r="G517" t="n">
        <v>14.4</v>
      </c>
      <c r="H517" t="n">
        <v>0</v>
      </c>
      <c r="I517" t="n">
        <v>0</v>
      </c>
      <c r="J517" t="n">
        <v>0</v>
      </c>
      <c r="K517" t="n">
        <v>0</v>
      </c>
      <c r="L517" t="n">
        <v>0</v>
      </c>
      <c r="M517" t="n">
        <v>0</v>
      </c>
      <c r="N517" t="n">
        <v>0</v>
      </c>
      <c r="O517" t="n">
        <v>0</v>
      </c>
      <c r="P517" t="n">
        <v>0</v>
      </c>
      <c r="Q517" t="n">
        <v>0</v>
      </c>
      <c r="R517" s="2" t="inlineStr"/>
    </row>
    <row r="518" ht="15" customHeight="1">
      <c r="A518" t="inlineStr">
        <is>
          <t>A 56252-2019</t>
        </is>
      </c>
      <c r="B518" s="1" t="n">
        <v>43762</v>
      </c>
      <c r="C518" s="1" t="n">
        <v>45356</v>
      </c>
      <c r="D518" t="inlineStr">
        <is>
          <t>VÄSTERNORRLANDS LÄN</t>
        </is>
      </c>
      <c r="E518" t="inlineStr">
        <is>
          <t>SOLLEFTEÅ</t>
        </is>
      </c>
      <c r="F518" t="inlineStr">
        <is>
          <t>Kyrkan</t>
        </is>
      </c>
      <c r="G518" t="n">
        <v>1.1</v>
      </c>
      <c r="H518" t="n">
        <v>0</v>
      </c>
      <c r="I518" t="n">
        <v>0</v>
      </c>
      <c r="J518" t="n">
        <v>0</v>
      </c>
      <c r="K518" t="n">
        <v>0</v>
      </c>
      <c r="L518" t="n">
        <v>0</v>
      </c>
      <c r="M518" t="n">
        <v>0</v>
      </c>
      <c r="N518" t="n">
        <v>0</v>
      </c>
      <c r="O518" t="n">
        <v>0</v>
      </c>
      <c r="P518" t="n">
        <v>0</v>
      </c>
      <c r="Q518" t="n">
        <v>0</v>
      </c>
      <c r="R518" s="2" t="inlineStr"/>
    </row>
    <row r="519" ht="15" customHeight="1">
      <c r="A519" t="inlineStr">
        <is>
          <t>A 56493-2019</t>
        </is>
      </c>
      <c r="B519" s="1" t="n">
        <v>43762</v>
      </c>
      <c r="C519" s="1" t="n">
        <v>45356</v>
      </c>
      <c r="D519" t="inlineStr">
        <is>
          <t>VÄSTERNORRLANDS LÄN</t>
        </is>
      </c>
      <c r="E519" t="inlineStr">
        <is>
          <t>SOLLEFTEÅ</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56492-2019</t>
        </is>
      </c>
      <c r="B520" s="1" t="n">
        <v>43762</v>
      </c>
      <c r="C520" s="1" t="n">
        <v>45356</v>
      </c>
      <c r="D520" t="inlineStr">
        <is>
          <t>VÄSTERNORRLANDS LÄN</t>
        </is>
      </c>
      <c r="E520" t="inlineStr">
        <is>
          <t>SOLLEFTEÅ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56803-2019</t>
        </is>
      </c>
      <c r="B521" s="1" t="n">
        <v>43763</v>
      </c>
      <c r="C521" s="1" t="n">
        <v>45356</v>
      </c>
      <c r="D521" t="inlineStr">
        <is>
          <t>VÄSTERNORRLANDS LÄN</t>
        </is>
      </c>
      <c r="E521" t="inlineStr">
        <is>
          <t>SOLLEFTEÅ</t>
        </is>
      </c>
      <c r="F521" t="inlineStr">
        <is>
          <t>SCA</t>
        </is>
      </c>
      <c r="G521" t="n">
        <v>5.2</v>
      </c>
      <c r="H521" t="n">
        <v>0</v>
      </c>
      <c r="I521" t="n">
        <v>0</v>
      </c>
      <c r="J521" t="n">
        <v>0</v>
      </c>
      <c r="K521" t="n">
        <v>0</v>
      </c>
      <c r="L521" t="n">
        <v>0</v>
      </c>
      <c r="M521" t="n">
        <v>0</v>
      </c>
      <c r="N521" t="n">
        <v>0</v>
      </c>
      <c r="O521" t="n">
        <v>0</v>
      </c>
      <c r="P521" t="n">
        <v>0</v>
      </c>
      <c r="Q521" t="n">
        <v>0</v>
      </c>
      <c r="R521" s="2" t="inlineStr"/>
    </row>
    <row r="522" ht="15" customHeight="1">
      <c r="A522" t="inlineStr">
        <is>
          <t>A 56874-2019</t>
        </is>
      </c>
      <c r="B522" s="1" t="n">
        <v>43766</v>
      </c>
      <c r="C522" s="1" t="n">
        <v>45356</v>
      </c>
      <c r="D522" t="inlineStr">
        <is>
          <t>VÄSTERNORRLANDS LÄN</t>
        </is>
      </c>
      <c r="E522" t="inlineStr">
        <is>
          <t>SOLLEFTEÅ</t>
        </is>
      </c>
      <c r="G522" t="n">
        <v>6.1</v>
      </c>
      <c r="H522" t="n">
        <v>0</v>
      </c>
      <c r="I522" t="n">
        <v>0</v>
      </c>
      <c r="J522" t="n">
        <v>0</v>
      </c>
      <c r="K522" t="n">
        <v>0</v>
      </c>
      <c r="L522" t="n">
        <v>0</v>
      </c>
      <c r="M522" t="n">
        <v>0</v>
      </c>
      <c r="N522" t="n">
        <v>0</v>
      </c>
      <c r="O522" t="n">
        <v>0</v>
      </c>
      <c r="P522" t="n">
        <v>0</v>
      </c>
      <c r="Q522" t="n">
        <v>0</v>
      </c>
      <c r="R522" s="2" t="inlineStr"/>
    </row>
    <row r="523" ht="15" customHeight="1">
      <c r="A523" t="inlineStr">
        <is>
          <t>A 56985-2019</t>
        </is>
      </c>
      <c r="B523" s="1" t="n">
        <v>43766</v>
      </c>
      <c r="C523" s="1" t="n">
        <v>45356</v>
      </c>
      <c r="D523" t="inlineStr">
        <is>
          <t>VÄSTERNORRLANDS LÄN</t>
        </is>
      </c>
      <c r="E523" t="inlineStr">
        <is>
          <t>SOLLEFTEÅ</t>
        </is>
      </c>
      <c r="G523" t="n">
        <v>4.9</v>
      </c>
      <c r="H523" t="n">
        <v>0</v>
      </c>
      <c r="I523" t="n">
        <v>0</v>
      </c>
      <c r="J523" t="n">
        <v>0</v>
      </c>
      <c r="K523" t="n">
        <v>0</v>
      </c>
      <c r="L523" t="n">
        <v>0</v>
      </c>
      <c r="M523" t="n">
        <v>0</v>
      </c>
      <c r="N523" t="n">
        <v>0</v>
      </c>
      <c r="O523" t="n">
        <v>0</v>
      </c>
      <c r="P523" t="n">
        <v>0</v>
      </c>
      <c r="Q523" t="n">
        <v>0</v>
      </c>
      <c r="R523" s="2" t="inlineStr"/>
    </row>
    <row r="524" ht="15" customHeight="1">
      <c r="A524" t="inlineStr">
        <is>
          <t>A 57041-2019</t>
        </is>
      </c>
      <c r="B524" s="1" t="n">
        <v>43766</v>
      </c>
      <c r="C524" s="1" t="n">
        <v>45356</v>
      </c>
      <c r="D524" t="inlineStr">
        <is>
          <t>VÄSTERNORRLANDS LÄN</t>
        </is>
      </c>
      <c r="E524" t="inlineStr">
        <is>
          <t>SOLLEFTEÅ</t>
        </is>
      </c>
      <c r="G524" t="n">
        <v>1</v>
      </c>
      <c r="H524" t="n">
        <v>0</v>
      </c>
      <c r="I524" t="n">
        <v>0</v>
      </c>
      <c r="J524" t="n">
        <v>0</v>
      </c>
      <c r="K524" t="n">
        <v>0</v>
      </c>
      <c r="L524" t="n">
        <v>0</v>
      </c>
      <c r="M524" t="n">
        <v>0</v>
      </c>
      <c r="N524" t="n">
        <v>0</v>
      </c>
      <c r="O524" t="n">
        <v>0</v>
      </c>
      <c r="P524" t="n">
        <v>0</v>
      </c>
      <c r="Q524" t="n">
        <v>0</v>
      </c>
      <c r="R524" s="2" t="inlineStr"/>
    </row>
    <row r="525" ht="15" customHeight="1">
      <c r="A525" t="inlineStr">
        <is>
          <t>A 57188-2019</t>
        </is>
      </c>
      <c r="B525" s="1" t="n">
        <v>43766</v>
      </c>
      <c r="C525" s="1" t="n">
        <v>45356</v>
      </c>
      <c r="D525" t="inlineStr">
        <is>
          <t>VÄSTERNORRLANDS LÄN</t>
        </is>
      </c>
      <c r="E525" t="inlineStr">
        <is>
          <t>SOLLEFTEÅ</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57882-2019</t>
        </is>
      </c>
      <c r="B526" s="1" t="n">
        <v>43768</v>
      </c>
      <c r="C526" s="1" t="n">
        <v>45356</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57884-2019</t>
        </is>
      </c>
      <c r="B527" s="1" t="n">
        <v>43768</v>
      </c>
      <c r="C527" s="1" t="n">
        <v>45356</v>
      </c>
      <c r="D527" t="inlineStr">
        <is>
          <t>VÄSTERNORRLANDS LÄN</t>
        </is>
      </c>
      <c r="E527" t="inlineStr">
        <is>
          <t>SOLLEFTEÅ</t>
        </is>
      </c>
      <c r="F527" t="inlineStr">
        <is>
          <t>SCA</t>
        </is>
      </c>
      <c r="G527" t="n">
        <v>14.7</v>
      </c>
      <c r="H527" t="n">
        <v>0</v>
      </c>
      <c r="I527" t="n">
        <v>0</v>
      </c>
      <c r="J527" t="n">
        <v>0</v>
      </c>
      <c r="K527" t="n">
        <v>0</v>
      </c>
      <c r="L527" t="n">
        <v>0</v>
      </c>
      <c r="M527" t="n">
        <v>0</v>
      </c>
      <c r="N527" t="n">
        <v>0</v>
      </c>
      <c r="O527" t="n">
        <v>0</v>
      </c>
      <c r="P527" t="n">
        <v>0</v>
      </c>
      <c r="Q527" t="n">
        <v>0</v>
      </c>
      <c r="R527" s="2" t="inlineStr"/>
    </row>
    <row r="528" ht="15" customHeight="1">
      <c r="A528" t="inlineStr">
        <is>
          <t>A 57883-2019</t>
        </is>
      </c>
      <c r="B528" s="1" t="n">
        <v>43768</v>
      </c>
      <c r="C528" s="1" t="n">
        <v>45356</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58170-2019</t>
        </is>
      </c>
      <c r="B529" s="1" t="n">
        <v>43769</v>
      </c>
      <c r="C529" s="1" t="n">
        <v>45356</v>
      </c>
      <c r="D529" t="inlineStr">
        <is>
          <t>VÄSTERNORRLANDS LÄN</t>
        </is>
      </c>
      <c r="E529" t="inlineStr">
        <is>
          <t>SOLLEFTEÅ</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58267-2019</t>
        </is>
      </c>
      <c r="B530" s="1" t="n">
        <v>43770</v>
      </c>
      <c r="C530" s="1" t="n">
        <v>45356</v>
      </c>
      <c r="D530" t="inlineStr">
        <is>
          <t>VÄSTERNORRLANDS LÄN</t>
        </is>
      </c>
      <c r="E530" t="inlineStr">
        <is>
          <t>SOLLEFTEÅ</t>
        </is>
      </c>
      <c r="G530" t="n">
        <v>4.6</v>
      </c>
      <c r="H530" t="n">
        <v>0</v>
      </c>
      <c r="I530" t="n">
        <v>0</v>
      </c>
      <c r="J530" t="n">
        <v>0</v>
      </c>
      <c r="K530" t="n">
        <v>0</v>
      </c>
      <c r="L530" t="n">
        <v>0</v>
      </c>
      <c r="M530" t="n">
        <v>0</v>
      </c>
      <c r="N530" t="n">
        <v>0</v>
      </c>
      <c r="O530" t="n">
        <v>0</v>
      </c>
      <c r="P530" t="n">
        <v>0</v>
      </c>
      <c r="Q530" t="n">
        <v>0</v>
      </c>
      <c r="R530" s="2" t="inlineStr"/>
    </row>
    <row r="531" ht="15" customHeight="1">
      <c r="A531" t="inlineStr">
        <is>
          <t>A 59460-2019</t>
        </is>
      </c>
      <c r="B531" s="1" t="n">
        <v>43776</v>
      </c>
      <c r="C531" s="1" t="n">
        <v>45356</v>
      </c>
      <c r="D531" t="inlineStr">
        <is>
          <t>VÄSTERNORRLANDS LÄN</t>
        </is>
      </c>
      <c r="E531" t="inlineStr">
        <is>
          <t>SOLLEFTEÅ</t>
        </is>
      </c>
      <c r="G531" t="n">
        <v>0.5</v>
      </c>
      <c r="H531" t="n">
        <v>0</v>
      </c>
      <c r="I531" t="n">
        <v>0</v>
      </c>
      <c r="J531" t="n">
        <v>0</v>
      </c>
      <c r="K531" t="n">
        <v>0</v>
      </c>
      <c r="L531" t="n">
        <v>0</v>
      </c>
      <c r="M531" t="n">
        <v>0</v>
      </c>
      <c r="N531" t="n">
        <v>0</v>
      </c>
      <c r="O531" t="n">
        <v>0</v>
      </c>
      <c r="P531" t="n">
        <v>0</v>
      </c>
      <c r="Q531" t="n">
        <v>0</v>
      </c>
      <c r="R531" s="2" t="inlineStr"/>
    </row>
    <row r="532" ht="15" customHeight="1">
      <c r="A532" t="inlineStr">
        <is>
          <t>A 60491-2019</t>
        </is>
      </c>
      <c r="B532" s="1" t="n">
        <v>43780</v>
      </c>
      <c r="C532" s="1" t="n">
        <v>45356</v>
      </c>
      <c r="D532" t="inlineStr">
        <is>
          <t>VÄSTERNORRLANDS LÄN</t>
        </is>
      </c>
      <c r="E532" t="inlineStr">
        <is>
          <t>SOLLEFTEÅ</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61428-2019</t>
        </is>
      </c>
      <c r="B533" s="1" t="n">
        <v>43780</v>
      </c>
      <c r="C533" s="1" t="n">
        <v>45356</v>
      </c>
      <c r="D533" t="inlineStr">
        <is>
          <t>VÄSTERNORRLANDS LÄN</t>
        </is>
      </c>
      <c r="E533" t="inlineStr">
        <is>
          <t>SOLLEFTEÅ</t>
        </is>
      </c>
      <c r="G533" t="n">
        <v>1.5</v>
      </c>
      <c r="H533" t="n">
        <v>0</v>
      </c>
      <c r="I533" t="n">
        <v>0</v>
      </c>
      <c r="J533" t="n">
        <v>0</v>
      </c>
      <c r="K533" t="n">
        <v>0</v>
      </c>
      <c r="L533" t="n">
        <v>0</v>
      </c>
      <c r="M533" t="n">
        <v>0</v>
      </c>
      <c r="N533" t="n">
        <v>0</v>
      </c>
      <c r="O533" t="n">
        <v>0</v>
      </c>
      <c r="P533" t="n">
        <v>0</v>
      </c>
      <c r="Q533" t="n">
        <v>0</v>
      </c>
      <c r="R533" s="2" t="inlineStr"/>
    </row>
    <row r="534" ht="15" customHeight="1">
      <c r="A534" t="inlineStr">
        <is>
          <t>A 60531-2019</t>
        </is>
      </c>
      <c r="B534" s="1" t="n">
        <v>43781</v>
      </c>
      <c r="C534" s="1" t="n">
        <v>45356</v>
      </c>
      <c r="D534" t="inlineStr">
        <is>
          <t>VÄSTERNORRLANDS LÄN</t>
        </is>
      </c>
      <c r="E534" t="inlineStr">
        <is>
          <t>SOLLEFTEÅ</t>
        </is>
      </c>
      <c r="G534" t="n">
        <v>0.9</v>
      </c>
      <c r="H534" t="n">
        <v>0</v>
      </c>
      <c r="I534" t="n">
        <v>0</v>
      </c>
      <c r="J534" t="n">
        <v>0</v>
      </c>
      <c r="K534" t="n">
        <v>0</v>
      </c>
      <c r="L534" t="n">
        <v>0</v>
      </c>
      <c r="M534" t="n">
        <v>0</v>
      </c>
      <c r="N534" t="n">
        <v>0</v>
      </c>
      <c r="O534" t="n">
        <v>0</v>
      </c>
      <c r="P534" t="n">
        <v>0</v>
      </c>
      <c r="Q534" t="n">
        <v>0</v>
      </c>
      <c r="R534" s="2" t="inlineStr"/>
    </row>
    <row r="535" ht="15" customHeight="1">
      <c r="A535" t="inlineStr">
        <is>
          <t>A 60538-2019</t>
        </is>
      </c>
      <c r="B535" s="1" t="n">
        <v>43781</v>
      </c>
      <c r="C535" s="1" t="n">
        <v>45356</v>
      </c>
      <c r="D535" t="inlineStr">
        <is>
          <t>VÄSTERNORRLANDS LÄN</t>
        </is>
      </c>
      <c r="E535" t="inlineStr">
        <is>
          <t>SOLLEFTEÅ</t>
        </is>
      </c>
      <c r="G535" t="n">
        <v>4.6</v>
      </c>
      <c r="H535" t="n">
        <v>0</v>
      </c>
      <c r="I535" t="n">
        <v>0</v>
      </c>
      <c r="J535" t="n">
        <v>0</v>
      </c>
      <c r="K535" t="n">
        <v>0</v>
      </c>
      <c r="L535" t="n">
        <v>0</v>
      </c>
      <c r="M535" t="n">
        <v>0</v>
      </c>
      <c r="N535" t="n">
        <v>0</v>
      </c>
      <c r="O535" t="n">
        <v>0</v>
      </c>
      <c r="P535" t="n">
        <v>0</v>
      </c>
      <c r="Q535" t="n">
        <v>0</v>
      </c>
      <c r="R535" s="2" t="inlineStr"/>
    </row>
    <row r="536" ht="15" customHeight="1">
      <c r="A536" t="inlineStr">
        <is>
          <t>A 60905-2019</t>
        </is>
      </c>
      <c r="B536" s="1" t="n">
        <v>43781</v>
      </c>
      <c r="C536" s="1" t="n">
        <v>45356</v>
      </c>
      <c r="D536" t="inlineStr">
        <is>
          <t>VÄSTERNORRLANDS LÄN</t>
        </is>
      </c>
      <c r="E536" t="inlineStr">
        <is>
          <t>SOLLEFTEÅ</t>
        </is>
      </c>
      <c r="G536" t="n">
        <v>0.4</v>
      </c>
      <c r="H536" t="n">
        <v>0</v>
      </c>
      <c r="I536" t="n">
        <v>0</v>
      </c>
      <c r="J536" t="n">
        <v>0</v>
      </c>
      <c r="K536" t="n">
        <v>0</v>
      </c>
      <c r="L536" t="n">
        <v>0</v>
      </c>
      <c r="M536" t="n">
        <v>0</v>
      </c>
      <c r="N536" t="n">
        <v>0</v>
      </c>
      <c r="O536" t="n">
        <v>0</v>
      </c>
      <c r="P536" t="n">
        <v>0</v>
      </c>
      <c r="Q536" t="n">
        <v>0</v>
      </c>
      <c r="R536" s="2" t="inlineStr"/>
    </row>
    <row r="537" ht="15" customHeight="1">
      <c r="A537" t="inlineStr">
        <is>
          <t>A 61978-2019</t>
        </is>
      </c>
      <c r="B537" s="1" t="n">
        <v>43781</v>
      </c>
      <c r="C537" s="1" t="n">
        <v>45356</v>
      </c>
      <c r="D537" t="inlineStr">
        <is>
          <t>VÄSTERNORRLANDS LÄN</t>
        </is>
      </c>
      <c r="E537" t="inlineStr">
        <is>
          <t>SOLLEFTEÅ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63450-2019</t>
        </is>
      </c>
      <c r="B538" s="1" t="n">
        <v>43788</v>
      </c>
      <c r="C538" s="1" t="n">
        <v>45356</v>
      </c>
      <c r="D538" t="inlineStr">
        <is>
          <t>VÄSTERNORRLANDS LÄN</t>
        </is>
      </c>
      <c r="E538" t="inlineStr">
        <is>
          <t>SOLLEFTEÅ</t>
        </is>
      </c>
      <c r="G538" t="n">
        <v>8.6</v>
      </c>
      <c r="H538" t="n">
        <v>0</v>
      </c>
      <c r="I538" t="n">
        <v>0</v>
      </c>
      <c r="J538" t="n">
        <v>0</v>
      </c>
      <c r="K538" t="n">
        <v>0</v>
      </c>
      <c r="L538" t="n">
        <v>0</v>
      </c>
      <c r="M538" t="n">
        <v>0</v>
      </c>
      <c r="N538" t="n">
        <v>0</v>
      </c>
      <c r="O538" t="n">
        <v>0</v>
      </c>
      <c r="P538" t="n">
        <v>0</v>
      </c>
      <c r="Q538" t="n">
        <v>0</v>
      </c>
      <c r="R538" s="2" t="inlineStr"/>
    </row>
    <row r="539" ht="15" customHeight="1">
      <c r="A539" t="inlineStr">
        <is>
          <t>A 62500-2019</t>
        </is>
      </c>
      <c r="B539" s="1" t="n">
        <v>43788</v>
      </c>
      <c r="C539" s="1" t="n">
        <v>45356</v>
      </c>
      <c r="D539" t="inlineStr">
        <is>
          <t>VÄSTERNORRLANDS LÄN</t>
        </is>
      </c>
      <c r="E539" t="inlineStr">
        <is>
          <t>SOLLEFTEÅ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64197-2019</t>
        </is>
      </c>
      <c r="B540" s="1" t="n">
        <v>43791</v>
      </c>
      <c r="C540" s="1" t="n">
        <v>45356</v>
      </c>
      <c r="D540" t="inlineStr">
        <is>
          <t>VÄSTERNORRLANDS LÄN</t>
        </is>
      </c>
      <c r="E540" t="inlineStr">
        <is>
          <t>SOLLEFTEÅ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63552-2019</t>
        </is>
      </c>
      <c r="B541" s="1" t="n">
        <v>43794</v>
      </c>
      <c r="C541" s="1" t="n">
        <v>45356</v>
      </c>
      <c r="D541" t="inlineStr">
        <is>
          <t>VÄSTERNORRLANDS LÄN</t>
        </is>
      </c>
      <c r="E541" t="inlineStr">
        <is>
          <t>SOLLEFTEÅ</t>
        </is>
      </c>
      <c r="G541" t="n">
        <v>7.2</v>
      </c>
      <c r="H541" t="n">
        <v>0</v>
      </c>
      <c r="I541" t="n">
        <v>0</v>
      </c>
      <c r="J541" t="n">
        <v>0</v>
      </c>
      <c r="K541" t="n">
        <v>0</v>
      </c>
      <c r="L541" t="n">
        <v>0</v>
      </c>
      <c r="M541" t="n">
        <v>0</v>
      </c>
      <c r="N541" t="n">
        <v>0</v>
      </c>
      <c r="O541" t="n">
        <v>0</v>
      </c>
      <c r="P541" t="n">
        <v>0</v>
      </c>
      <c r="Q541" t="n">
        <v>0</v>
      </c>
      <c r="R541" s="2" t="inlineStr"/>
    </row>
    <row r="542" ht="15" customHeight="1">
      <c r="A542" t="inlineStr">
        <is>
          <t>A 63752-2019</t>
        </is>
      </c>
      <c r="B542" s="1" t="n">
        <v>43795</v>
      </c>
      <c r="C542" s="1" t="n">
        <v>45356</v>
      </c>
      <c r="D542" t="inlineStr">
        <is>
          <t>VÄSTERNORRLANDS LÄN</t>
        </is>
      </c>
      <c r="E542" t="inlineStr">
        <is>
          <t>SOLLEFTEÅ</t>
        </is>
      </c>
      <c r="G542" t="n">
        <v>4.2</v>
      </c>
      <c r="H542" t="n">
        <v>0</v>
      </c>
      <c r="I542" t="n">
        <v>0</v>
      </c>
      <c r="J542" t="n">
        <v>0</v>
      </c>
      <c r="K542" t="n">
        <v>0</v>
      </c>
      <c r="L542" t="n">
        <v>0</v>
      </c>
      <c r="M542" t="n">
        <v>0</v>
      </c>
      <c r="N542" t="n">
        <v>0</v>
      </c>
      <c r="O542" t="n">
        <v>0</v>
      </c>
      <c r="P542" t="n">
        <v>0</v>
      </c>
      <c r="Q542" t="n">
        <v>0</v>
      </c>
      <c r="R542" s="2" t="inlineStr"/>
    </row>
    <row r="543" ht="15" customHeight="1">
      <c r="A543" t="inlineStr">
        <is>
          <t>A 65218-2019</t>
        </is>
      </c>
      <c r="B543" s="1" t="n">
        <v>43797</v>
      </c>
      <c r="C543" s="1" t="n">
        <v>45356</v>
      </c>
      <c r="D543" t="inlineStr">
        <is>
          <t>VÄSTERNORRLANDS LÄN</t>
        </is>
      </c>
      <c r="E543" t="inlineStr">
        <is>
          <t>SOLLEFTEÅ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65029-2019</t>
        </is>
      </c>
      <c r="B544" s="1" t="n">
        <v>43801</v>
      </c>
      <c r="C544" s="1" t="n">
        <v>45356</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65332-2019</t>
        </is>
      </c>
      <c r="B545" s="1" t="n">
        <v>43802</v>
      </c>
      <c r="C545" s="1" t="n">
        <v>45356</v>
      </c>
      <c r="D545" t="inlineStr">
        <is>
          <t>VÄSTERNORRLANDS LÄN</t>
        </is>
      </c>
      <c r="E545" t="inlineStr">
        <is>
          <t>SOLLEFTEÅ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66321-2019</t>
        </is>
      </c>
      <c r="B546" s="1" t="n">
        <v>43802</v>
      </c>
      <c r="C546" s="1" t="n">
        <v>45356</v>
      </c>
      <c r="D546" t="inlineStr">
        <is>
          <t>VÄSTERNORRLANDS LÄN</t>
        </is>
      </c>
      <c r="E546" t="inlineStr">
        <is>
          <t>SOLLEFTEÅ</t>
        </is>
      </c>
      <c r="G546" t="n">
        <v>6.4</v>
      </c>
      <c r="H546" t="n">
        <v>0</v>
      </c>
      <c r="I546" t="n">
        <v>0</v>
      </c>
      <c r="J546" t="n">
        <v>0</v>
      </c>
      <c r="K546" t="n">
        <v>0</v>
      </c>
      <c r="L546" t="n">
        <v>0</v>
      </c>
      <c r="M546" t="n">
        <v>0</v>
      </c>
      <c r="N546" t="n">
        <v>0</v>
      </c>
      <c r="O546" t="n">
        <v>0</v>
      </c>
      <c r="P546" t="n">
        <v>0</v>
      </c>
      <c r="Q546" t="n">
        <v>0</v>
      </c>
      <c r="R546" s="2" t="inlineStr"/>
    </row>
    <row r="547" ht="15" customHeight="1">
      <c r="A547" t="inlineStr">
        <is>
          <t>A 65319-2019</t>
        </is>
      </c>
      <c r="B547" s="1" t="n">
        <v>43802</v>
      </c>
      <c r="C547" s="1" t="n">
        <v>45356</v>
      </c>
      <c r="D547" t="inlineStr">
        <is>
          <t>VÄSTERNORRLANDS LÄN</t>
        </is>
      </c>
      <c r="E547" t="inlineStr">
        <is>
          <t>SOLLEFTEÅ</t>
        </is>
      </c>
      <c r="G547" t="n">
        <v>0.9</v>
      </c>
      <c r="H547" t="n">
        <v>0</v>
      </c>
      <c r="I547" t="n">
        <v>0</v>
      </c>
      <c r="J547" t="n">
        <v>0</v>
      </c>
      <c r="K547" t="n">
        <v>0</v>
      </c>
      <c r="L547" t="n">
        <v>0</v>
      </c>
      <c r="M547" t="n">
        <v>0</v>
      </c>
      <c r="N547" t="n">
        <v>0</v>
      </c>
      <c r="O547" t="n">
        <v>0</v>
      </c>
      <c r="P547" t="n">
        <v>0</v>
      </c>
      <c r="Q547" t="n">
        <v>0</v>
      </c>
      <c r="R547" s="2" t="inlineStr"/>
    </row>
    <row r="548" ht="15" customHeight="1">
      <c r="A548" t="inlineStr">
        <is>
          <t>A 65327-2019</t>
        </is>
      </c>
      <c r="B548" s="1" t="n">
        <v>43802</v>
      </c>
      <c r="C548" s="1" t="n">
        <v>45356</v>
      </c>
      <c r="D548" t="inlineStr">
        <is>
          <t>VÄSTERNORRLANDS LÄN</t>
        </is>
      </c>
      <c r="E548" t="inlineStr">
        <is>
          <t>SOLLEFTEÅ</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66391-2019</t>
        </is>
      </c>
      <c r="B549" s="1" t="n">
        <v>43808</v>
      </c>
      <c r="C549" s="1" t="n">
        <v>45356</v>
      </c>
      <c r="D549" t="inlineStr">
        <is>
          <t>VÄSTERNORRLANDS LÄN</t>
        </is>
      </c>
      <c r="E549" t="inlineStr">
        <is>
          <t>SOLLEFTEÅ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67805-2019</t>
        </is>
      </c>
      <c r="B550" s="1" t="n">
        <v>43815</v>
      </c>
      <c r="C550" s="1" t="n">
        <v>45356</v>
      </c>
      <c r="D550" t="inlineStr">
        <is>
          <t>VÄSTERNORRLANDS LÄN</t>
        </is>
      </c>
      <c r="E550" t="inlineStr">
        <is>
          <t>SOLLEFTEÅ</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67815-2019</t>
        </is>
      </c>
      <c r="B551" s="1" t="n">
        <v>43815</v>
      </c>
      <c r="C551" s="1" t="n">
        <v>45356</v>
      </c>
      <c r="D551" t="inlineStr">
        <is>
          <t>VÄSTERNORRLANDS LÄN</t>
        </is>
      </c>
      <c r="E551" t="inlineStr">
        <is>
          <t>SOLLEFTEÅ</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1627-2020</t>
        </is>
      </c>
      <c r="B552" s="1" t="n">
        <v>43829</v>
      </c>
      <c r="C552" s="1" t="n">
        <v>45356</v>
      </c>
      <c r="D552" t="inlineStr">
        <is>
          <t>VÄSTERNORRLANDS LÄN</t>
        </is>
      </c>
      <c r="E552" t="inlineStr">
        <is>
          <t>SOLLEFTEÅ</t>
        </is>
      </c>
      <c r="G552" t="n">
        <v>9</v>
      </c>
      <c r="H552" t="n">
        <v>0</v>
      </c>
      <c r="I552" t="n">
        <v>0</v>
      </c>
      <c r="J552" t="n">
        <v>0</v>
      </c>
      <c r="K552" t="n">
        <v>0</v>
      </c>
      <c r="L552" t="n">
        <v>0</v>
      </c>
      <c r="M552" t="n">
        <v>0</v>
      </c>
      <c r="N552" t="n">
        <v>0</v>
      </c>
      <c r="O552" t="n">
        <v>0</v>
      </c>
      <c r="P552" t="n">
        <v>0</v>
      </c>
      <c r="Q552" t="n">
        <v>0</v>
      </c>
      <c r="R552" s="2" t="inlineStr"/>
    </row>
    <row r="553" ht="15" customHeight="1">
      <c r="A553" t="inlineStr">
        <is>
          <t>A 127-2020</t>
        </is>
      </c>
      <c r="B553" s="1" t="n">
        <v>43832</v>
      </c>
      <c r="C553" s="1" t="n">
        <v>45356</v>
      </c>
      <c r="D553" t="inlineStr">
        <is>
          <t>VÄSTERNORRLANDS LÄN</t>
        </is>
      </c>
      <c r="E553" t="inlineStr">
        <is>
          <t>SOLLEFTEÅ</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125-2020</t>
        </is>
      </c>
      <c r="B554" s="1" t="n">
        <v>43832</v>
      </c>
      <c r="C554" s="1" t="n">
        <v>45356</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126-2020</t>
        </is>
      </c>
      <c r="B555" s="1" t="n">
        <v>43832</v>
      </c>
      <c r="C555" s="1" t="n">
        <v>45356</v>
      </c>
      <c r="D555" t="inlineStr">
        <is>
          <t>VÄSTERNORRLANDS LÄN</t>
        </is>
      </c>
      <c r="E555" t="inlineStr">
        <is>
          <t>SOLLEFTEÅ</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538-2020</t>
        </is>
      </c>
      <c r="B556" s="1" t="n">
        <v>43837</v>
      </c>
      <c r="C556" s="1" t="n">
        <v>45356</v>
      </c>
      <c r="D556" t="inlineStr">
        <is>
          <t>VÄSTERNORRLANDS LÄN</t>
        </is>
      </c>
      <c r="E556" t="inlineStr">
        <is>
          <t>SOLLEFTEÅ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1263-2020</t>
        </is>
      </c>
      <c r="B557" s="1" t="n">
        <v>43840</v>
      </c>
      <c r="C557" s="1" t="n">
        <v>45356</v>
      </c>
      <c r="D557" t="inlineStr">
        <is>
          <t>VÄSTERNORRLANDS LÄN</t>
        </is>
      </c>
      <c r="E557" t="inlineStr">
        <is>
          <t>SOLLEFTEÅ</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1262-2020</t>
        </is>
      </c>
      <c r="B558" s="1" t="n">
        <v>43840</v>
      </c>
      <c r="C558" s="1" t="n">
        <v>45356</v>
      </c>
      <c r="D558" t="inlineStr">
        <is>
          <t>VÄSTERNORRLANDS LÄN</t>
        </is>
      </c>
      <c r="E558" t="inlineStr">
        <is>
          <t>SOLLEFTEÅ</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1213-2020</t>
        </is>
      </c>
      <c r="B559" s="1" t="n">
        <v>43840</v>
      </c>
      <c r="C559" s="1" t="n">
        <v>45356</v>
      </c>
      <c r="D559" t="inlineStr">
        <is>
          <t>VÄSTERNORRLANDS LÄN</t>
        </is>
      </c>
      <c r="E559" t="inlineStr">
        <is>
          <t>SOLLEFTEÅ</t>
        </is>
      </c>
      <c r="F559" t="inlineStr">
        <is>
          <t>Kyrkan</t>
        </is>
      </c>
      <c r="G559" t="n">
        <v>13.9</v>
      </c>
      <c r="H559" t="n">
        <v>0</v>
      </c>
      <c r="I559" t="n">
        <v>0</v>
      </c>
      <c r="J559" t="n">
        <v>0</v>
      </c>
      <c r="K559" t="n">
        <v>0</v>
      </c>
      <c r="L559" t="n">
        <v>0</v>
      </c>
      <c r="M559" t="n">
        <v>0</v>
      </c>
      <c r="N559" t="n">
        <v>0</v>
      </c>
      <c r="O559" t="n">
        <v>0</v>
      </c>
      <c r="P559" t="n">
        <v>0</v>
      </c>
      <c r="Q559" t="n">
        <v>0</v>
      </c>
      <c r="R559" s="2" t="inlineStr"/>
    </row>
    <row r="560" ht="15" customHeight="1">
      <c r="A560" t="inlineStr">
        <is>
          <t>A 1568-2020</t>
        </is>
      </c>
      <c r="B560" s="1" t="n">
        <v>43844</v>
      </c>
      <c r="C560" s="1" t="n">
        <v>45356</v>
      </c>
      <c r="D560" t="inlineStr">
        <is>
          <t>VÄSTERNORRLANDS LÄN</t>
        </is>
      </c>
      <c r="E560" t="inlineStr">
        <is>
          <t>SOLLEFTEÅ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2897-2020</t>
        </is>
      </c>
      <c r="B561" s="1" t="n">
        <v>43850</v>
      </c>
      <c r="C561" s="1" t="n">
        <v>45356</v>
      </c>
      <c r="D561" t="inlineStr">
        <is>
          <t>VÄSTERNORRLANDS LÄN</t>
        </is>
      </c>
      <c r="E561" t="inlineStr">
        <is>
          <t>SOLLEFTEÅ</t>
        </is>
      </c>
      <c r="G561" t="n">
        <v>7.6</v>
      </c>
      <c r="H561" t="n">
        <v>0</v>
      </c>
      <c r="I561" t="n">
        <v>0</v>
      </c>
      <c r="J561" t="n">
        <v>0</v>
      </c>
      <c r="K561" t="n">
        <v>0</v>
      </c>
      <c r="L561" t="n">
        <v>0</v>
      </c>
      <c r="M561" t="n">
        <v>0</v>
      </c>
      <c r="N561" t="n">
        <v>0</v>
      </c>
      <c r="O561" t="n">
        <v>0</v>
      </c>
      <c r="P561" t="n">
        <v>0</v>
      </c>
      <c r="Q561" t="n">
        <v>0</v>
      </c>
      <c r="R561" s="2" t="inlineStr"/>
    </row>
    <row r="562" ht="15" customHeight="1">
      <c r="A562" t="inlineStr">
        <is>
          <t>A 3230-2020</t>
        </is>
      </c>
      <c r="B562" s="1" t="n">
        <v>43851</v>
      </c>
      <c r="C562" s="1" t="n">
        <v>45356</v>
      </c>
      <c r="D562" t="inlineStr">
        <is>
          <t>VÄSTERNORRLANDS LÄN</t>
        </is>
      </c>
      <c r="E562" t="inlineStr">
        <is>
          <t>SOLLEFTEÅ</t>
        </is>
      </c>
      <c r="F562" t="inlineStr">
        <is>
          <t>Övriga statliga verk och myndigheter</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4363-2020</t>
        </is>
      </c>
      <c r="B563" s="1" t="n">
        <v>43857</v>
      </c>
      <c r="C563" s="1" t="n">
        <v>45356</v>
      </c>
      <c r="D563" t="inlineStr">
        <is>
          <t>VÄSTERNORRLANDS LÄN</t>
        </is>
      </c>
      <c r="E563" t="inlineStr">
        <is>
          <t>SOLLEFTEÅ</t>
        </is>
      </c>
      <c r="G563" t="n">
        <v>6.4</v>
      </c>
      <c r="H563" t="n">
        <v>0</v>
      </c>
      <c r="I563" t="n">
        <v>0</v>
      </c>
      <c r="J563" t="n">
        <v>0</v>
      </c>
      <c r="K563" t="n">
        <v>0</v>
      </c>
      <c r="L563" t="n">
        <v>0</v>
      </c>
      <c r="M563" t="n">
        <v>0</v>
      </c>
      <c r="N563" t="n">
        <v>0</v>
      </c>
      <c r="O563" t="n">
        <v>0</v>
      </c>
      <c r="P563" t="n">
        <v>0</v>
      </c>
      <c r="Q563" t="n">
        <v>0</v>
      </c>
      <c r="R563" s="2" t="inlineStr"/>
    </row>
    <row r="564" ht="15" customHeight="1">
      <c r="A564" t="inlineStr">
        <is>
          <t>A 5248-2020</t>
        </is>
      </c>
      <c r="B564" s="1" t="n">
        <v>43857</v>
      </c>
      <c r="C564" s="1" t="n">
        <v>45356</v>
      </c>
      <c r="D564" t="inlineStr">
        <is>
          <t>VÄSTERNORRLANDS LÄN</t>
        </is>
      </c>
      <c r="E564" t="inlineStr">
        <is>
          <t>SOLLEFTEÅ</t>
        </is>
      </c>
      <c r="G564" t="n">
        <v>0.9</v>
      </c>
      <c r="H564" t="n">
        <v>0</v>
      </c>
      <c r="I564" t="n">
        <v>0</v>
      </c>
      <c r="J564" t="n">
        <v>0</v>
      </c>
      <c r="K564" t="n">
        <v>0</v>
      </c>
      <c r="L564" t="n">
        <v>0</v>
      </c>
      <c r="M564" t="n">
        <v>0</v>
      </c>
      <c r="N564" t="n">
        <v>0</v>
      </c>
      <c r="O564" t="n">
        <v>0</v>
      </c>
      <c r="P564" t="n">
        <v>0</v>
      </c>
      <c r="Q564" t="n">
        <v>0</v>
      </c>
      <c r="R564" s="2" t="inlineStr"/>
    </row>
    <row r="565" ht="15" customHeight="1">
      <c r="A565" t="inlineStr">
        <is>
          <t>A 5635-2020</t>
        </is>
      </c>
      <c r="B565" s="1" t="n">
        <v>43860</v>
      </c>
      <c r="C565" s="1" t="n">
        <v>45356</v>
      </c>
      <c r="D565" t="inlineStr">
        <is>
          <t>VÄSTERNORRLANDS LÄN</t>
        </is>
      </c>
      <c r="E565" t="inlineStr">
        <is>
          <t>SOLLEFTEÅ</t>
        </is>
      </c>
      <c r="G565" t="n">
        <v>1.5</v>
      </c>
      <c r="H565" t="n">
        <v>0</v>
      </c>
      <c r="I565" t="n">
        <v>0</v>
      </c>
      <c r="J565" t="n">
        <v>0</v>
      </c>
      <c r="K565" t="n">
        <v>0</v>
      </c>
      <c r="L565" t="n">
        <v>0</v>
      </c>
      <c r="M565" t="n">
        <v>0</v>
      </c>
      <c r="N565" t="n">
        <v>0</v>
      </c>
      <c r="O565" t="n">
        <v>0</v>
      </c>
      <c r="P565" t="n">
        <v>0</v>
      </c>
      <c r="Q565" t="n">
        <v>0</v>
      </c>
      <c r="R565" s="2" t="inlineStr"/>
    </row>
    <row r="566" ht="15" customHeight="1">
      <c r="A566" t="inlineStr">
        <is>
          <t>A 5662-2020</t>
        </is>
      </c>
      <c r="B566" s="1" t="n">
        <v>43861</v>
      </c>
      <c r="C566" s="1" t="n">
        <v>45356</v>
      </c>
      <c r="D566" t="inlineStr">
        <is>
          <t>VÄSTERNORRLANDS LÄN</t>
        </is>
      </c>
      <c r="E566" t="inlineStr">
        <is>
          <t>SOLLEFTEÅ</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5714-2020</t>
        </is>
      </c>
      <c r="B567" s="1" t="n">
        <v>43861</v>
      </c>
      <c r="C567" s="1" t="n">
        <v>45356</v>
      </c>
      <c r="D567" t="inlineStr">
        <is>
          <t>VÄSTERNORRLANDS LÄN</t>
        </is>
      </c>
      <c r="E567" t="inlineStr">
        <is>
          <t>SOLLEFTEÅ</t>
        </is>
      </c>
      <c r="G567" t="n">
        <v>3</v>
      </c>
      <c r="H567" t="n">
        <v>0</v>
      </c>
      <c r="I567" t="n">
        <v>0</v>
      </c>
      <c r="J567" t="n">
        <v>0</v>
      </c>
      <c r="K567" t="n">
        <v>0</v>
      </c>
      <c r="L567" t="n">
        <v>0</v>
      </c>
      <c r="M567" t="n">
        <v>0</v>
      </c>
      <c r="N567" t="n">
        <v>0</v>
      </c>
      <c r="O567" t="n">
        <v>0</v>
      </c>
      <c r="P567" t="n">
        <v>0</v>
      </c>
      <c r="Q567" t="n">
        <v>0</v>
      </c>
      <c r="R567" s="2" t="inlineStr"/>
    </row>
    <row r="568" ht="15" customHeight="1">
      <c r="A568" t="inlineStr">
        <is>
          <t>A 5908-2020</t>
        </is>
      </c>
      <c r="B568" s="1" t="n">
        <v>43861</v>
      </c>
      <c r="C568" s="1" t="n">
        <v>45356</v>
      </c>
      <c r="D568" t="inlineStr">
        <is>
          <t>VÄSTERNORRLANDS LÄN</t>
        </is>
      </c>
      <c r="E568" t="inlineStr">
        <is>
          <t>SOLLEFTEÅ</t>
        </is>
      </c>
      <c r="G568" t="n">
        <v>4.6</v>
      </c>
      <c r="H568" t="n">
        <v>0</v>
      </c>
      <c r="I568" t="n">
        <v>0</v>
      </c>
      <c r="J568" t="n">
        <v>0</v>
      </c>
      <c r="K568" t="n">
        <v>0</v>
      </c>
      <c r="L568" t="n">
        <v>0</v>
      </c>
      <c r="M568" t="n">
        <v>0</v>
      </c>
      <c r="N568" t="n">
        <v>0</v>
      </c>
      <c r="O568" t="n">
        <v>0</v>
      </c>
      <c r="P568" t="n">
        <v>0</v>
      </c>
      <c r="Q568" t="n">
        <v>0</v>
      </c>
      <c r="R568" s="2" t="inlineStr"/>
    </row>
    <row r="569" ht="15" customHeight="1">
      <c r="A569" t="inlineStr">
        <is>
          <t>A 8363-2020</t>
        </is>
      </c>
      <c r="B569" s="1" t="n">
        <v>43875</v>
      </c>
      <c r="C569" s="1" t="n">
        <v>45356</v>
      </c>
      <c r="D569" t="inlineStr">
        <is>
          <t>VÄSTERNORRLANDS LÄN</t>
        </is>
      </c>
      <c r="E569" t="inlineStr">
        <is>
          <t>SOLLEFTEÅ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8935-2020</t>
        </is>
      </c>
      <c r="B570" s="1" t="n">
        <v>43878</v>
      </c>
      <c r="C570" s="1" t="n">
        <v>45356</v>
      </c>
      <c r="D570" t="inlineStr">
        <is>
          <t>VÄSTERNORRLANDS LÄN</t>
        </is>
      </c>
      <c r="E570" t="inlineStr">
        <is>
          <t>SOLLEFTEÅ</t>
        </is>
      </c>
      <c r="G570" t="n">
        <v>3.9</v>
      </c>
      <c r="H570" t="n">
        <v>0</v>
      </c>
      <c r="I570" t="n">
        <v>0</v>
      </c>
      <c r="J570" t="n">
        <v>0</v>
      </c>
      <c r="K570" t="n">
        <v>0</v>
      </c>
      <c r="L570" t="n">
        <v>0</v>
      </c>
      <c r="M570" t="n">
        <v>0</v>
      </c>
      <c r="N570" t="n">
        <v>0</v>
      </c>
      <c r="O570" t="n">
        <v>0</v>
      </c>
      <c r="P570" t="n">
        <v>0</v>
      </c>
      <c r="Q570" t="n">
        <v>0</v>
      </c>
      <c r="R570" s="2" t="inlineStr"/>
    </row>
    <row r="571" ht="15" customHeight="1">
      <c r="A571" t="inlineStr">
        <is>
          <t>A 10631-2020</t>
        </is>
      </c>
      <c r="B571" s="1" t="n">
        <v>43887</v>
      </c>
      <c r="C571" s="1" t="n">
        <v>45356</v>
      </c>
      <c r="D571" t="inlineStr">
        <is>
          <t>VÄSTERNORRLANDS LÄN</t>
        </is>
      </c>
      <c r="E571" t="inlineStr">
        <is>
          <t>SOLLEFTEÅ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10846-2020</t>
        </is>
      </c>
      <c r="B572" s="1" t="n">
        <v>43888</v>
      </c>
      <c r="C572" s="1" t="n">
        <v>45356</v>
      </c>
      <c r="D572" t="inlineStr">
        <is>
          <t>VÄSTERNORRLANDS LÄN</t>
        </is>
      </c>
      <c r="E572" t="inlineStr">
        <is>
          <t>SOLLEFTEÅ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11685-2020</t>
        </is>
      </c>
      <c r="B573" s="1" t="n">
        <v>43893</v>
      </c>
      <c r="C573" s="1" t="n">
        <v>45356</v>
      </c>
      <c r="D573" t="inlineStr">
        <is>
          <t>VÄSTERNORRLANDS LÄN</t>
        </is>
      </c>
      <c r="E573" t="inlineStr">
        <is>
          <t>SOLLEFTEÅ</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12819-2020</t>
        </is>
      </c>
      <c r="B574" s="1" t="n">
        <v>43893</v>
      </c>
      <c r="C574" s="1" t="n">
        <v>45356</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12526-2020</t>
        </is>
      </c>
      <c r="B575" s="1" t="n">
        <v>43896</v>
      </c>
      <c r="C575" s="1" t="n">
        <v>45356</v>
      </c>
      <c r="D575" t="inlineStr">
        <is>
          <t>VÄSTERNORRLANDS LÄN</t>
        </is>
      </c>
      <c r="E575" t="inlineStr">
        <is>
          <t>SOLLEFTEÅ</t>
        </is>
      </c>
      <c r="F575" t="inlineStr">
        <is>
          <t>SCA</t>
        </is>
      </c>
      <c r="G575" t="n">
        <v>14.7</v>
      </c>
      <c r="H575" t="n">
        <v>0</v>
      </c>
      <c r="I575" t="n">
        <v>0</v>
      </c>
      <c r="J575" t="n">
        <v>0</v>
      </c>
      <c r="K575" t="n">
        <v>0</v>
      </c>
      <c r="L575" t="n">
        <v>0</v>
      </c>
      <c r="M575" t="n">
        <v>0</v>
      </c>
      <c r="N575" t="n">
        <v>0</v>
      </c>
      <c r="O575" t="n">
        <v>0</v>
      </c>
      <c r="P575" t="n">
        <v>0</v>
      </c>
      <c r="Q575" t="n">
        <v>0</v>
      </c>
      <c r="R575" s="2" t="inlineStr"/>
    </row>
    <row r="576" ht="15" customHeight="1">
      <c r="A576" t="inlineStr">
        <is>
          <t>A 12525-2020</t>
        </is>
      </c>
      <c r="B576" s="1" t="n">
        <v>43896</v>
      </c>
      <c r="C576" s="1" t="n">
        <v>45356</v>
      </c>
      <c r="D576" t="inlineStr">
        <is>
          <t>VÄSTERNORRLANDS LÄN</t>
        </is>
      </c>
      <c r="E576" t="inlineStr">
        <is>
          <t>SOLLEFTEÅ</t>
        </is>
      </c>
      <c r="F576" t="inlineStr">
        <is>
          <t>SCA</t>
        </is>
      </c>
      <c r="G576" t="n">
        <v>28.7</v>
      </c>
      <c r="H576" t="n">
        <v>0</v>
      </c>
      <c r="I576" t="n">
        <v>0</v>
      </c>
      <c r="J576" t="n">
        <v>0</v>
      </c>
      <c r="K576" t="n">
        <v>0</v>
      </c>
      <c r="L576" t="n">
        <v>0</v>
      </c>
      <c r="M576" t="n">
        <v>0</v>
      </c>
      <c r="N576" t="n">
        <v>0</v>
      </c>
      <c r="O576" t="n">
        <v>0</v>
      </c>
      <c r="P576" t="n">
        <v>0</v>
      </c>
      <c r="Q576" t="n">
        <v>0</v>
      </c>
      <c r="R576" s="2" t="inlineStr"/>
    </row>
    <row r="577" ht="15" customHeight="1">
      <c r="A577" t="inlineStr">
        <is>
          <t>A 13023-2020</t>
        </is>
      </c>
      <c r="B577" s="1" t="n">
        <v>43900</v>
      </c>
      <c r="C577" s="1" t="n">
        <v>45356</v>
      </c>
      <c r="D577" t="inlineStr">
        <is>
          <t>VÄSTERNORRLANDS LÄN</t>
        </is>
      </c>
      <c r="E577" t="inlineStr">
        <is>
          <t>SOLLEFTEÅ</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13567-2020</t>
        </is>
      </c>
      <c r="B578" s="1" t="n">
        <v>43902</v>
      </c>
      <c r="C578" s="1" t="n">
        <v>45356</v>
      </c>
      <c r="D578" t="inlineStr">
        <is>
          <t>VÄSTERNORRLANDS LÄN</t>
        </is>
      </c>
      <c r="E578" t="inlineStr">
        <is>
          <t>SOLLEFTEÅ</t>
        </is>
      </c>
      <c r="F578" t="inlineStr">
        <is>
          <t>SCA</t>
        </is>
      </c>
      <c r="G578" t="n">
        <v>15.9</v>
      </c>
      <c r="H578" t="n">
        <v>0</v>
      </c>
      <c r="I578" t="n">
        <v>0</v>
      </c>
      <c r="J578" t="n">
        <v>0</v>
      </c>
      <c r="K578" t="n">
        <v>0</v>
      </c>
      <c r="L578" t="n">
        <v>0</v>
      </c>
      <c r="M578" t="n">
        <v>0</v>
      </c>
      <c r="N578" t="n">
        <v>0</v>
      </c>
      <c r="O578" t="n">
        <v>0</v>
      </c>
      <c r="P578" t="n">
        <v>0</v>
      </c>
      <c r="Q578" t="n">
        <v>0</v>
      </c>
      <c r="R578" s="2" t="inlineStr"/>
    </row>
    <row r="579" ht="15" customHeight="1">
      <c r="A579" t="inlineStr">
        <is>
          <t>A 13577-2020</t>
        </is>
      </c>
      <c r="B579" s="1" t="n">
        <v>43902</v>
      </c>
      <c r="C579" s="1" t="n">
        <v>45356</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13565-2020</t>
        </is>
      </c>
      <c r="B580" s="1" t="n">
        <v>43902</v>
      </c>
      <c r="C580" s="1" t="n">
        <v>45356</v>
      </c>
      <c r="D580" t="inlineStr">
        <is>
          <t>VÄSTERNORRLANDS LÄN</t>
        </is>
      </c>
      <c r="E580" t="inlineStr">
        <is>
          <t>SOLLEFTEÅ</t>
        </is>
      </c>
      <c r="F580" t="inlineStr">
        <is>
          <t>SCA</t>
        </is>
      </c>
      <c r="G580" t="n">
        <v>12.6</v>
      </c>
      <c r="H580" t="n">
        <v>0</v>
      </c>
      <c r="I580" t="n">
        <v>0</v>
      </c>
      <c r="J580" t="n">
        <v>0</v>
      </c>
      <c r="K580" t="n">
        <v>0</v>
      </c>
      <c r="L580" t="n">
        <v>0</v>
      </c>
      <c r="M580" t="n">
        <v>0</v>
      </c>
      <c r="N580" t="n">
        <v>0</v>
      </c>
      <c r="O580" t="n">
        <v>0</v>
      </c>
      <c r="P580" t="n">
        <v>0</v>
      </c>
      <c r="Q580" t="n">
        <v>0</v>
      </c>
      <c r="R580" s="2" t="inlineStr"/>
    </row>
    <row r="581" ht="15" customHeight="1">
      <c r="A581" t="inlineStr">
        <is>
          <t>A 13575-2020</t>
        </is>
      </c>
      <c r="B581" s="1" t="n">
        <v>43902</v>
      </c>
      <c r="C581" s="1" t="n">
        <v>45356</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13561-2020</t>
        </is>
      </c>
      <c r="B582" s="1" t="n">
        <v>43902</v>
      </c>
      <c r="C582" s="1" t="n">
        <v>45356</v>
      </c>
      <c r="D582" t="inlineStr">
        <is>
          <t>VÄSTERNORRLANDS LÄN</t>
        </is>
      </c>
      <c r="E582" t="inlineStr">
        <is>
          <t>SOLLEFTEÅ</t>
        </is>
      </c>
      <c r="F582" t="inlineStr">
        <is>
          <t>SCA</t>
        </is>
      </c>
      <c r="G582" t="n">
        <v>7.8</v>
      </c>
      <c r="H582" t="n">
        <v>0</v>
      </c>
      <c r="I582" t="n">
        <v>0</v>
      </c>
      <c r="J582" t="n">
        <v>0</v>
      </c>
      <c r="K582" t="n">
        <v>0</v>
      </c>
      <c r="L582" t="n">
        <v>0</v>
      </c>
      <c r="M582" t="n">
        <v>0</v>
      </c>
      <c r="N582" t="n">
        <v>0</v>
      </c>
      <c r="O582" t="n">
        <v>0</v>
      </c>
      <c r="P582" t="n">
        <v>0</v>
      </c>
      <c r="Q582" t="n">
        <v>0</v>
      </c>
      <c r="R582" s="2" t="inlineStr"/>
    </row>
    <row r="583" ht="15" customHeight="1">
      <c r="A583" t="inlineStr">
        <is>
          <t>A 13564-2020</t>
        </is>
      </c>
      <c r="B583" s="1" t="n">
        <v>43902</v>
      </c>
      <c r="C583" s="1" t="n">
        <v>45356</v>
      </c>
      <c r="D583" t="inlineStr">
        <is>
          <t>VÄSTERNORRLANDS LÄN</t>
        </is>
      </c>
      <c r="E583" t="inlineStr">
        <is>
          <t>SOLLEFTEÅ</t>
        </is>
      </c>
      <c r="F583" t="inlineStr">
        <is>
          <t>SCA</t>
        </is>
      </c>
      <c r="G583" t="n">
        <v>26.1</v>
      </c>
      <c r="H583" t="n">
        <v>0</v>
      </c>
      <c r="I583" t="n">
        <v>0</v>
      </c>
      <c r="J583" t="n">
        <v>0</v>
      </c>
      <c r="K583" t="n">
        <v>0</v>
      </c>
      <c r="L583" t="n">
        <v>0</v>
      </c>
      <c r="M583" t="n">
        <v>0</v>
      </c>
      <c r="N583" t="n">
        <v>0</v>
      </c>
      <c r="O583" t="n">
        <v>0</v>
      </c>
      <c r="P583" t="n">
        <v>0</v>
      </c>
      <c r="Q583" t="n">
        <v>0</v>
      </c>
      <c r="R583" s="2" t="inlineStr"/>
    </row>
    <row r="584" ht="15" customHeight="1">
      <c r="A584" t="inlineStr">
        <is>
          <t>A 13798-2020</t>
        </is>
      </c>
      <c r="B584" s="1" t="n">
        <v>43903</v>
      </c>
      <c r="C584" s="1" t="n">
        <v>45356</v>
      </c>
      <c r="D584" t="inlineStr">
        <is>
          <t>VÄSTERNORRLANDS LÄN</t>
        </is>
      </c>
      <c r="E584" t="inlineStr">
        <is>
          <t>SOLLEFTEÅ</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13864-2020</t>
        </is>
      </c>
      <c r="B585" s="1" t="n">
        <v>43906</v>
      </c>
      <c r="C585" s="1" t="n">
        <v>45356</v>
      </c>
      <c r="D585" t="inlineStr">
        <is>
          <t>VÄSTERNORRLANDS LÄN</t>
        </is>
      </c>
      <c r="E585" t="inlineStr">
        <is>
          <t>SOLLEFTEÅ</t>
        </is>
      </c>
      <c r="G585" t="n">
        <v>0.4</v>
      </c>
      <c r="H585" t="n">
        <v>0</v>
      </c>
      <c r="I585" t="n">
        <v>0</v>
      </c>
      <c r="J585" t="n">
        <v>0</v>
      </c>
      <c r="K585" t="n">
        <v>0</v>
      </c>
      <c r="L585" t="n">
        <v>0</v>
      </c>
      <c r="M585" t="n">
        <v>0</v>
      </c>
      <c r="N585" t="n">
        <v>0</v>
      </c>
      <c r="O585" t="n">
        <v>0</v>
      </c>
      <c r="P585" t="n">
        <v>0</v>
      </c>
      <c r="Q585" t="n">
        <v>0</v>
      </c>
      <c r="R585" s="2" t="inlineStr"/>
    </row>
    <row r="586" ht="15" customHeight="1">
      <c r="A586" t="inlineStr">
        <is>
          <t>A 14859-2020</t>
        </is>
      </c>
      <c r="B586" s="1" t="n">
        <v>43909</v>
      </c>
      <c r="C586" s="1" t="n">
        <v>45356</v>
      </c>
      <c r="D586" t="inlineStr">
        <is>
          <t>VÄSTERNORRLANDS LÄN</t>
        </is>
      </c>
      <c r="E586" t="inlineStr">
        <is>
          <t>SOLLEFTEÅ</t>
        </is>
      </c>
      <c r="F586" t="inlineStr">
        <is>
          <t>SCA</t>
        </is>
      </c>
      <c r="G586" t="n">
        <v>5.8</v>
      </c>
      <c r="H586" t="n">
        <v>0</v>
      </c>
      <c r="I586" t="n">
        <v>0</v>
      </c>
      <c r="J586" t="n">
        <v>0</v>
      </c>
      <c r="K586" t="n">
        <v>0</v>
      </c>
      <c r="L586" t="n">
        <v>0</v>
      </c>
      <c r="M586" t="n">
        <v>0</v>
      </c>
      <c r="N586" t="n">
        <v>0</v>
      </c>
      <c r="O586" t="n">
        <v>0</v>
      </c>
      <c r="P586" t="n">
        <v>0</v>
      </c>
      <c r="Q586" t="n">
        <v>0</v>
      </c>
      <c r="R586" s="2" t="inlineStr"/>
    </row>
    <row r="587" ht="15" customHeight="1">
      <c r="A587" t="inlineStr">
        <is>
          <t>A 18515-2020</t>
        </is>
      </c>
      <c r="B587" s="1" t="n">
        <v>43927</v>
      </c>
      <c r="C587" s="1" t="n">
        <v>45356</v>
      </c>
      <c r="D587" t="inlineStr">
        <is>
          <t>VÄSTERNORRLANDS LÄN</t>
        </is>
      </c>
      <c r="E587" t="inlineStr">
        <is>
          <t>SOLLEFTEÅ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18402-2020</t>
        </is>
      </c>
      <c r="B588" s="1" t="n">
        <v>43928</v>
      </c>
      <c r="C588" s="1" t="n">
        <v>45356</v>
      </c>
      <c r="D588" t="inlineStr">
        <is>
          <t>VÄSTERNORRLANDS LÄN</t>
        </is>
      </c>
      <c r="E588" t="inlineStr">
        <is>
          <t>SOLLEFTEÅ</t>
        </is>
      </c>
      <c r="F588" t="inlineStr">
        <is>
          <t>Kyrkan</t>
        </is>
      </c>
      <c r="G588" t="n">
        <v>2.2</v>
      </c>
      <c r="H588" t="n">
        <v>0</v>
      </c>
      <c r="I588" t="n">
        <v>0</v>
      </c>
      <c r="J588" t="n">
        <v>0</v>
      </c>
      <c r="K588" t="n">
        <v>0</v>
      </c>
      <c r="L588" t="n">
        <v>0</v>
      </c>
      <c r="M588" t="n">
        <v>0</v>
      </c>
      <c r="N588" t="n">
        <v>0</v>
      </c>
      <c r="O588" t="n">
        <v>0</v>
      </c>
      <c r="P588" t="n">
        <v>0</v>
      </c>
      <c r="Q588" t="n">
        <v>0</v>
      </c>
      <c r="R588" s="2" t="inlineStr"/>
    </row>
    <row r="589" ht="15" customHeight="1">
      <c r="A589" t="inlineStr">
        <is>
          <t>A 20164-2020</t>
        </is>
      </c>
      <c r="B589" s="1" t="n">
        <v>43944</v>
      </c>
      <c r="C589" s="1" t="n">
        <v>45356</v>
      </c>
      <c r="D589" t="inlineStr">
        <is>
          <t>VÄSTERNORRLANDS LÄN</t>
        </is>
      </c>
      <c r="E589" t="inlineStr">
        <is>
          <t>SOLLEFTEÅ</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20419-2020</t>
        </is>
      </c>
      <c r="B590" s="1" t="n">
        <v>43945</v>
      </c>
      <c r="C590" s="1" t="n">
        <v>45356</v>
      </c>
      <c r="D590" t="inlineStr">
        <is>
          <t>VÄSTERNORRLANDS LÄN</t>
        </is>
      </c>
      <c r="E590" t="inlineStr">
        <is>
          <t>SOLLEFTEÅ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20861-2020</t>
        </is>
      </c>
      <c r="B591" s="1" t="n">
        <v>43948</v>
      </c>
      <c r="C591" s="1" t="n">
        <v>45356</v>
      </c>
      <c r="D591" t="inlineStr">
        <is>
          <t>VÄSTERNORRLANDS LÄN</t>
        </is>
      </c>
      <c r="E591" t="inlineStr">
        <is>
          <t>SOLLEFTEÅ</t>
        </is>
      </c>
      <c r="G591" t="n">
        <v>2.9</v>
      </c>
      <c r="H591" t="n">
        <v>0</v>
      </c>
      <c r="I591" t="n">
        <v>0</v>
      </c>
      <c r="J591" t="n">
        <v>0</v>
      </c>
      <c r="K591" t="n">
        <v>0</v>
      </c>
      <c r="L591" t="n">
        <v>0</v>
      </c>
      <c r="M591" t="n">
        <v>0</v>
      </c>
      <c r="N591" t="n">
        <v>0</v>
      </c>
      <c r="O591" t="n">
        <v>0</v>
      </c>
      <c r="P591" t="n">
        <v>0</v>
      </c>
      <c r="Q591" t="n">
        <v>0</v>
      </c>
      <c r="R591" s="2" t="inlineStr"/>
    </row>
    <row r="592" ht="15" customHeight="1">
      <c r="A592" t="inlineStr">
        <is>
          <t>A 21022-2020</t>
        </is>
      </c>
      <c r="B592" s="1" t="n">
        <v>43950</v>
      </c>
      <c r="C592" s="1" t="n">
        <v>45356</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21097-2020</t>
        </is>
      </c>
      <c r="B593" s="1" t="n">
        <v>43950</v>
      </c>
      <c r="C593" s="1" t="n">
        <v>45356</v>
      </c>
      <c r="D593" t="inlineStr">
        <is>
          <t>VÄSTERNORRLANDS LÄN</t>
        </is>
      </c>
      <c r="E593" t="inlineStr">
        <is>
          <t>SOLLEFTEÅ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21020-2020</t>
        </is>
      </c>
      <c r="B594" s="1" t="n">
        <v>43950</v>
      </c>
      <c r="C594" s="1" t="n">
        <v>45356</v>
      </c>
      <c r="D594" t="inlineStr">
        <is>
          <t>VÄSTERNORRLANDS LÄN</t>
        </is>
      </c>
      <c r="E594" t="inlineStr">
        <is>
          <t>SOLLEFTEÅ</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22371-2020</t>
        </is>
      </c>
      <c r="B595" s="1" t="n">
        <v>43957</v>
      </c>
      <c r="C595" s="1" t="n">
        <v>45356</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22731-2020</t>
        </is>
      </c>
      <c r="B596" s="1" t="n">
        <v>43962</v>
      </c>
      <c r="C596" s="1" t="n">
        <v>45356</v>
      </c>
      <c r="D596" t="inlineStr">
        <is>
          <t>VÄSTERNORRLANDS LÄN</t>
        </is>
      </c>
      <c r="E596" t="inlineStr">
        <is>
          <t>SOLLEFTEÅ</t>
        </is>
      </c>
      <c r="G596" t="n">
        <v>16.8</v>
      </c>
      <c r="H596" t="n">
        <v>0</v>
      </c>
      <c r="I596" t="n">
        <v>0</v>
      </c>
      <c r="J596" t="n">
        <v>0</v>
      </c>
      <c r="K596" t="n">
        <v>0</v>
      </c>
      <c r="L596" t="n">
        <v>0</v>
      </c>
      <c r="M596" t="n">
        <v>0</v>
      </c>
      <c r="N596" t="n">
        <v>0</v>
      </c>
      <c r="O596" t="n">
        <v>0</v>
      </c>
      <c r="P596" t="n">
        <v>0</v>
      </c>
      <c r="Q596" t="n">
        <v>0</v>
      </c>
      <c r="R596" s="2" t="inlineStr"/>
    </row>
    <row r="597" ht="15" customHeight="1">
      <c r="A597" t="inlineStr">
        <is>
          <t>A 21607-2020</t>
        </is>
      </c>
      <c r="B597" s="1" t="n">
        <v>43963</v>
      </c>
      <c r="C597" s="1" t="n">
        <v>45356</v>
      </c>
      <c r="D597" t="inlineStr">
        <is>
          <t>VÄSTERNORRLANDS LÄN</t>
        </is>
      </c>
      <c r="E597" t="inlineStr">
        <is>
          <t>SOLLEFTEÅ</t>
        </is>
      </c>
      <c r="G597" t="n">
        <v>3.6</v>
      </c>
      <c r="H597" t="n">
        <v>0</v>
      </c>
      <c r="I597" t="n">
        <v>0</v>
      </c>
      <c r="J597" t="n">
        <v>0</v>
      </c>
      <c r="K597" t="n">
        <v>0</v>
      </c>
      <c r="L597" t="n">
        <v>0</v>
      </c>
      <c r="M597" t="n">
        <v>0</v>
      </c>
      <c r="N597" t="n">
        <v>0</v>
      </c>
      <c r="O597" t="n">
        <v>0</v>
      </c>
      <c r="P597" t="n">
        <v>0</v>
      </c>
      <c r="Q597" t="n">
        <v>0</v>
      </c>
      <c r="R597" s="2" t="inlineStr"/>
    </row>
    <row r="598" ht="15" customHeight="1">
      <c r="A598" t="inlineStr">
        <is>
          <t>A 22561-2020</t>
        </is>
      </c>
      <c r="B598" s="1" t="n">
        <v>43963</v>
      </c>
      <c r="C598" s="1" t="n">
        <v>45356</v>
      </c>
      <c r="D598" t="inlineStr">
        <is>
          <t>VÄSTERNORRLANDS LÄN</t>
        </is>
      </c>
      <c r="E598" t="inlineStr">
        <is>
          <t>SOLLEFTEÅ</t>
        </is>
      </c>
      <c r="G598" t="n">
        <v>8.6</v>
      </c>
      <c r="H598" t="n">
        <v>0</v>
      </c>
      <c r="I598" t="n">
        <v>0</v>
      </c>
      <c r="J598" t="n">
        <v>0</v>
      </c>
      <c r="K598" t="n">
        <v>0</v>
      </c>
      <c r="L598" t="n">
        <v>0</v>
      </c>
      <c r="M598" t="n">
        <v>0</v>
      </c>
      <c r="N598" t="n">
        <v>0</v>
      </c>
      <c r="O598" t="n">
        <v>0</v>
      </c>
      <c r="P598" t="n">
        <v>0</v>
      </c>
      <c r="Q598" t="n">
        <v>0</v>
      </c>
      <c r="R598" s="2" t="inlineStr"/>
    </row>
    <row r="599" ht="15" customHeight="1">
      <c r="A599" t="inlineStr">
        <is>
          <t>A 23231-2020</t>
        </is>
      </c>
      <c r="B599" s="1" t="n">
        <v>43966</v>
      </c>
      <c r="C599" s="1" t="n">
        <v>45356</v>
      </c>
      <c r="D599" t="inlineStr">
        <is>
          <t>VÄSTERNORRLANDS LÄN</t>
        </is>
      </c>
      <c r="E599" t="inlineStr">
        <is>
          <t>SOLLEFTEÅ</t>
        </is>
      </c>
      <c r="G599" t="n">
        <v>2</v>
      </c>
      <c r="H599" t="n">
        <v>0</v>
      </c>
      <c r="I599" t="n">
        <v>0</v>
      </c>
      <c r="J599" t="n">
        <v>0</v>
      </c>
      <c r="K599" t="n">
        <v>0</v>
      </c>
      <c r="L599" t="n">
        <v>0</v>
      </c>
      <c r="M599" t="n">
        <v>0</v>
      </c>
      <c r="N599" t="n">
        <v>0</v>
      </c>
      <c r="O599" t="n">
        <v>0</v>
      </c>
      <c r="P599" t="n">
        <v>0</v>
      </c>
      <c r="Q599" t="n">
        <v>0</v>
      </c>
      <c r="R599" s="2" t="inlineStr"/>
    </row>
    <row r="600" ht="15" customHeight="1">
      <c r="A600" t="inlineStr">
        <is>
          <t>A 23638-2020</t>
        </is>
      </c>
      <c r="B600" s="1" t="n">
        <v>43969</v>
      </c>
      <c r="C600" s="1" t="n">
        <v>45356</v>
      </c>
      <c r="D600" t="inlineStr">
        <is>
          <t>VÄSTERNORRLANDS LÄN</t>
        </is>
      </c>
      <c r="E600" t="inlineStr">
        <is>
          <t>SOLLEFTEÅ</t>
        </is>
      </c>
      <c r="G600" t="n">
        <v>8.9</v>
      </c>
      <c r="H600" t="n">
        <v>0</v>
      </c>
      <c r="I600" t="n">
        <v>0</v>
      </c>
      <c r="J600" t="n">
        <v>0</v>
      </c>
      <c r="K600" t="n">
        <v>0</v>
      </c>
      <c r="L600" t="n">
        <v>0</v>
      </c>
      <c r="M600" t="n">
        <v>0</v>
      </c>
      <c r="N600" t="n">
        <v>0</v>
      </c>
      <c r="O600" t="n">
        <v>0</v>
      </c>
      <c r="P600" t="n">
        <v>0</v>
      </c>
      <c r="Q600" t="n">
        <v>0</v>
      </c>
      <c r="R600" s="2" t="inlineStr"/>
    </row>
    <row r="601" ht="15" customHeight="1">
      <c r="A601" t="inlineStr">
        <is>
          <t>A 24060-2020</t>
        </is>
      </c>
      <c r="B601" s="1" t="n">
        <v>43971</v>
      </c>
      <c r="C601" s="1" t="n">
        <v>45356</v>
      </c>
      <c r="D601" t="inlineStr">
        <is>
          <t>VÄSTERNORRLANDS LÄN</t>
        </is>
      </c>
      <c r="E601" t="inlineStr">
        <is>
          <t>SOLLEFTEÅ</t>
        </is>
      </c>
      <c r="G601" t="n">
        <v>16.3</v>
      </c>
      <c r="H601" t="n">
        <v>0</v>
      </c>
      <c r="I601" t="n">
        <v>0</v>
      </c>
      <c r="J601" t="n">
        <v>0</v>
      </c>
      <c r="K601" t="n">
        <v>0</v>
      </c>
      <c r="L601" t="n">
        <v>0</v>
      </c>
      <c r="M601" t="n">
        <v>0</v>
      </c>
      <c r="N601" t="n">
        <v>0</v>
      </c>
      <c r="O601" t="n">
        <v>0</v>
      </c>
      <c r="P601" t="n">
        <v>0</v>
      </c>
      <c r="Q601" t="n">
        <v>0</v>
      </c>
      <c r="R601" s="2" t="inlineStr"/>
    </row>
    <row r="602" ht="15" customHeight="1">
      <c r="A602" t="inlineStr">
        <is>
          <t>A 24062-2020</t>
        </is>
      </c>
      <c r="B602" s="1" t="n">
        <v>43971</v>
      </c>
      <c r="C602" s="1" t="n">
        <v>45356</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24061-2020</t>
        </is>
      </c>
      <c r="B603" s="1" t="n">
        <v>43971</v>
      </c>
      <c r="C603" s="1" t="n">
        <v>45356</v>
      </c>
      <c r="D603" t="inlineStr">
        <is>
          <t>VÄSTERNORRLANDS LÄN</t>
        </is>
      </c>
      <c r="E603" t="inlineStr">
        <is>
          <t>SOLLEFTEÅ</t>
        </is>
      </c>
      <c r="G603" t="n">
        <v>5.7</v>
      </c>
      <c r="H603" t="n">
        <v>0</v>
      </c>
      <c r="I603" t="n">
        <v>0</v>
      </c>
      <c r="J603" t="n">
        <v>0</v>
      </c>
      <c r="K603" t="n">
        <v>0</v>
      </c>
      <c r="L603" t="n">
        <v>0</v>
      </c>
      <c r="M603" t="n">
        <v>0</v>
      </c>
      <c r="N603" t="n">
        <v>0</v>
      </c>
      <c r="O603" t="n">
        <v>0</v>
      </c>
      <c r="P603" t="n">
        <v>0</v>
      </c>
      <c r="Q603" t="n">
        <v>0</v>
      </c>
      <c r="R603" s="2" t="inlineStr"/>
    </row>
    <row r="604" ht="15" customHeight="1">
      <c r="A604" t="inlineStr">
        <is>
          <t>A 25100-2020</t>
        </is>
      </c>
      <c r="B604" s="1" t="n">
        <v>43979</v>
      </c>
      <c r="C604" s="1" t="n">
        <v>45356</v>
      </c>
      <c r="D604" t="inlineStr">
        <is>
          <t>VÄSTERNORRLANDS LÄN</t>
        </is>
      </c>
      <c r="E604" t="inlineStr">
        <is>
          <t>SOLLEFTEÅ</t>
        </is>
      </c>
      <c r="G604" t="n">
        <v>4.7</v>
      </c>
      <c r="H604" t="n">
        <v>0</v>
      </c>
      <c r="I604" t="n">
        <v>0</v>
      </c>
      <c r="J604" t="n">
        <v>0</v>
      </c>
      <c r="K604" t="n">
        <v>0</v>
      </c>
      <c r="L604" t="n">
        <v>0</v>
      </c>
      <c r="M604" t="n">
        <v>0</v>
      </c>
      <c r="N604" t="n">
        <v>0</v>
      </c>
      <c r="O604" t="n">
        <v>0</v>
      </c>
      <c r="P604" t="n">
        <v>0</v>
      </c>
      <c r="Q604" t="n">
        <v>0</v>
      </c>
      <c r="R604" s="2" t="inlineStr"/>
    </row>
    <row r="605" ht="15" customHeight="1">
      <c r="A605" t="inlineStr">
        <is>
          <t>A 26189-2020</t>
        </is>
      </c>
      <c r="B605" s="1" t="n">
        <v>43985</v>
      </c>
      <c r="C605" s="1" t="n">
        <v>45356</v>
      </c>
      <c r="D605" t="inlineStr">
        <is>
          <t>VÄSTERNORRLANDS LÄN</t>
        </is>
      </c>
      <c r="E605" t="inlineStr">
        <is>
          <t>SOLLEFTEÅ</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26249-2020</t>
        </is>
      </c>
      <c r="B606" s="1" t="n">
        <v>43986</v>
      </c>
      <c r="C606" s="1" t="n">
        <v>45356</v>
      </c>
      <c r="D606" t="inlineStr">
        <is>
          <t>VÄSTERNORRLANDS LÄN</t>
        </is>
      </c>
      <c r="E606" t="inlineStr">
        <is>
          <t>SOLLEFTEÅ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27199-2020</t>
        </is>
      </c>
      <c r="B607" s="1" t="n">
        <v>43991</v>
      </c>
      <c r="C607" s="1" t="n">
        <v>45356</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27177-2020</t>
        </is>
      </c>
      <c r="B608" s="1" t="n">
        <v>43991</v>
      </c>
      <c r="C608" s="1" t="n">
        <v>45356</v>
      </c>
      <c r="D608" t="inlineStr">
        <is>
          <t>VÄSTERNORRLANDS LÄN</t>
        </is>
      </c>
      <c r="E608" t="inlineStr">
        <is>
          <t>SOLLEFTEÅ</t>
        </is>
      </c>
      <c r="F608" t="inlineStr">
        <is>
          <t>Holmen skog AB</t>
        </is>
      </c>
      <c r="G608" t="n">
        <v>0.8</v>
      </c>
      <c r="H608" t="n">
        <v>0</v>
      </c>
      <c r="I608" t="n">
        <v>0</v>
      </c>
      <c r="J608" t="n">
        <v>0</v>
      </c>
      <c r="K608" t="n">
        <v>0</v>
      </c>
      <c r="L608" t="n">
        <v>0</v>
      </c>
      <c r="M608" t="n">
        <v>0</v>
      </c>
      <c r="N608" t="n">
        <v>0</v>
      </c>
      <c r="O608" t="n">
        <v>0</v>
      </c>
      <c r="P608" t="n">
        <v>0</v>
      </c>
      <c r="Q608" t="n">
        <v>0</v>
      </c>
      <c r="R608" s="2" t="inlineStr"/>
    </row>
    <row r="609" ht="15" customHeight="1">
      <c r="A609" t="inlineStr">
        <is>
          <t>A 27209-2020</t>
        </is>
      </c>
      <c r="B609" s="1" t="n">
        <v>43991</v>
      </c>
      <c r="C609" s="1" t="n">
        <v>45356</v>
      </c>
      <c r="D609" t="inlineStr">
        <is>
          <t>VÄSTERNORRLANDS LÄN</t>
        </is>
      </c>
      <c r="E609" t="inlineStr">
        <is>
          <t>SOLLEFTEÅ</t>
        </is>
      </c>
      <c r="F609" t="inlineStr">
        <is>
          <t>SCA</t>
        </is>
      </c>
      <c r="G609" t="n">
        <v>15.7</v>
      </c>
      <c r="H609" t="n">
        <v>0</v>
      </c>
      <c r="I609" t="n">
        <v>0</v>
      </c>
      <c r="J609" t="n">
        <v>0</v>
      </c>
      <c r="K609" t="n">
        <v>0</v>
      </c>
      <c r="L609" t="n">
        <v>0</v>
      </c>
      <c r="M609" t="n">
        <v>0</v>
      </c>
      <c r="N609" t="n">
        <v>0</v>
      </c>
      <c r="O609" t="n">
        <v>0</v>
      </c>
      <c r="P609" t="n">
        <v>0</v>
      </c>
      <c r="Q609" t="n">
        <v>0</v>
      </c>
      <c r="R609" s="2" t="inlineStr"/>
    </row>
    <row r="610" ht="15" customHeight="1">
      <c r="A610" t="inlineStr">
        <is>
          <t>A 28489-2020</t>
        </is>
      </c>
      <c r="B610" s="1" t="n">
        <v>43998</v>
      </c>
      <c r="C610" s="1" t="n">
        <v>45356</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28486-2020</t>
        </is>
      </c>
      <c r="B611" s="1" t="n">
        <v>43999</v>
      </c>
      <c r="C611" s="1" t="n">
        <v>45356</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29648-2020</t>
        </is>
      </c>
      <c r="B612" s="1" t="n">
        <v>44004</v>
      </c>
      <c r="C612" s="1" t="n">
        <v>45356</v>
      </c>
      <c r="D612" t="inlineStr">
        <is>
          <t>VÄSTERNORRLANDS LÄN</t>
        </is>
      </c>
      <c r="E612" t="inlineStr">
        <is>
          <t>SOLLEFTEÅ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29503-2020</t>
        </is>
      </c>
      <c r="B613" s="1" t="n">
        <v>44005</v>
      </c>
      <c r="C613" s="1" t="n">
        <v>45356</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29825-2020</t>
        </is>
      </c>
      <c r="B614" s="1" t="n">
        <v>44005</v>
      </c>
      <c r="C614" s="1" t="n">
        <v>45356</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29801-2020</t>
        </is>
      </c>
      <c r="B615" s="1" t="n">
        <v>44005</v>
      </c>
      <c r="C615" s="1" t="n">
        <v>45356</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30492-2020</t>
        </is>
      </c>
      <c r="B616" s="1" t="n">
        <v>44007</v>
      </c>
      <c r="C616" s="1" t="n">
        <v>45356</v>
      </c>
      <c r="D616" t="inlineStr">
        <is>
          <t>VÄSTERNORRLANDS LÄN</t>
        </is>
      </c>
      <c r="E616" t="inlineStr">
        <is>
          <t>SOLLEFTEÅ</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30484-2020</t>
        </is>
      </c>
      <c r="B617" s="1" t="n">
        <v>44007</v>
      </c>
      <c r="C617" s="1" t="n">
        <v>45356</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30753-2020</t>
        </is>
      </c>
      <c r="B618" s="1" t="n">
        <v>44008</v>
      </c>
      <c r="C618" s="1" t="n">
        <v>45356</v>
      </c>
      <c r="D618" t="inlineStr">
        <is>
          <t>VÄSTERNORRLANDS LÄN</t>
        </is>
      </c>
      <c r="E618" t="inlineStr">
        <is>
          <t>SOLLEFTEÅ</t>
        </is>
      </c>
      <c r="F618" t="inlineStr">
        <is>
          <t>SCA</t>
        </is>
      </c>
      <c r="G618" t="n">
        <v>10.7</v>
      </c>
      <c r="H618" t="n">
        <v>0</v>
      </c>
      <c r="I618" t="n">
        <v>0</v>
      </c>
      <c r="J618" t="n">
        <v>0</v>
      </c>
      <c r="K618" t="n">
        <v>0</v>
      </c>
      <c r="L618" t="n">
        <v>0</v>
      </c>
      <c r="M618" t="n">
        <v>0</v>
      </c>
      <c r="N618" t="n">
        <v>0</v>
      </c>
      <c r="O618" t="n">
        <v>0</v>
      </c>
      <c r="P618" t="n">
        <v>0</v>
      </c>
      <c r="Q618" t="n">
        <v>0</v>
      </c>
      <c r="R618" s="2" t="inlineStr"/>
    </row>
    <row r="619" ht="15" customHeight="1">
      <c r="A619" t="inlineStr">
        <is>
          <t>A 30747-2020</t>
        </is>
      </c>
      <c r="B619" s="1" t="n">
        <v>44008</v>
      </c>
      <c r="C619" s="1" t="n">
        <v>45356</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30802-2020</t>
        </is>
      </c>
      <c r="B620" s="1" t="n">
        <v>44011</v>
      </c>
      <c r="C620" s="1" t="n">
        <v>45356</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31313-2020</t>
        </is>
      </c>
      <c r="B621" s="1" t="n">
        <v>44012</v>
      </c>
      <c r="C621" s="1" t="n">
        <v>45356</v>
      </c>
      <c r="D621" t="inlineStr">
        <is>
          <t>VÄSTERNORRLANDS LÄN</t>
        </is>
      </c>
      <c r="E621" t="inlineStr">
        <is>
          <t>SOLLEFTEÅ</t>
        </is>
      </c>
      <c r="F621" t="inlineStr">
        <is>
          <t>SCA</t>
        </is>
      </c>
      <c r="G621" t="n">
        <v>6.9</v>
      </c>
      <c r="H621" t="n">
        <v>0</v>
      </c>
      <c r="I621" t="n">
        <v>0</v>
      </c>
      <c r="J621" t="n">
        <v>0</v>
      </c>
      <c r="K621" t="n">
        <v>0</v>
      </c>
      <c r="L621" t="n">
        <v>0</v>
      </c>
      <c r="M621" t="n">
        <v>0</v>
      </c>
      <c r="N621" t="n">
        <v>0</v>
      </c>
      <c r="O621" t="n">
        <v>0</v>
      </c>
      <c r="P621" t="n">
        <v>0</v>
      </c>
      <c r="Q621" t="n">
        <v>0</v>
      </c>
      <c r="R621" s="2" t="inlineStr"/>
    </row>
    <row r="622" ht="15" customHeight="1">
      <c r="A622" t="inlineStr">
        <is>
          <t>A 32013-2020</t>
        </is>
      </c>
      <c r="B622" s="1" t="n">
        <v>44015</v>
      </c>
      <c r="C622" s="1" t="n">
        <v>45356</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32325-2020</t>
        </is>
      </c>
      <c r="B623" s="1" t="n">
        <v>44016</v>
      </c>
      <c r="C623" s="1" t="n">
        <v>45356</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32461-2020</t>
        </is>
      </c>
      <c r="B624" s="1" t="n">
        <v>44015</v>
      </c>
      <c r="C624" s="1" t="n">
        <v>45356</v>
      </c>
      <c r="D624" t="inlineStr">
        <is>
          <t>VÄSTERNORRLANDS LÄN</t>
        </is>
      </c>
      <c r="E624" t="inlineStr">
        <is>
          <t>SOLLEFTEÅ</t>
        </is>
      </c>
      <c r="G624" t="n">
        <v>3.7</v>
      </c>
      <c r="H624" t="n">
        <v>0</v>
      </c>
      <c r="I624" t="n">
        <v>0</v>
      </c>
      <c r="J624" t="n">
        <v>0</v>
      </c>
      <c r="K624" t="n">
        <v>0</v>
      </c>
      <c r="L624" t="n">
        <v>0</v>
      </c>
      <c r="M624" t="n">
        <v>0</v>
      </c>
      <c r="N624" t="n">
        <v>0</v>
      </c>
      <c r="O624" t="n">
        <v>0</v>
      </c>
      <c r="P624" t="n">
        <v>0</v>
      </c>
      <c r="Q624" t="n">
        <v>0</v>
      </c>
      <c r="R624" s="2" t="inlineStr"/>
    </row>
    <row r="625" ht="15" customHeight="1">
      <c r="A625" t="inlineStr">
        <is>
          <t>A 32318-2020</t>
        </is>
      </c>
      <c r="B625" s="1" t="n">
        <v>44015</v>
      </c>
      <c r="C625" s="1" t="n">
        <v>45356</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32919-2020</t>
        </is>
      </c>
      <c r="B626" s="1" t="n">
        <v>44018</v>
      </c>
      <c r="C626" s="1" t="n">
        <v>45356</v>
      </c>
      <c r="D626" t="inlineStr">
        <is>
          <t>VÄSTERNORRLANDS LÄN</t>
        </is>
      </c>
      <c r="E626" t="inlineStr">
        <is>
          <t>SOLLEFTEÅ</t>
        </is>
      </c>
      <c r="G626" t="n">
        <v>5.5</v>
      </c>
      <c r="H626" t="n">
        <v>0</v>
      </c>
      <c r="I626" t="n">
        <v>0</v>
      </c>
      <c r="J626" t="n">
        <v>0</v>
      </c>
      <c r="K626" t="n">
        <v>0</v>
      </c>
      <c r="L626" t="n">
        <v>0</v>
      </c>
      <c r="M626" t="n">
        <v>0</v>
      </c>
      <c r="N626" t="n">
        <v>0</v>
      </c>
      <c r="O626" t="n">
        <v>0</v>
      </c>
      <c r="P626" t="n">
        <v>0</v>
      </c>
      <c r="Q626" t="n">
        <v>0</v>
      </c>
      <c r="R626" s="2" t="inlineStr"/>
    </row>
    <row r="627" ht="15" customHeight="1">
      <c r="A627" t="inlineStr">
        <is>
          <t>A 32929-2020</t>
        </is>
      </c>
      <c r="B627" s="1" t="n">
        <v>44018</v>
      </c>
      <c r="C627" s="1" t="n">
        <v>45356</v>
      </c>
      <c r="D627" t="inlineStr">
        <is>
          <t>VÄSTERNORRLANDS LÄN</t>
        </is>
      </c>
      <c r="E627" t="inlineStr">
        <is>
          <t>SOLLEFTEÅ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32924-2020</t>
        </is>
      </c>
      <c r="B628" s="1" t="n">
        <v>44018</v>
      </c>
      <c r="C628" s="1" t="n">
        <v>45356</v>
      </c>
      <c r="D628" t="inlineStr">
        <is>
          <t>VÄSTERNORRLANDS LÄN</t>
        </is>
      </c>
      <c r="E628" t="inlineStr">
        <is>
          <t>SOLLEFTEÅ</t>
        </is>
      </c>
      <c r="G628" t="n">
        <v>2.8</v>
      </c>
      <c r="H628" t="n">
        <v>0</v>
      </c>
      <c r="I628" t="n">
        <v>0</v>
      </c>
      <c r="J628" t="n">
        <v>0</v>
      </c>
      <c r="K628" t="n">
        <v>0</v>
      </c>
      <c r="L628" t="n">
        <v>0</v>
      </c>
      <c r="M628" t="n">
        <v>0</v>
      </c>
      <c r="N628" t="n">
        <v>0</v>
      </c>
      <c r="O628" t="n">
        <v>0</v>
      </c>
      <c r="P628" t="n">
        <v>0</v>
      </c>
      <c r="Q628" t="n">
        <v>0</v>
      </c>
      <c r="R628" s="2" t="inlineStr"/>
    </row>
    <row r="629" ht="15" customHeight="1">
      <c r="A629" t="inlineStr">
        <is>
          <t>A 32742-2020</t>
        </is>
      </c>
      <c r="B629" s="1" t="n">
        <v>44019</v>
      </c>
      <c r="C629" s="1" t="n">
        <v>45356</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33013-2020</t>
        </is>
      </c>
      <c r="B630" s="1" t="n">
        <v>44020</v>
      </c>
      <c r="C630" s="1" t="n">
        <v>45356</v>
      </c>
      <c r="D630" t="inlineStr">
        <is>
          <t>VÄSTERNORRLANDS LÄN</t>
        </is>
      </c>
      <c r="E630" t="inlineStr">
        <is>
          <t>SOLLEFTEÅ</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33009-2020</t>
        </is>
      </c>
      <c r="B631" s="1" t="n">
        <v>44020</v>
      </c>
      <c r="C631" s="1" t="n">
        <v>45356</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33014-2020</t>
        </is>
      </c>
      <c r="B632" s="1" t="n">
        <v>44021</v>
      </c>
      <c r="C632" s="1" t="n">
        <v>45356</v>
      </c>
      <c r="D632" t="inlineStr">
        <is>
          <t>VÄSTERNORRLANDS LÄN</t>
        </is>
      </c>
      <c r="E632" t="inlineStr">
        <is>
          <t>SOLLEFTEÅ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33010-2020</t>
        </is>
      </c>
      <c r="B633" s="1" t="n">
        <v>44020</v>
      </c>
      <c r="C633" s="1" t="n">
        <v>45356</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33200-2020</t>
        </is>
      </c>
      <c r="B634" s="1" t="n">
        <v>44021</v>
      </c>
      <c r="C634" s="1" t="n">
        <v>45356</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33209-2020</t>
        </is>
      </c>
      <c r="B635" s="1" t="n">
        <v>44021</v>
      </c>
      <c r="C635" s="1" t="n">
        <v>45356</v>
      </c>
      <c r="D635" t="inlineStr">
        <is>
          <t>VÄSTERNORRLANDS LÄN</t>
        </is>
      </c>
      <c r="E635" t="inlineStr">
        <is>
          <t>SOLLEFTEÅ</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33211-2020</t>
        </is>
      </c>
      <c r="B636" s="1" t="n">
        <v>44021</v>
      </c>
      <c r="C636" s="1" t="n">
        <v>45356</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33212-2020</t>
        </is>
      </c>
      <c r="B637" s="1" t="n">
        <v>44021</v>
      </c>
      <c r="C637" s="1" t="n">
        <v>45356</v>
      </c>
      <c r="D637" t="inlineStr">
        <is>
          <t>VÄSTERNORRLANDS LÄN</t>
        </is>
      </c>
      <c r="E637" t="inlineStr">
        <is>
          <t>SOLLEFTEÅ</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33208-2020</t>
        </is>
      </c>
      <c r="B638" s="1" t="n">
        <v>44021</v>
      </c>
      <c r="C638" s="1" t="n">
        <v>45356</v>
      </c>
      <c r="D638" t="inlineStr">
        <is>
          <t>VÄSTERNORRLANDS LÄN</t>
        </is>
      </c>
      <c r="E638" t="inlineStr">
        <is>
          <t>SOLLEFTEÅ</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33440-2020</t>
        </is>
      </c>
      <c r="B639" s="1" t="n">
        <v>44022</v>
      </c>
      <c r="C639" s="1" t="n">
        <v>45356</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33458-2020</t>
        </is>
      </c>
      <c r="B640" s="1" t="n">
        <v>44022</v>
      </c>
      <c r="C640" s="1" t="n">
        <v>45356</v>
      </c>
      <c r="D640" t="inlineStr">
        <is>
          <t>VÄSTERNORRLANDS LÄN</t>
        </is>
      </c>
      <c r="E640" t="inlineStr">
        <is>
          <t>SOLLEFTEÅ</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33445-2020</t>
        </is>
      </c>
      <c r="B641" s="1" t="n">
        <v>44022</v>
      </c>
      <c r="C641" s="1" t="n">
        <v>45356</v>
      </c>
      <c r="D641" t="inlineStr">
        <is>
          <t>VÄSTERNORRLANDS LÄN</t>
        </is>
      </c>
      <c r="E641" t="inlineStr">
        <is>
          <t>SOLLEFTEÅ</t>
        </is>
      </c>
      <c r="G641" t="n">
        <v>4.5</v>
      </c>
      <c r="H641" t="n">
        <v>0</v>
      </c>
      <c r="I641" t="n">
        <v>0</v>
      </c>
      <c r="J641" t="n">
        <v>0</v>
      </c>
      <c r="K641" t="n">
        <v>0</v>
      </c>
      <c r="L641" t="n">
        <v>0</v>
      </c>
      <c r="M641" t="n">
        <v>0</v>
      </c>
      <c r="N641" t="n">
        <v>0</v>
      </c>
      <c r="O641" t="n">
        <v>0</v>
      </c>
      <c r="P641" t="n">
        <v>0</v>
      </c>
      <c r="Q641" t="n">
        <v>0</v>
      </c>
      <c r="R641" s="2" t="inlineStr"/>
    </row>
    <row r="642" ht="15" customHeight="1">
      <c r="A642" t="inlineStr">
        <is>
          <t>A 33492-2020</t>
        </is>
      </c>
      <c r="B642" s="1" t="n">
        <v>44024</v>
      </c>
      <c r="C642" s="1" t="n">
        <v>45356</v>
      </c>
      <c r="D642" t="inlineStr">
        <is>
          <t>VÄSTERNORRLANDS LÄN</t>
        </is>
      </c>
      <c r="E642" t="inlineStr">
        <is>
          <t>SOLLEFTEÅ</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33640-2020</t>
        </is>
      </c>
      <c r="B643" s="1" t="n">
        <v>44025</v>
      </c>
      <c r="C643" s="1" t="n">
        <v>45356</v>
      </c>
      <c r="D643" t="inlineStr">
        <is>
          <t>VÄSTERNORRLANDS LÄN</t>
        </is>
      </c>
      <c r="E643" t="inlineStr">
        <is>
          <t>SOLLEFTEÅ</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33641-2020</t>
        </is>
      </c>
      <c r="B644" s="1" t="n">
        <v>44025</v>
      </c>
      <c r="C644" s="1" t="n">
        <v>45356</v>
      </c>
      <c r="D644" t="inlineStr">
        <is>
          <t>VÄSTERNORRLANDS LÄN</t>
        </is>
      </c>
      <c r="E644" t="inlineStr">
        <is>
          <t>SOLLEFTEÅ</t>
        </is>
      </c>
      <c r="F644" t="inlineStr">
        <is>
          <t>SCA</t>
        </is>
      </c>
      <c r="G644" t="n">
        <v>8.1</v>
      </c>
      <c r="H644" t="n">
        <v>0</v>
      </c>
      <c r="I644" t="n">
        <v>0</v>
      </c>
      <c r="J644" t="n">
        <v>0</v>
      </c>
      <c r="K644" t="n">
        <v>0</v>
      </c>
      <c r="L644" t="n">
        <v>0</v>
      </c>
      <c r="M644" t="n">
        <v>0</v>
      </c>
      <c r="N644" t="n">
        <v>0</v>
      </c>
      <c r="O644" t="n">
        <v>0</v>
      </c>
      <c r="P644" t="n">
        <v>0</v>
      </c>
      <c r="Q644" t="n">
        <v>0</v>
      </c>
      <c r="R644" s="2" t="inlineStr"/>
    </row>
    <row r="645" ht="15" customHeight="1">
      <c r="A645" t="inlineStr">
        <is>
          <t>A 33628-2020</t>
        </is>
      </c>
      <c r="B645" s="1" t="n">
        <v>44025</v>
      </c>
      <c r="C645" s="1" t="n">
        <v>45356</v>
      </c>
      <c r="D645" t="inlineStr">
        <is>
          <t>VÄSTERNORRLANDS LÄN</t>
        </is>
      </c>
      <c r="E645" t="inlineStr">
        <is>
          <t>SOLLEFTEÅ</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33784-2020</t>
        </is>
      </c>
      <c r="B646" s="1" t="n">
        <v>44026</v>
      </c>
      <c r="C646" s="1" t="n">
        <v>45356</v>
      </c>
      <c r="D646" t="inlineStr">
        <is>
          <t>VÄSTERNORRLANDS LÄN</t>
        </is>
      </c>
      <c r="E646" t="inlineStr">
        <is>
          <t>SOLLEFTEÅ</t>
        </is>
      </c>
      <c r="F646" t="inlineStr">
        <is>
          <t>SCA</t>
        </is>
      </c>
      <c r="G646" t="n">
        <v>10.6</v>
      </c>
      <c r="H646" t="n">
        <v>0</v>
      </c>
      <c r="I646" t="n">
        <v>0</v>
      </c>
      <c r="J646" t="n">
        <v>0</v>
      </c>
      <c r="K646" t="n">
        <v>0</v>
      </c>
      <c r="L646" t="n">
        <v>0</v>
      </c>
      <c r="M646" t="n">
        <v>0</v>
      </c>
      <c r="N646" t="n">
        <v>0</v>
      </c>
      <c r="O646" t="n">
        <v>0</v>
      </c>
      <c r="P646" t="n">
        <v>0</v>
      </c>
      <c r="Q646" t="n">
        <v>0</v>
      </c>
      <c r="R646" s="2" t="inlineStr"/>
    </row>
    <row r="647" ht="15" customHeight="1">
      <c r="A647" t="inlineStr">
        <is>
          <t>A 33782-2020</t>
        </is>
      </c>
      <c r="B647" s="1" t="n">
        <v>44026</v>
      </c>
      <c r="C647" s="1" t="n">
        <v>45356</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33950-2020</t>
        </is>
      </c>
      <c r="B648" s="1" t="n">
        <v>44027</v>
      </c>
      <c r="C648" s="1" t="n">
        <v>45356</v>
      </c>
      <c r="D648" t="inlineStr">
        <is>
          <t>VÄSTERNORRLANDS LÄN</t>
        </is>
      </c>
      <c r="E648" t="inlineStr">
        <is>
          <t>SOLLEFTEÅ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34120-2020</t>
        </is>
      </c>
      <c r="B649" s="1" t="n">
        <v>44029</v>
      </c>
      <c r="C649" s="1" t="n">
        <v>45356</v>
      </c>
      <c r="D649" t="inlineStr">
        <is>
          <t>VÄSTERNORRLANDS LÄN</t>
        </is>
      </c>
      <c r="E649" t="inlineStr">
        <is>
          <t>SOLLEFTEÅ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34474-2020</t>
        </is>
      </c>
      <c r="B650" s="1" t="n">
        <v>44032</v>
      </c>
      <c r="C650" s="1" t="n">
        <v>45356</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34585-2020</t>
        </is>
      </c>
      <c r="B651" s="1" t="n">
        <v>44033</v>
      </c>
      <c r="C651" s="1" t="n">
        <v>45356</v>
      </c>
      <c r="D651" t="inlineStr">
        <is>
          <t>VÄSTERNORRLANDS LÄN</t>
        </is>
      </c>
      <c r="E651" t="inlineStr">
        <is>
          <t>SOLLEFTEÅ</t>
        </is>
      </c>
      <c r="F651" t="inlineStr">
        <is>
          <t>SCA</t>
        </is>
      </c>
      <c r="G651" t="n">
        <v>10</v>
      </c>
      <c r="H651" t="n">
        <v>0</v>
      </c>
      <c r="I651" t="n">
        <v>0</v>
      </c>
      <c r="J651" t="n">
        <v>0</v>
      </c>
      <c r="K651" t="n">
        <v>0</v>
      </c>
      <c r="L651" t="n">
        <v>0</v>
      </c>
      <c r="M651" t="n">
        <v>0</v>
      </c>
      <c r="N651" t="n">
        <v>0</v>
      </c>
      <c r="O651" t="n">
        <v>0</v>
      </c>
      <c r="P651" t="n">
        <v>0</v>
      </c>
      <c r="Q651" t="n">
        <v>0</v>
      </c>
      <c r="R651" s="2" t="inlineStr"/>
    </row>
    <row r="652" ht="15" customHeight="1">
      <c r="A652" t="inlineStr">
        <is>
          <t>A 34669-2020</t>
        </is>
      </c>
      <c r="B652" s="1" t="n">
        <v>44034</v>
      </c>
      <c r="C652" s="1" t="n">
        <v>45356</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34800-2020</t>
        </is>
      </c>
      <c r="B653" s="1" t="n">
        <v>44035</v>
      </c>
      <c r="C653" s="1" t="n">
        <v>45356</v>
      </c>
      <c r="D653" t="inlineStr">
        <is>
          <t>VÄSTERNORRLANDS LÄN</t>
        </is>
      </c>
      <c r="E653" t="inlineStr">
        <is>
          <t>SOLLEFTEÅ</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34921-2020</t>
        </is>
      </c>
      <c r="B654" s="1" t="n">
        <v>44036</v>
      </c>
      <c r="C654" s="1" t="n">
        <v>45356</v>
      </c>
      <c r="D654" t="inlineStr">
        <is>
          <t>VÄSTERNORRLANDS LÄN</t>
        </is>
      </c>
      <c r="E654" t="inlineStr">
        <is>
          <t>SOLLEFTEÅ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34923-2020</t>
        </is>
      </c>
      <c r="B655" s="1" t="n">
        <v>44037</v>
      </c>
      <c r="C655" s="1" t="n">
        <v>45356</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34922-2020</t>
        </is>
      </c>
      <c r="B656" s="1" t="n">
        <v>44036</v>
      </c>
      <c r="C656" s="1" t="n">
        <v>45356</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35220-2020</t>
        </is>
      </c>
      <c r="B657" s="1" t="n">
        <v>44041</v>
      </c>
      <c r="C657" s="1" t="n">
        <v>45356</v>
      </c>
      <c r="D657" t="inlineStr">
        <is>
          <t>VÄSTERNORRLANDS LÄN</t>
        </is>
      </c>
      <c r="E657" t="inlineStr">
        <is>
          <t>SOLLEFTEÅ</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35372-2020</t>
        </is>
      </c>
      <c r="B658" s="1" t="n">
        <v>44041</v>
      </c>
      <c r="C658" s="1" t="n">
        <v>45356</v>
      </c>
      <c r="D658" t="inlineStr">
        <is>
          <t>VÄSTERNORRLANDS LÄN</t>
        </is>
      </c>
      <c r="E658" t="inlineStr">
        <is>
          <t>SOLLEFTEÅ</t>
        </is>
      </c>
      <c r="F658" t="inlineStr">
        <is>
          <t>SCA</t>
        </is>
      </c>
      <c r="G658" t="n">
        <v>12.3</v>
      </c>
      <c r="H658" t="n">
        <v>0</v>
      </c>
      <c r="I658" t="n">
        <v>0</v>
      </c>
      <c r="J658" t="n">
        <v>0</v>
      </c>
      <c r="K658" t="n">
        <v>0</v>
      </c>
      <c r="L658" t="n">
        <v>0</v>
      </c>
      <c r="M658" t="n">
        <v>0</v>
      </c>
      <c r="N658" t="n">
        <v>0</v>
      </c>
      <c r="O658" t="n">
        <v>0</v>
      </c>
      <c r="P658" t="n">
        <v>0</v>
      </c>
      <c r="Q658" t="n">
        <v>0</v>
      </c>
      <c r="R658" s="2" t="inlineStr"/>
    </row>
    <row r="659" ht="15" customHeight="1">
      <c r="A659" t="inlineStr">
        <is>
          <t>A 35361-2020</t>
        </is>
      </c>
      <c r="B659" s="1" t="n">
        <v>44041</v>
      </c>
      <c r="C659" s="1" t="n">
        <v>45356</v>
      </c>
      <c r="D659" t="inlineStr">
        <is>
          <t>VÄSTERNORRLANDS LÄN</t>
        </is>
      </c>
      <c r="E659" t="inlineStr">
        <is>
          <t>SOLLEFTEÅ</t>
        </is>
      </c>
      <c r="F659" t="inlineStr">
        <is>
          <t>SCA</t>
        </is>
      </c>
      <c r="G659" t="n">
        <v>13.6</v>
      </c>
      <c r="H659" t="n">
        <v>0</v>
      </c>
      <c r="I659" t="n">
        <v>0</v>
      </c>
      <c r="J659" t="n">
        <v>0</v>
      </c>
      <c r="K659" t="n">
        <v>0</v>
      </c>
      <c r="L659" t="n">
        <v>0</v>
      </c>
      <c r="M659" t="n">
        <v>0</v>
      </c>
      <c r="N659" t="n">
        <v>0</v>
      </c>
      <c r="O659" t="n">
        <v>0</v>
      </c>
      <c r="P659" t="n">
        <v>0</v>
      </c>
      <c r="Q659" t="n">
        <v>0</v>
      </c>
      <c r="R659" s="2" t="inlineStr"/>
    </row>
    <row r="660" ht="15" customHeight="1">
      <c r="A660" t="inlineStr">
        <is>
          <t>A 36789-2020</t>
        </is>
      </c>
      <c r="B660" s="1" t="n">
        <v>44048</v>
      </c>
      <c r="C660" s="1" t="n">
        <v>45356</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36660-2020</t>
        </is>
      </c>
      <c r="B661" s="1" t="n">
        <v>44050</v>
      </c>
      <c r="C661" s="1" t="n">
        <v>45356</v>
      </c>
      <c r="D661" t="inlineStr">
        <is>
          <t>VÄSTERNORRLANDS LÄN</t>
        </is>
      </c>
      <c r="E661" t="inlineStr">
        <is>
          <t>SOLLEFTEÅ</t>
        </is>
      </c>
      <c r="G661" t="n">
        <v>18.2</v>
      </c>
      <c r="H661" t="n">
        <v>0</v>
      </c>
      <c r="I661" t="n">
        <v>0</v>
      </c>
      <c r="J661" t="n">
        <v>0</v>
      </c>
      <c r="K661" t="n">
        <v>0</v>
      </c>
      <c r="L661" t="n">
        <v>0</v>
      </c>
      <c r="M661" t="n">
        <v>0</v>
      </c>
      <c r="N661" t="n">
        <v>0</v>
      </c>
      <c r="O661" t="n">
        <v>0</v>
      </c>
      <c r="P661" t="n">
        <v>0</v>
      </c>
      <c r="Q661" t="n">
        <v>0</v>
      </c>
      <c r="R661" s="2" t="inlineStr"/>
    </row>
    <row r="662" ht="15" customHeight="1">
      <c r="A662" t="inlineStr">
        <is>
          <t>A 36811-2020</t>
        </is>
      </c>
      <c r="B662" s="1" t="n">
        <v>44053</v>
      </c>
      <c r="C662" s="1" t="n">
        <v>45356</v>
      </c>
      <c r="D662" t="inlineStr">
        <is>
          <t>VÄSTERNORRLANDS LÄN</t>
        </is>
      </c>
      <c r="E662" t="inlineStr">
        <is>
          <t>SOLLEFTEÅ</t>
        </is>
      </c>
      <c r="G662" t="n">
        <v>4.7</v>
      </c>
      <c r="H662" t="n">
        <v>0</v>
      </c>
      <c r="I662" t="n">
        <v>0</v>
      </c>
      <c r="J662" t="n">
        <v>0</v>
      </c>
      <c r="K662" t="n">
        <v>0</v>
      </c>
      <c r="L662" t="n">
        <v>0</v>
      </c>
      <c r="M662" t="n">
        <v>0</v>
      </c>
      <c r="N662" t="n">
        <v>0</v>
      </c>
      <c r="O662" t="n">
        <v>0</v>
      </c>
      <c r="P662" t="n">
        <v>0</v>
      </c>
      <c r="Q662" t="n">
        <v>0</v>
      </c>
      <c r="R662" s="2" t="inlineStr"/>
    </row>
    <row r="663" ht="15" customHeight="1">
      <c r="A663" t="inlineStr">
        <is>
          <t>A 37710-2020</t>
        </is>
      </c>
      <c r="B663" s="1" t="n">
        <v>44056</v>
      </c>
      <c r="C663" s="1" t="n">
        <v>45356</v>
      </c>
      <c r="D663" t="inlineStr">
        <is>
          <t>VÄSTERNORRLANDS LÄN</t>
        </is>
      </c>
      <c r="E663" t="inlineStr">
        <is>
          <t>SOLLEFTEÅ</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38482-2020</t>
        </is>
      </c>
      <c r="B664" s="1" t="n">
        <v>44060</v>
      </c>
      <c r="C664" s="1" t="n">
        <v>45356</v>
      </c>
      <c r="D664" t="inlineStr">
        <is>
          <t>VÄSTERNORRLANDS LÄN</t>
        </is>
      </c>
      <c r="E664" t="inlineStr">
        <is>
          <t>SOLLEFTEÅ</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38517-2020</t>
        </is>
      </c>
      <c r="B665" s="1" t="n">
        <v>44060</v>
      </c>
      <c r="C665" s="1" t="n">
        <v>45356</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39007-2020</t>
        </is>
      </c>
      <c r="B666" s="1" t="n">
        <v>44062</v>
      </c>
      <c r="C666" s="1" t="n">
        <v>45356</v>
      </c>
      <c r="D666" t="inlineStr">
        <is>
          <t>VÄSTERNORRLANDS LÄN</t>
        </is>
      </c>
      <c r="E666" t="inlineStr">
        <is>
          <t>SOLLEFTEÅ</t>
        </is>
      </c>
      <c r="F666" t="inlineStr">
        <is>
          <t>Kyrkan</t>
        </is>
      </c>
      <c r="G666" t="n">
        <v>5</v>
      </c>
      <c r="H666" t="n">
        <v>0</v>
      </c>
      <c r="I666" t="n">
        <v>0</v>
      </c>
      <c r="J666" t="n">
        <v>0</v>
      </c>
      <c r="K666" t="n">
        <v>0</v>
      </c>
      <c r="L666" t="n">
        <v>0</v>
      </c>
      <c r="M666" t="n">
        <v>0</v>
      </c>
      <c r="N666" t="n">
        <v>0</v>
      </c>
      <c r="O666" t="n">
        <v>0</v>
      </c>
      <c r="P666" t="n">
        <v>0</v>
      </c>
      <c r="Q666" t="n">
        <v>0</v>
      </c>
      <c r="R666" s="2" t="inlineStr"/>
    </row>
    <row r="667" ht="15" customHeight="1">
      <c r="A667" t="inlineStr">
        <is>
          <t>A 39077-2020</t>
        </is>
      </c>
      <c r="B667" s="1" t="n">
        <v>44062</v>
      </c>
      <c r="C667" s="1" t="n">
        <v>45356</v>
      </c>
      <c r="D667" t="inlineStr">
        <is>
          <t>VÄSTERNORRLANDS LÄN</t>
        </is>
      </c>
      <c r="E667" t="inlineStr">
        <is>
          <t>SOLLEFTEÅ</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39016-2020</t>
        </is>
      </c>
      <c r="B668" s="1" t="n">
        <v>44062</v>
      </c>
      <c r="C668" s="1" t="n">
        <v>45356</v>
      </c>
      <c r="D668" t="inlineStr">
        <is>
          <t>VÄSTERNORRLANDS LÄN</t>
        </is>
      </c>
      <c r="E668" t="inlineStr">
        <is>
          <t>SOLLEFTEÅ</t>
        </is>
      </c>
      <c r="F668" t="inlineStr">
        <is>
          <t>Kyrkan</t>
        </is>
      </c>
      <c r="G668" t="n">
        <v>2.4</v>
      </c>
      <c r="H668" t="n">
        <v>0</v>
      </c>
      <c r="I668" t="n">
        <v>0</v>
      </c>
      <c r="J668" t="n">
        <v>0</v>
      </c>
      <c r="K668" t="n">
        <v>0</v>
      </c>
      <c r="L668" t="n">
        <v>0</v>
      </c>
      <c r="M668" t="n">
        <v>0</v>
      </c>
      <c r="N668" t="n">
        <v>0</v>
      </c>
      <c r="O668" t="n">
        <v>0</v>
      </c>
      <c r="P668" t="n">
        <v>0</v>
      </c>
      <c r="Q668" t="n">
        <v>0</v>
      </c>
      <c r="R668" s="2" t="inlineStr"/>
    </row>
    <row r="669" ht="15" customHeight="1">
      <c r="A669" t="inlineStr">
        <is>
          <t>A 39148-2020</t>
        </is>
      </c>
      <c r="B669" s="1" t="n">
        <v>44063</v>
      </c>
      <c r="C669" s="1" t="n">
        <v>45356</v>
      </c>
      <c r="D669" t="inlineStr">
        <is>
          <t>VÄSTERNORRLANDS LÄN</t>
        </is>
      </c>
      <c r="E669" t="inlineStr">
        <is>
          <t>SOLLEFTEÅ</t>
        </is>
      </c>
      <c r="G669" t="n">
        <v>0.7</v>
      </c>
      <c r="H669" t="n">
        <v>0</v>
      </c>
      <c r="I669" t="n">
        <v>0</v>
      </c>
      <c r="J669" t="n">
        <v>0</v>
      </c>
      <c r="K669" t="n">
        <v>0</v>
      </c>
      <c r="L669" t="n">
        <v>0</v>
      </c>
      <c r="M669" t="n">
        <v>0</v>
      </c>
      <c r="N669" t="n">
        <v>0</v>
      </c>
      <c r="O669" t="n">
        <v>0</v>
      </c>
      <c r="P669" t="n">
        <v>0</v>
      </c>
      <c r="Q669" t="n">
        <v>0</v>
      </c>
      <c r="R669" s="2" t="inlineStr"/>
    </row>
    <row r="670" ht="15" customHeight="1">
      <c r="A670" t="inlineStr">
        <is>
          <t>A 39409-2020</t>
        </is>
      </c>
      <c r="B670" s="1" t="n">
        <v>44064</v>
      </c>
      <c r="C670" s="1" t="n">
        <v>45356</v>
      </c>
      <c r="D670" t="inlineStr">
        <is>
          <t>VÄSTERNORRLANDS LÄN</t>
        </is>
      </c>
      <c r="E670" t="inlineStr">
        <is>
          <t>SOLLEFTEÅ</t>
        </is>
      </c>
      <c r="F670" t="inlineStr">
        <is>
          <t>Holmen skog AB</t>
        </is>
      </c>
      <c r="G670" t="n">
        <v>7.8</v>
      </c>
      <c r="H670" t="n">
        <v>0</v>
      </c>
      <c r="I670" t="n">
        <v>0</v>
      </c>
      <c r="J670" t="n">
        <v>0</v>
      </c>
      <c r="K670" t="n">
        <v>0</v>
      </c>
      <c r="L670" t="n">
        <v>0</v>
      </c>
      <c r="M670" t="n">
        <v>0</v>
      </c>
      <c r="N670" t="n">
        <v>0</v>
      </c>
      <c r="O670" t="n">
        <v>0</v>
      </c>
      <c r="P670" t="n">
        <v>0</v>
      </c>
      <c r="Q670" t="n">
        <v>0</v>
      </c>
      <c r="R670" s="2" t="inlineStr"/>
    </row>
    <row r="671" ht="15" customHeight="1">
      <c r="A671" t="inlineStr">
        <is>
          <t>A 39479-2020</t>
        </is>
      </c>
      <c r="B671" s="1" t="n">
        <v>44064</v>
      </c>
      <c r="C671" s="1" t="n">
        <v>45356</v>
      </c>
      <c r="D671" t="inlineStr">
        <is>
          <t>VÄSTERNORRLANDS LÄN</t>
        </is>
      </c>
      <c r="E671" t="inlineStr">
        <is>
          <t>SOLLEFTEÅ</t>
        </is>
      </c>
      <c r="G671" t="n">
        <v>17.8</v>
      </c>
      <c r="H671" t="n">
        <v>0</v>
      </c>
      <c r="I671" t="n">
        <v>0</v>
      </c>
      <c r="J671" t="n">
        <v>0</v>
      </c>
      <c r="K671" t="n">
        <v>0</v>
      </c>
      <c r="L671" t="n">
        <v>0</v>
      </c>
      <c r="M671" t="n">
        <v>0</v>
      </c>
      <c r="N671" t="n">
        <v>0</v>
      </c>
      <c r="O671" t="n">
        <v>0</v>
      </c>
      <c r="P671" t="n">
        <v>0</v>
      </c>
      <c r="Q671" t="n">
        <v>0</v>
      </c>
      <c r="R671" s="2" t="inlineStr"/>
    </row>
    <row r="672" ht="15" customHeight="1">
      <c r="A672" t="inlineStr">
        <is>
          <t>A 40180-2020</t>
        </is>
      </c>
      <c r="B672" s="1" t="n">
        <v>44064</v>
      </c>
      <c r="C672" s="1" t="n">
        <v>45356</v>
      </c>
      <c r="D672" t="inlineStr">
        <is>
          <t>VÄSTERNORRLANDS LÄN</t>
        </is>
      </c>
      <c r="E672" t="inlineStr">
        <is>
          <t>SOLLEFTEÅ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39681-2020</t>
        </is>
      </c>
      <c r="B673" s="1" t="n">
        <v>44065</v>
      </c>
      <c r="C673" s="1" t="n">
        <v>45356</v>
      </c>
      <c r="D673" t="inlineStr">
        <is>
          <t>VÄSTERNORRLANDS LÄN</t>
        </is>
      </c>
      <c r="E673" t="inlineStr">
        <is>
          <t>SOLLEFTEÅ</t>
        </is>
      </c>
      <c r="F673" t="inlineStr">
        <is>
          <t>SCA</t>
        </is>
      </c>
      <c r="G673" t="n">
        <v>19.7</v>
      </c>
      <c r="H673" t="n">
        <v>0</v>
      </c>
      <c r="I673" t="n">
        <v>0</v>
      </c>
      <c r="J673" t="n">
        <v>0</v>
      </c>
      <c r="K673" t="n">
        <v>0</v>
      </c>
      <c r="L673" t="n">
        <v>0</v>
      </c>
      <c r="M673" t="n">
        <v>0</v>
      </c>
      <c r="N673" t="n">
        <v>0</v>
      </c>
      <c r="O673" t="n">
        <v>0</v>
      </c>
      <c r="P673" t="n">
        <v>0</v>
      </c>
      <c r="Q673" t="n">
        <v>0</v>
      </c>
      <c r="R673" s="2" t="inlineStr"/>
    </row>
    <row r="674" ht="15" customHeight="1">
      <c r="A674" t="inlineStr">
        <is>
          <t>A 40476-2020</t>
        </is>
      </c>
      <c r="B674" s="1" t="n">
        <v>44067</v>
      </c>
      <c r="C674" s="1" t="n">
        <v>45356</v>
      </c>
      <c r="D674" t="inlineStr">
        <is>
          <t>VÄSTERNORRLANDS LÄN</t>
        </is>
      </c>
      <c r="E674" t="inlineStr">
        <is>
          <t>SOLLEFTEÅ</t>
        </is>
      </c>
      <c r="G674" t="n">
        <v>8</v>
      </c>
      <c r="H674" t="n">
        <v>0</v>
      </c>
      <c r="I674" t="n">
        <v>0</v>
      </c>
      <c r="J674" t="n">
        <v>0</v>
      </c>
      <c r="K674" t="n">
        <v>0</v>
      </c>
      <c r="L674" t="n">
        <v>0</v>
      </c>
      <c r="M674" t="n">
        <v>0</v>
      </c>
      <c r="N674" t="n">
        <v>0</v>
      </c>
      <c r="O674" t="n">
        <v>0</v>
      </c>
      <c r="P674" t="n">
        <v>0</v>
      </c>
      <c r="Q674" t="n">
        <v>0</v>
      </c>
      <c r="R674" s="2" t="inlineStr"/>
    </row>
    <row r="675" ht="15" customHeight="1">
      <c r="A675" t="inlineStr">
        <is>
          <t>A 40697-2020</t>
        </is>
      </c>
      <c r="B675" s="1" t="n">
        <v>44067</v>
      </c>
      <c r="C675" s="1" t="n">
        <v>45356</v>
      </c>
      <c r="D675" t="inlineStr">
        <is>
          <t>VÄSTERNORRLANDS LÄN</t>
        </is>
      </c>
      <c r="E675" t="inlineStr">
        <is>
          <t>SOLLEFTEÅ</t>
        </is>
      </c>
      <c r="G675" t="n">
        <v>1.5</v>
      </c>
      <c r="H675" t="n">
        <v>0</v>
      </c>
      <c r="I675" t="n">
        <v>0</v>
      </c>
      <c r="J675" t="n">
        <v>0</v>
      </c>
      <c r="K675" t="n">
        <v>0</v>
      </c>
      <c r="L675" t="n">
        <v>0</v>
      </c>
      <c r="M675" t="n">
        <v>0</v>
      </c>
      <c r="N675" t="n">
        <v>0</v>
      </c>
      <c r="O675" t="n">
        <v>0</v>
      </c>
      <c r="P675" t="n">
        <v>0</v>
      </c>
      <c r="Q675" t="n">
        <v>0</v>
      </c>
      <c r="R675" s="2" t="inlineStr"/>
    </row>
    <row r="676" ht="15" customHeight="1">
      <c r="A676" t="inlineStr">
        <is>
          <t>A 40682-2020</t>
        </is>
      </c>
      <c r="B676" s="1" t="n">
        <v>44067</v>
      </c>
      <c r="C676" s="1" t="n">
        <v>45356</v>
      </c>
      <c r="D676" t="inlineStr">
        <is>
          <t>VÄSTERNORRLANDS LÄN</t>
        </is>
      </c>
      <c r="E676" t="inlineStr">
        <is>
          <t>SOLLEFTEÅ</t>
        </is>
      </c>
      <c r="G676" t="n">
        <v>3.5</v>
      </c>
      <c r="H676" t="n">
        <v>0</v>
      </c>
      <c r="I676" t="n">
        <v>0</v>
      </c>
      <c r="J676" t="n">
        <v>0</v>
      </c>
      <c r="K676" t="n">
        <v>0</v>
      </c>
      <c r="L676" t="n">
        <v>0</v>
      </c>
      <c r="M676" t="n">
        <v>0</v>
      </c>
      <c r="N676" t="n">
        <v>0</v>
      </c>
      <c r="O676" t="n">
        <v>0</v>
      </c>
      <c r="P676" t="n">
        <v>0</v>
      </c>
      <c r="Q676" t="n">
        <v>0</v>
      </c>
      <c r="R676" s="2" t="inlineStr"/>
    </row>
    <row r="677" ht="15" customHeight="1">
      <c r="A677" t="inlineStr">
        <is>
          <t>A 40735-2020</t>
        </is>
      </c>
      <c r="B677" s="1" t="n">
        <v>44069</v>
      </c>
      <c r="C677" s="1" t="n">
        <v>45356</v>
      </c>
      <c r="D677" t="inlineStr">
        <is>
          <t>VÄSTERNORRLANDS LÄN</t>
        </is>
      </c>
      <c r="E677" t="inlineStr">
        <is>
          <t>SOLLEFTEÅ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40747-2020</t>
        </is>
      </c>
      <c r="B678" s="1" t="n">
        <v>44069</v>
      </c>
      <c r="C678" s="1" t="n">
        <v>45356</v>
      </c>
      <c r="D678" t="inlineStr">
        <is>
          <t>VÄSTERNORRLANDS LÄN</t>
        </is>
      </c>
      <c r="E678" t="inlineStr">
        <is>
          <t>SOLLEFTEÅ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42196-2020</t>
        </is>
      </c>
      <c r="B679" s="1" t="n">
        <v>44076</v>
      </c>
      <c r="C679" s="1" t="n">
        <v>45356</v>
      </c>
      <c r="D679" t="inlineStr">
        <is>
          <t>VÄSTERNORRLANDS LÄN</t>
        </is>
      </c>
      <c r="E679" t="inlineStr">
        <is>
          <t>SOLLEFTEÅ</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43300-2020</t>
        </is>
      </c>
      <c r="B680" s="1" t="n">
        <v>44076</v>
      </c>
      <c r="C680" s="1" t="n">
        <v>45356</v>
      </c>
      <c r="D680" t="inlineStr">
        <is>
          <t>VÄSTERNORRLANDS LÄN</t>
        </is>
      </c>
      <c r="E680" t="inlineStr">
        <is>
          <t>SOLLEFTEÅ</t>
        </is>
      </c>
      <c r="G680" t="n">
        <v>1.9</v>
      </c>
      <c r="H680" t="n">
        <v>0</v>
      </c>
      <c r="I680" t="n">
        <v>0</v>
      </c>
      <c r="J680" t="n">
        <v>0</v>
      </c>
      <c r="K680" t="n">
        <v>0</v>
      </c>
      <c r="L680" t="n">
        <v>0</v>
      </c>
      <c r="M680" t="n">
        <v>0</v>
      </c>
      <c r="N680" t="n">
        <v>0</v>
      </c>
      <c r="O680" t="n">
        <v>0</v>
      </c>
      <c r="P680" t="n">
        <v>0</v>
      </c>
      <c r="Q680" t="n">
        <v>0</v>
      </c>
      <c r="R680" s="2" t="inlineStr"/>
    </row>
    <row r="681" ht="15" customHeight="1">
      <c r="A681" t="inlineStr">
        <is>
          <t>A 43160-2020</t>
        </is>
      </c>
      <c r="B681" s="1" t="n">
        <v>44076</v>
      </c>
      <c r="C681" s="1" t="n">
        <v>45356</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42846-2020</t>
        </is>
      </c>
      <c r="B682" s="1" t="n">
        <v>44078</v>
      </c>
      <c r="C682" s="1" t="n">
        <v>45356</v>
      </c>
      <c r="D682" t="inlineStr">
        <is>
          <t>VÄSTERNORRLANDS LÄN</t>
        </is>
      </c>
      <c r="E682" t="inlineStr">
        <is>
          <t>SOLLEFTEÅ</t>
        </is>
      </c>
      <c r="G682" t="n">
        <v>8.6</v>
      </c>
      <c r="H682" t="n">
        <v>0</v>
      </c>
      <c r="I682" t="n">
        <v>0</v>
      </c>
      <c r="J682" t="n">
        <v>0</v>
      </c>
      <c r="K682" t="n">
        <v>0</v>
      </c>
      <c r="L682" t="n">
        <v>0</v>
      </c>
      <c r="M682" t="n">
        <v>0</v>
      </c>
      <c r="N682" t="n">
        <v>0</v>
      </c>
      <c r="O682" t="n">
        <v>0</v>
      </c>
      <c r="P682" t="n">
        <v>0</v>
      </c>
      <c r="Q682" t="n">
        <v>0</v>
      </c>
      <c r="R682" s="2" t="inlineStr"/>
    </row>
    <row r="683" ht="15" customHeight="1">
      <c r="A683" t="inlineStr">
        <is>
          <t>A 43107-2020</t>
        </is>
      </c>
      <c r="B683" s="1" t="n">
        <v>44078</v>
      </c>
      <c r="C683" s="1" t="n">
        <v>45356</v>
      </c>
      <c r="D683" t="inlineStr">
        <is>
          <t>VÄSTERNORRLANDS LÄN</t>
        </is>
      </c>
      <c r="E683" t="inlineStr">
        <is>
          <t>SOLLEFTEÅ</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43438-2020</t>
        </is>
      </c>
      <c r="B684" s="1" t="n">
        <v>44081</v>
      </c>
      <c r="C684" s="1" t="n">
        <v>45356</v>
      </c>
      <c r="D684" t="inlineStr">
        <is>
          <t>VÄSTERNORRLANDS LÄN</t>
        </is>
      </c>
      <c r="E684" t="inlineStr">
        <is>
          <t>SOLLEFTEÅ</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43820-2020</t>
        </is>
      </c>
      <c r="B685" s="1" t="n">
        <v>44082</v>
      </c>
      <c r="C685" s="1" t="n">
        <v>45356</v>
      </c>
      <c r="D685" t="inlineStr">
        <is>
          <t>VÄSTERNORRLANDS LÄN</t>
        </is>
      </c>
      <c r="E685" t="inlineStr">
        <is>
          <t>SOLLEFTEÅ</t>
        </is>
      </c>
      <c r="F685" t="inlineStr">
        <is>
          <t>SCA</t>
        </is>
      </c>
      <c r="G685" t="n">
        <v>8.1</v>
      </c>
      <c r="H685" t="n">
        <v>0</v>
      </c>
      <c r="I685" t="n">
        <v>0</v>
      </c>
      <c r="J685" t="n">
        <v>0</v>
      </c>
      <c r="K685" t="n">
        <v>0</v>
      </c>
      <c r="L685" t="n">
        <v>0</v>
      </c>
      <c r="M685" t="n">
        <v>0</v>
      </c>
      <c r="N685" t="n">
        <v>0</v>
      </c>
      <c r="O685" t="n">
        <v>0</v>
      </c>
      <c r="P685" t="n">
        <v>0</v>
      </c>
      <c r="Q685" t="n">
        <v>0</v>
      </c>
      <c r="R685" s="2" t="inlineStr"/>
    </row>
    <row r="686" ht="15" customHeight="1">
      <c r="A686" t="inlineStr">
        <is>
          <t>A 45147-2020</t>
        </is>
      </c>
      <c r="B686" s="1" t="n">
        <v>44084</v>
      </c>
      <c r="C686" s="1" t="n">
        <v>45356</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44681-2020</t>
        </is>
      </c>
      <c r="B687" s="1" t="n">
        <v>44085</v>
      </c>
      <c r="C687" s="1" t="n">
        <v>45356</v>
      </c>
      <c r="D687" t="inlineStr">
        <is>
          <t>VÄSTERNORRLANDS LÄN</t>
        </is>
      </c>
      <c r="E687" t="inlineStr">
        <is>
          <t>SOLLEFTEÅ</t>
        </is>
      </c>
      <c r="G687" t="n">
        <v>7.8</v>
      </c>
      <c r="H687" t="n">
        <v>0</v>
      </c>
      <c r="I687" t="n">
        <v>0</v>
      </c>
      <c r="J687" t="n">
        <v>0</v>
      </c>
      <c r="K687" t="n">
        <v>0</v>
      </c>
      <c r="L687" t="n">
        <v>0</v>
      </c>
      <c r="M687" t="n">
        <v>0</v>
      </c>
      <c r="N687" t="n">
        <v>0</v>
      </c>
      <c r="O687" t="n">
        <v>0</v>
      </c>
      <c r="P687" t="n">
        <v>0</v>
      </c>
      <c r="Q687" t="n">
        <v>0</v>
      </c>
      <c r="R687" s="2" t="inlineStr"/>
    </row>
    <row r="688" ht="15" customHeight="1">
      <c r="A688" t="inlineStr">
        <is>
          <t>A 45250-2020</t>
        </is>
      </c>
      <c r="B688" s="1" t="n">
        <v>44088</v>
      </c>
      <c r="C688" s="1" t="n">
        <v>45356</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45251-2020</t>
        </is>
      </c>
      <c r="B689" s="1" t="n">
        <v>44088</v>
      </c>
      <c r="C689" s="1" t="n">
        <v>45356</v>
      </c>
      <c r="D689" t="inlineStr">
        <is>
          <t>VÄSTERNORRLANDS LÄN</t>
        </is>
      </c>
      <c r="E689" t="inlineStr">
        <is>
          <t>SOLLEFTEÅ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45549-2020</t>
        </is>
      </c>
      <c r="B690" s="1" t="n">
        <v>44090</v>
      </c>
      <c r="C690" s="1" t="n">
        <v>45356</v>
      </c>
      <c r="D690" t="inlineStr">
        <is>
          <t>VÄSTERNORRLANDS LÄN</t>
        </is>
      </c>
      <c r="E690" t="inlineStr">
        <is>
          <t>SOLLEFTEÅ</t>
        </is>
      </c>
      <c r="G690" t="n">
        <v>1.3</v>
      </c>
      <c r="H690" t="n">
        <v>0</v>
      </c>
      <c r="I690" t="n">
        <v>0</v>
      </c>
      <c r="J690" t="n">
        <v>0</v>
      </c>
      <c r="K690" t="n">
        <v>0</v>
      </c>
      <c r="L690" t="n">
        <v>0</v>
      </c>
      <c r="M690" t="n">
        <v>0</v>
      </c>
      <c r="N690" t="n">
        <v>0</v>
      </c>
      <c r="O690" t="n">
        <v>0</v>
      </c>
      <c r="P690" t="n">
        <v>0</v>
      </c>
      <c r="Q690" t="n">
        <v>0</v>
      </c>
      <c r="R690" s="2" t="inlineStr"/>
    </row>
    <row r="691" ht="15" customHeight="1">
      <c r="A691" t="inlineStr">
        <is>
          <t>A 45542-2020</t>
        </is>
      </c>
      <c r="B691" s="1" t="n">
        <v>44089</v>
      </c>
      <c r="C691" s="1" t="n">
        <v>45356</v>
      </c>
      <c r="D691" t="inlineStr">
        <is>
          <t>VÄSTERNORRLANDS LÄN</t>
        </is>
      </c>
      <c r="E691" t="inlineStr">
        <is>
          <t>SOLLEFTEÅ</t>
        </is>
      </c>
      <c r="G691" t="n">
        <v>0.3</v>
      </c>
      <c r="H691" t="n">
        <v>0</v>
      </c>
      <c r="I691" t="n">
        <v>0</v>
      </c>
      <c r="J691" t="n">
        <v>0</v>
      </c>
      <c r="K691" t="n">
        <v>0</v>
      </c>
      <c r="L691" t="n">
        <v>0</v>
      </c>
      <c r="M691" t="n">
        <v>0</v>
      </c>
      <c r="N691" t="n">
        <v>0</v>
      </c>
      <c r="O691" t="n">
        <v>0</v>
      </c>
      <c r="P691" t="n">
        <v>0</v>
      </c>
      <c r="Q691" t="n">
        <v>0</v>
      </c>
      <c r="R691" s="2" t="inlineStr"/>
    </row>
    <row r="692" ht="15" customHeight="1">
      <c r="A692" t="inlineStr">
        <is>
          <t>A 45551-2020</t>
        </is>
      </c>
      <c r="B692" s="1" t="n">
        <v>44089</v>
      </c>
      <c r="C692" s="1" t="n">
        <v>45356</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46715-2020</t>
        </is>
      </c>
      <c r="B693" s="1" t="n">
        <v>44095</v>
      </c>
      <c r="C693" s="1" t="n">
        <v>45356</v>
      </c>
      <c r="D693" t="inlineStr">
        <is>
          <t>VÄSTERNORRLANDS LÄN</t>
        </is>
      </c>
      <c r="E693" t="inlineStr">
        <is>
          <t>SOLLEFTEÅ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47827-2020</t>
        </is>
      </c>
      <c r="B694" s="1" t="n">
        <v>44098</v>
      </c>
      <c r="C694" s="1" t="n">
        <v>45356</v>
      </c>
      <c r="D694" t="inlineStr">
        <is>
          <t>VÄSTERNORRLANDS LÄN</t>
        </is>
      </c>
      <c r="E694" t="inlineStr">
        <is>
          <t>SOLLEFTEÅ</t>
        </is>
      </c>
      <c r="F694" t="inlineStr">
        <is>
          <t>SCA</t>
        </is>
      </c>
      <c r="G694" t="n">
        <v>4.8</v>
      </c>
      <c r="H694" t="n">
        <v>0</v>
      </c>
      <c r="I694" t="n">
        <v>0</v>
      </c>
      <c r="J694" t="n">
        <v>0</v>
      </c>
      <c r="K694" t="n">
        <v>0</v>
      </c>
      <c r="L694" t="n">
        <v>0</v>
      </c>
      <c r="M694" t="n">
        <v>0</v>
      </c>
      <c r="N694" t="n">
        <v>0</v>
      </c>
      <c r="O694" t="n">
        <v>0</v>
      </c>
      <c r="P694" t="n">
        <v>0</v>
      </c>
      <c r="Q694" t="n">
        <v>0</v>
      </c>
      <c r="R694" s="2" t="inlineStr"/>
    </row>
    <row r="695" ht="15" customHeight="1">
      <c r="A695" t="inlineStr">
        <is>
          <t>A 47859-2020</t>
        </is>
      </c>
      <c r="B695" s="1" t="n">
        <v>44099</v>
      </c>
      <c r="C695" s="1" t="n">
        <v>45356</v>
      </c>
      <c r="D695" t="inlineStr">
        <is>
          <t>VÄSTERNORRLANDS LÄN</t>
        </is>
      </c>
      <c r="E695" t="inlineStr">
        <is>
          <t>SOLLEFTEÅ</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48052-2020</t>
        </is>
      </c>
      <c r="B696" s="1" t="n">
        <v>44100</v>
      </c>
      <c r="C696" s="1" t="n">
        <v>45356</v>
      </c>
      <c r="D696" t="inlineStr">
        <is>
          <t>VÄSTERNORRLANDS LÄN</t>
        </is>
      </c>
      <c r="E696" t="inlineStr">
        <is>
          <t>SOLLEFTEÅ</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48240-2020</t>
        </is>
      </c>
      <c r="B697" s="1" t="n">
        <v>44102</v>
      </c>
      <c r="C697" s="1" t="n">
        <v>45356</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48477-2020</t>
        </is>
      </c>
      <c r="B698" s="1" t="n">
        <v>44102</v>
      </c>
      <c r="C698" s="1" t="n">
        <v>45356</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48468-2020</t>
        </is>
      </c>
      <c r="B699" s="1" t="n">
        <v>44102</v>
      </c>
      <c r="C699" s="1" t="n">
        <v>45356</v>
      </c>
      <c r="D699" t="inlineStr">
        <is>
          <t>VÄSTERNORRLANDS LÄN</t>
        </is>
      </c>
      <c r="E699" t="inlineStr">
        <is>
          <t>SOLLEFTEÅ</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48470-2020</t>
        </is>
      </c>
      <c r="B700" s="1" t="n">
        <v>44102</v>
      </c>
      <c r="C700" s="1" t="n">
        <v>45356</v>
      </c>
      <c r="D700" t="inlineStr">
        <is>
          <t>VÄSTERNORRLANDS LÄN</t>
        </is>
      </c>
      <c r="E700" t="inlineStr">
        <is>
          <t>SOLLEFTEÅ</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48475-2020</t>
        </is>
      </c>
      <c r="B701" s="1" t="n">
        <v>44103</v>
      </c>
      <c r="C701" s="1" t="n">
        <v>45356</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48802-2020</t>
        </is>
      </c>
      <c r="B702" s="1" t="n">
        <v>44103</v>
      </c>
      <c r="C702" s="1" t="n">
        <v>45356</v>
      </c>
      <c r="D702" t="inlineStr">
        <is>
          <t>VÄSTERNORRLANDS LÄN</t>
        </is>
      </c>
      <c r="E702" t="inlineStr">
        <is>
          <t>SOLLEFTEÅ</t>
        </is>
      </c>
      <c r="F702" t="inlineStr">
        <is>
          <t>SCA</t>
        </is>
      </c>
      <c r="G702" t="n">
        <v>10.9</v>
      </c>
      <c r="H702" t="n">
        <v>0</v>
      </c>
      <c r="I702" t="n">
        <v>0</v>
      </c>
      <c r="J702" t="n">
        <v>0</v>
      </c>
      <c r="K702" t="n">
        <v>0</v>
      </c>
      <c r="L702" t="n">
        <v>0</v>
      </c>
      <c r="M702" t="n">
        <v>0</v>
      </c>
      <c r="N702" t="n">
        <v>0</v>
      </c>
      <c r="O702" t="n">
        <v>0</v>
      </c>
      <c r="P702" t="n">
        <v>0</v>
      </c>
      <c r="Q702" t="n">
        <v>0</v>
      </c>
      <c r="R702" s="2" t="inlineStr"/>
    </row>
    <row r="703" ht="15" customHeight="1">
      <c r="A703" t="inlineStr">
        <is>
          <t>A 49629-2020</t>
        </is>
      </c>
      <c r="B703" s="1" t="n">
        <v>44103</v>
      </c>
      <c r="C703" s="1" t="n">
        <v>45356</v>
      </c>
      <c r="D703" t="inlineStr">
        <is>
          <t>VÄSTERNORRLANDS LÄN</t>
        </is>
      </c>
      <c r="E703" t="inlineStr">
        <is>
          <t>SOLLEFTEÅ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49165-2020</t>
        </is>
      </c>
      <c r="B704" s="1" t="n">
        <v>44105</v>
      </c>
      <c r="C704" s="1" t="n">
        <v>45356</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49507-2020</t>
        </is>
      </c>
      <c r="B705" s="1" t="n">
        <v>44105</v>
      </c>
      <c r="C705" s="1" t="n">
        <v>45356</v>
      </c>
      <c r="D705" t="inlineStr">
        <is>
          <t>VÄSTERNORRLANDS LÄN</t>
        </is>
      </c>
      <c r="E705" t="inlineStr">
        <is>
          <t>SOLLEFTEÅ</t>
        </is>
      </c>
      <c r="F705" t="inlineStr">
        <is>
          <t>SCA</t>
        </is>
      </c>
      <c r="G705" t="n">
        <v>0.2</v>
      </c>
      <c r="H705" t="n">
        <v>0</v>
      </c>
      <c r="I705" t="n">
        <v>0</v>
      </c>
      <c r="J705" t="n">
        <v>0</v>
      </c>
      <c r="K705" t="n">
        <v>0</v>
      </c>
      <c r="L705" t="n">
        <v>0</v>
      </c>
      <c r="M705" t="n">
        <v>0</v>
      </c>
      <c r="N705" t="n">
        <v>0</v>
      </c>
      <c r="O705" t="n">
        <v>0</v>
      </c>
      <c r="P705" t="n">
        <v>0</v>
      </c>
      <c r="Q705" t="n">
        <v>0</v>
      </c>
      <c r="R705" s="2" t="inlineStr"/>
    </row>
    <row r="706" ht="15" customHeight="1">
      <c r="A706" t="inlineStr">
        <is>
          <t>A 49508-2020</t>
        </is>
      </c>
      <c r="B706" s="1" t="n">
        <v>44105</v>
      </c>
      <c r="C706" s="1" t="n">
        <v>45356</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49837-2020</t>
        </is>
      </c>
      <c r="B707" s="1" t="n">
        <v>44106</v>
      </c>
      <c r="C707" s="1" t="n">
        <v>45356</v>
      </c>
      <c r="D707" t="inlineStr">
        <is>
          <t>VÄSTERNORRLANDS LÄN</t>
        </is>
      </c>
      <c r="E707" t="inlineStr">
        <is>
          <t>SOLLEFTEÅ</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50647-2020</t>
        </is>
      </c>
      <c r="B708" s="1" t="n">
        <v>44111</v>
      </c>
      <c r="C708" s="1" t="n">
        <v>45356</v>
      </c>
      <c r="D708" t="inlineStr">
        <is>
          <t>VÄSTERNORRLANDS LÄN</t>
        </is>
      </c>
      <c r="E708" t="inlineStr">
        <is>
          <t>SOLLEFTEÅ</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51018-2020</t>
        </is>
      </c>
      <c r="B709" s="1" t="n">
        <v>44111</v>
      </c>
      <c r="C709" s="1" t="n">
        <v>45356</v>
      </c>
      <c r="D709" t="inlineStr">
        <is>
          <t>VÄSTERNORRLANDS LÄN</t>
        </is>
      </c>
      <c r="E709" t="inlineStr">
        <is>
          <t>SOLLEFTEÅ</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51011-2020</t>
        </is>
      </c>
      <c r="B710" s="1" t="n">
        <v>44111</v>
      </c>
      <c r="C710" s="1" t="n">
        <v>45356</v>
      </c>
      <c r="D710" t="inlineStr">
        <is>
          <t>VÄSTERNORRLANDS LÄN</t>
        </is>
      </c>
      <c r="E710" t="inlineStr">
        <is>
          <t>SOLLEFTEÅ</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51534-2020</t>
        </is>
      </c>
      <c r="B711" s="1" t="n">
        <v>44113</v>
      </c>
      <c r="C711" s="1" t="n">
        <v>45356</v>
      </c>
      <c r="D711" t="inlineStr">
        <is>
          <t>VÄSTERNORRLANDS LÄN</t>
        </is>
      </c>
      <c r="E711" t="inlineStr">
        <is>
          <t>SOLLEFTEÅ</t>
        </is>
      </c>
      <c r="G711" t="n">
        <v>2.7</v>
      </c>
      <c r="H711" t="n">
        <v>0</v>
      </c>
      <c r="I711" t="n">
        <v>0</v>
      </c>
      <c r="J711" t="n">
        <v>0</v>
      </c>
      <c r="K711" t="n">
        <v>0</v>
      </c>
      <c r="L711" t="n">
        <v>0</v>
      </c>
      <c r="M711" t="n">
        <v>0</v>
      </c>
      <c r="N711" t="n">
        <v>0</v>
      </c>
      <c r="O711" t="n">
        <v>0</v>
      </c>
      <c r="P711" t="n">
        <v>0</v>
      </c>
      <c r="Q711" t="n">
        <v>0</v>
      </c>
      <c r="R711" s="2" t="inlineStr"/>
    </row>
    <row r="712" ht="15" customHeight="1">
      <c r="A712" t="inlineStr">
        <is>
          <t>A 52035-2020</t>
        </is>
      </c>
      <c r="B712" s="1" t="n">
        <v>44117</v>
      </c>
      <c r="C712" s="1" t="n">
        <v>45356</v>
      </c>
      <c r="D712" t="inlineStr">
        <is>
          <t>VÄSTERNORRLANDS LÄN</t>
        </is>
      </c>
      <c r="E712" t="inlineStr">
        <is>
          <t>SOLLEFTEÅ</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52189-2020</t>
        </is>
      </c>
      <c r="B713" s="1" t="n">
        <v>44117</v>
      </c>
      <c r="C713" s="1" t="n">
        <v>45356</v>
      </c>
      <c r="D713" t="inlineStr">
        <is>
          <t>VÄSTERNORRLANDS LÄN</t>
        </is>
      </c>
      <c r="E713" t="inlineStr">
        <is>
          <t>SOLLEFTEÅ</t>
        </is>
      </c>
      <c r="G713" t="n">
        <v>2.2</v>
      </c>
      <c r="H713" t="n">
        <v>0</v>
      </c>
      <c r="I713" t="n">
        <v>0</v>
      </c>
      <c r="J713" t="n">
        <v>0</v>
      </c>
      <c r="K713" t="n">
        <v>0</v>
      </c>
      <c r="L713" t="n">
        <v>0</v>
      </c>
      <c r="M713" t="n">
        <v>0</v>
      </c>
      <c r="N713" t="n">
        <v>0</v>
      </c>
      <c r="O713" t="n">
        <v>0</v>
      </c>
      <c r="P713" t="n">
        <v>0</v>
      </c>
      <c r="Q713" t="n">
        <v>0</v>
      </c>
      <c r="R713" s="2" t="inlineStr"/>
    </row>
    <row r="714" ht="15" customHeight="1">
      <c r="A714" t="inlineStr">
        <is>
          <t>A 52199-2020</t>
        </is>
      </c>
      <c r="B714" s="1" t="n">
        <v>44117</v>
      </c>
      <c r="C714" s="1" t="n">
        <v>45356</v>
      </c>
      <c r="D714" t="inlineStr">
        <is>
          <t>VÄSTERNORRLANDS LÄN</t>
        </is>
      </c>
      <c r="E714" t="inlineStr">
        <is>
          <t>SOLLEFTEÅ</t>
        </is>
      </c>
      <c r="G714" t="n">
        <v>4.9</v>
      </c>
      <c r="H714" t="n">
        <v>0</v>
      </c>
      <c r="I714" t="n">
        <v>0</v>
      </c>
      <c r="J714" t="n">
        <v>0</v>
      </c>
      <c r="K714" t="n">
        <v>0</v>
      </c>
      <c r="L714" t="n">
        <v>0</v>
      </c>
      <c r="M714" t="n">
        <v>0</v>
      </c>
      <c r="N714" t="n">
        <v>0</v>
      </c>
      <c r="O714" t="n">
        <v>0</v>
      </c>
      <c r="P714" t="n">
        <v>0</v>
      </c>
      <c r="Q714" t="n">
        <v>0</v>
      </c>
      <c r="R714" s="2" t="inlineStr"/>
    </row>
    <row r="715" ht="15" customHeight="1">
      <c r="A715" t="inlineStr">
        <is>
          <t>A 52406-2020</t>
        </is>
      </c>
      <c r="B715" s="1" t="n">
        <v>44118</v>
      </c>
      <c r="C715" s="1" t="n">
        <v>45356</v>
      </c>
      <c r="D715" t="inlineStr">
        <is>
          <t>VÄSTERNORRLANDS LÄN</t>
        </is>
      </c>
      <c r="E715" t="inlineStr">
        <is>
          <t>SOLLEFTEÅ</t>
        </is>
      </c>
      <c r="G715" t="n">
        <v>2.8</v>
      </c>
      <c r="H715" t="n">
        <v>0</v>
      </c>
      <c r="I715" t="n">
        <v>0</v>
      </c>
      <c r="J715" t="n">
        <v>0</v>
      </c>
      <c r="K715" t="n">
        <v>0</v>
      </c>
      <c r="L715" t="n">
        <v>0</v>
      </c>
      <c r="M715" t="n">
        <v>0</v>
      </c>
      <c r="N715" t="n">
        <v>0</v>
      </c>
      <c r="O715" t="n">
        <v>0</v>
      </c>
      <c r="P715" t="n">
        <v>0</v>
      </c>
      <c r="Q715" t="n">
        <v>0</v>
      </c>
      <c r="R715" s="2" t="inlineStr"/>
    </row>
    <row r="716" ht="15" customHeight="1">
      <c r="A716" t="inlineStr">
        <is>
          <t>A 52983-2020</t>
        </is>
      </c>
      <c r="B716" s="1" t="n">
        <v>44119</v>
      </c>
      <c r="C716" s="1" t="n">
        <v>45356</v>
      </c>
      <c r="D716" t="inlineStr">
        <is>
          <t>VÄSTERNORRLANDS LÄN</t>
        </is>
      </c>
      <c r="E716" t="inlineStr">
        <is>
          <t>SOLLEFTEÅ</t>
        </is>
      </c>
      <c r="G716" t="n">
        <v>3.8</v>
      </c>
      <c r="H716" t="n">
        <v>0</v>
      </c>
      <c r="I716" t="n">
        <v>0</v>
      </c>
      <c r="J716" t="n">
        <v>0</v>
      </c>
      <c r="K716" t="n">
        <v>0</v>
      </c>
      <c r="L716" t="n">
        <v>0</v>
      </c>
      <c r="M716" t="n">
        <v>0</v>
      </c>
      <c r="N716" t="n">
        <v>0</v>
      </c>
      <c r="O716" t="n">
        <v>0</v>
      </c>
      <c r="P716" t="n">
        <v>0</v>
      </c>
      <c r="Q716" t="n">
        <v>0</v>
      </c>
      <c r="R716" s="2" t="inlineStr"/>
    </row>
    <row r="717" ht="15" customHeight="1">
      <c r="A717" t="inlineStr">
        <is>
          <t>A 52936-2020</t>
        </is>
      </c>
      <c r="B717" s="1" t="n">
        <v>44120</v>
      </c>
      <c r="C717" s="1" t="n">
        <v>45356</v>
      </c>
      <c r="D717" t="inlineStr">
        <is>
          <t>VÄSTERNORRLANDS LÄN</t>
        </is>
      </c>
      <c r="E717" t="inlineStr">
        <is>
          <t>SOLLEFTEÅ</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53828-2020</t>
        </is>
      </c>
      <c r="B718" s="1" t="n">
        <v>44124</v>
      </c>
      <c r="C718" s="1" t="n">
        <v>45356</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54463-2020</t>
        </is>
      </c>
      <c r="B719" s="1" t="n">
        <v>44125</v>
      </c>
      <c r="C719" s="1" t="n">
        <v>45356</v>
      </c>
      <c r="D719" t="inlineStr">
        <is>
          <t>VÄSTERNORRLANDS LÄN</t>
        </is>
      </c>
      <c r="E719" t="inlineStr">
        <is>
          <t>SOLLEFTEÅ</t>
        </is>
      </c>
      <c r="G719" t="n">
        <v>2</v>
      </c>
      <c r="H719" t="n">
        <v>0</v>
      </c>
      <c r="I719" t="n">
        <v>0</v>
      </c>
      <c r="J719" t="n">
        <v>0</v>
      </c>
      <c r="K719" t="n">
        <v>0</v>
      </c>
      <c r="L719" t="n">
        <v>0</v>
      </c>
      <c r="M719" t="n">
        <v>0</v>
      </c>
      <c r="N719" t="n">
        <v>0</v>
      </c>
      <c r="O719" t="n">
        <v>0</v>
      </c>
      <c r="P719" t="n">
        <v>0</v>
      </c>
      <c r="Q719" t="n">
        <v>0</v>
      </c>
      <c r="R719" s="2" t="inlineStr"/>
    </row>
    <row r="720" ht="15" customHeight="1">
      <c r="A720" t="inlineStr">
        <is>
          <t>A 53866-2020</t>
        </is>
      </c>
      <c r="B720" s="1" t="n">
        <v>44125</v>
      </c>
      <c r="C720" s="1" t="n">
        <v>45356</v>
      </c>
      <c r="D720" t="inlineStr">
        <is>
          <t>VÄSTERNORRLANDS LÄN</t>
        </is>
      </c>
      <c r="E720" t="inlineStr">
        <is>
          <t>SOLLEFTEÅ</t>
        </is>
      </c>
      <c r="G720" t="n">
        <v>1.4</v>
      </c>
      <c r="H720" t="n">
        <v>0</v>
      </c>
      <c r="I720" t="n">
        <v>0</v>
      </c>
      <c r="J720" t="n">
        <v>0</v>
      </c>
      <c r="K720" t="n">
        <v>0</v>
      </c>
      <c r="L720" t="n">
        <v>0</v>
      </c>
      <c r="M720" t="n">
        <v>0</v>
      </c>
      <c r="N720" t="n">
        <v>0</v>
      </c>
      <c r="O720" t="n">
        <v>0</v>
      </c>
      <c r="P720" t="n">
        <v>0</v>
      </c>
      <c r="Q720" t="n">
        <v>0</v>
      </c>
      <c r="R720" s="2" t="inlineStr"/>
    </row>
    <row r="721" ht="15" customHeight="1">
      <c r="A721" t="inlineStr">
        <is>
          <t>A 54567-2020</t>
        </is>
      </c>
      <c r="B721" s="1" t="n">
        <v>44126</v>
      </c>
      <c r="C721" s="1" t="n">
        <v>45356</v>
      </c>
      <c r="D721" t="inlineStr">
        <is>
          <t>VÄSTERNORRLANDS LÄN</t>
        </is>
      </c>
      <c r="E721" t="inlineStr">
        <is>
          <t>SOLLEFTEÅ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54568-2020</t>
        </is>
      </c>
      <c r="B722" s="1" t="n">
        <v>44126</v>
      </c>
      <c r="C722" s="1" t="n">
        <v>45356</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54572-2020</t>
        </is>
      </c>
      <c r="B723" s="1" t="n">
        <v>44126</v>
      </c>
      <c r="C723" s="1" t="n">
        <v>45356</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54576-2020</t>
        </is>
      </c>
      <c r="B724" s="1" t="n">
        <v>44126</v>
      </c>
      <c r="C724" s="1" t="n">
        <v>45356</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54571-2020</t>
        </is>
      </c>
      <c r="B725" s="1" t="n">
        <v>44126</v>
      </c>
      <c r="C725" s="1" t="n">
        <v>45356</v>
      </c>
      <c r="D725" t="inlineStr">
        <is>
          <t>VÄSTERNORRLANDS LÄN</t>
        </is>
      </c>
      <c r="E725" t="inlineStr">
        <is>
          <t>SOLLEFTEÅ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54569-2020</t>
        </is>
      </c>
      <c r="B726" s="1" t="n">
        <v>44126</v>
      </c>
      <c r="C726" s="1" t="n">
        <v>45356</v>
      </c>
      <c r="D726" t="inlineStr">
        <is>
          <t>VÄSTERNORRLANDS LÄN</t>
        </is>
      </c>
      <c r="E726" t="inlineStr">
        <is>
          <t>SOLLEFTEÅ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54566-2020</t>
        </is>
      </c>
      <c r="B727" s="1" t="n">
        <v>44126</v>
      </c>
      <c r="C727" s="1" t="n">
        <v>45356</v>
      </c>
      <c r="D727" t="inlineStr">
        <is>
          <t>VÄSTERNORRLANDS LÄN</t>
        </is>
      </c>
      <c r="E727" t="inlineStr">
        <is>
          <t>SOLLEFTEÅ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54570-2020</t>
        </is>
      </c>
      <c r="B728" s="1" t="n">
        <v>44126</v>
      </c>
      <c r="C728" s="1" t="n">
        <v>45356</v>
      </c>
      <c r="D728" t="inlineStr">
        <is>
          <t>VÄSTERNORRLANDS LÄN</t>
        </is>
      </c>
      <c r="E728" t="inlineStr">
        <is>
          <t>SOLLEFTEÅ</t>
        </is>
      </c>
      <c r="G728" t="n">
        <v>0.3</v>
      </c>
      <c r="H728" t="n">
        <v>0</v>
      </c>
      <c r="I728" t="n">
        <v>0</v>
      </c>
      <c r="J728" t="n">
        <v>0</v>
      </c>
      <c r="K728" t="n">
        <v>0</v>
      </c>
      <c r="L728" t="n">
        <v>0</v>
      </c>
      <c r="M728" t="n">
        <v>0</v>
      </c>
      <c r="N728" t="n">
        <v>0</v>
      </c>
      <c r="O728" t="n">
        <v>0</v>
      </c>
      <c r="P728" t="n">
        <v>0</v>
      </c>
      <c r="Q728" t="n">
        <v>0</v>
      </c>
      <c r="R728" s="2" t="inlineStr"/>
    </row>
    <row r="729" ht="15" customHeight="1">
      <c r="A729" t="inlineStr">
        <is>
          <t>A 54573-2020</t>
        </is>
      </c>
      <c r="B729" s="1" t="n">
        <v>44126</v>
      </c>
      <c r="C729" s="1" t="n">
        <v>45356</v>
      </c>
      <c r="D729" t="inlineStr">
        <is>
          <t>VÄSTERNORRLANDS LÄN</t>
        </is>
      </c>
      <c r="E729" t="inlineStr">
        <is>
          <t>SOLLEFTEÅ</t>
        </is>
      </c>
      <c r="G729" t="n">
        <v>0.2</v>
      </c>
      <c r="H729" t="n">
        <v>0</v>
      </c>
      <c r="I729" t="n">
        <v>0</v>
      </c>
      <c r="J729" t="n">
        <v>0</v>
      </c>
      <c r="K729" t="n">
        <v>0</v>
      </c>
      <c r="L729" t="n">
        <v>0</v>
      </c>
      <c r="M729" t="n">
        <v>0</v>
      </c>
      <c r="N729" t="n">
        <v>0</v>
      </c>
      <c r="O729" t="n">
        <v>0</v>
      </c>
      <c r="P729" t="n">
        <v>0</v>
      </c>
      <c r="Q729" t="n">
        <v>0</v>
      </c>
      <c r="R729" s="2" t="inlineStr"/>
    </row>
    <row r="730" ht="15" customHeight="1">
      <c r="A730" t="inlineStr">
        <is>
          <t>A 55337-2020</t>
        </is>
      </c>
      <c r="B730" s="1" t="n">
        <v>44130</v>
      </c>
      <c r="C730" s="1" t="n">
        <v>45356</v>
      </c>
      <c r="D730" t="inlineStr">
        <is>
          <t>VÄSTERNORRLANDS LÄN</t>
        </is>
      </c>
      <c r="E730" t="inlineStr">
        <is>
          <t>SOLLEFTEÅ</t>
        </is>
      </c>
      <c r="G730" t="n">
        <v>21.1</v>
      </c>
      <c r="H730" t="n">
        <v>0</v>
      </c>
      <c r="I730" t="n">
        <v>0</v>
      </c>
      <c r="J730" t="n">
        <v>0</v>
      </c>
      <c r="K730" t="n">
        <v>0</v>
      </c>
      <c r="L730" t="n">
        <v>0</v>
      </c>
      <c r="M730" t="n">
        <v>0</v>
      </c>
      <c r="N730" t="n">
        <v>0</v>
      </c>
      <c r="O730" t="n">
        <v>0</v>
      </c>
      <c r="P730" t="n">
        <v>0</v>
      </c>
      <c r="Q730" t="n">
        <v>0</v>
      </c>
      <c r="R730" s="2" t="inlineStr"/>
    </row>
    <row r="731" ht="15" customHeight="1">
      <c r="A731" t="inlineStr">
        <is>
          <t>A 55489-2020</t>
        </is>
      </c>
      <c r="B731" s="1" t="n">
        <v>44131</v>
      </c>
      <c r="C731" s="1" t="n">
        <v>45356</v>
      </c>
      <c r="D731" t="inlineStr">
        <is>
          <t>VÄSTERNORRLANDS LÄN</t>
        </is>
      </c>
      <c r="E731" t="inlineStr">
        <is>
          <t>SOLLEFTEÅ</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58380-2020</t>
        </is>
      </c>
      <c r="B732" s="1" t="n">
        <v>44145</v>
      </c>
      <c r="C732" s="1" t="n">
        <v>45356</v>
      </c>
      <c r="D732" t="inlineStr">
        <is>
          <t>VÄSTERNORRLANDS LÄN</t>
        </is>
      </c>
      <c r="E732" t="inlineStr">
        <is>
          <t>SOLLEFTEÅ</t>
        </is>
      </c>
      <c r="G732" t="n">
        <v>2.4</v>
      </c>
      <c r="H732" t="n">
        <v>0</v>
      </c>
      <c r="I732" t="n">
        <v>0</v>
      </c>
      <c r="J732" t="n">
        <v>0</v>
      </c>
      <c r="K732" t="n">
        <v>0</v>
      </c>
      <c r="L732" t="n">
        <v>0</v>
      </c>
      <c r="M732" t="n">
        <v>0</v>
      </c>
      <c r="N732" t="n">
        <v>0</v>
      </c>
      <c r="O732" t="n">
        <v>0</v>
      </c>
      <c r="P732" t="n">
        <v>0</v>
      </c>
      <c r="Q732" t="n">
        <v>0</v>
      </c>
      <c r="R732" s="2" t="inlineStr"/>
    </row>
    <row r="733" ht="15" customHeight="1">
      <c r="A733" t="inlineStr">
        <is>
          <t>A 58381-2020</t>
        </is>
      </c>
      <c r="B733" s="1" t="n">
        <v>44145</v>
      </c>
      <c r="C733" s="1" t="n">
        <v>45356</v>
      </c>
      <c r="D733" t="inlineStr">
        <is>
          <t>VÄSTERNORRLANDS LÄN</t>
        </is>
      </c>
      <c r="E733" t="inlineStr">
        <is>
          <t>SOLLEFTEÅ</t>
        </is>
      </c>
      <c r="G733" t="n">
        <v>2.3</v>
      </c>
      <c r="H733" t="n">
        <v>0</v>
      </c>
      <c r="I733" t="n">
        <v>0</v>
      </c>
      <c r="J733" t="n">
        <v>0</v>
      </c>
      <c r="K733" t="n">
        <v>0</v>
      </c>
      <c r="L733" t="n">
        <v>0</v>
      </c>
      <c r="M733" t="n">
        <v>0</v>
      </c>
      <c r="N733" t="n">
        <v>0</v>
      </c>
      <c r="O733" t="n">
        <v>0</v>
      </c>
      <c r="P733" t="n">
        <v>0</v>
      </c>
      <c r="Q733" t="n">
        <v>0</v>
      </c>
      <c r="R733" s="2" t="inlineStr"/>
    </row>
    <row r="734" ht="15" customHeight="1">
      <c r="A734" t="inlineStr">
        <is>
          <t>A 59334-2020</t>
        </is>
      </c>
      <c r="B734" s="1" t="n">
        <v>44147</v>
      </c>
      <c r="C734" s="1" t="n">
        <v>45356</v>
      </c>
      <c r="D734" t="inlineStr">
        <is>
          <t>VÄSTERNORRLANDS LÄN</t>
        </is>
      </c>
      <c r="E734" t="inlineStr">
        <is>
          <t>SOLLEFTEÅ</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59950-2020</t>
        </is>
      </c>
      <c r="B735" s="1" t="n">
        <v>44151</v>
      </c>
      <c r="C735" s="1" t="n">
        <v>45356</v>
      </c>
      <c r="D735" t="inlineStr">
        <is>
          <t>VÄSTERNORRLANDS LÄN</t>
        </is>
      </c>
      <c r="E735" t="inlineStr">
        <is>
          <t>SOLLEFTEÅ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59953-2020</t>
        </is>
      </c>
      <c r="B736" s="1" t="n">
        <v>44151</v>
      </c>
      <c r="C736" s="1" t="n">
        <v>45356</v>
      </c>
      <c r="D736" t="inlineStr">
        <is>
          <t>VÄSTERNORRLANDS LÄN</t>
        </is>
      </c>
      <c r="E736" t="inlineStr">
        <is>
          <t>SOLLEFTEÅ</t>
        </is>
      </c>
      <c r="G736" t="n">
        <v>3.6</v>
      </c>
      <c r="H736" t="n">
        <v>0</v>
      </c>
      <c r="I736" t="n">
        <v>0</v>
      </c>
      <c r="J736" t="n">
        <v>0</v>
      </c>
      <c r="K736" t="n">
        <v>0</v>
      </c>
      <c r="L736" t="n">
        <v>0</v>
      </c>
      <c r="M736" t="n">
        <v>0</v>
      </c>
      <c r="N736" t="n">
        <v>0</v>
      </c>
      <c r="O736" t="n">
        <v>0</v>
      </c>
      <c r="P736" t="n">
        <v>0</v>
      </c>
      <c r="Q736" t="n">
        <v>0</v>
      </c>
      <c r="R736" s="2" t="inlineStr"/>
    </row>
    <row r="737" ht="15" customHeight="1">
      <c r="A737" t="inlineStr">
        <is>
          <t>A 60091-2020</t>
        </is>
      </c>
      <c r="B737" s="1" t="n">
        <v>44151</v>
      </c>
      <c r="C737" s="1" t="n">
        <v>45356</v>
      </c>
      <c r="D737" t="inlineStr">
        <is>
          <t>VÄSTERNORRLANDS LÄN</t>
        </is>
      </c>
      <c r="E737" t="inlineStr">
        <is>
          <t>SOLLEFTEÅ</t>
        </is>
      </c>
      <c r="G737" t="n">
        <v>1.3</v>
      </c>
      <c r="H737" t="n">
        <v>0</v>
      </c>
      <c r="I737" t="n">
        <v>0</v>
      </c>
      <c r="J737" t="n">
        <v>0</v>
      </c>
      <c r="K737" t="n">
        <v>0</v>
      </c>
      <c r="L737" t="n">
        <v>0</v>
      </c>
      <c r="M737" t="n">
        <v>0</v>
      </c>
      <c r="N737" t="n">
        <v>0</v>
      </c>
      <c r="O737" t="n">
        <v>0</v>
      </c>
      <c r="P737" t="n">
        <v>0</v>
      </c>
      <c r="Q737" t="n">
        <v>0</v>
      </c>
      <c r="R737" s="2" t="inlineStr"/>
    </row>
    <row r="738" ht="15" customHeight="1">
      <c r="A738" t="inlineStr">
        <is>
          <t>A 61127-2020</t>
        </is>
      </c>
      <c r="B738" s="1" t="n">
        <v>44154</v>
      </c>
      <c r="C738" s="1" t="n">
        <v>45356</v>
      </c>
      <c r="D738" t="inlineStr">
        <is>
          <t>VÄSTERNORRLANDS LÄN</t>
        </is>
      </c>
      <c r="E738" t="inlineStr">
        <is>
          <t>SOLLEFTEÅ</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61130-2020</t>
        </is>
      </c>
      <c r="B739" s="1" t="n">
        <v>44154</v>
      </c>
      <c r="C739" s="1" t="n">
        <v>45356</v>
      </c>
      <c r="D739" t="inlineStr">
        <is>
          <t>VÄSTERNORRLANDS LÄN</t>
        </is>
      </c>
      <c r="E739" t="inlineStr">
        <is>
          <t>SOLLEFTEÅ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61894-2020</t>
        </is>
      </c>
      <c r="B740" s="1" t="n">
        <v>44155</v>
      </c>
      <c r="C740" s="1" t="n">
        <v>45356</v>
      </c>
      <c r="D740" t="inlineStr">
        <is>
          <t>VÄSTERNORRLANDS LÄN</t>
        </is>
      </c>
      <c r="E740" t="inlineStr">
        <is>
          <t>SOLLEFTEÅ</t>
        </is>
      </c>
      <c r="G740" t="n">
        <v>0.4</v>
      </c>
      <c r="H740" t="n">
        <v>0</v>
      </c>
      <c r="I740" t="n">
        <v>0</v>
      </c>
      <c r="J740" t="n">
        <v>0</v>
      </c>
      <c r="K740" t="n">
        <v>0</v>
      </c>
      <c r="L740" t="n">
        <v>0</v>
      </c>
      <c r="M740" t="n">
        <v>0</v>
      </c>
      <c r="N740" t="n">
        <v>0</v>
      </c>
      <c r="O740" t="n">
        <v>0</v>
      </c>
      <c r="P740" t="n">
        <v>0</v>
      </c>
      <c r="Q740" t="n">
        <v>0</v>
      </c>
      <c r="R740" s="2" t="inlineStr"/>
    </row>
    <row r="741" ht="15" customHeight="1">
      <c r="A741" t="inlineStr">
        <is>
          <t>A 61943-2020</t>
        </is>
      </c>
      <c r="B741" s="1" t="n">
        <v>44155</v>
      </c>
      <c r="C741" s="1" t="n">
        <v>45356</v>
      </c>
      <c r="D741" t="inlineStr">
        <is>
          <t>VÄSTERNORRLANDS LÄN</t>
        </is>
      </c>
      <c r="E741" t="inlineStr">
        <is>
          <t>SOLLEFTEÅ</t>
        </is>
      </c>
      <c r="G741" t="n">
        <v>1.7</v>
      </c>
      <c r="H741" t="n">
        <v>0</v>
      </c>
      <c r="I741" t="n">
        <v>0</v>
      </c>
      <c r="J741" t="n">
        <v>0</v>
      </c>
      <c r="K741" t="n">
        <v>0</v>
      </c>
      <c r="L741" t="n">
        <v>0</v>
      </c>
      <c r="M741" t="n">
        <v>0</v>
      </c>
      <c r="N741" t="n">
        <v>0</v>
      </c>
      <c r="O741" t="n">
        <v>0</v>
      </c>
      <c r="P741" t="n">
        <v>0</v>
      </c>
      <c r="Q741" t="n">
        <v>0</v>
      </c>
      <c r="R741" s="2" t="inlineStr"/>
    </row>
    <row r="742" ht="15" customHeight="1">
      <c r="A742" t="inlineStr">
        <is>
          <t>A 62666-2020</t>
        </is>
      </c>
      <c r="B742" s="1" t="n">
        <v>44161</v>
      </c>
      <c r="C742" s="1" t="n">
        <v>45356</v>
      </c>
      <c r="D742" t="inlineStr">
        <is>
          <t>VÄSTERNORRLANDS LÄN</t>
        </is>
      </c>
      <c r="E742" t="inlineStr">
        <is>
          <t>SOLLEFTEÅ</t>
        </is>
      </c>
      <c r="G742" t="n">
        <v>0.9</v>
      </c>
      <c r="H742" t="n">
        <v>0</v>
      </c>
      <c r="I742" t="n">
        <v>0</v>
      </c>
      <c r="J742" t="n">
        <v>0</v>
      </c>
      <c r="K742" t="n">
        <v>0</v>
      </c>
      <c r="L742" t="n">
        <v>0</v>
      </c>
      <c r="M742" t="n">
        <v>0</v>
      </c>
      <c r="N742" t="n">
        <v>0</v>
      </c>
      <c r="O742" t="n">
        <v>0</v>
      </c>
      <c r="P742" t="n">
        <v>0</v>
      </c>
      <c r="Q742" t="n">
        <v>0</v>
      </c>
      <c r="R742" s="2" t="inlineStr"/>
    </row>
    <row r="743" ht="15" customHeight="1">
      <c r="A743" t="inlineStr">
        <is>
          <t>A 62881-2020</t>
        </is>
      </c>
      <c r="B743" s="1" t="n">
        <v>44161</v>
      </c>
      <c r="C743" s="1" t="n">
        <v>45356</v>
      </c>
      <c r="D743" t="inlineStr">
        <is>
          <t>VÄSTERNORRLANDS LÄN</t>
        </is>
      </c>
      <c r="E743" t="inlineStr">
        <is>
          <t>SOLLEFTEÅ</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62883-2020</t>
        </is>
      </c>
      <c r="B744" s="1" t="n">
        <v>44161</v>
      </c>
      <c r="C744" s="1" t="n">
        <v>45356</v>
      </c>
      <c r="D744" t="inlineStr">
        <is>
          <t>VÄSTERNORRLANDS LÄN</t>
        </is>
      </c>
      <c r="E744" t="inlineStr">
        <is>
          <t>SOLLEFTEÅ</t>
        </is>
      </c>
      <c r="F744" t="inlineStr">
        <is>
          <t>SCA</t>
        </is>
      </c>
      <c r="G744" t="n">
        <v>8.5</v>
      </c>
      <c r="H744" t="n">
        <v>0</v>
      </c>
      <c r="I744" t="n">
        <v>0</v>
      </c>
      <c r="J744" t="n">
        <v>0</v>
      </c>
      <c r="K744" t="n">
        <v>0</v>
      </c>
      <c r="L744" t="n">
        <v>0</v>
      </c>
      <c r="M744" t="n">
        <v>0</v>
      </c>
      <c r="N744" t="n">
        <v>0</v>
      </c>
      <c r="O744" t="n">
        <v>0</v>
      </c>
      <c r="P744" t="n">
        <v>0</v>
      </c>
      <c r="Q744" t="n">
        <v>0</v>
      </c>
      <c r="R744" s="2" t="inlineStr"/>
    </row>
    <row r="745" ht="15" customHeight="1">
      <c r="A745" t="inlineStr">
        <is>
          <t>A 63190-2020</t>
        </is>
      </c>
      <c r="B745" s="1" t="n">
        <v>44162</v>
      </c>
      <c r="C745" s="1" t="n">
        <v>45356</v>
      </c>
      <c r="D745" t="inlineStr">
        <is>
          <t>VÄSTERNORRLANDS LÄN</t>
        </is>
      </c>
      <c r="E745" t="inlineStr">
        <is>
          <t>SOLLEFTEÅ</t>
        </is>
      </c>
      <c r="G745" t="n">
        <v>0.2</v>
      </c>
      <c r="H745" t="n">
        <v>0</v>
      </c>
      <c r="I745" t="n">
        <v>0</v>
      </c>
      <c r="J745" t="n">
        <v>0</v>
      </c>
      <c r="K745" t="n">
        <v>0</v>
      </c>
      <c r="L745" t="n">
        <v>0</v>
      </c>
      <c r="M745" t="n">
        <v>0</v>
      </c>
      <c r="N745" t="n">
        <v>0</v>
      </c>
      <c r="O745" t="n">
        <v>0</v>
      </c>
      <c r="P745" t="n">
        <v>0</v>
      </c>
      <c r="Q745" t="n">
        <v>0</v>
      </c>
      <c r="R745" s="2" t="inlineStr"/>
    </row>
    <row r="746" ht="15" customHeight="1">
      <c r="A746" t="inlineStr">
        <is>
          <t>A 63210-2020</t>
        </is>
      </c>
      <c r="B746" s="1" t="n">
        <v>44163</v>
      </c>
      <c r="C746" s="1" t="n">
        <v>45356</v>
      </c>
      <c r="D746" t="inlineStr">
        <is>
          <t>VÄSTERNORRLANDS LÄN</t>
        </is>
      </c>
      <c r="E746" t="inlineStr">
        <is>
          <t>SOLLEFTEÅ</t>
        </is>
      </c>
      <c r="G746" t="n">
        <v>1.8</v>
      </c>
      <c r="H746" t="n">
        <v>0</v>
      </c>
      <c r="I746" t="n">
        <v>0</v>
      </c>
      <c r="J746" t="n">
        <v>0</v>
      </c>
      <c r="K746" t="n">
        <v>0</v>
      </c>
      <c r="L746" t="n">
        <v>0</v>
      </c>
      <c r="M746" t="n">
        <v>0</v>
      </c>
      <c r="N746" t="n">
        <v>0</v>
      </c>
      <c r="O746" t="n">
        <v>0</v>
      </c>
      <c r="P746" t="n">
        <v>0</v>
      </c>
      <c r="Q746" t="n">
        <v>0</v>
      </c>
      <c r="R746" s="2" t="inlineStr"/>
    </row>
    <row r="747" ht="15" customHeight="1">
      <c r="A747" t="inlineStr">
        <is>
          <t>A 65401-2020</t>
        </is>
      </c>
      <c r="B747" s="1" t="n">
        <v>44169</v>
      </c>
      <c r="C747" s="1" t="n">
        <v>45356</v>
      </c>
      <c r="D747" t="inlineStr">
        <is>
          <t>VÄSTERNORRLANDS LÄN</t>
        </is>
      </c>
      <c r="E747" t="inlineStr">
        <is>
          <t>SOLLEFTEÅ</t>
        </is>
      </c>
      <c r="G747" t="n">
        <v>2.3</v>
      </c>
      <c r="H747" t="n">
        <v>0</v>
      </c>
      <c r="I747" t="n">
        <v>0</v>
      </c>
      <c r="J747" t="n">
        <v>0</v>
      </c>
      <c r="K747" t="n">
        <v>0</v>
      </c>
      <c r="L747" t="n">
        <v>0</v>
      </c>
      <c r="M747" t="n">
        <v>0</v>
      </c>
      <c r="N747" t="n">
        <v>0</v>
      </c>
      <c r="O747" t="n">
        <v>0</v>
      </c>
      <c r="P747" t="n">
        <v>0</v>
      </c>
      <c r="Q747" t="n">
        <v>0</v>
      </c>
      <c r="R747" s="2" t="inlineStr"/>
    </row>
    <row r="748" ht="15" customHeight="1">
      <c r="A748" t="inlineStr">
        <is>
          <t>A 65407-2020</t>
        </is>
      </c>
      <c r="B748" s="1" t="n">
        <v>44169</v>
      </c>
      <c r="C748" s="1" t="n">
        <v>45356</v>
      </c>
      <c r="D748" t="inlineStr">
        <is>
          <t>VÄSTERNORRLANDS LÄN</t>
        </is>
      </c>
      <c r="E748" t="inlineStr">
        <is>
          <t>SOLLEFTEÅ</t>
        </is>
      </c>
      <c r="G748" t="n">
        <v>2.8</v>
      </c>
      <c r="H748" t="n">
        <v>0</v>
      </c>
      <c r="I748" t="n">
        <v>0</v>
      </c>
      <c r="J748" t="n">
        <v>0</v>
      </c>
      <c r="K748" t="n">
        <v>0</v>
      </c>
      <c r="L748" t="n">
        <v>0</v>
      </c>
      <c r="M748" t="n">
        <v>0</v>
      </c>
      <c r="N748" t="n">
        <v>0</v>
      </c>
      <c r="O748" t="n">
        <v>0</v>
      </c>
      <c r="P748" t="n">
        <v>0</v>
      </c>
      <c r="Q748" t="n">
        <v>0</v>
      </c>
      <c r="R748" s="2" t="inlineStr"/>
    </row>
    <row r="749" ht="15" customHeight="1">
      <c r="A749" t="inlineStr">
        <is>
          <t>A 65403-2020</t>
        </is>
      </c>
      <c r="B749" s="1" t="n">
        <v>44169</v>
      </c>
      <c r="C749" s="1" t="n">
        <v>45356</v>
      </c>
      <c r="D749" t="inlineStr">
        <is>
          <t>VÄSTERNORRLANDS LÄN</t>
        </is>
      </c>
      <c r="E749" t="inlineStr">
        <is>
          <t>SOLLEFTEÅ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67063-2020</t>
        </is>
      </c>
      <c r="B750" s="1" t="n">
        <v>44176</v>
      </c>
      <c r="C750" s="1" t="n">
        <v>45356</v>
      </c>
      <c r="D750" t="inlineStr">
        <is>
          <t>VÄSTERNORRLANDS LÄN</t>
        </is>
      </c>
      <c r="E750" t="inlineStr">
        <is>
          <t>SOLLEFTEÅ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66845-2020</t>
        </is>
      </c>
      <c r="B751" s="1" t="n">
        <v>44179</v>
      </c>
      <c r="C751" s="1" t="n">
        <v>45356</v>
      </c>
      <c r="D751" t="inlineStr">
        <is>
          <t>VÄSTERNORRLANDS LÄN</t>
        </is>
      </c>
      <c r="E751" t="inlineStr">
        <is>
          <t>SOLLEFTEÅ</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66844-2020</t>
        </is>
      </c>
      <c r="B752" s="1" t="n">
        <v>44179</v>
      </c>
      <c r="C752" s="1" t="n">
        <v>45356</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66850-2020</t>
        </is>
      </c>
      <c r="B753" s="1" t="n">
        <v>44179</v>
      </c>
      <c r="C753" s="1" t="n">
        <v>45356</v>
      </c>
      <c r="D753" t="inlineStr">
        <is>
          <t>VÄSTERNORRLANDS LÄN</t>
        </is>
      </c>
      <c r="E753" t="inlineStr">
        <is>
          <t>SOLLEFTEÅ</t>
        </is>
      </c>
      <c r="G753" t="n">
        <v>3</v>
      </c>
      <c r="H753" t="n">
        <v>0</v>
      </c>
      <c r="I753" t="n">
        <v>0</v>
      </c>
      <c r="J753" t="n">
        <v>0</v>
      </c>
      <c r="K753" t="n">
        <v>0</v>
      </c>
      <c r="L753" t="n">
        <v>0</v>
      </c>
      <c r="M753" t="n">
        <v>0</v>
      </c>
      <c r="N753" t="n">
        <v>0</v>
      </c>
      <c r="O753" t="n">
        <v>0</v>
      </c>
      <c r="P753" t="n">
        <v>0</v>
      </c>
      <c r="Q753" t="n">
        <v>0</v>
      </c>
      <c r="R753" s="2" t="inlineStr"/>
    </row>
    <row r="754" ht="15" customHeight="1">
      <c r="A754" t="inlineStr">
        <is>
          <t>A 66851-2020</t>
        </is>
      </c>
      <c r="B754" s="1" t="n">
        <v>44179</v>
      </c>
      <c r="C754" s="1" t="n">
        <v>45356</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66853-2020</t>
        </is>
      </c>
      <c r="B755" s="1" t="n">
        <v>44179</v>
      </c>
      <c r="C755" s="1" t="n">
        <v>45356</v>
      </c>
      <c r="D755" t="inlineStr">
        <is>
          <t>VÄSTERNORRLANDS LÄN</t>
        </is>
      </c>
      <c r="E755" t="inlineStr">
        <is>
          <t>SOLLEFTEÅ</t>
        </is>
      </c>
      <c r="F755" t="inlineStr">
        <is>
          <t>SCA</t>
        </is>
      </c>
      <c r="G755" t="n">
        <v>6</v>
      </c>
      <c r="H755" t="n">
        <v>0</v>
      </c>
      <c r="I755" t="n">
        <v>0</v>
      </c>
      <c r="J755" t="n">
        <v>0</v>
      </c>
      <c r="K755" t="n">
        <v>0</v>
      </c>
      <c r="L755" t="n">
        <v>0</v>
      </c>
      <c r="M755" t="n">
        <v>0</v>
      </c>
      <c r="N755" t="n">
        <v>0</v>
      </c>
      <c r="O755" t="n">
        <v>0</v>
      </c>
      <c r="P755" t="n">
        <v>0</v>
      </c>
      <c r="Q755" t="n">
        <v>0</v>
      </c>
      <c r="R755" s="2" t="inlineStr"/>
    </row>
    <row r="756" ht="15" customHeight="1">
      <c r="A756" t="inlineStr">
        <is>
          <t>A 67602-2020</t>
        </is>
      </c>
      <c r="B756" s="1" t="n">
        <v>44181</v>
      </c>
      <c r="C756" s="1" t="n">
        <v>45356</v>
      </c>
      <c r="D756" t="inlineStr">
        <is>
          <t>VÄSTERNORRLANDS LÄN</t>
        </is>
      </c>
      <c r="E756" t="inlineStr">
        <is>
          <t>SOLLEFTEÅ</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68016-2020</t>
        </is>
      </c>
      <c r="B757" s="1" t="n">
        <v>44182</v>
      </c>
      <c r="C757" s="1" t="n">
        <v>45356</v>
      </c>
      <c r="D757" t="inlineStr">
        <is>
          <t>VÄSTERNORRLANDS LÄN</t>
        </is>
      </c>
      <c r="E757" t="inlineStr">
        <is>
          <t>SOLLEFTEÅ</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68026-2020</t>
        </is>
      </c>
      <c r="B758" s="1" t="n">
        <v>44182</v>
      </c>
      <c r="C758" s="1" t="n">
        <v>45356</v>
      </c>
      <c r="D758" t="inlineStr">
        <is>
          <t>VÄSTERNORRLANDS LÄN</t>
        </is>
      </c>
      <c r="E758" t="inlineStr">
        <is>
          <t>SOLLEFTEÅ</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68022-2020</t>
        </is>
      </c>
      <c r="B759" s="1" t="n">
        <v>44182</v>
      </c>
      <c r="C759" s="1" t="n">
        <v>45356</v>
      </c>
      <c r="D759" t="inlineStr">
        <is>
          <t>VÄSTERNORRLANDS LÄN</t>
        </is>
      </c>
      <c r="E759" t="inlineStr">
        <is>
          <t>SOLLEFTEÅ</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68031-2020</t>
        </is>
      </c>
      <c r="B760" s="1" t="n">
        <v>44182</v>
      </c>
      <c r="C760" s="1" t="n">
        <v>45356</v>
      </c>
      <c r="D760" t="inlineStr">
        <is>
          <t>VÄSTERNORRLANDS LÄN</t>
        </is>
      </c>
      <c r="E760" t="inlineStr">
        <is>
          <t>SOLLEFTEÅ</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68036-2020</t>
        </is>
      </c>
      <c r="B761" s="1" t="n">
        <v>44182</v>
      </c>
      <c r="C761" s="1" t="n">
        <v>45356</v>
      </c>
      <c r="D761" t="inlineStr">
        <is>
          <t>VÄSTERNORRLANDS LÄN</t>
        </is>
      </c>
      <c r="E761" t="inlineStr">
        <is>
          <t>SOLLEFTEÅ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68020-2020</t>
        </is>
      </c>
      <c r="B762" s="1" t="n">
        <v>44182</v>
      </c>
      <c r="C762" s="1" t="n">
        <v>45356</v>
      </c>
      <c r="D762" t="inlineStr">
        <is>
          <t>VÄSTERNORRLANDS LÄN</t>
        </is>
      </c>
      <c r="E762" t="inlineStr">
        <is>
          <t>SOLLEFTEÅ</t>
        </is>
      </c>
      <c r="F762" t="inlineStr">
        <is>
          <t>SCA</t>
        </is>
      </c>
      <c r="G762" t="n">
        <v>8.5</v>
      </c>
      <c r="H762" t="n">
        <v>0</v>
      </c>
      <c r="I762" t="n">
        <v>0</v>
      </c>
      <c r="J762" t="n">
        <v>0</v>
      </c>
      <c r="K762" t="n">
        <v>0</v>
      </c>
      <c r="L762" t="n">
        <v>0</v>
      </c>
      <c r="M762" t="n">
        <v>0</v>
      </c>
      <c r="N762" t="n">
        <v>0</v>
      </c>
      <c r="O762" t="n">
        <v>0</v>
      </c>
      <c r="P762" t="n">
        <v>0</v>
      </c>
      <c r="Q762" t="n">
        <v>0</v>
      </c>
      <c r="R762" s="2" t="inlineStr"/>
    </row>
    <row r="763" ht="15" customHeight="1">
      <c r="A763" t="inlineStr">
        <is>
          <t>A 68030-2020</t>
        </is>
      </c>
      <c r="B763" s="1" t="n">
        <v>44182</v>
      </c>
      <c r="C763" s="1" t="n">
        <v>45356</v>
      </c>
      <c r="D763" t="inlineStr">
        <is>
          <t>VÄSTERNORRLANDS LÄN</t>
        </is>
      </c>
      <c r="E763" t="inlineStr">
        <is>
          <t>SOLLEFTEÅ</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68034-2020</t>
        </is>
      </c>
      <c r="B764" s="1" t="n">
        <v>44182</v>
      </c>
      <c r="C764" s="1" t="n">
        <v>45356</v>
      </c>
      <c r="D764" t="inlineStr">
        <is>
          <t>VÄSTERNORRLANDS LÄN</t>
        </is>
      </c>
      <c r="E764" t="inlineStr">
        <is>
          <t>SOLLEFTEÅ</t>
        </is>
      </c>
      <c r="F764" t="inlineStr">
        <is>
          <t>SCA</t>
        </is>
      </c>
      <c r="G764" t="n">
        <v>17.1</v>
      </c>
      <c r="H764" t="n">
        <v>0</v>
      </c>
      <c r="I764" t="n">
        <v>0</v>
      </c>
      <c r="J764" t="n">
        <v>0</v>
      </c>
      <c r="K764" t="n">
        <v>0</v>
      </c>
      <c r="L764" t="n">
        <v>0</v>
      </c>
      <c r="M764" t="n">
        <v>0</v>
      </c>
      <c r="N764" t="n">
        <v>0</v>
      </c>
      <c r="O764" t="n">
        <v>0</v>
      </c>
      <c r="P764" t="n">
        <v>0</v>
      </c>
      <c r="Q764" t="n">
        <v>0</v>
      </c>
      <c r="R764" s="2" t="inlineStr"/>
    </row>
    <row r="765" ht="15" customHeight="1">
      <c r="A765" t="inlineStr">
        <is>
          <t>A 68033-2020</t>
        </is>
      </c>
      <c r="B765" s="1" t="n">
        <v>44182</v>
      </c>
      <c r="C765" s="1" t="n">
        <v>45356</v>
      </c>
      <c r="D765" t="inlineStr">
        <is>
          <t>VÄSTERNORRLANDS LÄN</t>
        </is>
      </c>
      <c r="E765" t="inlineStr">
        <is>
          <t>SOLLEFTEÅ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68015-2020</t>
        </is>
      </c>
      <c r="B766" s="1" t="n">
        <v>44182</v>
      </c>
      <c r="C766" s="1" t="n">
        <v>45356</v>
      </c>
      <c r="D766" t="inlineStr">
        <is>
          <t>VÄSTERNORRLANDS LÄN</t>
        </is>
      </c>
      <c r="E766" t="inlineStr">
        <is>
          <t>SOLLEFTEÅ</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68025-2020</t>
        </is>
      </c>
      <c r="B767" s="1" t="n">
        <v>44182</v>
      </c>
      <c r="C767" s="1" t="n">
        <v>45356</v>
      </c>
      <c r="D767" t="inlineStr">
        <is>
          <t>VÄSTERNORRLANDS LÄN</t>
        </is>
      </c>
      <c r="E767" t="inlineStr">
        <is>
          <t>SOLLEFTEÅ</t>
        </is>
      </c>
      <c r="F767" t="inlineStr">
        <is>
          <t>SCA</t>
        </is>
      </c>
      <c r="G767" t="n">
        <v>7.6</v>
      </c>
      <c r="H767" t="n">
        <v>0</v>
      </c>
      <c r="I767" t="n">
        <v>0</v>
      </c>
      <c r="J767" t="n">
        <v>0</v>
      </c>
      <c r="K767" t="n">
        <v>0</v>
      </c>
      <c r="L767" t="n">
        <v>0</v>
      </c>
      <c r="M767" t="n">
        <v>0</v>
      </c>
      <c r="N767" t="n">
        <v>0</v>
      </c>
      <c r="O767" t="n">
        <v>0</v>
      </c>
      <c r="P767" t="n">
        <v>0</v>
      </c>
      <c r="Q767" t="n">
        <v>0</v>
      </c>
      <c r="R767" s="2" t="inlineStr"/>
    </row>
    <row r="768" ht="15" customHeight="1">
      <c r="A768" t="inlineStr">
        <is>
          <t>A 68032-2020</t>
        </is>
      </c>
      <c r="B768" s="1" t="n">
        <v>44182</v>
      </c>
      <c r="C768" s="1" t="n">
        <v>45356</v>
      </c>
      <c r="D768" t="inlineStr">
        <is>
          <t>VÄSTERNORRLANDS LÄN</t>
        </is>
      </c>
      <c r="E768" t="inlineStr">
        <is>
          <t>SOLLEFTEÅ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68037-2020</t>
        </is>
      </c>
      <c r="B769" s="1" t="n">
        <v>44182</v>
      </c>
      <c r="C769" s="1" t="n">
        <v>45356</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68292-2020</t>
        </is>
      </c>
      <c r="B770" s="1" t="n">
        <v>44183</v>
      </c>
      <c r="C770" s="1" t="n">
        <v>45356</v>
      </c>
      <c r="D770" t="inlineStr">
        <is>
          <t>VÄSTERNORRLANDS LÄN</t>
        </is>
      </c>
      <c r="E770" t="inlineStr">
        <is>
          <t>SOLLEFTEÅ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68570-2020</t>
        </is>
      </c>
      <c r="B771" s="1" t="n">
        <v>44186</v>
      </c>
      <c r="C771" s="1" t="n">
        <v>45356</v>
      </c>
      <c r="D771" t="inlineStr">
        <is>
          <t>VÄSTERNORRLANDS LÄN</t>
        </is>
      </c>
      <c r="E771" t="inlineStr">
        <is>
          <t>SOLLEFTEÅ</t>
        </is>
      </c>
      <c r="G771" t="n">
        <v>5.5</v>
      </c>
      <c r="H771" t="n">
        <v>0</v>
      </c>
      <c r="I771" t="n">
        <v>0</v>
      </c>
      <c r="J771" t="n">
        <v>0</v>
      </c>
      <c r="K771" t="n">
        <v>0</v>
      </c>
      <c r="L771" t="n">
        <v>0</v>
      </c>
      <c r="M771" t="n">
        <v>0</v>
      </c>
      <c r="N771" t="n">
        <v>0</v>
      </c>
      <c r="O771" t="n">
        <v>0</v>
      </c>
      <c r="P771" t="n">
        <v>0</v>
      </c>
      <c r="Q771" t="n">
        <v>0</v>
      </c>
      <c r="R771" s="2" t="inlineStr"/>
    </row>
    <row r="772" ht="15" customHeight="1">
      <c r="A772" t="inlineStr">
        <is>
          <t>A 68652-2020</t>
        </is>
      </c>
      <c r="B772" s="1" t="n">
        <v>44186</v>
      </c>
      <c r="C772" s="1" t="n">
        <v>45356</v>
      </c>
      <c r="D772" t="inlineStr">
        <is>
          <t>VÄSTERNORRLANDS LÄN</t>
        </is>
      </c>
      <c r="E772" t="inlineStr">
        <is>
          <t>SOLLEFTEÅ</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68647-2020</t>
        </is>
      </c>
      <c r="B773" s="1" t="n">
        <v>44186</v>
      </c>
      <c r="C773" s="1" t="n">
        <v>45356</v>
      </c>
      <c r="D773" t="inlineStr">
        <is>
          <t>VÄSTERNORRLANDS LÄN</t>
        </is>
      </c>
      <c r="E773" t="inlineStr">
        <is>
          <t>SOLLEFTEÅ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68648-2020</t>
        </is>
      </c>
      <c r="B774" s="1" t="n">
        <v>44186</v>
      </c>
      <c r="C774" s="1" t="n">
        <v>45356</v>
      </c>
      <c r="D774" t="inlineStr">
        <is>
          <t>VÄSTERNORRLANDS LÄN</t>
        </is>
      </c>
      <c r="E774" t="inlineStr">
        <is>
          <t>SOLLEFTEÅ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68656-2020</t>
        </is>
      </c>
      <c r="B775" s="1" t="n">
        <v>44186</v>
      </c>
      <c r="C775" s="1" t="n">
        <v>45356</v>
      </c>
      <c r="D775" t="inlineStr">
        <is>
          <t>VÄSTERNORRLANDS LÄN</t>
        </is>
      </c>
      <c r="E775" t="inlineStr">
        <is>
          <t>SOLLEFTEÅ</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69436-2020</t>
        </is>
      </c>
      <c r="B776" s="1" t="n">
        <v>44193</v>
      </c>
      <c r="C776" s="1" t="n">
        <v>45356</v>
      </c>
      <c r="D776" t="inlineStr">
        <is>
          <t>VÄSTERNORRLANDS LÄN</t>
        </is>
      </c>
      <c r="E776" t="inlineStr">
        <is>
          <t>SOLLEFTEÅ</t>
        </is>
      </c>
      <c r="G776" t="n">
        <v>4.9</v>
      </c>
      <c r="H776" t="n">
        <v>0</v>
      </c>
      <c r="I776" t="n">
        <v>0</v>
      </c>
      <c r="J776" t="n">
        <v>0</v>
      </c>
      <c r="K776" t="n">
        <v>0</v>
      </c>
      <c r="L776" t="n">
        <v>0</v>
      </c>
      <c r="M776" t="n">
        <v>0</v>
      </c>
      <c r="N776" t="n">
        <v>0</v>
      </c>
      <c r="O776" t="n">
        <v>0</v>
      </c>
      <c r="P776" t="n">
        <v>0</v>
      </c>
      <c r="Q776" t="n">
        <v>0</v>
      </c>
      <c r="R776" s="2" t="inlineStr"/>
    </row>
    <row r="777" ht="15" customHeight="1">
      <c r="A777" t="inlineStr">
        <is>
          <t>A 272-2021</t>
        </is>
      </c>
      <c r="B777" s="1" t="n">
        <v>44200</v>
      </c>
      <c r="C777" s="1" t="n">
        <v>45356</v>
      </c>
      <c r="D777" t="inlineStr">
        <is>
          <t>VÄSTERNORRLANDS LÄN</t>
        </is>
      </c>
      <c r="E777" t="inlineStr">
        <is>
          <t>SOLLEFTEÅ</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691-2021</t>
        </is>
      </c>
      <c r="B778" s="1" t="n">
        <v>44203</v>
      </c>
      <c r="C778" s="1" t="n">
        <v>45356</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1858-2021</t>
        </is>
      </c>
      <c r="B779" s="1" t="n">
        <v>44210</v>
      </c>
      <c r="C779" s="1" t="n">
        <v>45356</v>
      </c>
      <c r="D779" t="inlineStr">
        <is>
          <t>VÄSTERNORRLANDS LÄN</t>
        </is>
      </c>
      <c r="E779" t="inlineStr">
        <is>
          <t>SOLLEFTEÅ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2077-2021</t>
        </is>
      </c>
      <c r="B780" s="1" t="n">
        <v>44210</v>
      </c>
      <c r="C780" s="1" t="n">
        <v>45356</v>
      </c>
      <c r="D780" t="inlineStr">
        <is>
          <t>VÄSTERNORRLANDS LÄN</t>
        </is>
      </c>
      <c r="E780" t="inlineStr">
        <is>
          <t>SOLLEFTEÅ</t>
        </is>
      </c>
      <c r="G780" t="n">
        <v>6.1</v>
      </c>
      <c r="H780" t="n">
        <v>0</v>
      </c>
      <c r="I780" t="n">
        <v>0</v>
      </c>
      <c r="J780" t="n">
        <v>0</v>
      </c>
      <c r="K780" t="n">
        <v>0</v>
      </c>
      <c r="L780" t="n">
        <v>0</v>
      </c>
      <c r="M780" t="n">
        <v>0</v>
      </c>
      <c r="N780" t="n">
        <v>0</v>
      </c>
      <c r="O780" t="n">
        <v>0</v>
      </c>
      <c r="P780" t="n">
        <v>0</v>
      </c>
      <c r="Q780" t="n">
        <v>0</v>
      </c>
      <c r="R780" s="2" t="inlineStr"/>
    </row>
    <row r="781" ht="15" customHeight="1">
      <c r="A781" t="inlineStr">
        <is>
          <t>A 2487-2021</t>
        </is>
      </c>
      <c r="B781" s="1" t="n">
        <v>44211</v>
      </c>
      <c r="C781" s="1" t="n">
        <v>45356</v>
      </c>
      <c r="D781" t="inlineStr">
        <is>
          <t>VÄSTERNORRLANDS LÄN</t>
        </is>
      </c>
      <c r="E781" t="inlineStr">
        <is>
          <t>SOLLEFTEÅ</t>
        </is>
      </c>
      <c r="G781" t="n">
        <v>2.7</v>
      </c>
      <c r="H781" t="n">
        <v>0</v>
      </c>
      <c r="I781" t="n">
        <v>0</v>
      </c>
      <c r="J781" t="n">
        <v>0</v>
      </c>
      <c r="K781" t="n">
        <v>0</v>
      </c>
      <c r="L781" t="n">
        <v>0</v>
      </c>
      <c r="M781" t="n">
        <v>0</v>
      </c>
      <c r="N781" t="n">
        <v>0</v>
      </c>
      <c r="O781" t="n">
        <v>0</v>
      </c>
      <c r="P781" t="n">
        <v>0</v>
      </c>
      <c r="Q781" t="n">
        <v>0</v>
      </c>
      <c r="R781" s="2" t="inlineStr"/>
    </row>
    <row r="782" ht="15" customHeight="1">
      <c r="A782" t="inlineStr">
        <is>
          <t>A 3441-2021</t>
        </is>
      </c>
      <c r="B782" s="1" t="n">
        <v>44218</v>
      </c>
      <c r="C782" s="1" t="n">
        <v>45356</v>
      </c>
      <c r="D782" t="inlineStr">
        <is>
          <t>VÄSTERNORRLANDS LÄN</t>
        </is>
      </c>
      <c r="E782" t="inlineStr">
        <is>
          <t>SOLLEFTEÅ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4127-2021</t>
        </is>
      </c>
      <c r="B783" s="1" t="n">
        <v>44222</v>
      </c>
      <c r="C783" s="1" t="n">
        <v>45356</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5989-2021</t>
        </is>
      </c>
      <c r="B784" s="1" t="n">
        <v>44231</v>
      </c>
      <c r="C784" s="1" t="n">
        <v>45356</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7658-2021</t>
        </is>
      </c>
      <c r="B785" s="1" t="n">
        <v>44242</v>
      </c>
      <c r="C785" s="1" t="n">
        <v>45356</v>
      </c>
      <c r="D785" t="inlineStr">
        <is>
          <t>VÄSTERNORRLANDS LÄN</t>
        </is>
      </c>
      <c r="E785" t="inlineStr">
        <is>
          <t>SOLLEFTEÅ</t>
        </is>
      </c>
      <c r="G785" t="n">
        <v>4.9</v>
      </c>
      <c r="H785" t="n">
        <v>0</v>
      </c>
      <c r="I785" t="n">
        <v>0</v>
      </c>
      <c r="J785" t="n">
        <v>0</v>
      </c>
      <c r="K785" t="n">
        <v>0</v>
      </c>
      <c r="L785" t="n">
        <v>0</v>
      </c>
      <c r="M785" t="n">
        <v>0</v>
      </c>
      <c r="N785" t="n">
        <v>0</v>
      </c>
      <c r="O785" t="n">
        <v>0</v>
      </c>
      <c r="P785" t="n">
        <v>0</v>
      </c>
      <c r="Q785" t="n">
        <v>0</v>
      </c>
      <c r="R785" s="2" t="inlineStr"/>
    </row>
    <row r="786" ht="15" customHeight="1">
      <c r="A786" t="inlineStr">
        <is>
          <t>A 7659-2021</t>
        </is>
      </c>
      <c r="B786" s="1" t="n">
        <v>44242</v>
      </c>
      <c r="C786" s="1" t="n">
        <v>45356</v>
      </c>
      <c r="D786" t="inlineStr">
        <is>
          <t>VÄSTERNORRLANDS LÄN</t>
        </is>
      </c>
      <c r="E786" t="inlineStr">
        <is>
          <t>SOLLEFTEÅ</t>
        </is>
      </c>
      <c r="G786" t="n">
        <v>8.1</v>
      </c>
      <c r="H786" t="n">
        <v>0</v>
      </c>
      <c r="I786" t="n">
        <v>0</v>
      </c>
      <c r="J786" t="n">
        <v>0</v>
      </c>
      <c r="K786" t="n">
        <v>0</v>
      </c>
      <c r="L786" t="n">
        <v>0</v>
      </c>
      <c r="M786" t="n">
        <v>0</v>
      </c>
      <c r="N786" t="n">
        <v>0</v>
      </c>
      <c r="O786" t="n">
        <v>0</v>
      </c>
      <c r="P786" t="n">
        <v>0</v>
      </c>
      <c r="Q786" t="n">
        <v>0</v>
      </c>
      <c r="R786" s="2" t="inlineStr"/>
    </row>
    <row r="787" ht="15" customHeight="1">
      <c r="A787" t="inlineStr">
        <is>
          <t>A 7889-2021</t>
        </is>
      </c>
      <c r="B787" s="1" t="n">
        <v>44242</v>
      </c>
      <c r="C787" s="1" t="n">
        <v>45356</v>
      </c>
      <c r="D787" t="inlineStr">
        <is>
          <t>VÄSTERNORRLANDS LÄN</t>
        </is>
      </c>
      <c r="E787" t="inlineStr">
        <is>
          <t>SOLLEFTEÅ</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8631-2021</t>
        </is>
      </c>
      <c r="B788" s="1" t="n">
        <v>44245</v>
      </c>
      <c r="C788" s="1" t="n">
        <v>45356</v>
      </c>
      <c r="D788" t="inlineStr">
        <is>
          <t>VÄSTERNORRLANDS LÄN</t>
        </is>
      </c>
      <c r="E788" t="inlineStr">
        <is>
          <t>SOLLEFTEÅ</t>
        </is>
      </c>
      <c r="G788" t="n">
        <v>0.8</v>
      </c>
      <c r="H788" t="n">
        <v>0</v>
      </c>
      <c r="I788" t="n">
        <v>0</v>
      </c>
      <c r="J788" t="n">
        <v>0</v>
      </c>
      <c r="K788" t="n">
        <v>0</v>
      </c>
      <c r="L788" t="n">
        <v>0</v>
      </c>
      <c r="M788" t="n">
        <v>0</v>
      </c>
      <c r="N788" t="n">
        <v>0</v>
      </c>
      <c r="O788" t="n">
        <v>0</v>
      </c>
      <c r="P788" t="n">
        <v>0</v>
      </c>
      <c r="Q788" t="n">
        <v>0</v>
      </c>
      <c r="R788" s="2" t="inlineStr"/>
    </row>
    <row r="789" ht="15" customHeight="1">
      <c r="A789" t="inlineStr">
        <is>
          <t>A 8692-2021</t>
        </is>
      </c>
      <c r="B789" s="1" t="n">
        <v>44246</v>
      </c>
      <c r="C789" s="1" t="n">
        <v>45356</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9461-2021</t>
        </is>
      </c>
      <c r="B790" s="1" t="n">
        <v>44251</v>
      </c>
      <c r="C790" s="1" t="n">
        <v>45356</v>
      </c>
      <c r="D790" t="inlineStr">
        <is>
          <t>VÄSTERNORRLANDS LÄN</t>
        </is>
      </c>
      <c r="E790" t="inlineStr">
        <is>
          <t>SOLLEFTEÅ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9626-2021</t>
        </is>
      </c>
      <c r="B791" s="1" t="n">
        <v>44251</v>
      </c>
      <c r="C791" s="1" t="n">
        <v>45356</v>
      </c>
      <c r="D791" t="inlineStr">
        <is>
          <t>VÄSTERNORRLANDS LÄN</t>
        </is>
      </c>
      <c r="E791" t="inlineStr">
        <is>
          <t>SOLLEFTEÅ</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11270-2021</t>
        </is>
      </c>
      <c r="B792" s="1" t="n">
        <v>44263</v>
      </c>
      <c r="C792" s="1" t="n">
        <v>45356</v>
      </c>
      <c r="D792" t="inlineStr">
        <is>
          <t>VÄSTERNORRLANDS LÄN</t>
        </is>
      </c>
      <c r="E792" t="inlineStr">
        <is>
          <t>SOLLEFTEÅ</t>
        </is>
      </c>
      <c r="F792" t="inlineStr">
        <is>
          <t>Kommuner</t>
        </is>
      </c>
      <c r="G792" t="n">
        <v>10.9</v>
      </c>
      <c r="H792" t="n">
        <v>0</v>
      </c>
      <c r="I792" t="n">
        <v>0</v>
      </c>
      <c r="J792" t="n">
        <v>0</v>
      </c>
      <c r="K792" t="n">
        <v>0</v>
      </c>
      <c r="L792" t="n">
        <v>0</v>
      </c>
      <c r="M792" t="n">
        <v>0</v>
      </c>
      <c r="N792" t="n">
        <v>0</v>
      </c>
      <c r="O792" t="n">
        <v>0</v>
      </c>
      <c r="P792" t="n">
        <v>0</v>
      </c>
      <c r="Q792" t="n">
        <v>0</v>
      </c>
      <c r="R792" s="2" t="inlineStr"/>
    </row>
    <row r="793" ht="15" customHeight="1">
      <c r="A793" t="inlineStr">
        <is>
          <t>A 11710-2021</t>
        </is>
      </c>
      <c r="B793" s="1" t="n">
        <v>44264</v>
      </c>
      <c r="C793" s="1" t="n">
        <v>45356</v>
      </c>
      <c r="D793" t="inlineStr">
        <is>
          <t>VÄSTERNORRLANDS LÄN</t>
        </is>
      </c>
      <c r="E793" t="inlineStr">
        <is>
          <t>SOLLEFTEÅ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12278-2021</t>
        </is>
      </c>
      <c r="B794" s="1" t="n">
        <v>44266</v>
      </c>
      <c r="C794" s="1" t="n">
        <v>45356</v>
      </c>
      <c r="D794" t="inlineStr">
        <is>
          <t>VÄSTERNORRLANDS LÄN</t>
        </is>
      </c>
      <c r="E794" t="inlineStr">
        <is>
          <t>SOLLEFTEÅ</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12277-2021</t>
        </is>
      </c>
      <c r="B795" s="1" t="n">
        <v>44266</v>
      </c>
      <c r="C795" s="1" t="n">
        <v>45356</v>
      </c>
      <c r="D795" t="inlineStr">
        <is>
          <t>VÄSTERNORRLANDS LÄN</t>
        </is>
      </c>
      <c r="E795" t="inlineStr">
        <is>
          <t>SOLLEFTEÅ</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12279-2021</t>
        </is>
      </c>
      <c r="B796" s="1" t="n">
        <v>44266</v>
      </c>
      <c r="C796" s="1" t="n">
        <v>45356</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14733-2021</t>
        </is>
      </c>
      <c r="B797" s="1" t="n">
        <v>44280</v>
      </c>
      <c r="C797" s="1" t="n">
        <v>45356</v>
      </c>
      <c r="D797" t="inlineStr">
        <is>
          <t>VÄSTERNORRLANDS LÄN</t>
        </is>
      </c>
      <c r="E797" t="inlineStr">
        <is>
          <t>SOLLEFTEÅ</t>
        </is>
      </c>
      <c r="G797" t="n">
        <v>5.3</v>
      </c>
      <c r="H797" t="n">
        <v>0</v>
      </c>
      <c r="I797" t="n">
        <v>0</v>
      </c>
      <c r="J797" t="n">
        <v>0</v>
      </c>
      <c r="K797" t="n">
        <v>0</v>
      </c>
      <c r="L797" t="n">
        <v>0</v>
      </c>
      <c r="M797" t="n">
        <v>0</v>
      </c>
      <c r="N797" t="n">
        <v>0</v>
      </c>
      <c r="O797" t="n">
        <v>0</v>
      </c>
      <c r="P797" t="n">
        <v>0</v>
      </c>
      <c r="Q797" t="n">
        <v>0</v>
      </c>
      <c r="R797" s="2" t="inlineStr"/>
    </row>
    <row r="798" ht="15" customHeight="1">
      <c r="A798" t="inlineStr">
        <is>
          <t>A 15101-2021</t>
        </is>
      </c>
      <c r="B798" s="1" t="n">
        <v>44281</v>
      </c>
      <c r="C798" s="1" t="n">
        <v>45356</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15098-2021</t>
        </is>
      </c>
      <c r="B799" s="1" t="n">
        <v>44281</v>
      </c>
      <c r="C799" s="1" t="n">
        <v>45356</v>
      </c>
      <c r="D799" t="inlineStr">
        <is>
          <t>VÄSTERNORRLANDS LÄN</t>
        </is>
      </c>
      <c r="E799" t="inlineStr">
        <is>
          <t>SOLLEFTEÅ</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15461-2021</t>
        </is>
      </c>
      <c r="B800" s="1" t="n">
        <v>44285</v>
      </c>
      <c r="C800" s="1" t="n">
        <v>45356</v>
      </c>
      <c r="D800" t="inlineStr">
        <is>
          <t>VÄSTERNORRLANDS LÄN</t>
        </is>
      </c>
      <c r="E800" t="inlineStr">
        <is>
          <t>SOLLEFTEÅ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15894-2021</t>
        </is>
      </c>
      <c r="B801" s="1" t="n">
        <v>44286</v>
      </c>
      <c r="C801" s="1" t="n">
        <v>45356</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16700-2021</t>
        </is>
      </c>
      <c r="B802" s="1" t="n">
        <v>44293</v>
      </c>
      <c r="C802" s="1" t="n">
        <v>45356</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16799-2021</t>
        </is>
      </c>
      <c r="B803" s="1" t="n">
        <v>44293</v>
      </c>
      <c r="C803" s="1" t="n">
        <v>45356</v>
      </c>
      <c r="D803" t="inlineStr">
        <is>
          <t>VÄSTERNORRLANDS LÄN</t>
        </is>
      </c>
      <c r="E803" t="inlineStr">
        <is>
          <t>SOLLEFTEÅ</t>
        </is>
      </c>
      <c r="G803" t="n">
        <v>3</v>
      </c>
      <c r="H803" t="n">
        <v>0</v>
      </c>
      <c r="I803" t="n">
        <v>0</v>
      </c>
      <c r="J803" t="n">
        <v>0</v>
      </c>
      <c r="K803" t="n">
        <v>0</v>
      </c>
      <c r="L803" t="n">
        <v>0</v>
      </c>
      <c r="M803" t="n">
        <v>0</v>
      </c>
      <c r="N803" t="n">
        <v>0</v>
      </c>
      <c r="O803" t="n">
        <v>0</v>
      </c>
      <c r="P803" t="n">
        <v>0</v>
      </c>
      <c r="Q803" t="n">
        <v>0</v>
      </c>
      <c r="R803" s="2" t="inlineStr"/>
    </row>
    <row r="804" ht="15" customHeight="1">
      <c r="A804" t="inlineStr">
        <is>
          <t>A 16905-2021</t>
        </is>
      </c>
      <c r="B804" s="1" t="n">
        <v>44294</v>
      </c>
      <c r="C804" s="1" t="n">
        <v>45356</v>
      </c>
      <c r="D804" t="inlineStr">
        <is>
          <t>VÄSTERNORRLANDS LÄN</t>
        </is>
      </c>
      <c r="E804" t="inlineStr">
        <is>
          <t>SOLLEFTEÅ</t>
        </is>
      </c>
      <c r="G804" t="n">
        <v>5</v>
      </c>
      <c r="H804" t="n">
        <v>0</v>
      </c>
      <c r="I804" t="n">
        <v>0</v>
      </c>
      <c r="J804" t="n">
        <v>0</v>
      </c>
      <c r="K804" t="n">
        <v>0</v>
      </c>
      <c r="L804" t="n">
        <v>0</v>
      </c>
      <c r="M804" t="n">
        <v>0</v>
      </c>
      <c r="N804" t="n">
        <v>0</v>
      </c>
      <c r="O804" t="n">
        <v>0</v>
      </c>
      <c r="P804" t="n">
        <v>0</v>
      </c>
      <c r="Q804" t="n">
        <v>0</v>
      </c>
      <c r="R804" s="2" t="inlineStr"/>
    </row>
    <row r="805" ht="15" customHeight="1">
      <c r="A805" t="inlineStr">
        <is>
          <t>A 17604-2021</t>
        </is>
      </c>
      <c r="B805" s="1" t="n">
        <v>44299</v>
      </c>
      <c r="C805" s="1" t="n">
        <v>45356</v>
      </c>
      <c r="D805" t="inlineStr">
        <is>
          <t>VÄSTERNORRLANDS LÄN</t>
        </is>
      </c>
      <c r="E805" t="inlineStr">
        <is>
          <t>SOLLEFTEÅ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18459-2021</t>
        </is>
      </c>
      <c r="B806" s="1" t="n">
        <v>44306</v>
      </c>
      <c r="C806" s="1" t="n">
        <v>45356</v>
      </c>
      <c r="D806" t="inlineStr">
        <is>
          <t>VÄSTERNORRLANDS LÄN</t>
        </is>
      </c>
      <c r="E806" t="inlineStr">
        <is>
          <t>SOLLEFTEÅ</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18668-2021</t>
        </is>
      </c>
      <c r="B807" s="1" t="n">
        <v>44306</v>
      </c>
      <c r="C807" s="1" t="n">
        <v>45356</v>
      </c>
      <c r="D807" t="inlineStr">
        <is>
          <t>VÄSTERNORRLANDS LÄN</t>
        </is>
      </c>
      <c r="E807" t="inlineStr">
        <is>
          <t>SOLLEFTEÅ</t>
        </is>
      </c>
      <c r="G807" t="n">
        <v>12.7</v>
      </c>
      <c r="H807" t="n">
        <v>0</v>
      </c>
      <c r="I807" t="n">
        <v>0</v>
      </c>
      <c r="J807" t="n">
        <v>0</v>
      </c>
      <c r="K807" t="n">
        <v>0</v>
      </c>
      <c r="L807" t="n">
        <v>0</v>
      </c>
      <c r="M807" t="n">
        <v>0</v>
      </c>
      <c r="N807" t="n">
        <v>0</v>
      </c>
      <c r="O807" t="n">
        <v>0</v>
      </c>
      <c r="P807" t="n">
        <v>0</v>
      </c>
      <c r="Q807" t="n">
        <v>0</v>
      </c>
      <c r="R807" s="2" t="inlineStr"/>
    </row>
    <row r="808" ht="15" customHeight="1">
      <c r="A808" t="inlineStr">
        <is>
          <t>A 18741-2021</t>
        </is>
      </c>
      <c r="B808" s="1" t="n">
        <v>44306</v>
      </c>
      <c r="C808" s="1" t="n">
        <v>45356</v>
      </c>
      <c r="D808" t="inlineStr">
        <is>
          <t>VÄSTERNORRLANDS LÄN</t>
        </is>
      </c>
      <c r="E808" t="inlineStr">
        <is>
          <t>SOLLEFTEÅ</t>
        </is>
      </c>
      <c r="F808" t="inlineStr">
        <is>
          <t>Kyrkan</t>
        </is>
      </c>
      <c r="G808" t="n">
        <v>4.8</v>
      </c>
      <c r="H808" t="n">
        <v>0</v>
      </c>
      <c r="I808" t="n">
        <v>0</v>
      </c>
      <c r="J808" t="n">
        <v>0</v>
      </c>
      <c r="K808" t="n">
        <v>0</v>
      </c>
      <c r="L808" t="n">
        <v>0</v>
      </c>
      <c r="M808" t="n">
        <v>0</v>
      </c>
      <c r="N808" t="n">
        <v>0</v>
      </c>
      <c r="O808" t="n">
        <v>0</v>
      </c>
      <c r="P808" t="n">
        <v>0</v>
      </c>
      <c r="Q808" t="n">
        <v>0</v>
      </c>
      <c r="R808" s="2" t="inlineStr"/>
    </row>
    <row r="809" ht="15" customHeight="1">
      <c r="A809" t="inlineStr">
        <is>
          <t>A 18662-2021</t>
        </is>
      </c>
      <c r="B809" s="1" t="n">
        <v>44306</v>
      </c>
      <c r="C809" s="1" t="n">
        <v>45356</v>
      </c>
      <c r="D809" t="inlineStr">
        <is>
          <t>VÄSTERNORRLANDS LÄN</t>
        </is>
      </c>
      <c r="E809" t="inlineStr">
        <is>
          <t>SOLLEFTEÅ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18766-2021</t>
        </is>
      </c>
      <c r="B810" s="1" t="n">
        <v>44307</v>
      </c>
      <c r="C810" s="1" t="n">
        <v>45356</v>
      </c>
      <c r="D810" t="inlineStr">
        <is>
          <t>VÄSTERNORRLANDS LÄN</t>
        </is>
      </c>
      <c r="E810" t="inlineStr">
        <is>
          <t>SOLLEFTEÅ</t>
        </is>
      </c>
      <c r="G810" t="n">
        <v>1.2</v>
      </c>
      <c r="H810" t="n">
        <v>0</v>
      </c>
      <c r="I810" t="n">
        <v>0</v>
      </c>
      <c r="J810" t="n">
        <v>0</v>
      </c>
      <c r="K810" t="n">
        <v>0</v>
      </c>
      <c r="L810" t="n">
        <v>0</v>
      </c>
      <c r="M810" t="n">
        <v>0</v>
      </c>
      <c r="N810" t="n">
        <v>0</v>
      </c>
      <c r="O810" t="n">
        <v>0</v>
      </c>
      <c r="P810" t="n">
        <v>0</v>
      </c>
      <c r="Q810" t="n">
        <v>0</v>
      </c>
      <c r="R810" s="2" t="inlineStr"/>
    </row>
    <row r="811" ht="15" customHeight="1">
      <c r="A811" t="inlineStr">
        <is>
          <t>A 18761-2021</t>
        </is>
      </c>
      <c r="B811" s="1" t="n">
        <v>44307</v>
      </c>
      <c r="C811" s="1" t="n">
        <v>45356</v>
      </c>
      <c r="D811" t="inlineStr">
        <is>
          <t>VÄSTERNORRLANDS LÄN</t>
        </is>
      </c>
      <c r="E811" t="inlineStr">
        <is>
          <t>SOLLEFTEÅ</t>
        </is>
      </c>
      <c r="G811" t="n">
        <v>0.9</v>
      </c>
      <c r="H811" t="n">
        <v>0</v>
      </c>
      <c r="I811" t="n">
        <v>0</v>
      </c>
      <c r="J811" t="n">
        <v>0</v>
      </c>
      <c r="K811" t="n">
        <v>0</v>
      </c>
      <c r="L811" t="n">
        <v>0</v>
      </c>
      <c r="M811" t="n">
        <v>0</v>
      </c>
      <c r="N811" t="n">
        <v>0</v>
      </c>
      <c r="O811" t="n">
        <v>0</v>
      </c>
      <c r="P811" t="n">
        <v>0</v>
      </c>
      <c r="Q811" t="n">
        <v>0</v>
      </c>
      <c r="R811" s="2" t="inlineStr"/>
    </row>
    <row r="812" ht="15" customHeight="1">
      <c r="A812" t="inlineStr">
        <is>
          <t>A 18873-2021</t>
        </is>
      </c>
      <c r="B812" s="1" t="n">
        <v>44308</v>
      </c>
      <c r="C812" s="1" t="n">
        <v>45356</v>
      </c>
      <c r="D812" t="inlineStr">
        <is>
          <t>VÄSTERNORRLANDS LÄN</t>
        </is>
      </c>
      <c r="E812" t="inlineStr">
        <is>
          <t>SOLLEFTEÅ</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18878-2021</t>
        </is>
      </c>
      <c r="B813" s="1" t="n">
        <v>44307</v>
      </c>
      <c r="C813" s="1" t="n">
        <v>45356</v>
      </c>
      <c r="D813" t="inlineStr">
        <is>
          <t>VÄSTERNORRLANDS LÄN</t>
        </is>
      </c>
      <c r="E813" t="inlineStr">
        <is>
          <t>SOLLEFTEÅ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18867-2021</t>
        </is>
      </c>
      <c r="B814" s="1" t="n">
        <v>44307</v>
      </c>
      <c r="C814" s="1" t="n">
        <v>45356</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18882-2021</t>
        </is>
      </c>
      <c r="B815" s="1" t="n">
        <v>44308</v>
      </c>
      <c r="C815" s="1" t="n">
        <v>45356</v>
      </c>
      <c r="D815" t="inlineStr">
        <is>
          <t>VÄSTERNORRLANDS LÄN</t>
        </is>
      </c>
      <c r="E815" t="inlineStr">
        <is>
          <t>SOLLEFTEÅ</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18875-2021</t>
        </is>
      </c>
      <c r="B816" s="1" t="n">
        <v>44307</v>
      </c>
      <c r="C816" s="1" t="n">
        <v>45356</v>
      </c>
      <c r="D816" t="inlineStr">
        <is>
          <t>VÄSTERNORRLANDS LÄN</t>
        </is>
      </c>
      <c r="E816" t="inlineStr">
        <is>
          <t>SOLLEFTEÅ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18866-2021</t>
        </is>
      </c>
      <c r="B817" s="1" t="n">
        <v>44308</v>
      </c>
      <c r="C817" s="1" t="n">
        <v>45356</v>
      </c>
      <c r="D817" t="inlineStr">
        <is>
          <t>VÄSTERNORRLANDS LÄN</t>
        </is>
      </c>
      <c r="E817" t="inlineStr">
        <is>
          <t>SOLLEFTEÅ</t>
        </is>
      </c>
      <c r="F817" t="inlineStr">
        <is>
          <t>SCA</t>
        </is>
      </c>
      <c r="G817" t="n">
        <v>5.5</v>
      </c>
      <c r="H817" t="n">
        <v>0</v>
      </c>
      <c r="I817" t="n">
        <v>0</v>
      </c>
      <c r="J817" t="n">
        <v>0</v>
      </c>
      <c r="K817" t="n">
        <v>0</v>
      </c>
      <c r="L817" t="n">
        <v>0</v>
      </c>
      <c r="M817" t="n">
        <v>0</v>
      </c>
      <c r="N817" t="n">
        <v>0</v>
      </c>
      <c r="O817" t="n">
        <v>0</v>
      </c>
      <c r="P817" t="n">
        <v>0</v>
      </c>
      <c r="Q817" t="n">
        <v>0</v>
      </c>
      <c r="R817" s="2" t="inlineStr"/>
    </row>
    <row r="818" ht="15" customHeight="1">
      <c r="A818" t="inlineStr">
        <is>
          <t>A 18874-2021</t>
        </is>
      </c>
      <c r="B818" s="1" t="n">
        <v>44308</v>
      </c>
      <c r="C818" s="1" t="n">
        <v>45356</v>
      </c>
      <c r="D818" t="inlineStr">
        <is>
          <t>VÄSTERNORRLANDS LÄN</t>
        </is>
      </c>
      <c r="E818" t="inlineStr">
        <is>
          <t>SOLLEFTEÅ</t>
        </is>
      </c>
      <c r="F818" t="inlineStr">
        <is>
          <t>SCA</t>
        </is>
      </c>
      <c r="G818" t="n">
        <v>10.7</v>
      </c>
      <c r="H818" t="n">
        <v>0</v>
      </c>
      <c r="I818" t="n">
        <v>0</v>
      </c>
      <c r="J818" t="n">
        <v>0</v>
      </c>
      <c r="K818" t="n">
        <v>0</v>
      </c>
      <c r="L818" t="n">
        <v>0</v>
      </c>
      <c r="M818" t="n">
        <v>0</v>
      </c>
      <c r="N818" t="n">
        <v>0</v>
      </c>
      <c r="O818" t="n">
        <v>0</v>
      </c>
      <c r="P818" t="n">
        <v>0</v>
      </c>
      <c r="Q818" t="n">
        <v>0</v>
      </c>
      <c r="R818" s="2" t="inlineStr"/>
    </row>
    <row r="819" ht="15" customHeight="1">
      <c r="A819" t="inlineStr">
        <is>
          <t>A 18879-2021</t>
        </is>
      </c>
      <c r="B819" s="1" t="n">
        <v>44307</v>
      </c>
      <c r="C819" s="1" t="n">
        <v>45356</v>
      </c>
      <c r="D819" t="inlineStr">
        <is>
          <t>VÄSTERNORRLANDS LÄN</t>
        </is>
      </c>
      <c r="E819" t="inlineStr">
        <is>
          <t>SOLLEFTEÅ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18868-2021</t>
        </is>
      </c>
      <c r="B820" s="1" t="n">
        <v>44307</v>
      </c>
      <c r="C820" s="1" t="n">
        <v>45356</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18877-2021</t>
        </is>
      </c>
      <c r="B821" s="1" t="n">
        <v>44308</v>
      </c>
      <c r="C821" s="1" t="n">
        <v>45356</v>
      </c>
      <c r="D821" t="inlineStr">
        <is>
          <t>VÄSTERNORRLANDS LÄN</t>
        </is>
      </c>
      <c r="E821" t="inlineStr">
        <is>
          <t>SOLLEFTEÅ</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18889-2021</t>
        </is>
      </c>
      <c r="B822" s="1" t="n">
        <v>44308</v>
      </c>
      <c r="C822" s="1" t="n">
        <v>45356</v>
      </c>
      <c r="D822" t="inlineStr">
        <is>
          <t>VÄSTERNORRLANDS LÄN</t>
        </is>
      </c>
      <c r="E822" t="inlineStr">
        <is>
          <t>SOLLEFTEÅ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19200-2021</t>
        </is>
      </c>
      <c r="B823" s="1" t="n">
        <v>44309</v>
      </c>
      <c r="C823" s="1" t="n">
        <v>45356</v>
      </c>
      <c r="D823" t="inlineStr">
        <is>
          <t>VÄSTERNORRLANDS LÄN</t>
        </is>
      </c>
      <c r="E823" t="inlineStr">
        <is>
          <t>SOLLEFTEÅ</t>
        </is>
      </c>
      <c r="G823" t="n">
        <v>12.7</v>
      </c>
      <c r="H823" t="n">
        <v>0</v>
      </c>
      <c r="I823" t="n">
        <v>0</v>
      </c>
      <c r="J823" t="n">
        <v>0</v>
      </c>
      <c r="K823" t="n">
        <v>0</v>
      </c>
      <c r="L823" t="n">
        <v>0</v>
      </c>
      <c r="M823" t="n">
        <v>0</v>
      </c>
      <c r="N823" t="n">
        <v>0</v>
      </c>
      <c r="O823" t="n">
        <v>0</v>
      </c>
      <c r="P823" t="n">
        <v>0</v>
      </c>
      <c r="Q823" t="n">
        <v>0</v>
      </c>
      <c r="R823" s="2" t="inlineStr"/>
    </row>
    <row r="824" ht="15" customHeight="1">
      <c r="A824" t="inlineStr">
        <is>
          <t>A 19510-2021</t>
        </is>
      </c>
      <c r="B824" s="1" t="n">
        <v>44308</v>
      </c>
      <c r="C824" s="1" t="n">
        <v>45356</v>
      </c>
      <c r="D824" t="inlineStr">
        <is>
          <t>VÄSTERNORRLANDS LÄN</t>
        </is>
      </c>
      <c r="E824" t="inlineStr">
        <is>
          <t>SOLLEFTEÅ</t>
        </is>
      </c>
      <c r="F824" t="inlineStr">
        <is>
          <t>Kyrkan</t>
        </is>
      </c>
      <c r="G824" t="n">
        <v>19.6</v>
      </c>
      <c r="H824" t="n">
        <v>0</v>
      </c>
      <c r="I824" t="n">
        <v>0</v>
      </c>
      <c r="J824" t="n">
        <v>0</v>
      </c>
      <c r="K824" t="n">
        <v>0</v>
      </c>
      <c r="L824" t="n">
        <v>0</v>
      </c>
      <c r="M824" t="n">
        <v>0</v>
      </c>
      <c r="N824" t="n">
        <v>0</v>
      </c>
      <c r="O824" t="n">
        <v>0</v>
      </c>
      <c r="P824" t="n">
        <v>0</v>
      </c>
      <c r="Q824" t="n">
        <v>0</v>
      </c>
      <c r="R824" s="2" t="inlineStr"/>
    </row>
    <row r="825" ht="15" customHeight="1">
      <c r="A825" t="inlineStr">
        <is>
          <t>A 19220-2021</t>
        </is>
      </c>
      <c r="B825" s="1" t="n">
        <v>44309</v>
      </c>
      <c r="C825" s="1" t="n">
        <v>45356</v>
      </c>
      <c r="D825" t="inlineStr">
        <is>
          <t>VÄSTERNORRLANDS LÄN</t>
        </is>
      </c>
      <c r="E825" t="inlineStr">
        <is>
          <t>SOLLEFTEÅ</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19433-2021</t>
        </is>
      </c>
      <c r="B826" s="1" t="n">
        <v>44310</v>
      </c>
      <c r="C826" s="1" t="n">
        <v>45356</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19412-2021</t>
        </is>
      </c>
      <c r="B827" s="1" t="n">
        <v>44310</v>
      </c>
      <c r="C827" s="1" t="n">
        <v>45356</v>
      </c>
      <c r="D827" t="inlineStr">
        <is>
          <t>VÄSTERNORRLANDS LÄN</t>
        </is>
      </c>
      <c r="E827" t="inlineStr">
        <is>
          <t>SOLLEFTEÅ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19435-2021</t>
        </is>
      </c>
      <c r="B828" s="1" t="n">
        <v>44310</v>
      </c>
      <c r="C828" s="1" t="n">
        <v>45356</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19516-2021</t>
        </is>
      </c>
      <c r="B829" s="1" t="n">
        <v>44309</v>
      </c>
      <c r="C829" s="1" t="n">
        <v>45356</v>
      </c>
      <c r="D829" t="inlineStr">
        <is>
          <t>VÄSTERNORRLANDS LÄN</t>
        </is>
      </c>
      <c r="E829" t="inlineStr">
        <is>
          <t>SOLLEFTEÅ</t>
        </is>
      </c>
      <c r="G829" t="n">
        <v>15.6</v>
      </c>
      <c r="H829" t="n">
        <v>0</v>
      </c>
      <c r="I829" t="n">
        <v>0</v>
      </c>
      <c r="J829" t="n">
        <v>0</v>
      </c>
      <c r="K829" t="n">
        <v>0</v>
      </c>
      <c r="L829" t="n">
        <v>0</v>
      </c>
      <c r="M829" t="n">
        <v>0</v>
      </c>
      <c r="N829" t="n">
        <v>0</v>
      </c>
      <c r="O829" t="n">
        <v>0</v>
      </c>
      <c r="P829" t="n">
        <v>0</v>
      </c>
      <c r="Q829" t="n">
        <v>0</v>
      </c>
      <c r="R829" s="2" t="inlineStr"/>
    </row>
    <row r="830" ht="15" customHeight="1">
      <c r="A830" t="inlineStr">
        <is>
          <t>A 19830-2021</t>
        </is>
      </c>
      <c r="B830" s="1" t="n">
        <v>44312</v>
      </c>
      <c r="C830" s="1" t="n">
        <v>45356</v>
      </c>
      <c r="D830" t="inlineStr">
        <is>
          <t>VÄSTERNORRLANDS LÄN</t>
        </is>
      </c>
      <c r="E830" t="inlineStr">
        <is>
          <t>SOLLEFTEÅ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19637-2021</t>
        </is>
      </c>
      <c r="B831" s="1" t="n">
        <v>44312</v>
      </c>
      <c r="C831" s="1" t="n">
        <v>45356</v>
      </c>
      <c r="D831" t="inlineStr">
        <is>
          <t>VÄSTERNORRLANDS LÄN</t>
        </is>
      </c>
      <c r="E831" t="inlineStr">
        <is>
          <t>SOLLEFTEÅ</t>
        </is>
      </c>
      <c r="F831" t="inlineStr">
        <is>
          <t>Holmen skog AB</t>
        </is>
      </c>
      <c r="G831" t="n">
        <v>0.9</v>
      </c>
      <c r="H831" t="n">
        <v>0</v>
      </c>
      <c r="I831" t="n">
        <v>0</v>
      </c>
      <c r="J831" t="n">
        <v>0</v>
      </c>
      <c r="K831" t="n">
        <v>0</v>
      </c>
      <c r="L831" t="n">
        <v>0</v>
      </c>
      <c r="M831" t="n">
        <v>0</v>
      </c>
      <c r="N831" t="n">
        <v>0</v>
      </c>
      <c r="O831" t="n">
        <v>0</v>
      </c>
      <c r="P831" t="n">
        <v>0</v>
      </c>
      <c r="Q831" t="n">
        <v>0</v>
      </c>
      <c r="R831" s="2" t="inlineStr"/>
    </row>
    <row r="832" ht="15" customHeight="1">
      <c r="A832" t="inlineStr">
        <is>
          <t>A 21341-2021</t>
        </is>
      </c>
      <c r="B832" s="1" t="n">
        <v>44321</v>
      </c>
      <c r="C832" s="1" t="n">
        <v>45356</v>
      </c>
      <c r="D832" t="inlineStr">
        <is>
          <t>VÄSTERNORRLANDS LÄN</t>
        </is>
      </c>
      <c r="E832" t="inlineStr">
        <is>
          <t>SOLLEFTEÅ</t>
        </is>
      </c>
      <c r="G832" t="n">
        <v>4.1</v>
      </c>
      <c r="H832" t="n">
        <v>0</v>
      </c>
      <c r="I832" t="n">
        <v>0</v>
      </c>
      <c r="J832" t="n">
        <v>0</v>
      </c>
      <c r="K832" t="n">
        <v>0</v>
      </c>
      <c r="L832" t="n">
        <v>0</v>
      </c>
      <c r="M832" t="n">
        <v>0</v>
      </c>
      <c r="N832" t="n">
        <v>0</v>
      </c>
      <c r="O832" t="n">
        <v>0</v>
      </c>
      <c r="P832" t="n">
        <v>0</v>
      </c>
      <c r="Q832" t="n">
        <v>0</v>
      </c>
      <c r="R832" s="2" t="inlineStr"/>
    </row>
    <row r="833" ht="15" customHeight="1">
      <c r="A833" t="inlineStr">
        <is>
          <t>A 21360-2021</t>
        </is>
      </c>
      <c r="B833" s="1" t="n">
        <v>44320</v>
      </c>
      <c r="C833" s="1" t="n">
        <v>45356</v>
      </c>
      <c r="D833" t="inlineStr">
        <is>
          <t>VÄSTERNORRLANDS LÄN</t>
        </is>
      </c>
      <c r="E833" t="inlineStr">
        <is>
          <t>SOLLEFTEÅ</t>
        </is>
      </c>
      <c r="G833" t="n">
        <v>6.8</v>
      </c>
      <c r="H833" t="n">
        <v>0</v>
      </c>
      <c r="I833" t="n">
        <v>0</v>
      </c>
      <c r="J833" t="n">
        <v>0</v>
      </c>
      <c r="K833" t="n">
        <v>0</v>
      </c>
      <c r="L833" t="n">
        <v>0</v>
      </c>
      <c r="M833" t="n">
        <v>0</v>
      </c>
      <c r="N833" t="n">
        <v>0</v>
      </c>
      <c r="O833" t="n">
        <v>0</v>
      </c>
      <c r="P833" t="n">
        <v>0</v>
      </c>
      <c r="Q833" t="n">
        <v>0</v>
      </c>
      <c r="R833" s="2" t="inlineStr"/>
    </row>
    <row r="834" ht="15" customHeight="1">
      <c r="A834" t="inlineStr">
        <is>
          <t>A 21350-2021</t>
        </is>
      </c>
      <c r="B834" s="1" t="n">
        <v>44321</v>
      </c>
      <c r="C834" s="1" t="n">
        <v>45356</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21358-2021</t>
        </is>
      </c>
      <c r="B835" s="1" t="n">
        <v>44320</v>
      </c>
      <c r="C835" s="1" t="n">
        <v>45356</v>
      </c>
      <c r="D835" t="inlineStr">
        <is>
          <t>VÄSTERNORRLANDS LÄN</t>
        </is>
      </c>
      <c r="E835" t="inlineStr">
        <is>
          <t>SOLLEFTEÅ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21362-2021</t>
        </is>
      </c>
      <c r="B836" s="1" t="n">
        <v>44321</v>
      </c>
      <c r="C836" s="1" t="n">
        <v>45356</v>
      </c>
      <c r="D836" t="inlineStr">
        <is>
          <t>VÄSTERNORRLANDS LÄN</t>
        </is>
      </c>
      <c r="E836" t="inlineStr">
        <is>
          <t>SOLLEFTEÅ</t>
        </is>
      </c>
      <c r="G836" t="n">
        <v>1</v>
      </c>
      <c r="H836" t="n">
        <v>0</v>
      </c>
      <c r="I836" t="n">
        <v>0</v>
      </c>
      <c r="J836" t="n">
        <v>0</v>
      </c>
      <c r="K836" t="n">
        <v>0</v>
      </c>
      <c r="L836" t="n">
        <v>0</v>
      </c>
      <c r="M836" t="n">
        <v>0</v>
      </c>
      <c r="N836" t="n">
        <v>0</v>
      </c>
      <c r="O836" t="n">
        <v>0</v>
      </c>
      <c r="P836" t="n">
        <v>0</v>
      </c>
      <c r="Q836" t="n">
        <v>0</v>
      </c>
      <c r="R836" s="2" t="inlineStr"/>
    </row>
    <row r="837" ht="15" customHeight="1">
      <c r="A837" t="inlineStr">
        <is>
          <t>A 21532-2021</t>
        </is>
      </c>
      <c r="B837" s="1" t="n">
        <v>44321</v>
      </c>
      <c r="C837" s="1" t="n">
        <v>45356</v>
      </c>
      <c r="D837" t="inlineStr">
        <is>
          <t>VÄSTERNORRLANDS LÄN</t>
        </is>
      </c>
      <c r="E837" t="inlineStr">
        <is>
          <t>SOLLEFTEÅ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21589-2021</t>
        </is>
      </c>
      <c r="B838" s="1" t="n">
        <v>44321</v>
      </c>
      <c r="C838" s="1" t="n">
        <v>45356</v>
      </c>
      <c r="D838" t="inlineStr">
        <is>
          <t>VÄSTERNORRLANDS LÄN</t>
        </is>
      </c>
      <c r="E838" t="inlineStr">
        <is>
          <t>SOLLEFTEÅ</t>
        </is>
      </c>
      <c r="G838" t="n">
        <v>7</v>
      </c>
      <c r="H838" t="n">
        <v>0</v>
      </c>
      <c r="I838" t="n">
        <v>0</v>
      </c>
      <c r="J838" t="n">
        <v>0</v>
      </c>
      <c r="K838" t="n">
        <v>0</v>
      </c>
      <c r="L838" t="n">
        <v>0</v>
      </c>
      <c r="M838" t="n">
        <v>0</v>
      </c>
      <c r="N838" t="n">
        <v>0</v>
      </c>
      <c r="O838" t="n">
        <v>0</v>
      </c>
      <c r="P838" t="n">
        <v>0</v>
      </c>
      <c r="Q838" t="n">
        <v>0</v>
      </c>
      <c r="R838" s="2" t="inlineStr"/>
    </row>
    <row r="839" ht="15" customHeight="1">
      <c r="A839" t="inlineStr">
        <is>
          <t>A 21711-2021</t>
        </is>
      </c>
      <c r="B839" s="1" t="n">
        <v>44322</v>
      </c>
      <c r="C839" s="1" t="n">
        <v>45356</v>
      </c>
      <c r="D839" t="inlineStr">
        <is>
          <t>VÄSTERNORRLANDS LÄN</t>
        </is>
      </c>
      <c r="E839" t="inlineStr">
        <is>
          <t>SOLLEFTEÅ</t>
        </is>
      </c>
      <c r="F839" t="inlineStr">
        <is>
          <t>Kyrkan</t>
        </is>
      </c>
      <c r="G839" t="n">
        <v>22.2</v>
      </c>
      <c r="H839" t="n">
        <v>0</v>
      </c>
      <c r="I839" t="n">
        <v>0</v>
      </c>
      <c r="J839" t="n">
        <v>0</v>
      </c>
      <c r="K839" t="n">
        <v>0</v>
      </c>
      <c r="L839" t="n">
        <v>0</v>
      </c>
      <c r="M839" t="n">
        <v>0</v>
      </c>
      <c r="N839" t="n">
        <v>0</v>
      </c>
      <c r="O839" t="n">
        <v>0</v>
      </c>
      <c r="P839" t="n">
        <v>0</v>
      </c>
      <c r="Q839" t="n">
        <v>0</v>
      </c>
      <c r="R839" s="2" t="inlineStr"/>
    </row>
    <row r="840" ht="15" customHeight="1">
      <c r="A840" t="inlineStr">
        <is>
          <t>A 21924-2021</t>
        </is>
      </c>
      <c r="B840" s="1" t="n">
        <v>44323</v>
      </c>
      <c r="C840" s="1" t="n">
        <v>45356</v>
      </c>
      <c r="D840" t="inlineStr">
        <is>
          <t>VÄSTERNORRLANDS LÄN</t>
        </is>
      </c>
      <c r="E840" t="inlineStr">
        <is>
          <t>SOLLEFTEÅ</t>
        </is>
      </c>
      <c r="G840" t="n">
        <v>3.6</v>
      </c>
      <c r="H840" t="n">
        <v>0</v>
      </c>
      <c r="I840" t="n">
        <v>0</v>
      </c>
      <c r="J840" t="n">
        <v>0</v>
      </c>
      <c r="K840" t="n">
        <v>0</v>
      </c>
      <c r="L840" t="n">
        <v>0</v>
      </c>
      <c r="M840" t="n">
        <v>0</v>
      </c>
      <c r="N840" t="n">
        <v>0</v>
      </c>
      <c r="O840" t="n">
        <v>0</v>
      </c>
      <c r="P840" t="n">
        <v>0</v>
      </c>
      <c r="Q840" t="n">
        <v>0</v>
      </c>
      <c r="R840" s="2" t="inlineStr"/>
    </row>
    <row r="841" ht="15" customHeight="1">
      <c r="A841" t="inlineStr">
        <is>
          <t>A 22447-2021</t>
        </is>
      </c>
      <c r="B841" s="1" t="n">
        <v>44323</v>
      </c>
      <c r="C841" s="1" t="n">
        <v>45356</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22441-2021</t>
        </is>
      </c>
      <c r="B842" s="1" t="n">
        <v>44323</v>
      </c>
      <c r="C842" s="1" t="n">
        <v>45356</v>
      </c>
      <c r="D842" t="inlineStr">
        <is>
          <t>VÄSTERNORRLANDS LÄN</t>
        </is>
      </c>
      <c r="E842" t="inlineStr">
        <is>
          <t>SOLLEFTEÅ</t>
        </is>
      </c>
      <c r="G842" t="n">
        <v>2.2</v>
      </c>
      <c r="H842" t="n">
        <v>0</v>
      </c>
      <c r="I842" t="n">
        <v>0</v>
      </c>
      <c r="J842" t="n">
        <v>0</v>
      </c>
      <c r="K842" t="n">
        <v>0</v>
      </c>
      <c r="L842" t="n">
        <v>0</v>
      </c>
      <c r="M842" t="n">
        <v>0</v>
      </c>
      <c r="N842" t="n">
        <v>0</v>
      </c>
      <c r="O842" t="n">
        <v>0</v>
      </c>
      <c r="P842" t="n">
        <v>0</v>
      </c>
      <c r="Q842" t="n">
        <v>0</v>
      </c>
      <c r="R842" s="2" t="inlineStr"/>
    </row>
    <row r="843" ht="15" customHeight="1">
      <c r="A843" t="inlineStr">
        <is>
          <t>A 22224-2021</t>
        </is>
      </c>
      <c r="B843" s="1" t="n">
        <v>44326</v>
      </c>
      <c r="C843" s="1" t="n">
        <v>45356</v>
      </c>
      <c r="D843" t="inlineStr">
        <is>
          <t>VÄSTERNORRLANDS LÄN</t>
        </is>
      </c>
      <c r="E843" t="inlineStr">
        <is>
          <t>SOLLEFTEÅ</t>
        </is>
      </c>
      <c r="F843" t="inlineStr">
        <is>
          <t>Kommuner</t>
        </is>
      </c>
      <c r="G843" t="n">
        <v>2.3</v>
      </c>
      <c r="H843" t="n">
        <v>0</v>
      </c>
      <c r="I843" t="n">
        <v>0</v>
      </c>
      <c r="J843" t="n">
        <v>0</v>
      </c>
      <c r="K843" t="n">
        <v>0</v>
      </c>
      <c r="L843" t="n">
        <v>0</v>
      </c>
      <c r="M843" t="n">
        <v>0</v>
      </c>
      <c r="N843" t="n">
        <v>0</v>
      </c>
      <c r="O843" t="n">
        <v>0</v>
      </c>
      <c r="P843" t="n">
        <v>0</v>
      </c>
      <c r="Q843" t="n">
        <v>0</v>
      </c>
      <c r="R843" s="2" t="inlineStr"/>
    </row>
    <row r="844" ht="15" customHeight="1">
      <c r="A844" t="inlineStr">
        <is>
          <t>A 22934-2021</t>
        </is>
      </c>
      <c r="B844" s="1" t="n">
        <v>44328</v>
      </c>
      <c r="C844" s="1" t="n">
        <v>45356</v>
      </c>
      <c r="D844" t="inlineStr">
        <is>
          <t>VÄSTERNORRLANDS LÄN</t>
        </is>
      </c>
      <c r="E844" t="inlineStr">
        <is>
          <t>SOLLEFTEÅ</t>
        </is>
      </c>
      <c r="G844" t="n">
        <v>10</v>
      </c>
      <c r="H844" t="n">
        <v>0</v>
      </c>
      <c r="I844" t="n">
        <v>0</v>
      </c>
      <c r="J844" t="n">
        <v>0</v>
      </c>
      <c r="K844" t="n">
        <v>0</v>
      </c>
      <c r="L844" t="n">
        <v>0</v>
      </c>
      <c r="M844" t="n">
        <v>0</v>
      </c>
      <c r="N844" t="n">
        <v>0</v>
      </c>
      <c r="O844" t="n">
        <v>0</v>
      </c>
      <c r="P844" t="n">
        <v>0</v>
      </c>
      <c r="Q844" t="n">
        <v>0</v>
      </c>
      <c r="R844" s="2" t="inlineStr"/>
    </row>
    <row r="845" ht="15" customHeight="1">
      <c r="A845" t="inlineStr">
        <is>
          <t>A 23033-2021</t>
        </is>
      </c>
      <c r="B845" s="1" t="n">
        <v>44329</v>
      </c>
      <c r="C845" s="1" t="n">
        <v>45356</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23032-2021</t>
        </is>
      </c>
      <c r="B846" s="1" t="n">
        <v>44329</v>
      </c>
      <c r="C846" s="1" t="n">
        <v>45356</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23034-2021</t>
        </is>
      </c>
      <c r="B847" s="1" t="n">
        <v>44329</v>
      </c>
      <c r="C847" s="1" t="n">
        <v>45356</v>
      </c>
      <c r="D847" t="inlineStr">
        <is>
          <t>VÄSTERNORRLANDS LÄN</t>
        </is>
      </c>
      <c r="E847" t="inlineStr">
        <is>
          <t>SOLLEFTEÅ</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23030-2021</t>
        </is>
      </c>
      <c r="B848" s="1" t="n">
        <v>44329</v>
      </c>
      <c r="C848" s="1" t="n">
        <v>45356</v>
      </c>
      <c r="D848" t="inlineStr">
        <is>
          <t>VÄSTERNORRLANDS LÄN</t>
        </is>
      </c>
      <c r="E848" t="inlineStr">
        <is>
          <t>SOLLEFTEÅ</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23069-2021</t>
        </is>
      </c>
      <c r="B849" s="1" t="n">
        <v>44330</v>
      </c>
      <c r="C849" s="1" t="n">
        <v>45356</v>
      </c>
      <c r="D849" t="inlineStr">
        <is>
          <t>VÄSTERNORRLANDS LÄN</t>
        </is>
      </c>
      <c r="E849" t="inlineStr">
        <is>
          <t>SOLLEFTEÅ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23394-2021</t>
        </is>
      </c>
      <c r="B850" s="1" t="n">
        <v>44333</v>
      </c>
      <c r="C850" s="1" t="n">
        <v>45356</v>
      </c>
      <c r="D850" t="inlineStr">
        <is>
          <t>VÄSTERNORRLANDS LÄN</t>
        </is>
      </c>
      <c r="E850" t="inlineStr">
        <is>
          <t>SOLLEFTEÅ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23639-2021</t>
        </is>
      </c>
      <c r="B851" s="1" t="n">
        <v>44334</v>
      </c>
      <c r="C851" s="1" t="n">
        <v>45356</v>
      </c>
      <c r="D851" t="inlineStr">
        <is>
          <t>VÄSTERNORRLANDS LÄN</t>
        </is>
      </c>
      <c r="E851" t="inlineStr">
        <is>
          <t>SOLLEFTEÅ</t>
        </is>
      </c>
      <c r="F851" t="inlineStr">
        <is>
          <t>Kyrkan</t>
        </is>
      </c>
      <c r="G851" t="n">
        <v>5.4</v>
      </c>
      <c r="H851" t="n">
        <v>0</v>
      </c>
      <c r="I851" t="n">
        <v>0</v>
      </c>
      <c r="J851" t="n">
        <v>0</v>
      </c>
      <c r="K851" t="n">
        <v>0</v>
      </c>
      <c r="L851" t="n">
        <v>0</v>
      </c>
      <c r="M851" t="n">
        <v>0</v>
      </c>
      <c r="N851" t="n">
        <v>0</v>
      </c>
      <c r="O851" t="n">
        <v>0</v>
      </c>
      <c r="P851" t="n">
        <v>0</v>
      </c>
      <c r="Q851" t="n">
        <v>0</v>
      </c>
      <c r="R851" s="2" t="inlineStr"/>
    </row>
    <row r="852" ht="15" customHeight="1">
      <c r="A852" t="inlineStr">
        <is>
          <t>A 23689-2021</t>
        </is>
      </c>
      <c r="B852" s="1" t="n">
        <v>44334</v>
      </c>
      <c r="C852" s="1" t="n">
        <v>45356</v>
      </c>
      <c r="D852" t="inlineStr">
        <is>
          <t>VÄSTERNORRLANDS LÄN</t>
        </is>
      </c>
      <c r="E852" t="inlineStr">
        <is>
          <t>SOLLEFTEÅ</t>
        </is>
      </c>
      <c r="G852" t="n">
        <v>14.9</v>
      </c>
      <c r="H852" t="n">
        <v>0</v>
      </c>
      <c r="I852" t="n">
        <v>0</v>
      </c>
      <c r="J852" t="n">
        <v>0</v>
      </c>
      <c r="K852" t="n">
        <v>0</v>
      </c>
      <c r="L852" t="n">
        <v>0</v>
      </c>
      <c r="M852" t="n">
        <v>0</v>
      </c>
      <c r="N852" t="n">
        <v>0</v>
      </c>
      <c r="O852" t="n">
        <v>0</v>
      </c>
      <c r="P852" t="n">
        <v>0</v>
      </c>
      <c r="Q852" t="n">
        <v>0</v>
      </c>
      <c r="R852" s="2" t="inlineStr"/>
    </row>
    <row r="853" ht="15" customHeight="1">
      <c r="A853" t="inlineStr">
        <is>
          <t>A 23770-2021</t>
        </is>
      </c>
      <c r="B853" s="1" t="n">
        <v>44335</v>
      </c>
      <c r="C853" s="1" t="n">
        <v>45356</v>
      </c>
      <c r="D853" t="inlineStr">
        <is>
          <t>VÄSTERNORRLANDS LÄN</t>
        </is>
      </c>
      <c r="E853" t="inlineStr">
        <is>
          <t>SOLLEFTEÅ</t>
        </is>
      </c>
      <c r="G853" t="n">
        <v>1.4</v>
      </c>
      <c r="H853" t="n">
        <v>0</v>
      </c>
      <c r="I853" t="n">
        <v>0</v>
      </c>
      <c r="J853" t="n">
        <v>0</v>
      </c>
      <c r="K853" t="n">
        <v>0</v>
      </c>
      <c r="L853" t="n">
        <v>0</v>
      </c>
      <c r="M853" t="n">
        <v>0</v>
      </c>
      <c r="N853" t="n">
        <v>0</v>
      </c>
      <c r="O853" t="n">
        <v>0</v>
      </c>
      <c r="P853" t="n">
        <v>0</v>
      </c>
      <c r="Q853" t="n">
        <v>0</v>
      </c>
      <c r="R853" s="2" t="inlineStr"/>
    </row>
    <row r="854" ht="15" customHeight="1">
      <c r="A854" t="inlineStr">
        <is>
          <t>A 23753-2021</t>
        </is>
      </c>
      <c r="B854" s="1" t="n">
        <v>44334</v>
      </c>
      <c r="C854" s="1" t="n">
        <v>45356</v>
      </c>
      <c r="D854" t="inlineStr">
        <is>
          <t>VÄSTERNORRLANDS LÄN</t>
        </is>
      </c>
      <c r="E854" t="inlineStr">
        <is>
          <t>SOLLEFTEÅ</t>
        </is>
      </c>
      <c r="G854" t="n">
        <v>14.8</v>
      </c>
      <c r="H854" t="n">
        <v>0</v>
      </c>
      <c r="I854" t="n">
        <v>0</v>
      </c>
      <c r="J854" t="n">
        <v>0</v>
      </c>
      <c r="K854" t="n">
        <v>0</v>
      </c>
      <c r="L854" t="n">
        <v>0</v>
      </c>
      <c r="M854" t="n">
        <v>0</v>
      </c>
      <c r="N854" t="n">
        <v>0</v>
      </c>
      <c r="O854" t="n">
        <v>0</v>
      </c>
      <c r="P854" t="n">
        <v>0</v>
      </c>
      <c r="Q854" t="n">
        <v>0</v>
      </c>
      <c r="R854" s="2" t="inlineStr"/>
    </row>
    <row r="855" ht="15" customHeight="1">
      <c r="A855" t="inlineStr">
        <is>
          <t>A 23814-2021</t>
        </is>
      </c>
      <c r="B855" s="1" t="n">
        <v>44335</v>
      </c>
      <c r="C855" s="1" t="n">
        <v>45356</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24243-2021</t>
        </is>
      </c>
      <c r="B856" s="1" t="n">
        <v>44336</v>
      </c>
      <c r="C856" s="1" t="n">
        <v>45356</v>
      </c>
      <c r="D856" t="inlineStr">
        <is>
          <t>VÄSTERNORRLANDS LÄN</t>
        </is>
      </c>
      <c r="E856" t="inlineStr">
        <is>
          <t>SOLLEFTEÅ</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24244-2021</t>
        </is>
      </c>
      <c r="B857" s="1" t="n">
        <v>44337</v>
      </c>
      <c r="C857" s="1" t="n">
        <v>45356</v>
      </c>
      <c r="D857" t="inlineStr">
        <is>
          <t>VÄSTERNORRLANDS LÄN</t>
        </is>
      </c>
      <c r="E857" t="inlineStr">
        <is>
          <t>SOLLEFTEÅ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24720-2021</t>
        </is>
      </c>
      <c r="B858" s="1" t="n">
        <v>44340</v>
      </c>
      <c r="C858" s="1" t="n">
        <v>45356</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24731-2021</t>
        </is>
      </c>
      <c r="B859" s="1" t="n">
        <v>44340</v>
      </c>
      <c r="C859" s="1" t="n">
        <v>45356</v>
      </c>
      <c r="D859" t="inlineStr">
        <is>
          <t>VÄSTERNORRLANDS LÄN</t>
        </is>
      </c>
      <c r="E859" t="inlineStr">
        <is>
          <t>SOLLEFTEÅ</t>
        </is>
      </c>
      <c r="G859" t="n">
        <v>5.3</v>
      </c>
      <c r="H859" t="n">
        <v>0</v>
      </c>
      <c r="I859" t="n">
        <v>0</v>
      </c>
      <c r="J859" t="n">
        <v>0</v>
      </c>
      <c r="K859" t="n">
        <v>0</v>
      </c>
      <c r="L859" t="n">
        <v>0</v>
      </c>
      <c r="M859" t="n">
        <v>0</v>
      </c>
      <c r="N859" t="n">
        <v>0</v>
      </c>
      <c r="O859" t="n">
        <v>0</v>
      </c>
      <c r="P859" t="n">
        <v>0</v>
      </c>
      <c r="Q859" t="n">
        <v>0</v>
      </c>
      <c r="R859" s="2" t="inlineStr"/>
    </row>
    <row r="860" ht="15" customHeight="1">
      <c r="A860" t="inlineStr">
        <is>
          <t>A 25183-2021</t>
        </is>
      </c>
      <c r="B860" s="1" t="n">
        <v>44341</v>
      </c>
      <c r="C860" s="1" t="n">
        <v>45356</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25156-2021</t>
        </is>
      </c>
      <c r="B861" s="1" t="n">
        <v>44341</v>
      </c>
      <c r="C861" s="1" t="n">
        <v>45356</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25152-2021</t>
        </is>
      </c>
      <c r="B862" s="1" t="n">
        <v>44341</v>
      </c>
      <c r="C862" s="1" t="n">
        <v>45356</v>
      </c>
      <c r="D862" t="inlineStr">
        <is>
          <t>VÄSTERNORRLANDS LÄN</t>
        </is>
      </c>
      <c r="E862" t="inlineStr">
        <is>
          <t>SOLLEFTEÅ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25329-2021</t>
        </is>
      </c>
      <c r="B863" s="1" t="n">
        <v>44342</v>
      </c>
      <c r="C863" s="1" t="n">
        <v>45356</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25345-2021</t>
        </is>
      </c>
      <c r="B864" s="1" t="n">
        <v>44342</v>
      </c>
      <c r="C864" s="1" t="n">
        <v>45356</v>
      </c>
      <c r="D864" t="inlineStr">
        <is>
          <t>VÄSTERNORRLANDS LÄN</t>
        </is>
      </c>
      <c r="E864" t="inlineStr">
        <is>
          <t>SOLLEFTEÅ</t>
        </is>
      </c>
      <c r="G864" t="n">
        <v>0.2</v>
      </c>
      <c r="H864" t="n">
        <v>0</v>
      </c>
      <c r="I864" t="n">
        <v>0</v>
      </c>
      <c r="J864" t="n">
        <v>0</v>
      </c>
      <c r="K864" t="n">
        <v>0</v>
      </c>
      <c r="L864" t="n">
        <v>0</v>
      </c>
      <c r="M864" t="n">
        <v>0</v>
      </c>
      <c r="N864" t="n">
        <v>0</v>
      </c>
      <c r="O864" t="n">
        <v>0</v>
      </c>
      <c r="P864" t="n">
        <v>0</v>
      </c>
      <c r="Q864" t="n">
        <v>0</v>
      </c>
      <c r="R864" s="2" t="inlineStr"/>
    </row>
    <row r="865" ht="15" customHeight="1">
      <c r="A865" t="inlineStr">
        <is>
          <t>A 25522-2021</t>
        </is>
      </c>
      <c r="B865" s="1" t="n">
        <v>44342</v>
      </c>
      <c r="C865" s="1" t="n">
        <v>45356</v>
      </c>
      <c r="D865" t="inlineStr">
        <is>
          <t>VÄSTERNORRLANDS LÄN</t>
        </is>
      </c>
      <c r="E865" t="inlineStr">
        <is>
          <t>SOLLEFTEÅ</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25999-2021</t>
        </is>
      </c>
      <c r="B866" s="1" t="n">
        <v>44344</v>
      </c>
      <c r="C866" s="1" t="n">
        <v>45356</v>
      </c>
      <c r="D866" t="inlineStr">
        <is>
          <t>VÄSTERNORRLANDS LÄN</t>
        </is>
      </c>
      <c r="E866" t="inlineStr">
        <is>
          <t>SOLLEFTEÅ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25877-2021</t>
        </is>
      </c>
      <c r="B867" s="1" t="n">
        <v>44344</v>
      </c>
      <c r="C867" s="1" t="n">
        <v>45356</v>
      </c>
      <c r="D867" t="inlineStr">
        <is>
          <t>VÄSTERNORRLANDS LÄN</t>
        </is>
      </c>
      <c r="E867" t="inlineStr">
        <is>
          <t>SOLLEFTEÅ</t>
        </is>
      </c>
      <c r="G867" t="n">
        <v>4.2</v>
      </c>
      <c r="H867" t="n">
        <v>0</v>
      </c>
      <c r="I867" t="n">
        <v>0</v>
      </c>
      <c r="J867" t="n">
        <v>0</v>
      </c>
      <c r="K867" t="n">
        <v>0</v>
      </c>
      <c r="L867" t="n">
        <v>0</v>
      </c>
      <c r="M867" t="n">
        <v>0</v>
      </c>
      <c r="N867" t="n">
        <v>0</v>
      </c>
      <c r="O867" t="n">
        <v>0</v>
      </c>
      <c r="P867" t="n">
        <v>0</v>
      </c>
      <c r="Q867" t="n">
        <v>0</v>
      </c>
      <c r="R867" s="2" t="inlineStr"/>
    </row>
    <row r="868" ht="15" customHeight="1">
      <c r="A868" t="inlineStr">
        <is>
          <t>A 25989-2021</t>
        </is>
      </c>
      <c r="B868" s="1" t="n">
        <v>44344</v>
      </c>
      <c r="C868" s="1" t="n">
        <v>45356</v>
      </c>
      <c r="D868" t="inlineStr">
        <is>
          <t>VÄSTERNORRLANDS LÄN</t>
        </is>
      </c>
      <c r="E868" t="inlineStr">
        <is>
          <t>SOLLEFTEÅ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26406-2021</t>
        </is>
      </c>
      <c r="B869" s="1" t="n">
        <v>44347</v>
      </c>
      <c r="C869" s="1" t="n">
        <v>45356</v>
      </c>
      <c r="D869" t="inlineStr">
        <is>
          <t>VÄSTERNORRLANDS LÄN</t>
        </is>
      </c>
      <c r="E869" t="inlineStr">
        <is>
          <t>SOLLEFTEÅ</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26401-2021</t>
        </is>
      </c>
      <c r="B870" s="1" t="n">
        <v>44348</v>
      </c>
      <c r="C870" s="1" t="n">
        <v>45356</v>
      </c>
      <c r="D870" t="inlineStr">
        <is>
          <t>VÄSTERNORRLANDS LÄN</t>
        </is>
      </c>
      <c r="E870" t="inlineStr">
        <is>
          <t>SOLLEFTEÅ</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26498-2021</t>
        </is>
      </c>
      <c r="B871" s="1" t="n">
        <v>44348</v>
      </c>
      <c r="C871" s="1" t="n">
        <v>45356</v>
      </c>
      <c r="D871" t="inlineStr">
        <is>
          <t>VÄSTERNORRLANDS LÄN</t>
        </is>
      </c>
      <c r="E871" t="inlineStr">
        <is>
          <t>SOLLEFTEÅ</t>
        </is>
      </c>
      <c r="G871" t="n">
        <v>7.8</v>
      </c>
      <c r="H871" t="n">
        <v>0</v>
      </c>
      <c r="I871" t="n">
        <v>0</v>
      </c>
      <c r="J871" t="n">
        <v>0</v>
      </c>
      <c r="K871" t="n">
        <v>0</v>
      </c>
      <c r="L871" t="n">
        <v>0</v>
      </c>
      <c r="M871" t="n">
        <v>0</v>
      </c>
      <c r="N871" t="n">
        <v>0</v>
      </c>
      <c r="O871" t="n">
        <v>0</v>
      </c>
      <c r="P871" t="n">
        <v>0</v>
      </c>
      <c r="Q871" t="n">
        <v>0</v>
      </c>
      <c r="R871" s="2" t="inlineStr"/>
    </row>
    <row r="872" ht="15" customHeight="1">
      <c r="A872" t="inlineStr">
        <is>
          <t>A 26559-2021</t>
        </is>
      </c>
      <c r="B872" s="1" t="n">
        <v>44348</v>
      </c>
      <c r="C872" s="1" t="n">
        <v>45356</v>
      </c>
      <c r="D872" t="inlineStr">
        <is>
          <t>VÄSTERNORRLANDS LÄN</t>
        </is>
      </c>
      <c r="E872" t="inlineStr">
        <is>
          <t>SOLLEFTEÅ</t>
        </is>
      </c>
      <c r="G872" t="n">
        <v>9</v>
      </c>
      <c r="H872" t="n">
        <v>0</v>
      </c>
      <c r="I872" t="n">
        <v>0</v>
      </c>
      <c r="J872" t="n">
        <v>0</v>
      </c>
      <c r="K872" t="n">
        <v>0</v>
      </c>
      <c r="L872" t="n">
        <v>0</v>
      </c>
      <c r="M872" t="n">
        <v>0</v>
      </c>
      <c r="N872" t="n">
        <v>0</v>
      </c>
      <c r="O872" t="n">
        <v>0</v>
      </c>
      <c r="P872" t="n">
        <v>0</v>
      </c>
      <c r="Q872" t="n">
        <v>0</v>
      </c>
      <c r="R872" s="2" t="inlineStr"/>
    </row>
    <row r="873" ht="15" customHeight="1">
      <c r="A873" t="inlineStr">
        <is>
          <t>A 26669-2021</t>
        </is>
      </c>
      <c r="B873" s="1" t="n">
        <v>44349</v>
      </c>
      <c r="C873" s="1" t="n">
        <v>45356</v>
      </c>
      <c r="D873" t="inlineStr">
        <is>
          <t>VÄSTERNORRLANDS LÄN</t>
        </is>
      </c>
      <c r="E873" t="inlineStr">
        <is>
          <t>SOLLEFTEÅ</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27809-2021</t>
        </is>
      </c>
      <c r="B874" s="1" t="n">
        <v>44354</v>
      </c>
      <c r="C874" s="1" t="n">
        <v>45356</v>
      </c>
      <c r="D874" t="inlineStr">
        <is>
          <t>VÄSTERNORRLANDS LÄN</t>
        </is>
      </c>
      <c r="E874" t="inlineStr">
        <is>
          <t>SOLLEFTEÅ</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27972-2021</t>
        </is>
      </c>
      <c r="B875" s="1" t="n">
        <v>44355</v>
      </c>
      <c r="C875" s="1" t="n">
        <v>45356</v>
      </c>
      <c r="D875" t="inlineStr">
        <is>
          <t>VÄSTERNORRLANDS LÄN</t>
        </is>
      </c>
      <c r="E875" t="inlineStr">
        <is>
          <t>SOLLEFTEÅ</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28288-2021</t>
        </is>
      </c>
      <c r="B876" s="1" t="n">
        <v>44355</v>
      </c>
      <c r="C876" s="1" t="n">
        <v>45356</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28615-2021</t>
        </is>
      </c>
      <c r="B877" s="1" t="n">
        <v>44357</v>
      </c>
      <c r="C877" s="1" t="n">
        <v>45356</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28939-2021</t>
        </is>
      </c>
      <c r="B878" s="1" t="n">
        <v>44358</v>
      </c>
      <c r="C878" s="1" t="n">
        <v>45356</v>
      </c>
      <c r="D878" t="inlineStr">
        <is>
          <t>VÄSTERNORRLANDS LÄN</t>
        </is>
      </c>
      <c r="E878" t="inlineStr">
        <is>
          <t>SOLLEFTEÅ</t>
        </is>
      </c>
      <c r="G878" t="n">
        <v>4.4</v>
      </c>
      <c r="H878" t="n">
        <v>0</v>
      </c>
      <c r="I878" t="n">
        <v>0</v>
      </c>
      <c r="J878" t="n">
        <v>0</v>
      </c>
      <c r="K878" t="n">
        <v>0</v>
      </c>
      <c r="L878" t="n">
        <v>0</v>
      </c>
      <c r="M878" t="n">
        <v>0</v>
      </c>
      <c r="N878" t="n">
        <v>0</v>
      </c>
      <c r="O878" t="n">
        <v>0</v>
      </c>
      <c r="P878" t="n">
        <v>0</v>
      </c>
      <c r="Q878" t="n">
        <v>0</v>
      </c>
      <c r="R878" s="2" t="inlineStr"/>
    </row>
    <row r="879" ht="15" customHeight="1">
      <c r="A879" t="inlineStr">
        <is>
          <t>A 29623-2021</t>
        </is>
      </c>
      <c r="B879" s="1" t="n">
        <v>44361</v>
      </c>
      <c r="C879" s="1" t="n">
        <v>45356</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29602-2021</t>
        </is>
      </c>
      <c r="B880" s="1" t="n">
        <v>44362</v>
      </c>
      <c r="C880" s="1" t="n">
        <v>45356</v>
      </c>
      <c r="D880" t="inlineStr">
        <is>
          <t>VÄSTERNORRLANDS LÄN</t>
        </is>
      </c>
      <c r="E880" t="inlineStr">
        <is>
          <t>SOLLEFTEÅ</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29829-2021</t>
        </is>
      </c>
      <c r="B881" s="1" t="n">
        <v>44362</v>
      </c>
      <c r="C881" s="1" t="n">
        <v>45356</v>
      </c>
      <c r="D881" t="inlineStr">
        <is>
          <t>VÄSTERNORRLANDS LÄN</t>
        </is>
      </c>
      <c r="E881" t="inlineStr">
        <is>
          <t>SOLLEFTEÅ</t>
        </is>
      </c>
      <c r="G881" t="n">
        <v>4</v>
      </c>
      <c r="H881" t="n">
        <v>0</v>
      </c>
      <c r="I881" t="n">
        <v>0</v>
      </c>
      <c r="J881" t="n">
        <v>0</v>
      </c>
      <c r="K881" t="n">
        <v>0</v>
      </c>
      <c r="L881" t="n">
        <v>0</v>
      </c>
      <c r="M881" t="n">
        <v>0</v>
      </c>
      <c r="N881" t="n">
        <v>0</v>
      </c>
      <c r="O881" t="n">
        <v>0</v>
      </c>
      <c r="P881" t="n">
        <v>0</v>
      </c>
      <c r="Q881" t="n">
        <v>0</v>
      </c>
      <c r="R881" s="2" t="inlineStr"/>
    </row>
    <row r="882" ht="15" customHeight="1">
      <c r="A882" t="inlineStr">
        <is>
          <t>A 30692-2021</t>
        </is>
      </c>
      <c r="B882" s="1" t="n">
        <v>44365</v>
      </c>
      <c r="C882" s="1" t="n">
        <v>45356</v>
      </c>
      <c r="D882" t="inlineStr">
        <is>
          <t>VÄSTERNORRLANDS LÄN</t>
        </is>
      </c>
      <c r="E882" t="inlineStr">
        <is>
          <t>SOLLEFTEÅ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31354-2021</t>
        </is>
      </c>
      <c r="B883" s="1" t="n">
        <v>44369</v>
      </c>
      <c r="C883" s="1" t="n">
        <v>45356</v>
      </c>
      <c r="D883" t="inlineStr">
        <is>
          <t>VÄSTERNORRLANDS LÄN</t>
        </is>
      </c>
      <c r="E883" t="inlineStr">
        <is>
          <t>SOLLEFTEÅ</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31600-2021</t>
        </is>
      </c>
      <c r="B884" s="1" t="n">
        <v>44369</v>
      </c>
      <c r="C884" s="1" t="n">
        <v>45356</v>
      </c>
      <c r="D884" t="inlineStr">
        <is>
          <t>VÄSTERNORRLANDS LÄN</t>
        </is>
      </c>
      <c r="E884" t="inlineStr">
        <is>
          <t>SOLLEFTEÅ</t>
        </is>
      </c>
      <c r="G884" t="n">
        <v>1.2</v>
      </c>
      <c r="H884" t="n">
        <v>0</v>
      </c>
      <c r="I884" t="n">
        <v>0</v>
      </c>
      <c r="J884" t="n">
        <v>0</v>
      </c>
      <c r="K884" t="n">
        <v>0</v>
      </c>
      <c r="L884" t="n">
        <v>0</v>
      </c>
      <c r="M884" t="n">
        <v>0</v>
      </c>
      <c r="N884" t="n">
        <v>0</v>
      </c>
      <c r="O884" t="n">
        <v>0</v>
      </c>
      <c r="P884" t="n">
        <v>0</v>
      </c>
      <c r="Q884" t="n">
        <v>0</v>
      </c>
      <c r="R884" s="2" t="inlineStr"/>
    </row>
    <row r="885" ht="15" customHeight="1">
      <c r="A885" t="inlineStr">
        <is>
          <t>A 31737-2021</t>
        </is>
      </c>
      <c r="B885" s="1" t="n">
        <v>44370</v>
      </c>
      <c r="C885" s="1" t="n">
        <v>45356</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32091-2021</t>
        </is>
      </c>
      <c r="B886" s="1" t="n">
        <v>44370</v>
      </c>
      <c r="C886" s="1" t="n">
        <v>45356</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33207-2021</t>
        </is>
      </c>
      <c r="B887" s="1" t="n">
        <v>44376</v>
      </c>
      <c r="C887" s="1" t="n">
        <v>45356</v>
      </c>
      <c r="D887" t="inlineStr">
        <is>
          <t>VÄSTERNORRLANDS LÄN</t>
        </is>
      </c>
      <c r="E887" t="inlineStr">
        <is>
          <t>SOLLEFTEÅ</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33214-2021</t>
        </is>
      </c>
      <c r="B888" s="1" t="n">
        <v>44377</v>
      </c>
      <c r="C888" s="1" t="n">
        <v>45356</v>
      </c>
      <c r="D888" t="inlineStr">
        <is>
          <t>VÄSTERNORRLANDS LÄN</t>
        </is>
      </c>
      <c r="E888" t="inlineStr">
        <is>
          <t>SOLLEFTEÅ</t>
        </is>
      </c>
      <c r="F888" t="inlineStr">
        <is>
          <t>SCA</t>
        </is>
      </c>
      <c r="G888" t="n">
        <v>13.9</v>
      </c>
      <c r="H888" t="n">
        <v>0</v>
      </c>
      <c r="I888" t="n">
        <v>0</v>
      </c>
      <c r="J888" t="n">
        <v>0</v>
      </c>
      <c r="K888" t="n">
        <v>0</v>
      </c>
      <c r="L888" t="n">
        <v>0</v>
      </c>
      <c r="M888" t="n">
        <v>0</v>
      </c>
      <c r="N888" t="n">
        <v>0</v>
      </c>
      <c r="O888" t="n">
        <v>0</v>
      </c>
      <c r="P888" t="n">
        <v>0</v>
      </c>
      <c r="Q888" t="n">
        <v>0</v>
      </c>
      <c r="R888" s="2" t="inlineStr"/>
    </row>
    <row r="889" ht="15" customHeight="1">
      <c r="A889" t="inlineStr">
        <is>
          <t>A 33895-2021</t>
        </is>
      </c>
      <c r="B889" s="1" t="n">
        <v>44378</v>
      </c>
      <c r="C889" s="1" t="n">
        <v>45356</v>
      </c>
      <c r="D889" t="inlineStr">
        <is>
          <t>VÄSTERNORRLANDS LÄN</t>
        </is>
      </c>
      <c r="E889" t="inlineStr">
        <is>
          <t>SOLLEFTEÅ</t>
        </is>
      </c>
      <c r="F889" t="inlineStr">
        <is>
          <t>Kyrkan</t>
        </is>
      </c>
      <c r="G889" t="n">
        <v>3.6</v>
      </c>
      <c r="H889" t="n">
        <v>0</v>
      </c>
      <c r="I889" t="n">
        <v>0</v>
      </c>
      <c r="J889" t="n">
        <v>0</v>
      </c>
      <c r="K889" t="n">
        <v>0</v>
      </c>
      <c r="L889" t="n">
        <v>0</v>
      </c>
      <c r="M889" t="n">
        <v>0</v>
      </c>
      <c r="N889" t="n">
        <v>0</v>
      </c>
      <c r="O889" t="n">
        <v>0</v>
      </c>
      <c r="P889" t="n">
        <v>0</v>
      </c>
      <c r="Q889" t="n">
        <v>0</v>
      </c>
      <c r="R889" s="2" t="inlineStr"/>
    </row>
    <row r="890" ht="15" customHeight="1">
      <c r="A890" t="inlineStr">
        <is>
          <t>A 34396-2021</t>
        </is>
      </c>
      <c r="B890" s="1" t="n">
        <v>44379</v>
      </c>
      <c r="C890" s="1" t="n">
        <v>45356</v>
      </c>
      <c r="D890" t="inlineStr">
        <is>
          <t>VÄSTERNORRLANDS LÄN</t>
        </is>
      </c>
      <c r="E890" t="inlineStr">
        <is>
          <t>SOLLEFTEÅ</t>
        </is>
      </c>
      <c r="F890" t="inlineStr">
        <is>
          <t>SCA</t>
        </is>
      </c>
      <c r="G890" t="n">
        <v>7.2</v>
      </c>
      <c r="H890" t="n">
        <v>0</v>
      </c>
      <c r="I890" t="n">
        <v>0</v>
      </c>
      <c r="J890" t="n">
        <v>0</v>
      </c>
      <c r="K890" t="n">
        <v>0</v>
      </c>
      <c r="L890" t="n">
        <v>0</v>
      </c>
      <c r="M890" t="n">
        <v>0</v>
      </c>
      <c r="N890" t="n">
        <v>0</v>
      </c>
      <c r="O890" t="n">
        <v>0</v>
      </c>
      <c r="P890" t="n">
        <v>0</v>
      </c>
      <c r="Q890" t="n">
        <v>0</v>
      </c>
      <c r="R890" s="2" t="inlineStr"/>
    </row>
    <row r="891" ht="15" customHeight="1">
      <c r="A891" t="inlineStr">
        <is>
          <t>A 34395-2021</t>
        </is>
      </c>
      <c r="B891" s="1" t="n">
        <v>44379</v>
      </c>
      <c r="C891" s="1" t="n">
        <v>45356</v>
      </c>
      <c r="D891" t="inlineStr">
        <is>
          <t>VÄSTERNORRLANDS LÄN</t>
        </is>
      </c>
      <c r="E891" t="inlineStr">
        <is>
          <t>SOLLEFTEÅ</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34397-2021</t>
        </is>
      </c>
      <c r="B892" s="1" t="n">
        <v>44379</v>
      </c>
      <c r="C892" s="1" t="n">
        <v>45356</v>
      </c>
      <c r="D892" t="inlineStr">
        <is>
          <t>VÄSTERNORRLANDS LÄN</t>
        </is>
      </c>
      <c r="E892" t="inlineStr">
        <is>
          <t>SOLLEFTEÅ</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34475-2021</t>
        </is>
      </c>
      <c r="B893" s="1" t="n">
        <v>44381</v>
      </c>
      <c r="C893" s="1" t="n">
        <v>45356</v>
      </c>
      <c r="D893" t="inlineStr">
        <is>
          <t>VÄSTERNORRLANDS LÄN</t>
        </is>
      </c>
      <c r="E893" t="inlineStr">
        <is>
          <t>SOLLEFTEÅ</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34473-2021</t>
        </is>
      </c>
      <c r="B894" s="1" t="n">
        <v>44382</v>
      </c>
      <c r="C894" s="1" t="n">
        <v>45356</v>
      </c>
      <c r="D894" t="inlineStr">
        <is>
          <t>VÄSTERNORRLANDS LÄN</t>
        </is>
      </c>
      <c r="E894" t="inlineStr">
        <is>
          <t>SOLLEFTEÅ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35071-2021</t>
        </is>
      </c>
      <c r="B895" s="1" t="n">
        <v>44383</v>
      </c>
      <c r="C895" s="1" t="n">
        <v>45356</v>
      </c>
      <c r="D895" t="inlineStr">
        <is>
          <t>VÄSTERNORRLANDS LÄN</t>
        </is>
      </c>
      <c r="E895" t="inlineStr">
        <is>
          <t>SOLLEFTEÅ</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35333-2021</t>
        </is>
      </c>
      <c r="B896" s="1" t="n">
        <v>44384</v>
      </c>
      <c r="C896" s="1" t="n">
        <v>45356</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35358-2021</t>
        </is>
      </c>
      <c r="B897" s="1" t="n">
        <v>44385</v>
      </c>
      <c r="C897" s="1" t="n">
        <v>45356</v>
      </c>
      <c r="D897" t="inlineStr">
        <is>
          <t>VÄSTERNORRLANDS LÄN</t>
        </is>
      </c>
      <c r="E897" t="inlineStr">
        <is>
          <t>SOLLEFTEÅ</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35574-2021</t>
        </is>
      </c>
      <c r="B898" s="1" t="n">
        <v>44386</v>
      </c>
      <c r="C898" s="1" t="n">
        <v>45356</v>
      </c>
      <c r="D898" t="inlineStr">
        <is>
          <t>VÄSTERNORRLANDS LÄN</t>
        </is>
      </c>
      <c r="E898" t="inlineStr">
        <is>
          <t>SOLLEFTEÅ</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35862-2021</t>
        </is>
      </c>
      <c r="B899" s="1" t="n">
        <v>44386</v>
      </c>
      <c r="C899" s="1" t="n">
        <v>45356</v>
      </c>
      <c r="D899" t="inlineStr">
        <is>
          <t>VÄSTERNORRLANDS LÄN</t>
        </is>
      </c>
      <c r="E899" t="inlineStr">
        <is>
          <t>SOLLEFTEÅ</t>
        </is>
      </c>
      <c r="G899" t="n">
        <v>5.5</v>
      </c>
      <c r="H899" t="n">
        <v>0</v>
      </c>
      <c r="I899" t="n">
        <v>0</v>
      </c>
      <c r="J899" t="n">
        <v>0</v>
      </c>
      <c r="K899" t="n">
        <v>0</v>
      </c>
      <c r="L899" t="n">
        <v>0</v>
      </c>
      <c r="M899" t="n">
        <v>0</v>
      </c>
      <c r="N899" t="n">
        <v>0</v>
      </c>
      <c r="O899" t="n">
        <v>0</v>
      </c>
      <c r="P899" t="n">
        <v>0</v>
      </c>
      <c r="Q899" t="n">
        <v>0</v>
      </c>
      <c r="R899" s="2" t="inlineStr"/>
    </row>
    <row r="900" ht="15" customHeight="1">
      <c r="A900" t="inlineStr">
        <is>
          <t>A 36447-2021</t>
        </is>
      </c>
      <c r="B900" s="1" t="n">
        <v>44390</v>
      </c>
      <c r="C900" s="1" t="n">
        <v>45356</v>
      </c>
      <c r="D900" t="inlineStr">
        <is>
          <t>VÄSTERNORRLANDS LÄN</t>
        </is>
      </c>
      <c r="E900" t="inlineStr">
        <is>
          <t>SOLLEFTEÅ</t>
        </is>
      </c>
      <c r="F900" t="inlineStr">
        <is>
          <t>SCA</t>
        </is>
      </c>
      <c r="G900" t="n">
        <v>10.2</v>
      </c>
      <c r="H900" t="n">
        <v>0</v>
      </c>
      <c r="I900" t="n">
        <v>0</v>
      </c>
      <c r="J900" t="n">
        <v>0</v>
      </c>
      <c r="K900" t="n">
        <v>0</v>
      </c>
      <c r="L900" t="n">
        <v>0</v>
      </c>
      <c r="M900" t="n">
        <v>0</v>
      </c>
      <c r="N900" t="n">
        <v>0</v>
      </c>
      <c r="O900" t="n">
        <v>0</v>
      </c>
      <c r="P900" t="n">
        <v>0</v>
      </c>
      <c r="Q900" t="n">
        <v>0</v>
      </c>
      <c r="R900" s="2" t="inlineStr"/>
    </row>
    <row r="901" ht="15" customHeight="1">
      <c r="A901" t="inlineStr">
        <is>
          <t>A 36448-2021</t>
        </is>
      </c>
      <c r="B901" s="1" t="n">
        <v>44390</v>
      </c>
      <c r="C901" s="1" t="n">
        <v>45356</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36579-2021</t>
        </is>
      </c>
      <c r="B902" s="1" t="n">
        <v>44391</v>
      </c>
      <c r="C902" s="1" t="n">
        <v>45356</v>
      </c>
      <c r="D902" t="inlineStr">
        <is>
          <t>VÄSTERNORRLANDS LÄN</t>
        </is>
      </c>
      <c r="E902" t="inlineStr">
        <is>
          <t>SOLLEFTEÅ</t>
        </is>
      </c>
      <c r="G902" t="n">
        <v>6.9</v>
      </c>
      <c r="H902" t="n">
        <v>0</v>
      </c>
      <c r="I902" t="n">
        <v>0</v>
      </c>
      <c r="J902" t="n">
        <v>0</v>
      </c>
      <c r="K902" t="n">
        <v>0</v>
      </c>
      <c r="L902" t="n">
        <v>0</v>
      </c>
      <c r="M902" t="n">
        <v>0</v>
      </c>
      <c r="N902" t="n">
        <v>0</v>
      </c>
      <c r="O902" t="n">
        <v>0</v>
      </c>
      <c r="P902" t="n">
        <v>0</v>
      </c>
      <c r="Q902" t="n">
        <v>0</v>
      </c>
      <c r="R902" s="2" t="inlineStr"/>
    </row>
    <row r="903" ht="15" customHeight="1">
      <c r="A903" t="inlineStr">
        <is>
          <t>A 36816-2021</t>
        </is>
      </c>
      <c r="B903" s="1" t="n">
        <v>44393</v>
      </c>
      <c r="C903" s="1" t="n">
        <v>45356</v>
      </c>
      <c r="D903" t="inlineStr">
        <is>
          <t>VÄSTERNORRLANDS LÄN</t>
        </is>
      </c>
      <c r="E903" t="inlineStr">
        <is>
          <t>SOLLEFTEÅ</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36815-2021</t>
        </is>
      </c>
      <c r="B904" s="1" t="n">
        <v>44393</v>
      </c>
      <c r="C904" s="1" t="n">
        <v>45356</v>
      </c>
      <c r="D904" t="inlineStr">
        <is>
          <t>VÄSTERNORRLANDS LÄN</t>
        </is>
      </c>
      <c r="E904" t="inlineStr">
        <is>
          <t>SOLLEFTEÅ</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37043-2021</t>
        </is>
      </c>
      <c r="B905" s="1" t="n">
        <v>44393</v>
      </c>
      <c r="C905" s="1" t="n">
        <v>45356</v>
      </c>
      <c r="D905" t="inlineStr">
        <is>
          <t>VÄSTERNORRLANDS LÄN</t>
        </is>
      </c>
      <c r="E905" t="inlineStr">
        <is>
          <t>SOLLEFTEÅ</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37041-2021</t>
        </is>
      </c>
      <c r="B906" s="1" t="n">
        <v>44394</v>
      </c>
      <c r="C906" s="1" t="n">
        <v>45356</v>
      </c>
      <c r="D906" t="inlineStr">
        <is>
          <t>VÄSTERNORRLANDS LÄN</t>
        </is>
      </c>
      <c r="E906" t="inlineStr">
        <is>
          <t>SOLLEFTEÅ</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37042-2021</t>
        </is>
      </c>
      <c r="B907" s="1" t="n">
        <v>44394</v>
      </c>
      <c r="C907" s="1" t="n">
        <v>45356</v>
      </c>
      <c r="D907" t="inlineStr">
        <is>
          <t>VÄSTERNORRLANDS LÄN</t>
        </is>
      </c>
      <c r="E907" t="inlineStr">
        <is>
          <t>SOLLEFTEÅ</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37369-2021</t>
        </is>
      </c>
      <c r="B908" s="1" t="n">
        <v>44397</v>
      </c>
      <c r="C908" s="1" t="n">
        <v>45356</v>
      </c>
      <c r="D908" t="inlineStr">
        <is>
          <t>VÄSTERNORRLANDS LÄN</t>
        </is>
      </c>
      <c r="E908" t="inlineStr">
        <is>
          <t>SOLLEFTEÅ</t>
        </is>
      </c>
      <c r="F908" t="inlineStr">
        <is>
          <t>SCA</t>
        </is>
      </c>
      <c r="G908" t="n">
        <v>20.3</v>
      </c>
      <c r="H908" t="n">
        <v>0</v>
      </c>
      <c r="I908" t="n">
        <v>0</v>
      </c>
      <c r="J908" t="n">
        <v>0</v>
      </c>
      <c r="K908" t="n">
        <v>0</v>
      </c>
      <c r="L908" t="n">
        <v>0</v>
      </c>
      <c r="M908" t="n">
        <v>0</v>
      </c>
      <c r="N908" t="n">
        <v>0</v>
      </c>
      <c r="O908" t="n">
        <v>0</v>
      </c>
      <c r="P908" t="n">
        <v>0</v>
      </c>
      <c r="Q908" t="n">
        <v>0</v>
      </c>
      <c r="R908" s="2" t="inlineStr"/>
    </row>
    <row r="909" ht="15" customHeight="1">
      <c r="A909" t="inlineStr">
        <is>
          <t>A 37639-2021</t>
        </is>
      </c>
      <c r="B909" s="1" t="n">
        <v>44400</v>
      </c>
      <c r="C909" s="1" t="n">
        <v>45356</v>
      </c>
      <c r="D909" t="inlineStr">
        <is>
          <t>VÄSTERNORRLANDS LÄN</t>
        </is>
      </c>
      <c r="E909" t="inlineStr">
        <is>
          <t>SOLLEFTEÅ</t>
        </is>
      </c>
      <c r="G909" t="n">
        <v>10.7</v>
      </c>
      <c r="H909" t="n">
        <v>0</v>
      </c>
      <c r="I909" t="n">
        <v>0</v>
      </c>
      <c r="J909" t="n">
        <v>0</v>
      </c>
      <c r="K909" t="n">
        <v>0</v>
      </c>
      <c r="L909" t="n">
        <v>0</v>
      </c>
      <c r="M909" t="n">
        <v>0</v>
      </c>
      <c r="N909" t="n">
        <v>0</v>
      </c>
      <c r="O909" t="n">
        <v>0</v>
      </c>
      <c r="P909" t="n">
        <v>0</v>
      </c>
      <c r="Q909" t="n">
        <v>0</v>
      </c>
      <c r="R909" s="2" t="inlineStr"/>
    </row>
    <row r="910" ht="15" customHeight="1">
      <c r="A910" t="inlineStr">
        <is>
          <t>A 37648-2021</t>
        </is>
      </c>
      <c r="B910" s="1" t="n">
        <v>44400</v>
      </c>
      <c r="C910" s="1" t="n">
        <v>45356</v>
      </c>
      <c r="D910" t="inlineStr">
        <is>
          <t>VÄSTERNORRLANDS LÄN</t>
        </is>
      </c>
      <c r="E910" t="inlineStr">
        <is>
          <t>SOLLEFTEÅ</t>
        </is>
      </c>
      <c r="G910" t="n">
        <v>33.6</v>
      </c>
      <c r="H910" t="n">
        <v>0</v>
      </c>
      <c r="I910" t="n">
        <v>0</v>
      </c>
      <c r="J910" t="n">
        <v>0</v>
      </c>
      <c r="K910" t="n">
        <v>0</v>
      </c>
      <c r="L910" t="n">
        <v>0</v>
      </c>
      <c r="M910" t="n">
        <v>0</v>
      </c>
      <c r="N910" t="n">
        <v>0</v>
      </c>
      <c r="O910" t="n">
        <v>0</v>
      </c>
      <c r="P910" t="n">
        <v>0</v>
      </c>
      <c r="Q910" t="n">
        <v>0</v>
      </c>
      <c r="R910" s="2" t="inlineStr"/>
    </row>
    <row r="911" ht="15" customHeight="1">
      <c r="A911" t="inlineStr">
        <is>
          <t>A 37634-2021</t>
        </is>
      </c>
      <c r="B911" s="1" t="n">
        <v>44400</v>
      </c>
      <c r="C911" s="1" t="n">
        <v>45356</v>
      </c>
      <c r="D911" t="inlineStr">
        <is>
          <t>VÄSTERNORRLANDS LÄN</t>
        </is>
      </c>
      <c r="E911" t="inlineStr">
        <is>
          <t>SOLLEFTEÅ</t>
        </is>
      </c>
      <c r="G911" t="n">
        <v>5.1</v>
      </c>
      <c r="H911" t="n">
        <v>0</v>
      </c>
      <c r="I911" t="n">
        <v>0</v>
      </c>
      <c r="J911" t="n">
        <v>0</v>
      </c>
      <c r="K911" t="n">
        <v>0</v>
      </c>
      <c r="L911" t="n">
        <v>0</v>
      </c>
      <c r="M911" t="n">
        <v>0</v>
      </c>
      <c r="N911" t="n">
        <v>0</v>
      </c>
      <c r="O911" t="n">
        <v>0</v>
      </c>
      <c r="P911" t="n">
        <v>0</v>
      </c>
      <c r="Q911" t="n">
        <v>0</v>
      </c>
      <c r="R911" s="2" t="inlineStr"/>
    </row>
    <row r="912" ht="15" customHeight="1">
      <c r="A912" t="inlineStr">
        <is>
          <t>A 38283-2021</t>
        </is>
      </c>
      <c r="B912" s="1" t="n">
        <v>44405</v>
      </c>
      <c r="C912" s="1" t="n">
        <v>45356</v>
      </c>
      <c r="D912" t="inlineStr">
        <is>
          <t>VÄSTERNORRLANDS LÄN</t>
        </is>
      </c>
      <c r="E912" t="inlineStr">
        <is>
          <t>SOLLEFTEÅ</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39334-2021</t>
        </is>
      </c>
      <c r="B913" s="1" t="n">
        <v>44414</v>
      </c>
      <c r="C913" s="1" t="n">
        <v>45356</v>
      </c>
      <c r="D913" t="inlineStr">
        <is>
          <t>VÄSTERNORRLANDS LÄN</t>
        </is>
      </c>
      <c r="E913" t="inlineStr">
        <is>
          <t>SOLLEFTEÅ</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39594-2021</t>
        </is>
      </c>
      <c r="B914" s="1" t="n">
        <v>44413</v>
      </c>
      <c r="C914" s="1" t="n">
        <v>45356</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39230-2021</t>
        </is>
      </c>
      <c r="B915" s="1" t="n">
        <v>44413</v>
      </c>
      <c r="C915" s="1" t="n">
        <v>45356</v>
      </c>
      <c r="D915" t="inlineStr">
        <is>
          <t>VÄSTERNORRLANDS LÄN</t>
        </is>
      </c>
      <c r="E915" t="inlineStr">
        <is>
          <t>SOLLEFTEÅ</t>
        </is>
      </c>
      <c r="G915" t="n">
        <v>13.6</v>
      </c>
      <c r="H915" t="n">
        <v>0</v>
      </c>
      <c r="I915" t="n">
        <v>0</v>
      </c>
      <c r="J915" t="n">
        <v>0</v>
      </c>
      <c r="K915" t="n">
        <v>0</v>
      </c>
      <c r="L915" t="n">
        <v>0</v>
      </c>
      <c r="M915" t="n">
        <v>0</v>
      </c>
      <c r="N915" t="n">
        <v>0</v>
      </c>
      <c r="O915" t="n">
        <v>0</v>
      </c>
      <c r="P915" t="n">
        <v>0</v>
      </c>
      <c r="Q915" t="n">
        <v>0</v>
      </c>
      <c r="R915" s="2" t="inlineStr"/>
    </row>
    <row r="916" ht="15" customHeight="1">
      <c r="A916" t="inlineStr">
        <is>
          <t>A 39504-2021</t>
        </is>
      </c>
      <c r="B916" s="1" t="n">
        <v>44415</v>
      </c>
      <c r="C916" s="1" t="n">
        <v>45356</v>
      </c>
      <c r="D916" t="inlineStr">
        <is>
          <t>VÄSTERNORRLANDS LÄN</t>
        </is>
      </c>
      <c r="E916" t="inlineStr">
        <is>
          <t>SOLLEFTEÅ</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40539-2021</t>
        </is>
      </c>
      <c r="B917" s="1" t="n">
        <v>44420</v>
      </c>
      <c r="C917" s="1" t="n">
        <v>45356</v>
      </c>
      <c r="D917" t="inlineStr">
        <is>
          <t>VÄSTERNORRLANDS LÄN</t>
        </is>
      </c>
      <c r="E917" t="inlineStr">
        <is>
          <t>SOLLEFTEÅ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41334-2021</t>
        </is>
      </c>
      <c r="B918" s="1" t="n">
        <v>44424</v>
      </c>
      <c r="C918" s="1" t="n">
        <v>45356</v>
      </c>
      <c r="D918" t="inlineStr">
        <is>
          <t>VÄSTERNORRLANDS LÄN</t>
        </is>
      </c>
      <c r="E918" t="inlineStr">
        <is>
          <t>SOLLEFTEÅ</t>
        </is>
      </c>
      <c r="G918" t="n">
        <v>1</v>
      </c>
      <c r="H918" t="n">
        <v>0</v>
      </c>
      <c r="I918" t="n">
        <v>0</v>
      </c>
      <c r="J918" t="n">
        <v>0</v>
      </c>
      <c r="K918" t="n">
        <v>0</v>
      </c>
      <c r="L918" t="n">
        <v>0</v>
      </c>
      <c r="M918" t="n">
        <v>0</v>
      </c>
      <c r="N918" t="n">
        <v>0</v>
      </c>
      <c r="O918" t="n">
        <v>0</v>
      </c>
      <c r="P918" t="n">
        <v>0</v>
      </c>
      <c r="Q918" t="n">
        <v>0</v>
      </c>
      <c r="R918" s="2" t="inlineStr"/>
    </row>
    <row r="919" ht="15" customHeight="1">
      <c r="A919" t="inlineStr">
        <is>
          <t>A 42219-2021</t>
        </is>
      </c>
      <c r="B919" s="1" t="n">
        <v>44426</v>
      </c>
      <c r="C919" s="1" t="n">
        <v>45356</v>
      </c>
      <c r="D919" t="inlineStr">
        <is>
          <t>VÄSTERNORRLANDS LÄN</t>
        </is>
      </c>
      <c r="E919" t="inlineStr">
        <is>
          <t>SOLLEFTEÅ</t>
        </is>
      </c>
      <c r="G919" t="n">
        <v>0.6</v>
      </c>
      <c r="H919" t="n">
        <v>0</v>
      </c>
      <c r="I919" t="n">
        <v>0</v>
      </c>
      <c r="J919" t="n">
        <v>0</v>
      </c>
      <c r="K919" t="n">
        <v>0</v>
      </c>
      <c r="L919" t="n">
        <v>0</v>
      </c>
      <c r="M919" t="n">
        <v>0</v>
      </c>
      <c r="N919" t="n">
        <v>0</v>
      </c>
      <c r="O919" t="n">
        <v>0</v>
      </c>
      <c r="P919" t="n">
        <v>0</v>
      </c>
      <c r="Q919" t="n">
        <v>0</v>
      </c>
      <c r="R919" s="2" t="inlineStr"/>
    </row>
    <row r="920" ht="15" customHeight="1">
      <c r="A920" t="inlineStr">
        <is>
          <t>A 42231-2021</t>
        </is>
      </c>
      <c r="B920" s="1" t="n">
        <v>44426</v>
      </c>
      <c r="C920" s="1" t="n">
        <v>45356</v>
      </c>
      <c r="D920" t="inlineStr">
        <is>
          <t>VÄSTERNORRLANDS LÄN</t>
        </is>
      </c>
      <c r="E920" t="inlineStr">
        <is>
          <t>SOLLEFTEÅ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42228-2021</t>
        </is>
      </c>
      <c r="B921" s="1" t="n">
        <v>44426</v>
      </c>
      <c r="C921" s="1" t="n">
        <v>45356</v>
      </c>
      <c r="D921" t="inlineStr">
        <is>
          <t>VÄSTERNORRLANDS LÄN</t>
        </is>
      </c>
      <c r="E921" t="inlineStr">
        <is>
          <t>SOLLEFTEÅ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42229-2021</t>
        </is>
      </c>
      <c r="B922" s="1" t="n">
        <v>44427</v>
      </c>
      <c r="C922" s="1" t="n">
        <v>45356</v>
      </c>
      <c r="D922" t="inlineStr">
        <is>
          <t>VÄSTERNORRLANDS LÄN</t>
        </is>
      </c>
      <c r="E922" t="inlineStr">
        <is>
          <t>SOLLEFTEÅ</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42531-2021</t>
        </is>
      </c>
      <c r="B923" s="1" t="n">
        <v>44428</v>
      </c>
      <c r="C923" s="1" t="n">
        <v>45356</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45213-2021</t>
        </is>
      </c>
      <c r="B924" s="1" t="n">
        <v>44431</v>
      </c>
      <c r="C924" s="1" t="n">
        <v>45356</v>
      </c>
      <c r="D924" t="inlineStr">
        <is>
          <t>VÄSTERNORRLANDS LÄN</t>
        </is>
      </c>
      <c r="E924" t="inlineStr">
        <is>
          <t>SOLLEFTEÅ</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43220-2021</t>
        </is>
      </c>
      <c r="B925" s="1" t="n">
        <v>44432</v>
      </c>
      <c r="C925" s="1" t="n">
        <v>45356</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43525-2021</t>
        </is>
      </c>
      <c r="B926" s="1" t="n">
        <v>44433</v>
      </c>
      <c r="C926" s="1" t="n">
        <v>45356</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44592-2021</t>
        </is>
      </c>
      <c r="B927" s="1" t="n">
        <v>44435</v>
      </c>
      <c r="C927" s="1" t="n">
        <v>45356</v>
      </c>
      <c r="D927" t="inlineStr">
        <is>
          <t>VÄSTERNORRLANDS LÄN</t>
        </is>
      </c>
      <c r="E927" t="inlineStr">
        <is>
          <t>SOLLEFTEÅ</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44587-2021</t>
        </is>
      </c>
      <c r="B928" s="1" t="n">
        <v>44435</v>
      </c>
      <c r="C928" s="1" t="n">
        <v>45356</v>
      </c>
      <c r="D928" t="inlineStr">
        <is>
          <t>VÄSTERNORRLANDS LÄN</t>
        </is>
      </c>
      <c r="E928" t="inlineStr">
        <is>
          <t>SOLLEFTEÅ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45187-2021</t>
        </is>
      </c>
      <c r="B929" s="1" t="n">
        <v>44439</v>
      </c>
      <c r="C929" s="1" t="n">
        <v>45356</v>
      </c>
      <c r="D929" t="inlineStr">
        <is>
          <t>VÄSTERNORRLANDS LÄN</t>
        </is>
      </c>
      <c r="E929" t="inlineStr">
        <is>
          <t>SOLLEFTEÅ</t>
        </is>
      </c>
      <c r="G929" t="n">
        <v>3.2</v>
      </c>
      <c r="H929" t="n">
        <v>0</v>
      </c>
      <c r="I929" t="n">
        <v>0</v>
      </c>
      <c r="J929" t="n">
        <v>0</v>
      </c>
      <c r="K929" t="n">
        <v>0</v>
      </c>
      <c r="L929" t="n">
        <v>0</v>
      </c>
      <c r="M929" t="n">
        <v>0</v>
      </c>
      <c r="N929" t="n">
        <v>0</v>
      </c>
      <c r="O929" t="n">
        <v>0</v>
      </c>
      <c r="P929" t="n">
        <v>0</v>
      </c>
      <c r="Q929" t="n">
        <v>0</v>
      </c>
      <c r="R929" s="2" t="inlineStr"/>
    </row>
    <row r="930" ht="15" customHeight="1">
      <c r="A930" t="inlineStr">
        <is>
          <t>A 45105-2021</t>
        </is>
      </c>
      <c r="B930" s="1" t="n">
        <v>44439</v>
      </c>
      <c r="C930" s="1" t="n">
        <v>45356</v>
      </c>
      <c r="D930" t="inlineStr">
        <is>
          <t>VÄSTERNORRLANDS LÄN</t>
        </is>
      </c>
      <c r="E930" t="inlineStr">
        <is>
          <t>SOLLEFTEÅ</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46049-2021</t>
        </is>
      </c>
      <c r="B931" s="1" t="n">
        <v>44442</v>
      </c>
      <c r="C931" s="1" t="n">
        <v>45356</v>
      </c>
      <c r="D931" t="inlineStr">
        <is>
          <t>VÄSTERNORRLANDS LÄN</t>
        </is>
      </c>
      <c r="E931" t="inlineStr">
        <is>
          <t>SOLLEFTEÅ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46058-2021</t>
        </is>
      </c>
      <c r="B932" s="1" t="n">
        <v>44442</v>
      </c>
      <c r="C932" s="1" t="n">
        <v>45356</v>
      </c>
      <c r="D932" t="inlineStr">
        <is>
          <t>VÄSTERNORRLANDS LÄN</t>
        </is>
      </c>
      <c r="E932" t="inlineStr">
        <is>
          <t>SOLLEFTEÅ</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47643-2021</t>
        </is>
      </c>
      <c r="B933" s="1" t="n">
        <v>44448</v>
      </c>
      <c r="C933" s="1" t="n">
        <v>45356</v>
      </c>
      <c r="D933" t="inlineStr">
        <is>
          <t>VÄSTERNORRLANDS LÄN</t>
        </is>
      </c>
      <c r="E933" t="inlineStr">
        <is>
          <t>SOLLEFTEÅ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47675-2021</t>
        </is>
      </c>
      <c r="B934" s="1" t="n">
        <v>44448</v>
      </c>
      <c r="C934" s="1" t="n">
        <v>45356</v>
      </c>
      <c r="D934" t="inlineStr">
        <is>
          <t>VÄSTERNORRLANDS LÄN</t>
        </is>
      </c>
      <c r="E934" t="inlineStr">
        <is>
          <t>SOLLEFTEÅ</t>
        </is>
      </c>
      <c r="F934" t="inlineStr">
        <is>
          <t>Holmen skog AB</t>
        </is>
      </c>
      <c r="G934" t="n">
        <v>2.4</v>
      </c>
      <c r="H934" t="n">
        <v>0</v>
      </c>
      <c r="I934" t="n">
        <v>0</v>
      </c>
      <c r="J934" t="n">
        <v>0</v>
      </c>
      <c r="K934" t="n">
        <v>0</v>
      </c>
      <c r="L934" t="n">
        <v>0</v>
      </c>
      <c r="M934" t="n">
        <v>0</v>
      </c>
      <c r="N934" t="n">
        <v>0</v>
      </c>
      <c r="O934" t="n">
        <v>0</v>
      </c>
      <c r="P934" t="n">
        <v>0</v>
      </c>
      <c r="Q934" t="n">
        <v>0</v>
      </c>
      <c r="R934" s="2" t="inlineStr"/>
    </row>
    <row r="935" ht="15" customHeight="1">
      <c r="A935" t="inlineStr">
        <is>
          <t>A 47626-2021</t>
        </is>
      </c>
      <c r="B935" s="1" t="n">
        <v>44448</v>
      </c>
      <c r="C935" s="1" t="n">
        <v>45356</v>
      </c>
      <c r="D935" t="inlineStr">
        <is>
          <t>VÄSTERNORRLANDS LÄN</t>
        </is>
      </c>
      <c r="E935" t="inlineStr">
        <is>
          <t>SOLLEFTEÅ</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47696-2021</t>
        </is>
      </c>
      <c r="B936" s="1" t="n">
        <v>44448</v>
      </c>
      <c r="C936" s="1" t="n">
        <v>45356</v>
      </c>
      <c r="D936" t="inlineStr">
        <is>
          <t>VÄSTERNORRLANDS LÄN</t>
        </is>
      </c>
      <c r="E936" t="inlineStr">
        <is>
          <t>SOLLEFTEÅ</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47681-2021</t>
        </is>
      </c>
      <c r="B937" s="1" t="n">
        <v>44448</v>
      </c>
      <c r="C937" s="1" t="n">
        <v>45356</v>
      </c>
      <c r="D937" t="inlineStr">
        <is>
          <t>VÄSTERNORRLANDS LÄN</t>
        </is>
      </c>
      <c r="E937" t="inlineStr">
        <is>
          <t>SOLLEFTEÅ</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48555-2021</t>
        </is>
      </c>
      <c r="B938" s="1" t="n">
        <v>44452</v>
      </c>
      <c r="C938" s="1" t="n">
        <v>45356</v>
      </c>
      <c r="D938" t="inlineStr">
        <is>
          <t>VÄSTERNORRLANDS LÄN</t>
        </is>
      </c>
      <c r="E938" t="inlineStr">
        <is>
          <t>SOLLEFTEÅ</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48578-2021</t>
        </is>
      </c>
      <c r="B939" s="1" t="n">
        <v>44452</v>
      </c>
      <c r="C939" s="1" t="n">
        <v>45356</v>
      </c>
      <c r="D939" t="inlineStr">
        <is>
          <t>VÄSTERNORRLANDS LÄN</t>
        </is>
      </c>
      <c r="E939" t="inlineStr">
        <is>
          <t>SOLLEFTEÅ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49160-2021</t>
        </is>
      </c>
      <c r="B940" s="1" t="n">
        <v>44454</v>
      </c>
      <c r="C940" s="1" t="n">
        <v>45356</v>
      </c>
      <c r="D940" t="inlineStr">
        <is>
          <t>VÄSTERNORRLANDS LÄN</t>
        </is>
      </c>
      <c r="E940" t="inlineStr">
        <is>
          <t>SOLLEFTEÅ</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49492-2021</t>
        </is>
      </c>
      <c r="B941" s="1" t="n">
        <v>44455</v>
      </c>
      <c r="C941" s="1" t="n">
        <v>45356</v>
      </c>
      <c r="D941" t="inlineStr">
        <is>
          <t>VÄSTERNORRLANDS LÄN</t>
        </is>
      </c>
      <c r="E941" t="inlineStr">
        <is>
          <t>SOLLEFTEÅ</t>
        </is>
      </c>
      <c r="F941" t="inlineStr">
        <is>
          <t>SCA</t>
        </is>
      </c>
      <c r="G941" t="n">
        <v>4.3</v>
      </c>
      <c r="H941" t="n">
        <v>0</v>
      </c>
      <c r="I941" t="n">
        <v>0</v>
      </c>
      <c r="J941" t="n">
        <v>0</v>
      </c>
      <c r="K941" t="n">
        <v>0</v>
      </c>
      <c r="L941" t="n">
        <v>0</v>
      </c>
      <c r="M941" t="n">
        <v>0</v>
      </c>
      <c r="N941" t="n">
        <v>0</v>
      </c>
      <c r="O941" t="n">
        <v>0</v>
      </c>
      <c r="P941" t="n">
        <v>0</v>
      </c>
      <c r="Q941" t="n">
        <v>0</v>
      </c>
      <c r="R941" s="2" t="inlineStr"/>
    </row>
    <row r="942" ht="15" customHeight="1">
      <c r="A942" t="inlineStr">
        <is>
          <t>A 49518-2021</t>
        </is>
      </c>
      <c r="B942" s="1" t="n">
        <v>44455</v>
      </c>
      <c r="C942" s="1" t="n">
        <v>45356</v>
      </c>
      <c r="D942" t="inlineStr">
        <is>
          <t>VÄSTERNORRLANDS LÄN</t>
        </is>
      </c>
      <c r="E942" t="inlineStr">
        <is>
          <t>SOLLEFTEÅ</t>
        </is>
      </c>
      <c r="G942" t="n">
        <v>12.9</v>
      </c>
      <c r="H942" t="n">
        <v>0</v>
      </c>
      <c r="I942" t="n">
        <v>0</v>
      </c>
      <c r="J942" t="n">
        <v>0</v>
      </c>
      <c r="K942" t="n">
        <v>0</v>
      </c>
      <c r="L942" t="n">
        <v>0</v>
      </c>
      <c r="M942" t="n">
        <v>0</v>
      </c>
      <c r="N942" t="n">
        <v>0</v>
      </c>
      <c r="O942" t="n">
        <v>0</v>
      </c>
      <c r="P942" t="n">
        <v>0</v>
      </c>
      <c r="Q942" t="n">
        <v>0</v>
      </c>
      <c r="R942" s="2" t="inlineStr"/>
    </row>
    <row r="943" ht="15" customHeight="1">
      <c r="A943" t="inlineStr">
        <is>
          <t>A 49711-2021</t>
        </is>
      </c>
      <c r="B943" s="1" t="n">
        <v>44455</v>
      </c>
      <c r="C943" s="1" t="n">
        <v>45356</v>
      </c>
      <c r="D943" t="inlineStr">
        <is>
          <t>VÄSTERNORRLANDS LÄN</t>
        </is>
      </c>
      <c r="E943" t="inlineStr">
        <is>
          <t>SOLLEFTEÅ</t>
        </is>
      </c>
      <c r="G943" t="n">
        <v>3.7</v>
      </c>
      <c r="H943" t="n">
        <v>0</v>
      </c>
      <c r="I943" t="n">
        <v>0</v>
      </c>
      <c r="J943" t="n">
        <v>0</v>
      </c>
      <c r="K943" t="n">
        <v>0</v>
      </c>
      <c r="L943" t="n">
        <v>0</v>
      </c>
      <c r="M943" t="n">
        <v>0</v>
      </c>
      <c r="N943" t="n">
        <v>0</v>
      </c>
      <c r="O943" t="n">
        <v>0</v>
      </c>
      <c r="P943" t="n">
        <v>0</v>
      </c>
      <c r="Q943" t="n">
        <v>0</v>
      </c>
      <c r="R943" s="2" t="inlineStr"/>
    </row>
    <row r="944" ht="15" customHeight="1">
      <c r="A944" t="inlineStr">
        <is>
          <t>A 50360-2021</t>
        </is>
      </c>
      <c r="B944" s="1" t="n">
        <v>44459</v>
      </c>
      <c r="C944" s="1" t="n">
        <v>45356</v>
      </c>
      <c r="D944" t="inlineStr">
        <is>
          <t>VÄSTERNORRLANDS LÄN</t>
        </is>
      </c>
      <c r="E944" t="inlineStr">
        <is>
          <t>SOLLEFTEÅ</t>
        </is>
      </c>
      <c r="G944" t="n">
        <v>4.4</v>
      </c>
      <c r="H944" t="n">
        <v>0</v>
      </c>
      <c r="I944" t="n">
        <v>0</v>
      </c>
      <c r="J944" t="n">
        <v>0</v>
      </c>
      <c r="K944" t="n">
        <v>0</v>
      </c>
      <c r="L944" t="n">
        <v>0</v>
      </c>
      <c r="M944" t="n">
        <v>0</v>
      </c>
      <c r="N944" t="n">
        <v>0</v>
      </c>
      <c r="O944" t="n">
        <v>0</v>
      </c>
      <c r="P944" t="n">
        <v>0</v>
      </c>
      <c r="Q944" t="n">
        <v>0</v>
      </c>
      <c r="R944" s="2" t="inlineStr"/>
    </row>
    <row r="945" ht="15" customHeight="1">
      <c r="A945" t="inlineStr">
        <is>
          <t>A 51104-2021</t>
        </is>
      </c>
      <c r="B945" s="1" t="n">
        <v>44459</v>
      </c>
      <c r="C945" s="1" t="n">
        <v>45356</v>
      </c>
      <c r="D945" t="inlineStr">
        <is>
          <t>VÄSTERNORRLANDS LÄN</t>
        </is>
      </c>
      <c r="E945" t="inlineStr">
        <is>
          <t>SOLLEFTEÅ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51020-2021</t>
        </is>
      </c>
      <c r="B946" s="1" t="n">
        <v>44460</v>
      </c>
      <c r="C946" s="1" t="n">
        <v>45356</v>
      </c>
      <c r="D946" t="inlineStr">
        <is>
          <t>VÄSTERNORRLANDS LÄN</t>
        </is>
      </c>
      <c r="E946" t="inlineStr">
        <is>
          <t>SOLLEFTEÅ</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51029-2021</t>
        </is>
      </c>
      <c r="B947" s="1" t="n">
        <v>44461</v>
      </c>
      <c r="C947" s="1" t="n">
        <v>45356</v>
      </c>
      <c r="D947" t="inlineStr">
        <is>
          <t>VÄSTERNORRLANDS LÄN</t>
        </is>
      </c>
      <c r="E947" t="inlineStr">
        <is>
          <t>SOLLEFTEÅ</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51440-2021</t>
        </is>
      </c>
      <c r="B948" s="1" t="n">
        <v>44461</v>
      </c>
      <c r="C948" s="1" t="n">
        <v>45356</v>
      </c>
      <c r="D948" t="inlineStr">
        <is>
          <t>VÄSTERNORRLANDS LÄN</t>
        </is>
      </c>
      <c r="E948" t="inlineStr">
        <is>
          <t>SOLLEFTEÅ</t>
        </is>
      </c>
      <c r="G948" t="n">
        <v>2</v>
      </c>
      <c r="H948" t="n">
        <v>0</v>
      </c>
      <c r="I948" t="n">
        <v>0</v>
      </c>
      <c r="J948" t="n">
        <v>0</v>
      </c>
      <c r="K948" t="n">
        <v>0</v>
      </c>
      <c r="L948" t="n">
        <v>0</v>
      </c>
      <c r="M948" t="n">
        <v>0</v>
      </c>
      <c r="N948" t="n">
        <v>0</v>
      </c>
      <c r="O948" t="n">
        <v>0</v>
      </c>
      <c r="P948" t="n">
        <v>0</v>
      </c>
      <c r="Q948" t="n">
        <v>0</v>
      </c>
      <c r="R948" s="2" t="inlineStr"/>
    </row>
    <row r="949" ht="15" customHeight="1">
      <c r="A949" t="inlineStr">
        <is>
          <t>A 51443-2021</t>
        </is>
      </c>
      <c r="B949" s="1" t="n">
        <v>44461</v>
      </c>
      <c r="C949" s="1" t="n">
        <v>45356</v>
      </c>
      <c r="D949" t="inlineStr">
        <is>
          <t>VÄSTERNORRLANDS LÄN</t>
        </is>
      </c>
      <c r="E949" t="inlineStr">
        <is>
          <t>SOLLEFTEÅ</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51442-2021</t>
        </is>
      </c>
      <c r="B950" s="1" t="n">
        <v>44462</v>
      </c>
      <c r="C950" s="1" t="n">
        <v>45356</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51491-2021</t>
        </is>
      </c>
      <c r="B951" s="1" t="n">
        <v>44462</v>
      </c>
      <c r="C951" s="1" t="n">
        <v>45356</v>
      </c>
      <c r="D951" t="inlineStr">
        <is>
          <t>VÄSTERNORRLANDS LÄN</t>
        </is>
      </c>
      <c r="E951" t="inlineStr">
        <is>
          <t>SOLLEFTEÅ</t>
        </is>
      </c>
      <c r="F951" t="inlineStr">
        <is>
          <t>Kyrkan</t>
        </is>
      </c>
      <c r="G951" t="n">
        <v>18</v>
      </c>
      <c r="H951" t="n">
        <v>0</v>
      </c>
      <c r="I951" t="n">
        <v>0</v>
      </c>
      <c r="J951" t="n">
        <v>0</v>
      </c>
      <c r="K951" t="n">
        <v>0</v>
      </c>
      <c r="L951" t="n">
        <v>0</v>
      </c>
      <c r="M951" t="n">
        <v>0</v>
      </c>
      <c r="N951" t="n">
        <v>0</v>
      </c>
      <c r="O951" t="n">
        <v>0</v>
      </c>
      <c r="P951" t="n">
        <v>0</v>
      </c>
      <c r="Q951" t="n">
        <v>0</v>
      </c>
      <c r="R951" s="2" t="inlineStr"/>
    </row>
    <row r="952" ht="15" customHeight="1">
      <c r="A952" t="inlineStr">
        <is>
          <t>A 51847-2021</t>
        </is>
      </c>
      <c r="B952" s="1" t="n">
        <v>44462</v>
      </c>
      <c r="C952" s="1" t="n">
        <v>45356</v>
      </c>
      <c r="D952" t="inlineStr">
        <is>
          <t>VÄSTERNORRLANDS LÄN</t>
        </is>
      </c>
      <c r="E952" t="inlineStr">
        <is>
          <t>SOLLEFTEÅ</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51952-2021</t>
        </is>
      </c>
      <c r="B953" s="1" t="n">
        <v>44463</v>
      </c>
      <c r="C953" s="1" t="n">
        <v>45356</v>
      </c>
      <c r="D953" t="inlineStr">
        <is>
          <t>VÄSTERNORRLANDS LÄN</t>
        </is>
      </c>
      <c r="E953" t="inlineStr">
        <is>
          <t>SOLLEFTEÅ</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52447-2021</t>
        </is>
      </c>
      <c r="B954" s="1" t="n">
        <v>44466</v>
      </c>
      <c r="C954" s="1" t="n">
        <v>45356</v>
      </c>
      <c r="D954" t="inlineStr">
        <is>
          <t>VÄSTERNORRLANDS LÄN</t>
        </is>
      </c>
      <c r="E954" t="inlineStr">
        <is>
          <t>SOLLEFTEÅ</t>
        </is>
      </c>
      <c r="F954" t="inlineStr">
        <is>
          <t>Holmen skog AB</t>
        </is>
      </c>
      <c r="G954" t="n">
        <v>8.9</v>
      </c>
      <c r="H954" t="n">
        <v>0</v>
      </c>
      <c r="I954" t="n">
        <v>0</v>
      </c>
      <c r="J954" t="n">
        <v>0</v>
      </c>
      <c r="K954" t="n">
        <v>0</v>
      </c>
      <c r="L954" t="n">
        <v>0</v>
      </c>
      <c r="M954" t="n">
        <v>0</v>
      </c>
      <c r="N954" t="n">
        <v>0</v>
      </c>
      <c r="O954" t="n">
        <v>0</v>
      </c>
      <c r="P954" t="n">
        <v>0</v>
      </c>
      <c r="Q954" t="n">
        <v>0</v>
      </c>
      <c r="R954" s="2" t="inlineStr"/>
    </row>
    <row r="955" ht="15" customHeight="1">
      <c r="A955" t="inlineStr">
        <is>
          <t>A 53289-2021</t>
        </is>
      </c>
      <c r="B955" s="1" t="n">
        <v>44467</v>
      </c>
      <c r="C955" s="1" t="n">
        <v>45356</v>
      </c>
      <c r="D955" t="inlineStr">
        <is>
          <t>VÄSTERNORRLANDS LÄN</t>
        </is>
      </c>
      <c r="E955" t="inlineStr">
        <is>
          <t>SOLLEFTEÅ</t>
        </is>
      </c>
      <c r="G955" t="n">
        <v>6.5</v>
      </c>
      <c r="H955" t="n">
        <v>0</v>
      </c>
      <c r="I955" t="n">
        <v>0</v>
      </c>
      <c r="J955" t="n">
        <v>0</v>
      </c>
      <c r="K955" t="n">
        <v>0</v>
      </c>
      <c r="L955" t="n">
        <v>0</v>
      </c>
      <c r="M955" t="n">
        <v>0</v>
      </c>
      <c r="N955" t="n">
        <v>0</v>
      </c>
      <c r="O955" t="n">
        <v>0</v>
      </c>
      <c r="P955" t="n">
        <v>0</v>
      </c>
      <c r="Q955" t="n">
        <v>0</v>
      </c>
      <c r="R955" s="2" t="inlineStr"/>
    </row>
    <row r="956" ht="15" customHeight="1">
      <c r="A956" t="inlineStr">
        <is>
          <t>A 53278-2021</t>
        </is>
      </c>
      <c r="B956" s="1" t="n">
        <v>44467</v>
      </c>
      <c r="C956" s="1" t="n">
        <v>45356</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53524-2021</t>
        </is>
      </c>
      <c r="B957" s="1" t="n">
        <v>44468</v>
      </c>
      <c r="C957" s="1" t="n">
        <v>45356</v>
      </c>
      <c r="D957" t="inlineStr">
        <is>
          <t>VÄSTERNORRLANDS LÄN</t>
        </is>
      </c>
      <c r="E957" t="inlineStr">
        <is>
          <t>SOLLEFTEÅ</t>
        </is>
      </c>
      <c r="F957" t="inlineStr">
        <is>
          <t>SCA</t>
        </is>
      </c>
      <c r="G957" t="n">
        <v>5.9</v>
      </c>
      <c r="H957" t="n">
        <v>0</v>
      </c>
      <c r="I957" t="n">
        <v>0</v>
      </c>
      <c r="J957" t="n">
        <v>0</v>
      </c>
      <c r="K957" t="n">
        <v>0</v>
      </c>
      <c r="L957" t="n">
        <v>0</v>
      </c>
      <c r="M957" t="n">
        <v>0</v>
      </c>
      <c r="N957" t="n">
        <v>0</v>
      </c>
      <c r="O957" t="n">
        <v>0</v>
      </c>
      <c r="P957" t="n">
        <v>0</v>
      </c>
      <c r="Q957" t="n">
        <v>0</v>
      </c>
      <c r="R957" s="2" t="inlineStr"/>
    </row>
    <row r="958" ht="15" customHeight="1">
      <c r="A958" t="inlineStr">
        <is>
          <t>A 53955-2021</t>
        </is>
      </c>
      <c r="B958" s="1" t="n">
        <v>44469</v>
      </c>
      <c r="C958" s="1" t="n">
        <v>45356</v>
      </c>
      <c r="D958" t="inlineStr">
        <is>
          <t>VÄSTERNORRLANDS LÄN</t>
        </is>
      </c>
      <c r="E958" t="inlineStr">
        <is>
          <t>SOLLEFTEÅ</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54146-2021</t>
        </is>
      </c>
      <c r="B959" s="1" t="n">
        <v>44469</v>
      </c>
      <c r="C959" s="1" t="n">
        <v>45356</v>
      </c>
      <c r="D959" t="inlineStr">
        <is>
          <t>VÄSTERNORRLANDS LÄN</t>
        </is>
      </c>
      <c r="E959" t="inlineStr">
        <is>
          <t>SOLLEFTEÅ</t>
        </is>
      </c>
      <c r="G959" t="n">
        <v>2.1</v>
      </c>
      <c r="H959" t="n">
        <v>0</v>
      </c>
      <c r="I959" t="n">
        <v>0</v>
      </c>
      <c r="J959" t="n">
        <v>0</v>
      </c>
      <c r="K959" t="n">
        <v>0</v>
      </c>
      <c r="L959" t="n">
        <v>0</v>
      </c>
      <c r="M959" t="n">
        <v>0</v>
      </c>
      <c r="N959" t="n">
        <v>0</v>
      </c>
      <c r="O959" t="n">
        <v>0</v>
      </c>
      <c r="P959" t="n">
        <v>0</v>
      </c>
      <c r="Q959" t="n">
        <v>0</v>
      </c>
      <c r="R959" s="2" t="inlineStr"/>
    </row>
    <row r="960" ht="15" customHeight="1">
      <c r="A960" t="inlineStr">
        <is>
          <t>A 54728-2021</t>
        </is>
      </c>
      <c r="B960" s="1" t="n">
        <v>44473</v>
      </c>
      <c r="C960" s="1" t="n">
        <v>45356</v>
      </c>
      <c r="D960" t="inlineStr">
        <is>
          <t>VÄSTERNORRLANDS LÄN</t>
        </is>
      </c>
      <c r="E960" t="inlineStr">
        <is>
          <t>SOLLEFTEÅ</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55016-2021</t>
        </is>
      </c>
      <c r="B961" s="1" t="n">
        <v>44474</v>
      </c>
      <c r="C961" s="1" t="n">
        <v>45356</v>
      </c>
      <c r="D961" t="inlineStr">
        <is>
          <t>VÄSTERNORRLANDS LÄN</t>
        </is>
      </c>
      <c r="E961" t="inlineStr">
        <is>
          <t>SOLLEFTEÅ</t>
        </is>
      </c>
      <c r="F961" t="inlineStr">
        <is>
          <t>Övriga Aktiebolag</t>
        </is>
      </c>
      <c r="G961" t="n">
        <v>12.7</v>
      </c>
      <c r="H961" t="n">
        <v>0</v>
      </c>
      <c r="I961" t="n">
        <v>0</v>
      </c>
      <c r="J961" t="n">
        <v>0</v>
      </c>
      <c r="K961" t="n">
        <v>0</v>
      </c>
      <c r="L961" t="n">
        <v>0</v>
      </c>
      <c r="M961" t="n">
        <v>0</v>
      </c>
      <c r="N961" t="n">
        <v>0</v>
      </c>
      <c r="O961" t="n">
        <v>0</v>
      </c>
      <c r="P961" t="n">
        <v>0</v>
      </c>
      <c r="Q961" t="n">
        <v>0</v>
      </c>
      <c r="R961" s="2" t="inlineStr"/>
    </row>
    <row r="962" ht="15" customHeight="1">
      <c r="A962" t="inlineStr">
        <is>
          <t>A 55018-2021</t>
        </is>
      </c>
      <c r="B962" s="1" t="n">
        <v>44474</v>
      </c>
      <c r="C962" s="1" t="n">
        <v>45356</v>
      </c>
      <c r="D962" t="inlineStr">
        <is>
          <t>VÄSTERNORRLANDS LÄN</t>
        </is>
      </c>
      <c r="E962" t="inlineStr">
        <is>
          <t>SOLLEFTEÅ</t>
        </is>
      </c>
      <c r="F962" t="inlineStr">
        <is>
          <t>Övriga Aktiebolag</t>
        </is>
      </c>
      <c r="G962" t="n">
        <v>11.2</v>
      </c>
      <c r="H962" t="n">
        <v>0</v>
      </c>
      <c r="I962" t="n">
        <v>0</v>
      </c>
      <c r="J962" t="n">
        <v>0</v>
      </c>
      <c r="K962" t="n">
        <v>0</v>
      </c>
      <c r="L962" t="n">
        <v>0</v>
      </c>
      <c r="M962" t="n">
        <v>0</v>
      </c>
      <c r="N962" t="n">
        <v>0</v>
      </c>
      <c r="O962" t="n">
        <v>0</v>
      </c>
      <c r="P962" t="n">
        <v>0</v>
      </c>
      <c r="Q962" t="n">
        <v>0</v>
      </c>
      <c r="R962" s="2" t="inlineStr"/>
    </row>
    <row r="963" ht="15" customHeight="1">
      <c r="A963" t="inlineStr">
        <is>
          <t>A 55610-2021</t>
        </is>
      </c>
      <c r="B963" s="1" t="n">
        <v>44476</v>
      </c>
      <c r="C963" s="1" t="n">
        <v>45356</v>
      </c>
      <c r="D963" t="inlineStr">
        <is>
          <t>VÄSTERNORRLANDS LÄN</t>
        </is>
      </c>
      <c r="E963" t="inlineStr">
        <is>
          <t>SOLLEFTEÅ</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55643-2021</t>
        </is>
      </c>
      <c r="B964" s="1" t="n">
        <v>44475</v>
      </c>
      <c r="C964" s="1" t="n">
        <v>45356</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55904-2021</t>
        </is>
      </c>
      <c r="B965" s="1" t="n">
        <v>44476</v>
      </c>
      <c r="C965" s="1" t="n">
        <v>45356</v>
      </c>
      <c r="D965" t="inlineStr">
        <is>
          <t>VÄSTERNORRLANDS LÄN</t>
        </is>
      </c>
      <c r="E965" t="inlineStr">
        <is>
          <t>SOLLEFTEÅ</t>
        </is>
      </c>
      <c r="G965" t="n">
        <v>3.1</v>
      </c>
      <c r="H965" t="n">
        <v>0</v>
      </c>
      <c r="I965" t="n">
        <v>0</v>
      </c>
      <c r="J965" t="n">
        <v>0</v>
      </c>
      <c r="K965" t="n">
        <v>0</v>
      </c>
      <c r="L965" t="n">
        <v>0</v>
      </c>
      <c r="M965" t="n">
        <v>0</v>
      </c>
      <c r="N965" t="n">
        <v>0</v>
      </c>
      <c r="O965" t="n">
        <v>0</v>
      </c>
      <c r="P965" t="n">
        <v>0</v>
      </c>
      <c r="Q965" t="n">
        <v>0</v>
      </c>
      <c r="R965" s="2" t="inlineStr"/>
    </row>
    <row r="966" ht="15" customHeight="1">
      <c r="A966" t="inlineStr">
        <is>
          <t>A 56211-2021</t>
        </is>
      </c>
      <c r="B966" s="1" t="n">
        <v>44478</v>
      </c>
      <c r="C966" s="1" t="n">
        <v>45356</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56918-2021</t>
        </is>
      </c>
      <c r="B967" s="1" t="n">
        <v>44482</v>
      </c>
      <c r="C967" s="1" t="n">
        <v>45356</v>
      </c>
      <c r="D967" t="inlineStr">
        <is>
          <t>VÄSTERNORRLANDS LÄN</t>
        </is>
      </c>
      <c r="E967" t="inlineStr">
        <is>
          <t>SOLLEFTEÅ</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57007-2021</t>
        </is>
      </c>
      <c r="B968" s="1" t="n">
        <v>44482</v>
      </c>
      <c r="C968" s="1" t="n">
        <v>45356</v>
      </c>
      <c r="D968" t="inlineStr">
        <is>
          <t>VÄSTERNORRLANDS LÄN</t>
        </is>
      </c>
      <c r="E968" t="inlineStr">
        <is>
          <t>SOLLEFTEÅ</t>
        </is>
      </c>
      <c r="G968" t="n">
        <v>7.4</v>
      </c>
      <c r="H968" t="n">
        <v>0</v>
      </c>
      <c r="I968" t="n">
        <v>0</v>
      </c>
      <c r="J968" t="n">
        <v>0</v>
      </c>
      <c r="K968" t="n">
        <v>0</v>
      </c>
      <c r="L968" t="n">
        <v>0</v>
      </c>
      <c r="M968" t="n">
        <v>0</v>
      </c>
      <c r="N968" t="n">
        <v>0</v>
      </c>
      <c r="O968" t="n">
        <v>0</v>
      </c>
      <c r="P968" t="n">
        <v>0</v>
      </c>
      <c r="Q968" t="n">
        <v>0</v>
      </c>
      <c r="R968" s="2" t="inlineStr"/>
    </row>
    <row r="969" ht="15" customHeight="1">
      <c r="A969" t="inlineStr">
        <is>
          <t>A 57550-2021</t>
        </is>
      </c>
      <c r="B969" s="1" t="n">
        <v>44484</v>
      </c>
      <c r="C969" s="1" t="n">
        <v>45356</v>
      </c>
      <c r="D969" t="inlineStr">
        <is>
          <t>VÄSTERNORRLANDS LÄN</t>
        </is>
      </c>
      <c r="E969" t="inlineStr">
        <is>
          <t>SOLLEFTEÅ</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57552-2021</t>
        </is>
      </c>
      <c r="B970" s="1" t="n">
        <v>44483</v>
      </c>
      <c r="C970" s="1" t="n">
        <v>45356</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57856-2021</t>
        </is>
      </c>
      <c r="B971" s="1" t="n">
        <v>44485</v>
      </c>
      <c r="C971" s="1" t="n">
        <v>45356</v>
      </c>
      <c r="D971" t="inlineStr">
        <is>
          <t>VÄSTERNORRLANDS LÄN</t>
        </is>
      </c>
      <c r="E971" t="inlineStr">
        <is>
          <t>SOLLEFTEÅ</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57911-2021</t>
        </is>
      </c>
      <c r="B972" s="1" t="n">
        <v>44486</v>
      </c>
      <c r="C972" s="1" t="n">
        <v>45356</v>
      </c>
      <c r="D972" t="inlineStr">
        <is>
          <t>VÄSTERNORRLANDS LÄN</t>
        </is>
      </c>
      <c r="E972" t="inlineStr">
        <is>
          <t>SOLLEFTEÅ</t>
        </is>
      </c>
      <c r="G972" t="n">
        <v>3.1</v>
      </c>
      <c r="H972" t="n">
        <v>0</v>
      </c>
      <c r="I972" t="n">
        <v>0</v>
      </c>
      <c r="J972" t="n">
        <v>0</v>
      </c>
      <c r="K972" t="n">
        <v>0</v>
      </c>
      <c r="L972" t="n">
        <v>0</v>
      </c>
      <c r="M972" t="n">
        <v>0</v>
      </c>
      <c r="N972" t="n">
        <v>0</v>
      </c>
      <c r="O972" t="n">
        <v>0</v>
      </c>
      <c r="P972" t="n">
        <v>0</v>
      </c>
      <c r="Q972" t="n">
        <v>0</v>
      </c>
      <c r="R972" s="2" t="inlineStr"/>
    </row>
    <row r="973" ht="15" customHeight="1">
      <c r="A973" t="inlineStr">
        <is>
          <t>A 58268-2021</t>
        </is>
      </c>
      <c r="B973" s="1" t="n">
        <v>44487</v>
      </c>
      <c r="C973" s="1" t="n">
        <v>45356</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58276-2021</t>
        </is>
      </c>
      <c r="B974" s="1" t="n">
        <v>44488</v>
      </c>
      <c r="C974" s="1" t="n">
        <v>45356</v>
      </c>
      <c r="D974" t="inlineStr">
        <is>
          <t>VÄSTERNORRLANDS LÄN</t>
        </is>
      </c>
      <c r="E974" t="inlineStr">
        <is>
          <t>SOLLEFTEÅ</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58179-2021</t>
        </is>
      </c>
      <c r="B975" s="1" t="n">
        <v>44487</v>
      </c>
      <c r="C975" s="1" t="n">
        <v>45356</v>
      </c>
      <c r="D975" t="inlineStr">
        <is>
          <t>VÄSTERNORRLANDS LÄN</t>
        </is>
      </c>
      <c r="E975" t="inlineStr">
        <is>
          <t>SOLLEFTEÅ</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58478-2021</t>
        </is>
      </c>
      <c r="B976" s="1" t="n">
        <v>44488</v>
      </c>
      <c r="C976" s="1" t="n">
        <v>45356</v>
      </c>
      <c r="D976" t="inlineStr">
        <is>
          <t>VÄSTERNORRLANDS LÄN</t>
        </is>
      </c>
      <c r="E976" t="inlineStr">
        <is>
          <t>SOLLEFTEÅ</t>
        </is>
      </c>
      <c r="G976" t="n">
        <v>9.5</v>
      </c>
      <c r="H976" t="n">
        <v>0</v>
      </c>
      <c r="I976" t="n">
        <v>0</v>
      </c>
      <c r="J976" t="n">
        <v>0</v>
      </c>
      <c r="K976" t="n">
        <v>0</v>
      </c>
      <c r="L976" t="n">
        <v>0</v>
      </c>
      <c r="M976" t="n">
        <v>0</v>
      </c>
      <c r="N976" t="n">
        <v>0</v>
      </c>
      <c r="O976" t="n">
        <v>0</v>
      </c>
      <c r="P976" t="n">
        <v>0</v>
      </c>
      <c r="Q976" t="n">
        <v>0</v>
      </c>
      <c r="R976" s="2" t="inlineStr"/>
    </row>
    <row r="977" ht="15" customHeight="1">
      <c r="A977" t="inlineStr">
        <is>
          <t>A 58486-2021</t>
        </is>
      </c>
      <c r="B977" s="1" t="n">
        <v>44488</v>
      </c>
      <c r="C977" s="1" t="n">
        <v>45356</v>
      </c>
      <c r="D977" t="inlineStr">
        <is>
          <t>VÄSTERNORRLANDS LÄN</t>
        </is>
      </c>
      <c r="E977" t="inlineStr">
        <is>
          <t>SOLLEFTEÅ</t>
        </is>
      </c>
      <c r="G977" t="n">
        <v>2.4</v>
      </c>
      <c r="H977" t="n">
        <v>0</v>
      </c>
      <c r="I977" t="n">
        <v>0</v>
      </c>
      <c r="J977" t="n">
        <v>0</v>
      </c>
      <c r="K977" t="n">
        <v>0</v>
      </c>
      <c r="L977" t="n">
        <v>0</v>
      </c>
      <c r="M977" t="n">
        <v>0</v>
      </c>
      <c r="N977" t="n">
        <v>0</v>
      </c>
      <c r="O977" t="n">
        <v>0</v>
      </c>
      <c r="P977" t="n">
        <v>0</v>
      </c>
      <c r="Q977" t="n">
        <v>0</v>
      </c>
      <c r="R977" s="2" t="inlineStr"/>
    </row>
    <row r="978" ht="15" customHeight="1">
      <c r="A978" t="inlineStr">
        <is>
          <t>A 58572-2021</t>
        </is>
      </c>
      <c r="B978" s="1" t="n">
        <v>44488</v>
      </c>
      <c r="C978" s="1" t="n">
        <v>45356</v>
      </c>
      <c r="D978" t="inlineStr">
        <is>
          <t>VÄSTERNORRLANDS LÄN</t>
        </is>
      </c>
      <c r="E978" t="inlineStr">
        <is>
          <t>SOLLEFTEÅ</t>
        </is>
      </c>
      <c r="G978" t="n">
        <v>0.1</v>
      </c>
      <c r="H978" t="n">
        <v>0</v>
      </c>
      <c r="I978" t="n">
        <v>0</v>
      </c>
      <c r="J978" t="n">
        <v>0</v>
      </c>
      <c r="K978" t="n">
        <v>0</v>
      </c>
      <c r="L978" t="n">
        <v>0</v>
      </c>
      <c r="M978" t="n">
        <v>0</v>
      </c>
      <c r="N978" t="n">
        <v>0</v>
      </c>
      <c r="O978" t="n">
        <v>0</v>
      </c>
      <c r="P978" t="n">
        <v>0</v>
      </c>
      <c r="Q978" t="n">
        <v>0</v>
      </c>
      <c r="R978" s="2" t="inlineStr"/>
    </row>
    <row r="979" ht="15" customHeight="1">
      <c r="A979" t="inlineStr">
        <is>
          <t>A 58571-2021</t>
        </is>
      </c>
      <c r="B979" s="1" t="n">
        <v>44488</v>
      </c>
      <c r="C979" s="1" t="n">
        <v>45356</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58573-2021</t>
        </is>
      </c>
      <c r="B980" s="1" t="n">
        <v>44488</v>
      </c>
      <c r="C980" s="1" t="n">
        <v>45356</v>
      </c>
      <c r="D980" t="inlineStr">
        <is>
          <t>VÄSTERNORRLANDS LÄN</t>
        </is>
      </c>
      <c r="E980" t="inlineStr">
        <is>
          <t>SOLLEFTEÅ</t>
        </is>
      </c>
      <c r="G980" t="n">
        <v>0.3</v>
      </c>
      <c r="H980" t="n">
        <v>0</v>
      </c>
      <c r="I980" t="n">
        <v>0</v>
      </c>
      <c r="J980" t="n">
        <v>0</v>
      </c>
      <c r="K980" t="n">
        <v>0</v>
      </c>
      <c r="L980" t="n">
        <v>0</v>
      </c>
      <c r="M980" t="n">
        <v>0</v>
      </c>
      <c r="N980" t="n">
        <v>0</v>
      </c>
      <c r="O980" t="n">
        <v>0</v>
      </c>
      <c r="P980" t="n">
        <v>0</v>
      </c>
      <c r="Q980" t="n">
        <v>0</v>
      </c>
      <c r="R980" s="2" t="inlineStr"/>
    </row>
    <row r="981" ht="15" customHeight="1">
      <c r="A981" t="inlineStr">
        <is>
          <t>A 58726-2021</t>
        </is>
      </c>
      <c r="B981" s="1" t="n">
        <v>44489</v>
      </c>
      <c r="C981" s="1" t="n">
        <v>45356</v>
      </c>
      <c r="D981" t="inlineStr">
        <is>
          <t>VÄSTERNORRLANDS LÄN</t>
        </is>
      </c>
      <c r="E981" t="inlineStr">
        <is>
          <t>SOLLEFTEÅ</t>
        </is>
      </c>
      <c r="G981" t="n">
        <v>1.5</v>
      </c>
      <c r="H981" t="n">
        <v>0</v>
      </c>
      <c r="I981" t="n">
        <v>0</v>
      </c>
      <c r="J981" t="n">
        <v>0</v>
      </c>
      <c r="K981" t="n">
        <v>0</v>
      </c>
      <c r="L981" t="n">
        <v>0</v>
      </c>
      <c r="M981" t="n">
        <v>0</v>
      </c>
      <c r="N981" t="n">
        <v>0</v>
      </c>
      <c r="O981" t="n">
        <v>0</v>
      </c>
      <c r="P981" t="n">
        <v>0</v>
      </c>
      <c r="Q981" t="n">
        <v>0</v>
      </c>
      <c r="R981" s="2" t="inlineStr"/>
    </row>
    <row r="982" ht="15" customHeight="1">
      <c r="A982" t="inlineStr">
        <is>
          <t>A 58742-2021</t>
        </is>
      </c>
      <c r="B982" s="1" t="n">
        <v>44489</v>
      </c>
      <c r="C982" s="1" t="n">
        <v>45356</v>
      </c>
      <c r="D982" t="inlineStr">
        <is>
          <t>VÄSTERNORRLANDS LÄN</t>
        </is>
      </c>
      <c r="E982" t="inlineStr">
        <is>
          <t>SOLLEFTEÅ</t>
        </is>
      </c>
      <c r="G982" t="n">
        <v>7</v>
      </c>
      <c r="H982" t="n">
        <v>0</v>
      </c>
      <c r="I982" t="n">
        <v>0</v>
      </c>
      <c r="J982" t="n">
        <v>0</v>
      </c>
      <c r="K982" t="n">
        <v>0</v>
      </c>
      <c r="L982" t="n">
        <v>0</v>
      </c>
      <c r="M982" t="n">
        <v>0</v>
      </c>
      <c r="N982" t="n">
        <v>0</v>
      </c>
      <c r="O982" t="n">
        <v>0</v>
      </c>
      <c r="P982" t="n">
        <v>0</v>
      </c>
      <c r="Q982" t="n">
        <v>0</v>
      </c>
      <c r="R982" s="2" t="inlineStr"/>
    </row>
    <row r="983" ht="15" customHeight="1">
      <c r="A983" t="inlineStr">
        <is>
          <t>A 58755-2021</t>
        </is>
      </c>
      <c r="B983" s="1" t="n">
        <v>44489</v>
      </c>
      <c r="C983" s="1" t="n">
        <v>45356</v>
      </c>
      <c r="D983" t="inlineStr">
        <is>
          <t>VÄSTERNORRLANDS LÄN</t>
        </is>
      </c>
      <c r="E983" t="inlineStr">
        <is>
          <t>SOLLEFTEÅ</t>
        </is>
      </c>
      <c r="G983" t="n">
        <v>12.2</v>
      </c>
      <c r="H983" t="n">
        <v>0</v>
      </c>
      <c r="I983" t="n">
        <v>0</v>
      </c>
      <c r="J983" t="n">
        <v>0</v>
      </c>
      <c r="K983" t="n">
        <v>0</v>
      </c>
      <c r="L983" t="n">
        <v>0</v>
      </c>
      <c r="M983" t="n">
        <v>0</v>
      </c>
      <c r="N983" t="n">
        <v>0</v>
      </c>
      <c r="O983" t="n">
        <v>0</v>
      </c>
      <c r="P983" t="n">
        <v>0</v>
      </c>
      <c r="Q983" t="n">
        <v>0</v>
      </c>
      <c r="R983" s="2" t="inlineStr"/>
    </row>
    <row r="984" ht="15" customHeight="1">
      <c r="A984" t="inlineStr">
        <is>
          <t>A 58688-2021</t>
        </is>
      </c>
      <c r="B984" s="1" t="n">
        <v>44489</v>
      </c>
      <c r="C984" s="1" t="n">
        <v>45356</v>
      </c>
      <c r="D984" t="inlineStr">
        <is>
          <t>VÄSTERNORRLANDS LÄN</t>
        </is>
      </c>
      <c r="E984" t="inlineStr">
        <is>
          <t>SOLLEFTEÅ</t>
        </is>
      </c>
      <c r="G984" t="n">
        <v>2.3</v>
      </c>
      <c r="H984" t="n">
        <v>0</v>
      </c>
      <c r="I984" t="n">
        <v>0</v>
      </c>
      <c r="J984" t="n">
        <v>0</v>
      </c>
      <c r="K984" t="n">
        <v>0</v>
      </c>
      <c r="L984" t="n">
        <v>0</v>
      </c>
      <c r="M984" t="n">
        <v>0</v>
      </c>
      <c r="N984" t="n">
        <v>0</v>
      </c>
      <c r="O984" t="n">
        <v>0</v>
      </c>
      <c r="P984" t="n">
        <v>0</v>
      </c>
      <c r="Q984" t="n">
        <v>0</v>
      </c>
      <c r="R984" s="2" t="inlineStr"/>
    </row>
    <row r="985" ht="15" customHeight="1">
      <c r="A985" t="inlineStr">
        <is>
          <t>A 58715-2021</t>
        </is>
      </c>
      <c r="B985" s="1" t="n">
        <v>44489</v>
      </c>
      <c r="C985" s="1" t="n">
        <v>45356</v>
      </c>
      <c r="D985" t="inlineStr">
        <is>
          <t>VÄSTERNORRLANDS LÄN</t>
        </is>
      </c>
      <c r="E985" t="inlineStr">
        <is>
          <t>SOLLEFTEÅ</t>
        </is>
      </c>
      <c r="G985" t="n">
        <v>4.7</v>
      </c>
      <c r="H985" t="n">
        <v>0</v>
      </c>
      <c r="I985" t="n">
        <v>0</v>
      </c>
      <c r="J985" t="n">
        <v>0</v>
      </c>
      <c r="K985" t="n">
        <v>0</v>
      </c>
      <c r="L985" t="n">
        <v>0</v>
      </c>
      <c r="M985" t="n">
        <v>0</v>
      </c>
      <c r="N985" t="n">
        <v>0</v>
      </c>
      <c r="O985" t="n">
        <v>0</v>
      </c>
      <c r="P985" t="n">
        <v>0</v>
      </c>
      <c r="Q985" t="n">
        <v>0</v>
      </c>
      <c r="R985" s="2" t="inlineStr"/>
    </row>
    <row r="986" ht="15" customHeight="1">
      <c r="A986" t="inlineStr">
        <is>
          <t>A 59344-2021</t>
        </is>
      </c>
      <c r="B986" s="1" t="n">
        <v>44490</v>
      </c>
      <c r="C986" s="1" t="n">
        <v>45356</v>
      </c>
      <c r="D986" t="inlineStr">
        <is>
          <t>VÄSTERNORRLANDS LÄN</t>
        </is>
      </c>
      <c r="E986" t="inlineStr">
        <is>
          <t>SOLLEFTEÅ</t>
        </is>
      </c>
      <c r="G986" t="n">
        <v>6.9</v>
      </c>
      <c r="H986" t="n">
        <v>0</v>
      </c>
      <c r="I986" t="n">
        <v>0</v>
      </c>
      <c r="J986" t="n">
        <v>0</v>
      </c>
      <c r="K986" t="n">
        <v>0</v>
      </c>
      <c r="L986" t="n">
        <v>0</v>
      </c>
      <c r="M986" t="n">
        <v>0</v>
      </c>
      <c r="N986" t="n">
        <v>0</v>
      </c>
      <c r="O986" t="n">
        <v>0</v>
      </c>
      <c r="P986" t="n">
        <v>0</v>
      </c>
      <c r="Q986" t="n">
        <v>0</v>
      </c>
      <c r="R986" s="2" t="inlineStr"/>
    </row>
    <row r="987" ht="15" customHeight="1">
      <c r="A987" t="inlineStr">
        <is>
          <t>A 59309-2021</t>
        </is>
      </c>
      <c r="B987" s="1" t="n">
        <v>44491</v>
      </c>
      <c r="C987" s="1" t="n">
        <v>45356</v>
      </c>
      <c r="D987" t="inlineStr">
        <is>
          <t>VÄSTERNORRLANDS LÄN</t>
        </is>
      </c>
      <c r="E987" t="inlineStr">
        <is>
          <t>SOLLEFTEÅ</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59343-2021</t>
        </is>
      </c>
      <c r="B988" s="1" t="n">
        <v>44490</v>
      </c>
      <c r="C988" s="1" t="n">
        <v>45356</v>
      </c>
      <c r="D988" t="inlineStr">
        <is>
          <t>VÄSTERNORRLANDS LÄN</t>
        </is>
      </c>
      <c r="E988" t="inlineStr">
        <is>
          <t>SOLLEFTEÅ</t>
        </is>
      </c>
      <c r="G988" t="n">
        <v>1.9</v>
      </c>
      <c r="H988" t="n">
        <v>0</v>
      </c>
      <c r="I988" t="n">
        <v>0</v>
      </c>
      <c r="J988" t="n">
        <v>0</v>
      </c>
      <c r="K988" t="n">
        <v>0</v>
      </c>
      <c r="L988" t="n">
        <v>0</v>
      </c>
      <c r="M988" t="n">
        <v>0</v>
      </c>
      <c r="N988" t="n">
        <v>0</v>
      </c>
      <c r="O988" t="n">
        <v>0</v>
      </c>
      <c r="P988" t="n">
        <v>0</v>
      </c>
      <c r="Q988" t="n">
        <v>0</v>
      </c>
      <c r="R988" s="2" t="inlineStr"/>
    </row>
    <row r="989" ht="15" customHeight="1">
      <c r="A989" t="inlineStr">
        <is>
          <t>A 60324-2021</t>
        </is>
      </c>
      <c r="B989" s="1" t="n">
        <v>44496</v>
      </c>
      <c r="C989" s="1" t="n">
        <v>45356</v>
      </c>
      <c r="D989" t="inlineStr">
        <is>
          <t>VÄSTERNORRLANDS LÄN</t>
        </is>
      </c>
      <c r="E989" t="inlineStr">
        <is>
          <t>SOLLEFTEÅ</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60757-2021</t>
        </is>
      </c>
      <c r="B990" s="1" t="n">
        <v>44497</v>
      </c>
      <c r="C990" s="1" t="n">
        <v>45356</v>
      </c>
      <c r="D990" t="inlineStr">
        <is>
          <t>VÄSTERNORRLANDS LÄN</t>
        </is>
      </c>
      <c r="E990" t="inlineStr">
        <is>
          <t>SOLLEFTEÅ</t>
        </is>
      </c>
      <c r="G990" t="n">
        <v>4.4</v>
      </c>
      <c r="H990" t="n">
        <v>0</v>
      </c>
      <c r="I990" t="n">
        <v>0</v>
      </c>
      <c r="J990" t="n">
        <v>0</v>
      </c>
      <c r="K990" t="n">
        <v>0</v>
      </c>
      <c r="L990" t="n">
        <v>0</v>
      </c>
      <c r="M990" t="n">
        <v>0</v>
      </c>
      <c r="N990" t="n">
        <v>0</v>
      </c>
      <c r="O990" t="n">
        <v>0</v>
      </c>
      <c r="P990" t="n">
        <v>0</v>
      </c>
      <c r="Q990" t="n">
        <v>0</v>
      </c>
      <c r="R990" s="2" t="inlineStr"/>
    </row>
    <row r="991" ht="15" customHeight="1">
      <c r="A991" t="inlineStr">
        <is>
          <t>A 60756-2021</t>
        </is>
      </c>
      <c r="B991" s="1" t="n">
        <v>44496</v>
      </c>
      <c r="C991" s="1" t="n">
        <v>45356</v>
      </c>
      <c r="D991" t="inlineStr">
        <is>
          <t>VÄSTERNORRLANDS LÄN</t>
        </is>
      </c>
      <c r="E991" t="inlineStr">
        <is>
          <t>SOLLEFTEÅ</t>
        </is>
      </c>
      <c r="G991" t="n">
        <v>2.9</v>
      </c>
      <c r="H991" t="n">
        <v>0</v>
      </c>
      <c r="I991" t="n">
        <v>0</v>
      </c>
      <c r="J991" t="n">
        <v>0</v>
      </c>
      <c r="K991" t="n">
        <v>0</v>
      </c>
      <c r="L991" t="n">
        <v>0</v>
      </c>
      <c r="M991" t="n">
        <v>0</v>
      </c>
      <c r="N991" t="n">
        <v>0</v>
      </c>
      <c r="O991" t="n">
        <v>0</v>
      </c>
      <c r="P991" t="n">
        <v>0</v>
      </c>
      <c r="Q991" t="n">
        <v>0</v>
      </c>
      <c r="R991" s="2" t="inlineStr"/>
    </row>
    <row r="992" ht="15" customHeight="1">
      <c r="A992" t="inlineStr">
        <is>
          <t>A 61739-2021</t>
        </is>
      </c>
      <c r="B992" s="1" t="n">
        <v>44498</v>
      </c>
      <c r="C992" s="1" t="n">
        <v>45356</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61424-2021</t>
        </is>
      </c>
      <c r="B993" s="1" t="n">
        <v>44500</v>
      </c>
      <c r="C993" s="1" t="n">
        <v>45356</v>
      </c>
      <c r="D993" t="inlineStr">
        <is>
          <t>VÄSTERNORRLANDS LÄN</t>
        </is>
      </c>
      <c r="E993" t="inlineStr">
        <is>
          <t>SOLLEFTEÅ</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61470-2021</t>
        </is>
      </c>
      <c r="B994" s="1" t="n">
        <v>44500</v>
      </c>
      <c r="C994" s="1" t="n">
        <v>45356</v>
      </c>
      <c r="D994" t="inlineStr">
        <is>
          <t>VÄSTERNORRLANDS LÄN</t>
        </is>
      </c>
      <c r="E994" t="inlineStr">
        <is>
          <t>SOLLEFTEÅ</t>
        </is>
      </c>
      <c r="F994" t="inlineStr">
        <is>
          <t>SCA</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61480-2021</t>
        </is>
      </c>
      <c r="B995" s="1" t="n">
        <v>44500</v>
      </c>
      <c r="C995" s="1" t="n">
        <v>45356</v>
      </c>
      <c r="D995" t="inlineStr">
        <is>
          <t>VÄSTERNORRLANDS LÄN</t>
        </is>
      </c>
      <c r="E995" t="inlineStr">
        <is>
          <t>SOLLEFTEÅ</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61426-2021</t>
        </is>
      </c>
      <c r="B996" s="1" t="n">
        <v>44500</v>
      </c>
      <c r="C996" s="1" t="n">
        <v>45356</v>
      </c>
      <c r="D996" t="inlineStr">
        <is>
          <t>VÄSTERNORRLANDS LÄN</t>
        </is>
      </c>
      <c r="E996" t="inlineStr">
        <is>
          <t>SOLLEFTEÅ</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61469-2021</t>
        </is>
      </c>
      <c r="B997" s="1" t="n">
        <v>44500</v>
      </c>
      <c r="C997" s="1" t="n">
        <v>45356</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61496-2021</t>
        </is>
      </c>
      <c r="B998" s="1" t="n">
        <v>44501</v>
      </c>
      <c r="C998" s="1" t="n">
        <v>45356</v>
      </c>
      <c r="D998" t="inlineStr">
        <is>
          <t>VÄSTERNORRLANDS LÄN</t>
        </is>
      </c>
      <c r="E998" t="inlineStr">
        <is>
          <t>SOLLEFTEÅ</t>
        </is>
      </c>
      <c r="F998" t="inlineStr">
        <is>
          <t>Holmen skog AB</t>
        </is>
      </c>
      <c r="G998" t="n">
        <v>2</v>
      </c>
      <c r="H998" t="n">
        <v>0</v>
      </c>
      <c r="I998" t="n">
        <v>0</v>
      </c>
      <c r="J998" t="n">
        <v>0</v>
      </c>
      <c r="K998" t="n">
        <v>0</v>
      </c>
      <c r="L998" t="n">
        <v>0</v>
      </c>
      <c r="M998" t="n">
        <v>0</v>
      </c>
      <c r="N998" t="n">
        <v>0</v>
      </c>
      <c r="O998" t="n">
        <v>0</v>
      </c>
      <c r="P998" t="n">
        <v>0</v>
      </c>
      <c r="Q998" t="n">
        <v>0</v>
      </c>
      <c r="R998" s="2" t="inlineStr"/>
    </row>
    <row r="999" ht="15" customHeight="1">
      <c r="A999" t="inlineStr">
        <is>
          <t>A 62214-2021</t>
        </is>
      </c>
      <c r="B999" s="1" t="n">
        <v>44502</v>
      </c>
      <c r="C999" s="1" t="n">
        <v>45356</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62210-2021</t>
        </is>
      </c>
      <c r="B1000" s="1" t="n">
        <v>44502</v>
      </c>
      <c r="C1000" s="1" t="n">
        <v>45356</v>
      </c>
      <c r="D1000" t="inlineStr">
        <is>
          <t>VÄSTERNORRLANDS LÄN</t>
        </is>
      </c>
      <c r="E1000" t="inlineStr">
        <is>
          <t>SOLLEFTEÅ</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62418-2021</t>
        </is>
      </c>
      <c r="B1001" s="1" t="n">
        <v>44503</v>
      </c>
      <c r="C1001" s="1" t="n">
        <v>45356</v>
      </c>
      <c r="D1001" t="inlineStr">
        <is>
          <t>VÄSTERNORRLANDS LÄN</t>
        </is>
      </c>
      <c r="E1001" t="inlineStr">
        <is>
          <t>SOLLEFTEÅ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62790-2021</t>
        </is>
      </c>
      <c r="B1002" s="1" t="n">
        <v>44503</v>
      </c>
      <c r="C1002" s="1" t="n">
        <v>45356</v>
      </c>
      <c r="D1002" t="inlineStr">
        <is>
          <t>VÄSTERNORRLANDS LÄN</t>
        </is>
      </c>
      <c r="E1002" t="inlineStr">
        <is>
          <t>SOLLEFTEÅ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62697-2021</t>
        </is>
      </c>
      <c r="B1003" s="1" t="n">
        <v>44504</v>
      </c>
      <c r="C1003" s="1" t="n">
        <v>45356</v>
      </c>
      <c r="D1003" t="inlineStr">
        <is>
          <t>VÄSTERNORRLANDS LÄN</t>
        </is>
      </c>
      <c r="E1003" t="inlineStr">
        <is>
          <t>SOLLEFTEÅ</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62692-2021</t>
        </is>
      </c>
      <c r="B1004" s="1" t="n">
        <v>44504</v>
      </c>
      <c r="C1004" s="1" t="n">
        <v>45356</v>
      </c>
      <c r="D1004" t="inlineStr">
        <is>
          <t>VÄSTERNORRLANDS LÄN</t>
        </is>
      </c>
      <c r="E1004" t="inlineStr">
        <is>
          <t>SOLLEFTEÅ</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63710-2021</t>
        </is>
      </c>
      <c r="B1005" s="1" t="n">
        <v>44504</v>
      </c>
      <c r="C1005" s="1" t="n">
        <v>45356</v>
      </c>
      <c r="D1005" t="inlineStr">
        <is>
          <t>VÄSTERNORRLANDS LÄN</t>
        </is>
      </c>
      <c r="E1005" t="inlineStr">
        <is>
          <t>SOLLEFTEÅ</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64638-2021</t>
        </is>
      </c>
      <c r="B1006" s="1" t="n">
        <v>44511</v>
      </c>
      <c r="C1006" s="1" t="n">
        <v>45356</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64651-2021</t>
        </is>
      </c>
      <c r="B1007" s="1" t="n">
        <v>44511</v>
      </c>
      <c r="C1007" s="1" t="n">
        <v>45356</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64653-2021</t>
        </is>
      </c>
      <c r="B1008" s="1" t="n">
        <v>44511</v>
      </c>
      <c r="C1008" s="1" t="n">
        <v>45356</v>
      </c>
      <c r="D1008" t="inlineStr">
        <is>
          <t>VÄSTERNORRLANDS LÄN</t>
        </is>
      </c>
      <c r="E1008" t="inlineStr">
        <is>
          <t>SOLLEFTEÅ</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64939-2021</t>
        </is>
      </c>
      <c r="B1009" s="1" t="n">
        <v>44512</v>
      </c>
      <c r="C1009" s="1" t="n">
        <v>45356</v>
      </c>
      <c r="D1009" t="inlineStr">
        <is>
          <t>VÄSTERNORRLANDS LÄN</t>
        </is>
      </c>
      <c r="E1009" t="inlineStr">
        <is>
          <t>SOLLEFTEÅ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64947-2021</t>
        </is>
      </c>
      <c r="B1010" s="1" t="n">
        <v>44512</v>
      </c>
      <c r="C1010" s="1" t="n">
        <v>45356</v>
      </c>
      <c r="D1010" t="inlineStr">
        <is>
          <t>VÄSTERNORRLANDS LÄN</t>
        </is>
      </c>
      <c r="E1010" t="inlineStr">
        <is>
          <t>SOLLEFTEÅ</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64944-2021</t>
        </is>
      </c>
      <c r="B1011" s="1" t="n">
        <v>44512</v>
      </c>
      <c r="C1011" s="1" t="n">
        <v>45356</v>
      </c>
      <c r="D1011" t="inlineStr">
        <is>
          <t>VÄSTERNORRLANDS LÄN</t>
        </is>
      </c>
      <c r="E1011" t="inlineStr">
        <is>
          <t>SOLLEFTEÅ</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65009-2021</t>
        </is>
      </c>
      <c r="B1012" s="1" t="n">
        <v>44514</v>
      </c>
      <c r="C1012" s="1" t="n">
        <v>45356</v>
      </c>
      <c r="D1012" t="inlineStr">
        <is>
          <t>VÄSTERNORRLANDS LÄN</t>
        </is>
      </c>
      <c r="E1012" t="inlineStr">
        <is>
          <t>SOLLEFTEÅ</t>
        </is>
      </c>
      <c r="G1012" t="n">
        <v>17.3</v>
      </c>
      <c r="H1012" t="n">
        <v>0</v>
      </c>
      <c r="I1012" t="n">
        <v>0</v>
      </c>
      <c r="J1012" t="n">
        <v>0</v>
      </c>
      <c r="K1012" t="n">
        <v>0</v>
      </c>
      <c r="L1012" t="n">
        <v>0</v>
      </c>
      <c r="M1012" t="n">
        <v>0</v>
      </c>
      <c r="N1012" t="n">
        <v>0</v>
      </c>
      <c r="O1012" t="n">
        <v>0</v>
      </c>
      <c r="P1012" t="n">
        <v>0</v>
      </c>
      <c r="Q1012" t="n">
        <v>0</v>
      </c>
      <c r="R1012" s="2" t="inlineStr"/>
    </row>
    <row r="1013" ht="15" customHeight="1">
      <c r="A1013" t="inlineStr">
        <is>
          <t>A 65419-2021</t>
        </is>
      </c>
      <c r="B1013" s="1" t="n">
        <v>44515</v>
      </c>
      <c r="C1013" s="1" t="n">
        <v>45356</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66178-2021</t>
        </is>
      </c>
      <c r="B1014" s="1" t="n">
        <v>44517</v>
      </c>
      <c r="C1014" s="1" t="n">
        <v>45356</v>
      </c>
      <c r="D1014" t="inlineStr">
        <is>
          <t>VÄSTERNORRLANDS LÄN</t>
        </is>
      </c>
      <c r="E1014" t="inlineStr">
        <is>
          <t>SOLLEFTEÅ</t>
        </is>
      </c>
      <c r="F1014" t="inlineStr">
        <is>
          <t>SCA</t>
        </is>
      </c>
      <c r="G1014" t="n">
        <v>31.7</v>
      </c>
      <c r="H1014" t="n">
        <v>0</v>
      </c>
      <c r="I1014" t="n">
        <v>0</v>
      </c>
      <c r="J1014" t="n">
        <v>0</v>
      </c>
      <c r="K1014" t="n">
        <v>0</v>
      </c>
      <c r="L1014" t="n">
        <v>0</v>
      </c>
      <c r="M1014" t="n">
        <v>0</v>
      </c>
      <c r="N1014" t="n">
        <v>0</v>
      </c>
      <c r="O1014" t="n">
        <v>0</v>
      </c>
      <c r="P1014" t="n">
        <v>0</v>
      </c>
      <c r="Q1014" t="n">
        <v>0</v>
      </c>
      <c r="R1014" s="2" t="inlineStr"/>
    </row>
    <row r="1015" ht="15" customHeight="1">
      <c r="A1015" t="inlineStr">
        <is>
          <t>A 66856-2021</t>
        </is>
      </c>
      <c r="B1015" s="1" t="n">
        <v>44522</v>
      </c>
      <c r="C1015" s="1" t="n">
        <v>45356</v>
      </c>
      <c r="D1015" t="inlineStr">
        <is>
          <t>VÄSTERNORRLANDS LÄN</t>
        </is>
      </c>
      <c r="E1015" t="inlineStr">
        <is>
          <t>SOLLEFTEÅ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67085-2021</t>
        </is>
      </c>
      <c r="B1016" s="1" t="n">
        <v>44522</v>
      </c>
      <c r="C1016" s="1" t="n">
        <v>45356</v>
      </c>
      <c r="D1016" t="inlineStr">
        <is>
          <t>VÄSTERNORRLANDS LÄN</t>
        </is>
      </c>
      <c r="E1016" t="inlineStr">
        <is>
          <t>SOLLEFTEÅ</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67143-2021</t>
        </is>
      </c>
      <c r="B1017" s="1" t="n">
        <v>44523</v>
      </c>
      <c r="C1017" s="1" t="n">
        <v>45356</v>
      </c>
      <c r="D1017" t="inlineStr">
        <is>
          <t>VÄSTERNORRLANDS LÄN</t>
        </is>
      </c>
      <c r="E1017" t="inlineStr">
        <is>
          <t>SOLLEFTEÅ</t>
        </is>
      </c>
      <c r="G1017" t="n">
        <v>19.7</v>
      </c>
      <c r="H1017" t="n">
        <v>0</v>
      </c>
      <c r="I1017" t="n">
        <v>0</v>
      </c>
      <c r="J1017" t="n">
        <v>0</v>
      </c>
      <c r="K1017" t="n">
        <v>0</v>
      </c>
      <c r="L1017" t="n">
        <v>0</v>
      </c>
      <c r="M1017" t="n">
        <v>0</v>
      </c>
      <c r="N1017" t="n">
        <v>0</v>
      </c>
      <c r="O1017" t="n">
        <v>0</v>
      </c>
      <c r="P1017" t="n">
        <v>0</v>
      </c>
      <c r="Q1017" t="n">
        <v>0</v>
      </c>
      <c r="R1017" s="2" t="inlineStr"/>
    </row>
    <row r="1018" ht="15" customHeight="1">
      <c r="A1018" t="inlineStr">
        <is>
          <t>A 67136-2021</t>
        </is>
      </c>
      <c r="B1018" s="1" t="n">
        <v>44523</v>
      </c>
      <c r="C1018" s="1" t="n">
        <v>45356</v>
      </c>
      <c r="D1018" t="inlineStr">
        <is>
          <t>VÄSTERNORRLANDS LÄN</t>
        </is>
      </c>
      <c r="E1018" t="inlineStr">
        <is>
          <t>SOLLEFTEÅ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67390-2021</t>
        </is>
      </c>
      <c r="B1019" s="1" t="n">
        <v>44523</v>
      </c>
      <c r="C1019" s="1" t="n">
        <v>45356</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67401-2021</t>
        </is>
      </c>
      <c r="B1020" s="1" t="n">
        <v>44523</v>
      </c>
      <c r="C1020" s="1" t="n">
        <v>45356</v>
      </c>
      <c r="D1020" t="inlineStr">
        <is>
          <t>VÄSTERNORRLANDS LÄN</t>
        </is>
      </c>
      <c r="E1020" t="inlineStr">
        <is>
          <t>SOLLEFTEÅ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67689-2021</t>
        </is>
      </c>
      <c r="B1021" s="1" t="n">
        <v>44524</v>
      </c>
      <c r="C1021" s="1" t="n">
        <v>45356</v>
      </c>
      <c r="D1021" t="inlineStr">
        <is>
          <t>VÄSTERNORRLANDS LÄN</t>
        </is>
      </c>
      <c r="E1021" t="inlineStr">
        <is>
          <t>SOLLEFTEÅ</t>
        </is>
      </c>
      <c r="F1021" t="inlineStr">
        <is>
          <t>SCA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67702-2021</t>
        </is>
      </c>
      <c r="B1022" s="1" t="n">
        <v>44524</v>
      </c>
      <c r="C1022" s="1" t="n">
        <v>45356</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67822-2021</t>
        </is>
      </c>
      <c r="B1023" s="1" t="n">
        <v>44525</v>
      </c>
      <c r="C1023" s="1" t="n">
        <v>45356</v>
      </c>
      <c r="D1023" t="inlineStr">
        <is>
          <t>VÄSTERNORRLANDS LÄN</t>
        </is>
      </c>
      <c r="E1023" t="inlineStr">
        <is>
          <t>SOLLEFTEÅ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68317-2021</t>
        </is>
      </c>
      <c r="B1024" s="1" t="n">
        <v>44526</v>
      </c>
      <c r="C1024" s="1" t="n">
        <v>45356</v>
      </c>
      <c r="D1024" t="inlineStr">
        <is>
          <t>VÄSTERNORRLANDS LÄN</t>
        </is>
      </c>
      <c r="E1024" t="inlineStr">
        <is>
          <t>SOLLEFTEÅ</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68792-2021</t>
        </is>
      </c>
      <c r="B1025" s="1" t="n">
        <v>44529</v>
      </c>
      <c r="C1025" s="1" t="n">
        <v>45356</v>
      </c>
      <c r="D1025" t="inlineStr">
        <is>
          <t>VÄSTERNORRLANDS LÄN</t>
        </is>
      </c>
      <c r="E1025" t="inlineStr">
        <is>
          <t>SOLLEFTEÅ</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68843-2021</t>
        </is>
      </c>
      <c r="B1026" s="1" t="n">
        <v>44530</v>
      </c>
      <c r="C1026" s="1" t="n">
        <v>45356</v>
      </c>
      <c r="D1026" t="inlineStr">
        <is>
          <t>VÄSTERNORRLANDS LÄN</t>
        </is>
      </c>
      <c r="E1026" t="inlineStr">
        <is>
          <t>SOLLEFTEÅ</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68863-2021</t>
        </is>
      </c>
      <c r="B1027" s="1" t="n">
        <v>44530</v>
      </c>
      <c r="C1027" s="1" t="n">
        <v>45356</v>
      </c>
      <c r="D1027" t="inlineStr">
        <is>
          <t>VÄSTERNORRLANDS LÄN</t>
        </is>
      </c>
      <c r="E1027" t="inlineStr">
        <is>
          <t>SOLLEFTEÅ</t>
        </is>
      </c>
      <c r="F1027" t="inlineStr">
        <is>
          <t>Holmen skog AB</t>
        </is>
      </c>
      <c r="G1027" t="n">
        <v>16.8</v>
      </c>
      <c r="H1027" t="n">
        <v>0</v>
      </c>
      <c r="I1027" t="n">
        <v>0</v>
      </c>
      <c r="J1027" t="n">
        <v>0</v>
      </c>
      <c r="K1027" t="n">
        <v>0</v>
      </c>
      <c r="L1027" t="n">
        <v>0</v>
      </c>
      <c r="M1027" t="n">
        <v>0</v>
      </c>
      <c r="N1027" t="n">
        <v>0</v>
      </c>
      <c r="O1027" t="n">
        <v>0</v>
      </c>
      <c r="P1027" t="n">
        <v>0</v>
      </c>
      <c r="Q1027" t="n">
        <v>0</v>
      </c>
      <c r="R1027" s="2" t="inlineStr"/>
    </row>
    <row r="1028" ht="15" customHeight="1">
      <c r="A1028" t="inlineStr">
        <is>
          <t>A 69121-2021</t>
        </is>
      </c>
      <c r="B1028" s="1" t="n">
        <v>44530</v>
      </c>
      <c r="C1028" s="1" t="n">
        <v>45356</v>
      </c>
      <c r="D1028" t="inlineStr">
        <is>
          <t>VÄSTERNORRLANDS LÄN</t>
        </is>
      </c>
      <c r="E1028" t="inlineStr">
        <is>
          <t>SOLLEFTEÅ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69543-2021</t>
        </is>
      </c>
      <c r="B1029" s="1" t="n">
        <v>44531</v>
      </c>
      <c r="C1029" s="1" t="n">
        <v>45356</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69542-2021</t>
        </is>
      </c>
      <c r="B1030" s="1" t="n">
        <v>44531</v>
      </c>
      <c r="C1030" s="1" t="n">
        <v>45356</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69919-2021</t>
        </is>
      </c>
      <c r="B1031" s="1" t="n">
        <v>44532</v>
      </c>
      <c r="C1031" s="1" t="n">
        <v>45356</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69916-2021</t>
        </is>
      </c>
      <c r="B1032" s="1" t="n">
        <v>44532</v>
      </c>
      <c r="C1032" s="1" t="n">
        <v>45356</v>
      </c>
      <c r="D1032" t="inlineStr">
        <is>
          <t>VÄSTERNORRLANDS LÄN</t>
        </is>
      </c>
      <c r="E1032" t="inlineStr">
        <is>
          <t>SOLLEFTEÅ</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70180-2021</t>
        </is>
      </c>
      <c r="B1033" s="1" t="n">
        <v>44533</v>
      </c>
      <c r="C1033" s="1" t="n">
        <v>45356</v>
      </c>
      <c r="D1033" t="inlineStr">
        <is>
          <t>VÄSTERNORRLANDS LÄN</t>
        </is>
      </c>
      <c r="E1033" t="inlineStr">
        <is>
          <t>SOLLEFTEÅ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70821-2021</t>
        </is>
      </c>
      <c r="B1034" s="1" t="n">
        <v>44537</v>
      </c>
      <c r="C1034" s="1" t="n">
        <v>45356</v>
      </c>
      <c r="D1034" t="inlineStr">
        <is>
          <t>VÄSTERNORRLANDS LÄN</t>
        </is>
      </c>
      <c r="E1034" t="inlineStr">
        <is>
          <t>SOLLEFTEÅ</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71080-2021</t>
        </is>
      </c>
      <c r="B1035" s="1" t="n">
        <v>44538</v>
      </c>
      <c r="C1035" s="1" t="n">
        <v>45356</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71079-2021</t>
        </is>
      </c>
      <c r="B1036" s="1" t="n">
        <v>44538</v>
      </c>
      <c r="C1036" s="1" t="n">
        <v>45356</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71348-2021</t>
        </is>
      </c>
      <c r="B1037" s="1" t="n">
        <v>44539</v>
      </c>
      <c r="C1037" s="1" t="n">
        <v>45356</v>
      </c>
      <c r="D1037" t="inlineStr">
        <is>
          <t>VÄSTERNORRLANDS LÄN</t>
        </is>
      </c>
      <c r="E1037" t="inlineStr">
        <is>
          <t>SOLLEFTEÅ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71351-2021</t>
        </is>
      </c>
      <c r="B1038" s="1" t="n">
        <v>44539</v>
      </c>
      <c r="C1038" s="1" t="n">
        <v>45356</v>
      </c>
      <c r="D1038" t="inlineStr">
        <is>
          <t>VÄSTERNORRLANDS LÄN</t>
        </is>
      </c>
      <c r="E1038" t="inlineStr">
        <is>
          <t>SOLLEFTEÅ</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71350-2021</t>
        </is>
      </c>
      <c r="B1039" s="1" t="n">
        <v>44539</v>
      </c>
      <c r="C1039" s="1" t="n">
        <v>45356</v>
      </c>
      <c r="D1039" t="inlineStr">
        <is>
          <t>VÄSTERNORRLANDS LÄN</t>
        </is>
      </c>
      <c r="E1039" t="inlineStr">
        <is>
          <t>SOLLEFTEÅ</t>
        </is>
      </c>
      <c r="G1039" t="n">
        <v>0</v>
      </c>
      <c r="H1039" t="n">
        <v>0</v>
      </c>
      <c r="I1039" t="n">
        <v>0</v>
      </c>
      <c r="J1039" t="n">
        <v>0</v>
      </c>
      <c r="K1039" t="n">
        <v>0</v>
      </c>
      <c r="L1039" t="n">
        <v>0</v>
      </c>
      <c r="M1039" t="n">
        <v>0</v>
      </c>
      <c r="N1039" t="n">
        <v>0</v>
      </c>
      <c r="O1039" t="n">
        <v>0</v>
      </c>
      <c r="P1039" t="n">
        <v>0</v>
      </c>
      <c r="Q1039" t="n">
        <v>0</v>
      </c>
      <c r="R1039" s="2" t="inlineStr"/>
    </row>
    <row r="1040" ht="15" customHeight="1">
      <c r="A1040" t="inlineStr">
        <is>
          <t>A 71580-2021</t>
        </is>
      </c>
      <c r="B1040" s="1" t="n">
        <v>44540</v>
      </c>
      <c r="C1040" s="1" t="n">
        <v>45356</v>
      </c>
      <c r="D1040" t="inlineStr">
        <is>
          <t>VÄSTERNORRLANDS LÄN</t>
        </is>
      </c>
      <c r="E1040" t="inlineStr">
        <is>
          <t>SOLLEFTEÅ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72244-2021</t>
        </is>
      </c>
      <c r="B1041" s="1" t="n">
        <v>44544</v>
      </c>
      <c r="C1041" s="1" t="n">
        <v>45356</v>
      </c>
      <c r="D1041" t="inlineStr">
        <is>
          <t>VÄSTERNORRLANDS LÄN</t>
        </is>
      </c>
      <c r="E1041" t="inlineStr">
        <is>
          <t>SOLLEFTEÅ</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72249-2021</t>
        </is>
      </c>
      <c r="B1042" s="1" t="n">
        <v>44544</v>
      </c>
      <c r="C1042" s="1" t="n">
        <v>45356</v>
      </c>
      <c r="D1042" t="inlineStr">
        <is>
          <t>VÄSTERNORRLANDS LÄN</t>
        </is>
      </c>
      <c r="E1042" t="inlineStr">
        <is>
          <t>SOLLEFTEÅ</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72315-2021</t>
        </is>
      </c>
      <c r="B1043" s="1" t="n">
        <v>44545</v>
      </c>
      <c r="C1043" s="1" t="n">
        <v>45356</v>
      </c>
      <c r="D1043" t="inlineStr">
        <is>
          <t>VÄSTERNORRLANDS LÄN</t>
        </is>
      </c>
      <c r="E1043" t="inlineStr">
        <is>
          <t>SOLLEFTEÅ</t>
        </is>
      </c>
      <c r="F1043" t="inlineStr">
        <is>
          <t>SCA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72485-2021</t>
        </is>
      </c>
      <c r="B1044" s="1" t="n">
        <v>44545</v>
      </c>
      <c r="C1044" s="1" t="n">
        <v>45356</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72496-2021</t>
        </is>
      </c>
      <c r="B1045" s="1" t="n">
        <v>44545</v>
      </c>
      <c r="C1045" s="1" t="n">
        <v>45356</v>
      </c>
      <c r="D1045" t="inlineStr">
        <is>
          <t>VÄSTERNORRLANDS LÄN</t>
        </is>
      </c>
      <c r="E1045" t="inlineStr">
        <is>
          <t>SOLLEFTEÅ</t>
        </is>
      </c>
      <c r="G1045" t="n">
        <v>20</v>
      </c>
      <c r="H1045" t="n">
        <v>0</v>
      </c>
      <c r="I1045" t="n">
        <v>0</v>
      </c>
      <c r="J1045" t="n">
        <v>0</v>
      </c>
      <c r="K1045" t="n">
        <v>0</v>
      </c>
      <c r="L1045" t="n">
        <v>0</v>
      </c>
      <c r="M1045" t="n">
        <v>0</v>
      </c>
      <c r="N1045" t="n">
        <v>0</v>
      </c>
      <c r="O1045" t="n">
        <v>0</v>
      </c>
      <c r="P1045" t="n">
        <v>0</v>
      </c>
      <c r="Q1045" t="n">
        <v>0</v>
      </c>
      <c r="R1045" s="2" t="inlineStr"/>
    </row>
    <row r="1046" ht="15" customHeight="1">
      <c r="A1046" t="inlineStr">
        <is>
          <t>A 72949-2021</t>
        </is>
      </c>
      <c r="B1046" s="1" t="n">
        <v>44547</v>
      </c>
      <c r="C1046" s="1" t="n">
        <v>45356</v>
      </c>
      <c r="D1046" t="inlineStr">
        <is>
          <t>VÄSTERNORRLANDS LÄN</t>
        </is>
      </c>
      <c r="E1046" t="inlineStr">
        <is>
          <t>SOLLEFTEÅ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72958-2021</t>
        </is>
      </c>
      <c r="B1047" s="1" t="n">
        <v>44547</v>
      </c>
      <c r="C1047" s="1" t="n">
        <v>45356</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72977-2021</t>
        </is>
      </c>
      <c r="B1048" s="1" t="n">
        <v>44548</v>
      </c>
      <c r="C1048" s="1" t="n">
        <v>45356</v>
      </c>
      <c r="D1048" t="inlineStr">
        <is>
          <t>VÄSTERNORRLANDS LÄN</t>
        </is>
      </c>
      <c r="E1048" t="inlineStr">
        <is>
          <t>SOLLEFTEÅ</t>
        </is>
      </c>
      <c r="F1048" t="inlineStr">
        <is>
          <t>SCA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73285-2021</t>
        </is>
      </c>
      <c r="B1049" s="1" t="n">
        <v>44550</v>
      </c>
      <c r="C1049" s="1" t="n">
        <v>45356</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73367-2021</t>
        </is>
      </c>
      <c r="B1050" s="1" t="n">
        <v>44550</v>
      </c>
      <c r="C1050" s="1" t="n">
        <v>45356</v>
      </c>
      <c r="D1050" t="inlineStr">
        <is>
          <t>VÄSTERNORRLANDS LÄN</t>
        </is>
      </c>
      <c r="E1050" t="inlineStr">
        <is>
          <t>SOLLEFTEÅ</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73566-2021</t>
        </is>
      </c>
      <c r="B1051" s="1" t="n">
        <v>44551</v>
      </c>
      <c r="C1051" s="1" t="n">
        <v>45356</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73564-2021</t>
        </is>
      </c>
      <c r="B1052" s="1" t="n">
        <v>44551</v>
      </c>
      <c r="C1052" s="1" t="n">
        <v>45356</v>
      </c>
      <c r="D1052" t="inlineStr">
        <is>
          <t>VÄSTERNORRLANDS LÄN</t>
        </is>
      </c>
      <c r="E1052" t="inlineStr">
        <is>
          <t>SOLLEFTEÅ</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73567-2021</t>
        </is>
      </c>
      <c r="B1053" s="1" t="n">
        <v>44551</v>
      </c>
      <c r="C1053" s="1" t="n">
        <v>45356</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73886-2021</t>
        </is>
      </c>
      <c r="B1054" s="1" t="n">
        <v>44553</v>
      </c>
      <c r="C1054" s="1" t="n">
        <v>45356</v>
      </c>
      <c r="D1054" t="inlineStr">
        <is>
          <t>VÄSTERNORRLANDS LÄN</t>
        </is>
      </c>
      <c r="E1054" t="inlineStr">
        <is>
          <t>SOLLEFTEÅ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73847-2021</t>
        </is>
      </c>
      <c r="B1055" s="1" t="n">
        <v>44553</v>
      </c>
      <c r="C1055" s="1" t="n">
        <v>45356</v>
      </c>
      <c r="D1055" t="inlineStr">
        <is>
          <t>VÄSTERNORRLANDS LÄN</t>
        </is>
      </c>
      <c r="E1055" t="inlineStr">
        <is>
          <t>SOLLEFTEÅ</t>
        </is>
      </c>
      <c r="F1055" t="inlineStr">
        <is>
          <t>Övriga Aktiebolag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2-2022</t>
        </is>
      </c>
      <c r="B1056" s="1" t="n">
        <v>44562</v>
      </c>
      <c r="C1056" s="1" t="n">
        <v>45356</v>
      </c>
      <c r="D1056" t="inlineStr">
        <is>
          <t>VÄSTERNORRLANDS LÄN</t>
        </is>
      </c>
      <c r="E1056" t="inlineStr">
        <is>
          <t>SOLLEFTEÅ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19-2022</t>
        </is>
      </c>
      <c r="B1057" s="1" t="n">
        <v>44564</v>
      </c>
      <c r="C1057" s="1" t="n">
        <v>45356</v>
      </c>
      <c r="D1057" t="inlineStr">
        <is>
          <t>VÄSTERNORRLANDS LÄN</t>
        </is>
      </c>
      <c r="E1057" t="inlineStr">
        <is>
          <t>SOLLEFTEÅ</t>
        </is>
      </c>
      <c r="G1057" t="n">
        <v>14.9</v>
      </c>
      <c r="H1057" t="n">
        <v>0</v>
      </c>
      <c r="I1057" t="n">
        <v>0</v>
      </c>
      <c r="J1057" t="n">
        <v>0</v>
      </c>
      <c r="K1057" t="n">
        <v>0</v>
      </c>
      <c r="L1057" t="n">
        <v>0</v>
      </c>
      <c r="M1057" t="n">
        <v>0</v>
      </c>
      <c r="N1057" t="n">
        <v>0</v>
      </c>
      <c r="O1057" t="n">
        <v>0</v>
      </c>
      <c r="P1057" t="n">
        <v>0</v>
      </c>
      <c r="Q1057" t="n">
        <v>0</v>
      </c>
      <c r="R1057" s="2" t="inlineStr"/>
    </row>
    <row r="1058" ht="15" customHeight="1">
      <c r="A1058" t="inlineStr">
        <is>
          <t>A 576-2022</t>
        </is>
      </c>
      <c r="B1058" s="1" t="n">
        <v>44566</v>
      </c>
      <c r="C1058" s="1" t="n">
        <v>45356</v>
      </c>
      <c r="D1058" t="inlineStr">
        <is>
          <t>VÄSTERNORRLANDS LÄN</t>
        </is>
      </c>
      <c r="E1058" t="inlineStr">
        <is>
          <t>SOLLEFTEÅ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1095-2022</t>
        </is>
      </c>
      <c r="B1059" s="1" t="n">
        <v>44571</v>
      </c>
      <c r="C1059" s="1" t="n">
        <v>45356</v>
      </c>
      <c r="D1059" t="inlineStr">
        <is>
          <t>VÄSTERNORRLANDS LÄN</t>
        </is>
      </c>
      <c r="E1059" t="inlineStr">
        <is>
          <t>SOLLEFTEÅ</t>
        </is>
      </c>
      <c r="F1059" t="inlineStr">
        <is>
          <t>SCA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1094-2022</t>
        </is>
      </c>
      <c r="B1060" s="1" t="n">
        <v>44571</v>
      </c>
      <c r="C1060" s="1" t="n">
        <v>45356</v>
      </c>
      <c r="D1060" t="inlineStr">
        <is>
          <t>VÄSTERNORRLANDS LÄN</t>
        </is>
      </c>
      <c r="E1060" t="inlineStr">
        <is>
          <t>SOLLEFTEÅ</t>
        </is>
      </c>
      <c r="F1060" t="inlineStr">
        <is>
          <t>SCA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1402-2022</t>
        </is>
      </c>
      <c r="B1061" s="1" t="n">
        <v>44573</v>
      </c>
      <c r="C1061" s="1" t="n">
        <v>45356</v>
      </c>
      <c r="D1061" t="inlineStr">
        <is>
          <t>VÄSTERNORRLANDS LÄN</t>
        </is>
      </c>
      <c r="E1061" t="inlineStr">
        <is>
          <t>SOLLEFTEÅ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1987-2022</t>
        </is>
      </c>
      <c r="B1062" s="1" t="n">
        <v>44575</v>
      </c>
      <c r="C1062" s="1" t="n">
        <v>45356</v>
      </c>
      <c r="D1062" t="inlineStr">
        <is>
          <t>VÄSTERNORRLANDS LÄN</t>
        </is>
      </c>
      <c r="E1062" t="inlineStr">
        <is>
          <t>SOLLEFTEÅ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1997-2022</t>
        </is>
      </c>
      <c r="B1063" s="1" t="n">
        <v>44575</v>
      </c>
      <c r="C1063" s="1" t="n">
        <v>45356</v>
      </c>
      <c r="D1063" t="inlineStr">
        <is>
          <t>VÄSTERNORRLANDS LÄN</t>
        </is>
      </c>
      <c r="E1063" t="inlineStr">
        <is>
          <t>SOLLEFTEÅ</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2536-2022</t>
        </is>
      </c>
      <c r="B1064" s="1" t="n">
        <v>44579</v>
      </c>
      <c r="C1064" s="1" t="n">
        <v>45356</v>
      </c>
      <c r="D1064" t="inlineStr">
        <is>
          <t>VÄSTERNORRLANDS LÄN</t>
        </is>
      </c>
      <c r="E1064" t="inlineStr">
        <is>
          <t>SOLLEFTEÅ</t>
        </is>
      </c>
      <c r="F1064" t="inlineStr">
        <is>
          <t>Övriga Aktiebolag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2543-2022</t>
        </is>
      </c>
      <c r="B1065" s="1" t="n">
        <v>44580</v>
      </c>
      <c r="C1065" s="1" t="n">
        <v>45356</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2542-2022</t>
        </is>
      </c>
      <c r="B1066" s="1" t="n">
        <v>44580</v>
      </c>
      <c r="C1066" s="1" t="n">
        <v>45356</v>
      </c>
      <c r="D1066" t="inlineStr">
        <is>
          <t>VÄSTERNORRLANDS LÄN</t>
        </is>
      </c>
      <c r="E1066" t="inlineStr">
        <is>
          <t>SOLLEFTEÅ</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2541-2022</t>
        </is>
      </c>
      <c r="B1067" s="1" t="n">
        <v>44580</v>
      </c>
      <c r="C1067" s="1" t="n">
        <v>45356</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2747-2022</t>
        </is>
      </c>
      <c r="B1068" s="1" t="n">
        <v>44580</v>
      </c>
      <c r="C1068" s="1" t="n">
        <v>45356</v>
      </c>
      <c r="D1068" t="inlineStr">
        <is>
          <t>VÄSTERNORRLANDS LÄN</t>
        </is>
      </c>
      <c r="E1068" t="inlineStr">
        <is>
          <t>SOLLEFTEÅ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3001-2022</t>
        </is>
      </c>
      <c r="B1069" s="1" t="n">
        <v>44581</v>
      </c>
      <c r="C1069" s="1" t="n">
        <v>45356</v>
      </c>
      <c r="D1069" t="inlineStr">
        <is>
          <t>VÄSTERNORRLANDS LÄN</t>
        </is>
      </c>
      <c r="E1069" t="inlineStr">
        <is>
          <t>SOLLEFTEÅ</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3541-2022</t>
        </is>
      </c>
      <c r="B1070" s="1" t="n">
        <v>44585</v>
      </c>
      <c r="C1070" s="1" t="n">
        <v>45356</v>
      </c>
      <c r="D1070" t="inlineStr">
        <is>
          <t>VÄSTERNORRLANDS LÄN</t>
        </is>
      </c>
      <c r="E1070" t="inlineStr">
        <is>
          <t>SOLLEFTEÅ</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3548-2022</t>
        </is>
      </c>
      <c r="B1071" s="1" t="n">
        <v>44585</v>
      </c>
      <c r="C1071" s="1" t="n">
        <v>45356</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3554-2022</t>
        </is>
      </c>
      <c r="B1072" s="1" t="n">
        <v>44585</v>
      </c>
      <c r="C1072" s="1" t="n">
        <v>45356</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3560-2022</t>
        </is>
      </c>
      <c r="B1073" s="1" t="n">
        <v>44585</v>
      </c>
      <c r="C1073" s="1" t="n">
        <v>45356</v>
      </c>
      <c r="D1073" t="inlineStr">
        <is>
          <t>VÄSTERNORRLANDS LÄN</t>
        </is>
      </c>
      <c r="E1073" t="inlineStr">
        <is>
          <t>SOLLEFTEÅ</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3549-2022</t>
        </is>
      </c>
      <c r="B1074" s="1" t="n">
        <v>44585</v>
      </c>
      <c r="C1074" s="1" t="n">
        <v>45356</v>
      </c>
      <c r="D1074" t="inlineStr">
        <is>
          <t>VÄSTERNORRLANDS LÄN</t>
        </is>
      </c>
      <c r="E1074" t="inlineStr">
        <is>
          <t>SOLLEFTEÅ</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3551-2022</t>
        </is>
      </c>
      <c r="B1075" s="1" t="n">
        <v>44585</v>
      </c>
      <c r="C1075" s="1" t="n">
        <v>45356</v>
      </c>
      <c r="D1075" t="inlineStr">
        <is>
          <t>VÄSTERNORRLANDS LÄN</t>
        </is>
      </c>
      <c r="E1075" t="inlineStr">
        <is>
          <t>SOLLEFTEÅ</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3556-2022</t>
        </is>
      </c>
      <c r="B1076" s="1" t="n">
        <v>44585</v>
      </c>
      <c r="C1076" s="1" t="n">
        <v>45356</v>
      </c>
      <c r="D1076" t="inlineStr">
        <is>
          <t>VÄSTERNORRLANDS LÄN</t>
        </is>
      </c>
      <c r="E1076" t="inlineStr">
        <is>
          <t>SOLLEFTEÅ</t>
        </is>
      </c>
      <c r="F1076" t="inlineStr">
        <is>
          <t>SCA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3555-2022</t>
        </is>
      </c>
      <c r="B1077" s="1" t="n">
        <v>44585</v>
      </c>
      <c r="C1077" s="1" t="n">
        <v>45356</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3552-2022</t>
        </is>
      </c>
      <c r="B1078" s="1" t="n">
        <v>44585</v>
      </c>
      <c r="C1078" s="1" t="n">
        <v>45356</v>
      </c>
      <c r="D1078" t="inlineStr">
        <is>
          <t>VÄSTERNORRLANDS LÄN</t>
        </is>
      </c>
      <c r="E1078" t="inlineStr">
        <is>
          <t>SOLLEFTEÅ</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3557-2022</t>
        </is>
      </c>
      <c r="B1079" s="1" t="n">
        <v>44585</v>
      </c>
      <c r="C1079" s="1" t="n">
        <v>45356</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3699-2022</t>
        </is>
      </c>
      <c r="B1080" s="1" t="n">
        <v>44586</v>
      </c>
      <c r="C1080" s="1" t="n">
        <v>45356</v>
      </c>
      <c r="D1080" t="inlineStr">
        <is>
          <t>VÄSTERNORRLANDS LÄN</t>
        </is>
      </c>
      <c r="E1080" t="inlineStr">
        <is>
          <t>SOLLEFTEÅ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3793-2022</t>
        </is>
      </c>
      <c r="B1081" s="1" t="n">
        <v>44586</v>
      </c>
      <c r="C1081" s="1" t="n">
        <v>45356</v>
      </c>
      <c r="D1081" t="inlineStr">
        <is>
          <t>VÄSTERNORRLANDS LÄN</t>
        </is>
      </c>
      <c r="E1081" t="inlineStr">
        <is>
          <t>SOLLEFTEÅ</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3795-2022</t>
        </is>
      </c>
      <c r="B1082" s="1" t="n">
        <v>44586</v>
      </c>
      <c r="C1082" s="1" t="n">
        <v>45356</v>
      </c>
      <c r="D1082" t="inlineStr">
        <is>
          <t>VÄSTERNORRLANDS LÄN</t>
        </is>
      </c>
      <c r="E1082" t="inlineStr">
        <is>
          <t>SOLLEFTEÅ</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4018-2022</t>
        </is>
      </c>
      <c r="B1083" s="1" t="n">
        <v>44587</v>
      </c>
      <c r="C1083" s="1" t="n">
        <v>45356</v>
      </c>
      <c r="D1083" t="inlineStr">
        <is>
          <t>VÄSTERNORRLANDS LÄN</t>
        </is>
      </c>
      <c r="E1083" t="inlineStr">
        <is>
          <t>SOLLEFTEÅ</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4343-2022</t>
        </is>
      </c>
      <c r="B1084" s="1" t="n">
        <v>44588</v>
      </c>
      <c r="C1084" s="1" t="n">
        <v>45356</v>
      </c>
      <c r="D1084" t="inlineStr">
        <is>
          <t>VÄSTERNORRLANDS LÄN</t>
        </is>
      </c>
      <c r="E1084" t="inlineStr">
        <is>
          <t>SOLLEFTEÅ</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4555-2022</t>
        </is>
      </c>
      <c r="B1085" s="1" t="n">
        <v>44590</v>
      </c>
      <c r="C1085" s="1" t="n">
        <v>45356</v>
      </c>
      <c r="D1085" t="inlineStr">
        <is>
          <t>VÄSTERNORRLANDS LÄN</t>
        </is>
      </c>
      <c r="E1085" t="inlineStr">
        <is>
          <t>SOLLEFTEÅ</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5108-2022</t>
        </is>
      </c>
      <c r="B1086" s="1" t="n">
        <v>44593</v>
      </c>
      <c r="C1086" s="1" t="n">
        <v>45356</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5110-2022</t>
        </is>
      </c>
      <c r="B1087" s="1" t="n">
        <v>44593</v>
      </c>
      <c r="C1087" s="1" t="n">
        <v>45356</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5111-2022</t>
        </is>
      </c>
      <c r="B1088" s="1" t="n">
        <v>44593</v>
      </c>
      <c r="C1088" s="1" t="n">
        <v>45356</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5134-2022</t>
        </is>
      </c>
      <c r="B1089" s="1" t="n">
        <v>44594</v>
      </c>
      <c r="C1089" s="1" t="n">
        <v>45356</v>
      </c>
      <c r="D1089" t="inlineStr">
        <is>
          <t>VÄSTERNORRLANDS LÄN</t>
        </is>
      </c>
      <c r="E1089" t="inlineStr">
        <is>
          <t>SOLLEFTEÅ</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5657-2022</t>
        </is>
      </c>
      <c r="B1090" s="1" t="n">
        <v>44595</v>
      </c>
      <c r="C1090" s="1" t="n">
        <v>45356</v>
      </c>
      <c r="D1090" t="inlineStr">
        <is>
          <t>VÄSTERNORRLANDS LÄN</t>
        </is>
      </c>
      <c r="E1090" t="inlineStr">
        <is>
          <t>SOLLEFTEÅ</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5909-2022</t>
        </is>
      </c>
      <c r="B1091" s="1" t="n">
        <v>44596</v>
      </c>
      <c r="C1091" s="1" t="n">
        <v>45356</v>
      </c>
      <c r="D1091" t="inlineStr">
        <is>
          <t>VÄSTERNORRLANDS LÄN</t>
        </is>
      </c>
      <c r="E1091" t="inlineStr">
        <is>
          <t>SOLLEFTEÅ</t>
        </is>
      </c>
      <c r="F1091" t="inlineStr">
        <is>
          <t>SCA</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6121-2022</t>
        </is>
      </c>
      <c r="B1092" s="1" t="n">
        <v>44599</v>
      </c>
      <c r="C1092" s="1" t="n">
        <v>45356</v>
      </c>
      <c r="D1092" t="inlineStr">
        <is>
          <t>VÄSTERNORRLANDS LÄN</t>
        </is>
      </c>
      <c r="E1092" t="inlineStr">
        <is>
          <t>SOLLEFTEÅ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6172-2022</t>
        </is>
      </c>
      <c r="B1093" s="1" t="n">
        <v>44599</v>
      </c>
      <c r="C1093" s="1" t="n">
        <v>45356</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6170-2022</t>
        </is>
      </c>
      <c r="B1094" s="1" t="n">
        <v>44599</v>
      </c>
      <c r="C1094" s="1" t="n">
        <v>45356</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7667-2022</t>
        </is>
      </c>
      <c r="B1095" s="1" t="n">
        <v>44607</v>
      </c>
      <c r="C1095" s="1" t="n">
        <v>45356</v>
      </c>
      <c r="D1095" t="inlineStr">
        <is>
          <t>VÄSTERNORRLANDS LÄN</t>
        </is>
      </c>
      <c r="E1095" t="inlineStr">
        <is>
          <t>SOLLEFTEÅ</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7965-2022</t>
        </is>
      </c>
      <c r="B1096" s="1" t="n">
        <v>44608</v>
      </c>
      <c r="C1096" s="1" t="n">
        <v>45356</v>
      </c>
      <c r="D1096" t="inlineStr">
        <is>
          <t>VÄSTERNORRLANDS LÄN</t>
        </is>
      </c>
      <c r="E1096" t="inlineStr">
        <is>
          <t>SOLLEFTEÅ</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7963-2022</t>
        </is>
      </c>
      <c r="B1097" s="1" t="n">
        <v>44608</v>
      </c>
      <c r="C1097" s="1" t="n">
        <v>45356</v>
      </c>
      <c r="D1097" t="inlineStr">
        <is>
          <t>VÄSTERNORRLANDS LÄN</t>
        </is>
      </c>
      <c r="E1097" t="inlineStr">
        <is>
          <t>SOLLEFTEÅ</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7935-2022</t>
        </is>
      </c>
      <c r="B1098" s="1" t="n">
        <v>44608</v>
      </c>
      <c r="C1098" s="1" t="n">
        <v>45356</v>
      </c>
      <c r="D1098" t="inlineStr">
        <is>
          <t>VÄSTERNORRLANDS LÄN</t>
        </is>
      </c>
      <c r="E1098" t="inlineStr">
        <is>
          <t>SOLLEFTEÅ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7964-2022</t>
        </is>
      </c>
      <c r="B1099" s="1" t="n">
        <v>44608</v>
      </c>
      <c r="C1099" s="1" t="n">
        <v>45356</v>
      </c>
      <c r="D1099" t="inlineStr">
        <is>
          <t>VÄSTERNORRLANDS LÄN</t>
        </is>
      </c>
      <c r="E1099" t="inlineStr">
        <is>
          <t>SOLLEFTEÅ</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8221-2022</t>
        </is>
      </c>
      <c r="B1100" s="1" t="n">
        <v>44609</v>
      </c>
      <c r="C1100" s="1" t="n">
        <v>45356</v>
      </c>
      <c r="D1100" t="inlineStr">
        <is>
          <t>VÄSTERNORRLANDS LÄN</t>
        </is>
      </c>
      <c r="E1100" t="inlineStr">
        <is>
          <t>SOLLEFTEÅ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8222-2022</t>
        </is>
      </c>
      <c r="B1101" s="1" t="n">
        <v>44609</v>
      </c>
      <c r="C1101" s="1" t="n">
        <v>45356</v>
      </c>
      <c r="D1101" t="inlineStr">
        <is>
          <t>VÄSTERNORRLANDS LÄN</t>
        </is>
      </c>
      <c r="E1101" t="inlineStr">
        <is>
          <t>SOLLEFTEÅ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8728-2022</t>
        </is>
      </c>
      <c r="B1102" s="1" t="n">
        <v>44613</v>
      </c>
      <c r="C1102" s="1" t="n">
        <v>45356</v>
      </c>
      <c r="D1102" t="inlineStr">
        <is>
          <t>VÄSTERNORRLANDS LÄN</t>
        </is>
      </c>
      <c r="E1102" t="inlineStr">
        <is>
          <t>SOLLEFTEÅ</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8729-2022</t>
        </is>
      </c>
      <c r="B1103" s="1" t="n">
        <v>44613</v>
      </c>
      <c r="C1103" s="1" t="n">
        <v>45356</v>
      </c>
      <c r="D1103" t="inlineStr">
        <is>
          <t>VÄSTERNORRLANDS LÄN</t>
        </is>
      </c>
      <c r="E1103" t="inlineStr">
        <is>
          <t>SOLLEFTEÅ</t>
        </is>
      </c>
      <c r="F1103" t="inlineStr">
        <is>
          <t>SCA</t>
        </is>
      </c>
      <c r="G1103" t="n">
        <v>16.5</v>
      </c>
      <c r="H1103" t="n">
        <v>0</v>
      </c>
      <c r="I1103" t="n">
        <v>0</v>
      </c>
      <c r="J1103" t="n">
        <v>0</v>
      </c>
      <c r="K1103" t="n">
        <v>0</v>
      </c>
      <c r="L1103" t="n">
        <v>0</v>
      </c>
      <c r="M1103" t="n">
        <v>0</v>
      </c>
      <c r="N1103" t="n">
        <v>0</v>
      </c>
      <c r="O1103" t="n">
        <v>0</v>
      </c>
      <c r="P1103" t="n">
        <v>0</v>
      </c>
      <c r="Q1103" t="n">
        <v>0</v>
      </c>
      <c r="R1103" s="2" t="inlineStr"/>
    </row>
    <row r="1104" ht="15" customHeight="1">
      <c r="A1104" t="inlineStr">
        <is>
          <t>A 8734-2022</t>
        </is>
      </c>
      <c r="B1104" s="1" t="n">
        <v>44613</v>
      </c>
      <c r="C1104" s="1" t="n">
        <v>45356</v>
      </c>
      <c r="D1104" t="inlineStr">
        <is>
          <t>VÄSTERNORRLANDS LÄN</t>
        </is>
      </c>
      <c r="E1104" t="inlineStr">
        <is>
          <t>SOLLEFTEÅ</t>
        </is>
      </c>
      <c r="F1104" t="inlineStr">
        <is>
          <t>SCA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9124-2022</t>
        </is>
      </c>
      <c r="B1105" s="1" t="n">
        <v>44615</v>
      </c>
      <c r="C1105" s="1" t="n">
        <v>45356</v>
      </c>
      <c r="D1105" t="inlineStr">
        <is>
          <t>VÄSTERNORRLANDS LÄN</t>
        </is>
      </c>
      <c r="E1105" t="inlineStr">
        <is>
          <t>SOLLEFTEÅ</t>
        </is>
      </c>
      <c r="G1105" t="n">
        <v>20.2</v>
      </c>
      <c r="H1105" t="n">
        <v>0</v>
      </c>
      <c r="I1105" t="n">
        <v>0</v>
      </c>
      <c r="J1105" t="n">
        <v>0</v>
      </c>
      <c r="K1105" t="n">
        <v>0</v>
      </c>
      <c r="L1105" t="n">
        <v>0</v>
      </c>
      <c r="M1105" t="n">
        <v>0</v>
      </c>
      <c r="N1105" t="n">
        <v>0</v>
      </c>
      <c r="O1105" t="n">
        <v>0</v>
      </c>
      <c r="P1105" t="n">
        <v>0</v>
      </c>
      <c r="Q1105" t="n">
        <v>0</v>
      </c>
      <c r="R1105" s="2" t="inlineStr"/>
    </row>
    <row r="1106" ht="15" customHeight="1">
      <c r="A1106" t="inlineStr">
        <is>
          <t>A 9487-2022</t>
        </is>
      </c>
      <c r="B1106" s="1" t="n">
        <v>44616</v>
      </c>
      <c r="C1106" s="1" t="n">
        <v>45356</v>
      </c>
      <c r="D1106" t="inlineStr">
        <is>
          <t>VÄSTERNORRLANDS LÄN</t>
        </is>
      </c>
      <c r="E1106" t="inlineStr">
        <is>
          <t>SOLLEFTEÅ</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9586-2022</t>
        </is>
      </c>
      <c r="B1107" s="1" t="n">
        <v>44617</v>
      </c>
      <c r="C1107" s="1" t="n">
        <v>45356</v>
      </c>
      <c r="D1107" t="inlineStr">
        <is>
          <t>VÄSTERNORRLANDS LÄN</t>
        </is>
      </c>
      <c r="E1107" t="inlineStr">
        <is>
          <t>SOLLEFTEÅ</t>
        </is>
      </c>
      <c r="F1107" t="inlineStr">
        <is>
          <t>Övriga Aktiebolag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10138-2022</t>
        </is>
      </c>
      <c r="B1108" s="1" t="n">
        <v>44621</v>
      </c>
      <c r="C1108" s="1" t="n">
        <v>45356</v>
      </c>
      <c r="D1108" t="inlineStr">
        <is>
          <t>VÄSTERNORRLANDS LÄN</t>
        </is>
      </c>
      <c r="E1108" t="inlineStr">
        <is>
          <t>SOLLEFTEÅ</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10139-2022</t>
        </is>
      </c>
      <c r="B1109" s="1" t="n">
        <v>44621</v>
      </c>
      <c r="C1109" s="1" t="n">
        <v>45356</v>
      </c>
      <c r="D1109" t="inlineStr">
        <is>
          <t>VÄSTERNORRLANDS LÄN</t>
        </is>
      </c>
      <c r="E1109" t="inlineStr">
        <is>
          <t>SOLLEFTEÅ</t>
        </is>
      </c>
      <c r="F1109" t="inlineStr">
        <is>
          <t>SCA</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10140-2022</t>
        </is>
      </c>
      <c r="B1110" s="1" t="n">
        <v>44621</v>
      </c>
      <c r="C1110" s="1" t="n">
        <v>45356</v>
      </c>
      <c r="D1110" t="inlineStr">
        <is>
          <t>VÄSTERNORRLANDS LÄN</t>
        </is>
      </c>
      <c r="E1110" t="inlineStr">
        <is>
          <t>SOLLEFTEÅ</t>
        </is>
      </c>
      <c r="F1110" t="inlineStr">
        <is>
          <t>SCA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10141-2022</t>
        </is>
      </c>
      <c r="B1111" s="1" t="n">
        <v>44621</v>
      </c>
      <c r="C1111" s="1" t="n">
        <v>45356</v>
      </c>
      <c r="D1111" t="inlineStr">
        <is>
          <t>VÄSTERNORRLANDS LÄN</t>
        </is>
      </c>
      <c r="E1111" t="inlineStr">
        <is>
          <t>SOLLEFTEÅ</t>
        </is>
      </c>
      <c r="F1111" t="inlineStr">
        <is>
          <t>SCA</t>
        </is>
      </c>
      <c r="G1111" t="n">
        <v>15.5</v>
      </c>
      <c r="H1111" t="n">
        <v>0</v>
      </c>
      <c r="I1111" t="n">
        <v>0</v>
      </c>
      <c r="J1111" t="n">
        <v>0</v>
      </c>
      <c r="K1111" t="n">
        <v>0</v>
      </c>
      <c r="L1111" t="n">
        <v>0</v>
      </c>
      <c r="M1111" t="n">
        <v>0</v>
      </c>
      <c r="N1111" t="n">
        <v>0</v>
      </c>
      <c r="O1111" t="n">
        <v>0</v>
      </c>
      <c r="P1111" t="n">
        <v>0</v>
      </c>
      <c r="Q1111" t="n">
        <v>0</v>
      </c>
      <c r="R1111" s="2" t="inlineStr"/>
    </row>
    <row r="1112" ht="15" customHeight="1">
      <c r="A1112" t="inlineStr">
        <is>
          <t>A 10198-2022</t>
        </is>
      </c>
      <c r="B1112" s="1" t="n">
        <v>44622</v>
      </c>
      <c r="C1112" s="1" t="n">
        <v>45356</v>
      </c>
      <c r="D1112" t="inlineStr">
        <is>
          <t>VÄSTERNORRLANDS LÄN</t>
        </is>
      </c>
      <c r="E1112" t="inlineStr">
        <is>
          <t>SOLLEFTEÅ</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10242-2022</t>
        </is>
      </c>
      <c r="B1113" s="1" t="n">
        <v>44622</v>
      </c>
      <c r="C1113" s="1" t="n">
        <v>45356</v>
      </c>
      <c r="D1113" t="inlineStr">
        <is>
          <t>VÄSTERNORRLANDS LÄN</t>
        </is>
      </c>
      <c r="E1113" t="inlineStr">
        <is>
          <t>SOLLEFTEÅ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10308-2022</t>
        </is>
      </c>
      <c r="B1114" s="1" t="n">
        <v>44622</v>
      </c>
      <c r="C1114" s="1" t="n">
        <v>45356</v>
      </c>
      <c r="D1114" t="inlineStr">
        <is>
          <t>VÄSTERNORRLANDS LÄN</t>
        </is>
      </c>
      <c r="E1114" t="inlineStr">
        <is>
          <t>SOLLEFTEÅ</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10250-2022</t>
        </is>
      </c>
      <c r="B1115" s="1" t="n">
        <v>44622</v>
      </c>
      <c r="C1115" s="1" t="n">
        <v>45356</v>
      </c>
      <c r="D1115" t="inlineStr">
        <is>
          <t>VÄSTERNORRLANDS LÄN</t>
        </is>
      </c>
      <c r="E1115" t="inlineStr">
        <is>
          <t>SOLLEFTEÅ</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10310-2022</t>
        </is>
      </c>
      <c r="B1116" s="1" t="n">
        <v>44622</v>
      </c>
      <c r="C1116" s="1" t="n">
        <v>45356</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10307-2022</t>
        </is>
      </c>
      <c r="B1117" s="1" t="n">
        <v>44622</v>
      </c>
      <c r="C1117" s="1" t="n">
        <v>45356</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10311-2022</t>
        </is>
      </c>
      <c r="B1118" s="1" t="n">
        <v>44622</v>
      </c>
      <c r="C1118" s="1" t="n">
        <v>45356</v>
      </c>
      <c r="D1118" t="inlineStr">
        <is>
          <t>VÄSTERNORRLANDS LÄN</t>
        </is>
      </c>
      <c r="E1118" t="inlineStr">
        <is>
          <t>SOLLEFTEÅ</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10309-2022</t>
        </is>
      </c>
      <c r="B1119" s="1" t="n">
        <v>44622</v>
      </c>
      <c r="C1119" s="1" t="n">
        <v>45356</v>
      </c>
      <c r="D1119" t="inlineStr">
        <is>
          <t>VÄSTERNORRLANDS LÄN</t>
        </is>
      </c>
      <c r="E1119" t="inlineStr">
        <is>
          <t>SOLLEFTEÅ</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10314-2022</t>
        </is>
      </c>
      <c r="B1120" s="1" t="n">
        <v>44622</v>
      </c>
      <c r="C1120" s="1" t="n">
        <v>45356</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10417-2022</t>
        </is>
      </c>
      <c r="B1121" s="1" t="n">
        <v>44623</v>
      </c>
      <c r="C1121" s="1" t="n">
        <v>45356</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10924-2022</t>
        </is>
      </c>
      <c r="B1122" s="1" t="n">
        <v>44627</v>
      </c>
      <c r="C1122" s="1" t="n">
        <v>45356</v>
      </c>
      <c r="D1122" t="inlineStr">
        <is>
          <t>VÄSTERNORRLANDS LÄN</t>
        </is>
      </c>
      <c r="E1122" t="inlineStr">
        <is>
          <t>SOLLEFTEÅ</t>
        </is>
      </c>
      <c r="F1122" t="inlineStr">
        <is>
          <t>SCA</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10926-2022</t>
        </is>
      </c>
      <c r="B1123" s="1" t="n">
        <v>44627</v>
      </c>
      <c r="C1123" s="1" t="n">
        <v>45356</v>
      </c>
      <c r="D1123" t="inlineStr">
        <is>
          <t>VÄSTERNORRLANDS LÄN</t>
        </is>
      </c>
      <c r="E1123" t="inlineStr">
        <is>
          <t>SOLLEFTEÅ</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10925-2022</t>
        </is>
      </c>
      <c r="B1124" s="1" t="n">
        <v>44627</v>
      </c>
      <c r="C1124" s="1" t="n">
        <v>45356</v>
      </c>
      <c r="D1124" t="inlineStr">
        <is>
          <t>VÄSTERNORRLANDS LÄN</t>
        </is>
      </c>
      <c r="E1124" t="inlineStr">
        <is>
          <t>SOLLEFTEÅ</t>
        </is>
      </c>
      <c r="F1124" t="inlineStr">
        <is>
          <t>SCA</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10927-2022</t>
        </is>
      </c>
      <c r="B1125" s="1" t="n">
        <v>44627</v>
      </c>
      <c r="C1125" s="1" t="n">
        <v>45356</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11117-2022</t>
        </is>
      </c>
      <c r="B1126" s="1" t="n">
        <v>44628</v>
      </c>
      <c r="C1126" s="1" t="n">
        <v>45356</v>
      </c>
      <c r="D1126" t="inlineStr">
        <is>
          <t>VÄSTERNORRLANDS LÄN</t>
        </is>
      </c>
      <c r="E1126" t="inlineStr">
        <is>
          <t>SOLLEFTEÅ</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11131-2022</t>
        </is>
      </c>
      <c r="B1127" s="1" t="n">
        <v>44628</v>
      </c>
      <c r="C1127" s="1" t="n">
        <v>45356</v>
      </c>
      <c r="D1127" t="inlineStr">
        <is>
          <t>VÄSTERNORRLANDS LÄN</t>
        </is>
      </c>
      <c r="E1127" t="inlineStr">
        <is>
          <t>SOLLEFTEÅ</t>
        </is>
      </c>
      <c r="F1127" t="inlineStr">
        <is>
          <t>SCA</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11133-2022</t>
        </is>
      </c>
      <c r="B1128" s="1" t="n">
        <v>44628</v>
      </c>
      <c r="C1128" s="1" t="n">
        <v>45356</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11125-2022</t>
        </is>
      </c>
      <c r="B1129" s="1" t="n">
        <v>44628</v>
      </c>
      <c r="C1129" s="1" t="n">
        <v>45356</v>
      </c>
      <c r="D1129" t="inlineStr">
        <is>
          <t>VÄSTERNORRLANDS LÄN</t>
        </is>
      </c>
      <c r="E1129" t="inlineStr">
        <is>
          <t>SOLLEFTEÅ</t>
        </is>
      </c>
      <c r="F1129" t="inlineStr">
        <is>
          <t>SCA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11241-2022</t>
        </is>
      </c>
      <c r="B1130" s="1" t="n">
        <v>44629</v>
      </c>
      <c r="C1130" s="1" t="n">
        <v>45356</v>
      </c>
      <c r="D1130" t="inlineStr">
        <is>
          <t>VÄSTERNORRLANDS LÄN</t>
        </is>
      </c>
      <c r="E1130" t="inlineStr">
        <is>
          <t>SOLLEFTEÅ</t>
        </is>
      </c>
      <c r="F1130" t="inlineStr">
        <is>
          <t>Kommuner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11318-2022</t>
        </is>
      </c>
      <c r="B1131" s="1" t="n">
        <v>44629</v>
      </c>
      <c r="C1131" s="1" t="n">
        <v>45356</v>
      </c>
      <c r="D1131" t="inlineStr">
        <is>
          <t>VÄSTERNORRLANDS LÄN</t>
        </is>
      </c>
      <c r="E1131" t="inlineStr">
        <is>
          <t>SOLLEFTEÅ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11475-2022</t>
        </is>
      </c>
      <c r="B1132" s="1" t="n">
        <v>44630</v>
      </c>
      <c r="C1132" s="1" t="n">
        <v>45356</v>
      </c>
      <c r="D1132" t="inlineStr">
        <is>
          <t>VÄSTERNORRLANDS LÄN</t>
        </is>
      </c>
      <c r="E1132" t="inlineStr">
        <is>
          <t>SOLLEFTEÅ</t>
        </is>
      </c>
      <c r="G1132" t="n">
        <v>18.7</v>
      </c>
      <c r="H1132" t="n">
        <v>0</v>
      </c>
      <c r="I1132" t="n">
        <v>0</v>
      </c>
      <c r="J1132" t="n">
        <v>0</v>
      </c>
      <c r="K1132" t="n">
        <v>0</v>
      </c>
      <c r="L1132" t="n">
        <v>0</v>
      </c>
      <c r="M1132" t="n">
        <v>0</v>
      </c>
      <c r="N1132" t="n">
        <v>0</v>
      </c>
      <c r="O1132" t="n">
        <v>0</v>
      </c>
      <c r="P1132" t="n">
        <v>0</v>
      </c>
      <c r="Q1132" t="n">
        <v>0</v>
      </c>
      <c r="R1132" s="2" t="inlineStr"/>
    </row>
    <row r="1133" ht="15" customHeight="1">
      <c r="A1133" t="inlineStr">
        <is>
          <t>A 11484-2022</t>
        </is>
      </c>
      <c r="B1133" s="1" t="n">
        <v>44630</v>
      </c>
      <c r="C1133" s="1" t="n">
        <v>45356</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11474-2022</t>
        </is>
      </c>
      <c r="B1134" s="1" t="n">
        <v>44630</v>
      </c>
      <c r="C1134" s="1" t="n">
        <v>45356</v>
      </c>
      <c r="D1134" t="inlineStr">
        <is>
          <t>VÄSTERNORRLANDS LÄN</t>
        </is>
      </c>
      <c r="E1134" t="inlineStr">
        <is>
          <t>SOLLEFTEÅ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11483-2022</t>
        </is>
      </c>
      <c r="B1135" s="1" t="n">
        <v>44630</v>
      </c>
      <c r="C1135" s="1" t="n">
        <v>45356</v>
      </c>
      <c r="D1135" t="inlineStr">
        <is>
          <t>VÄSTERNORRLANDS LÄN</t>
        </is>
      </c>
      <c r="E1135" t="inlineStr">
        <is>
          <t>SOLLEFTEÅ</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11652-2022</t>
        </is>
      </c>
      <c r="B1136" s="1" t="n">
        <v>44631</v>
      </c>
      <c r="C1136" s="1" t="n">
        <v>45356</v>
      </c>
      <c r="D1136" t="inlineStr">
        <is>
          <t>VÄSTERNORRLANDS LÄN</t>
        </is>
      </c>
      <c r="E1136" t="inlineStr">
        <is>
          <t>SOLLEFTEÅ</t>
        </is>
      </c>
      <c r="F1136" t="inlineStr">
        <is>
          <t>SCA</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11656-2022</t>
        </is>
      </c>
      <c r="B1137" s="1" t="n">
        <v>44631</v>
      </c>
      <c r="C1137" s="1" t="n">
        <v>45356</v>
      </c>
      <c r="D1137" t="inlineStr">
        <is>
          <t>VÄSTERNORRLANDS LÄN</t>
        </is>
      </c>
      <c r="E1137" t="inlineStr">
        <is>
          <t>SOLLEFTEÅ</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11653-2022</t>
        </is>
      </c>
      <c r="B1138" s="1" t="n">
        <v>44631</v>
      </c>
      <c r="C1138" s="1" t="n">
        <v>45356</v>
      </c>
      <c r="D1138" t="inlineStr">
        <is>
          <t>VÄSTERNORRLANDS LÄN</t>
        </is>
      </c>
      <c r="E1138" t="inlineStr">
        <is>
          <t>SOLLEFTEÅ</t>
        </is>
      </c>
      <c r="F1138" t="inlineStr">
        <is>
          <t>SCA</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11677-2022</t>
        </is>
      </c>
      <c r="B1139" s="1" t="n">
        <v>44633</v>
      </c>
      <c r="C1139" s="1" t="n">
        <v>45356</v>
      </c>
      <c r="D1139" t="inlineStr">
        <is>
          <t>VÄSTERNORRLANDS LÄN</t>
        </is>
      </c>
      <c r="E1139" t="inlineStr">
        <is>
          <t>SOLLEFTEÅ</t>
        </is>
      </c>
      <c r="F1139" t="inlineStr">
        <is>
          <t>SCA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11842-2022</t>
        </is>
      </c>
      <c r="B1140" s="1" t="n">
        <v>44634</v>
      </c>
      <c r="C1140" s="1" t="n">
        <v>45356</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11845-2022</t>
        </is>
      </c>
      <c r="B1141" s="1" t="n">
        <v>44634</v>
      </c>
      <c r="C1141" s="1" t="n">
        <v>45356</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11846-2022</t>
        </is>
      </c>
      <c r="B1142" s="1" t="n">
        <v>44634</v>
      </c>
      <c r="C1142" s="1" t="n">
        <v>45356</v>
      </c>
      <c r="D1142" t="inlineStr">
        <is>
          <t>VÄSTERNORRLANDS LÄN</t>
        </is>
      </c>
      <c r="E1142" t="inlineStr">
        <is>
          <t>SOLLEFTEÅ</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11870-2022</t>
        </is>
      </c>
      <c r="B1143" s="1" t="n">
        <v>44635</v>
      </c>
      <c r="C1143" s="1" t="n">
        <v>45356</v>
      </c>
      <c r="D1143" t="inlineStr">
        <is>
          <t>VÄSTERNORRLANDS LÄN</t>
        </is>
      </c>
      <c r="E1143" t="inlineStr">
        <is>
          <t>SOLLEFTEÅ</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11874-2022</t>
        </is>
      </c>
      <c r="B1144" s="1" t="n">
        <v>44635</v>
      </c>
      <c r="C1144" s="1" t="n">
        <v>45356</v>
      </c>
      <c r="D1144" t="inlineStr">
        <is>
          <t>VÄSTERNORRLANDS LÄN</t>
        </is>
      </c>
      <c r="E1144" t="inlineStr">
        <is>
          <t>SOLLEFTEÅ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12007-2022</t>
        </is>
      </c>
      <c r="B1145" s="1" t="n">
        <v>44635</v>
      </c>
      <c r="C1145" s="1" t="n">
        <v>45356</v>
      </c>
      <c r="D1145" t="inlineStr">
        <is>
          <t>VÄSTERNORRLANDS LÄN</t>
        </is>
      </c>
      <c r="E1145" t="inlineStr">
        <is>
          <t>SOLLEFTEÅ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12001-2022</t>
        </is>
      </c>
      <c r="B1146" s="1" t="n">
        <v>44635</v>
      </c>
      <c r="C1146" s="1" t="n">
        <v>45356</v>
      </c>
      <c r="D1146" t="inlineStr">
        <is>
          <t>VÄSTERNORRLANDS LÄN</t>
        </is>
      </c>
      <c r="E1146" t="inlineStr">
        <is>
          <t>SOLLEFTEÅ</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12006-2022</t>
        </is>
      </c>
      <c r="B1147" s="1" t="n">
        <v>44635</v>
      </c>
      <c r="C1147" s="1" t="n">
        <v>45356</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12022-2022</t>
        </is>
      </c>
      <c r="B1148" s="1" t="n">
        <v>44635</v>
      </c>
      <c r="C1148" s="1" t="n">
        <v>45356</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12191-2022</t>
        </is>
      </c>
      <c r="B1149" s="1" t="n">
        <v>44636</v>
      </c>
      <c r="C1149" s="1" t="n">
        <v>45356</v>
      </c>
      <c r="D1149" t="inlineStr">
        <is>
          <t>VÄSTERNORRLANDS LÄN</t>
        </is>
      </c>
      <c r="E1149" t="inlineStr">
        <is>
          <t>SOLLEFTEÅ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12201-2022</t>
        </is>
      </c>
      <c r="B1150" s="1" t="n">
        <v>44636</v>
      </c>
      <c r="C1150" s="1" t="n">
        <v>45356</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12395-2022</t>
        </is>
      </c>
      <c r="B1151" s="1" t="n">
        <v>44637</v>
      </c>
      <c r="C1151" s="1" t="n">
        <v>45356</v>
      </c>
      <c r="D1151" t="inlineStr">
        <is>
          <t>VÄSTERNORRLANDS LÄN</t>
        </is>
      </c>
      <c r="E1151" t="inlineStr">
        <is>
          <t>SOLLEFTEÅ</t>
        </is>
      </c>
      <c r="F1151" t="inlineStr">
        <is>
          <t>SCA</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12561-2022</t>
        </is>
      </c>
      <c r="B1152" s="1" t="n">
        <v>44638</v>
      </c>
      <c r="C1152" s="1" t="n">
        <v>45356</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12565-2022</t>
        </is>
      </c>
      <c r="B1153" s="1" t="n">
        <v>44638</v>
      </c>
      <c r="C1153" s="1" t="n">
        <v>45356</v>
      </c>
      <c r="D1153" t="inlineStr">
        <is>
          <t>VÄSTERNORRLANDS LÄN</t>
        </is>
      </c>
      <c r="E1153" t="inlineStr">
        <is>
          <t>SOLLEFTEÅ</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12572-2022</t>
        </is>
      </c>
      <c r="B1154" s="1" t="n">
        <v>44638</v>
      </c>
      <c r="C1154" s="1" t="n">
        <v>45356</v>
      </c>
      <c r="D1154" t="inlineStr">
        <is>
          <t>VÄSTERNORRLANDS LÄN</t>
        </is>
      </c>
      <c r="E1154" t="inlineStr">
        <is>
          <t>SOLLEFTEÅ</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12564-2022</t>
        </is>
      </c>
      <c r="B1155" s="1" t="n">
        <v>44638</v>
      </c>
      <c r="C1155" s="1" t="n">
        <v>45356</v>
      </c>
      <c r="D1155" t="inlineStr">
        <is>
          <t>VÄSTERNORRLANDS LÄN</t>
        </is>
      </c>
      <c r="E1155" t="inlineStr">
        <is>
          <t>SOLLEFTEÅ</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12568-2022</t>
        </is>
      </c>
      <c r="B1156" s="1" t="n">
        <v>44638</v>
      </c>
      <c r="C1156" s="1" t="n">
        <v>45356</v>
      </c>
      <c r="D1156" t="inlineStr">
        <is>
          <t>VÄSTERNORRLANDS LÄN</t>
        </is>
      </c>
      <c r="E1156" t="inlineStr">
        <is>
          <t>SOLLEFTEÅ</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12557-2022</t>
        </is>
      </c>
      <c r="B1157" s="1" t="n">
        <v>44638</v>
      </c>
      <c r="C1157" s="1" t="n">
        <v>45356</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12563-2022</t>
        </is>
      </c>
      <c r="B1158" s="1" t="n">
        <v>44638</v>
      </c>
      <c r="C1158" s="1" t="n">
        <v>45356</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12567-2022</t>
        </is>
      </c>
      <c r="B1159" s="1" t="n">
        <v>44638</v>
      </c>
      <c r="C1159" s="1" t="n">
        <v>45356</v>
      </c>
      <c r="D1159" t="inlineStr">
        <is>
          <t>VÄSTERNORRLANDS LÄN</t>
        </is>
      </c>
      <c r="E1159" t="inlineStr">
        <is>
          <t>SOLLEFTEÅ</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12562-2022</t>
        </is>
      </c>
      <c r="B1160" s="1" t="n">
        <v>44638</v>
      </c>
      <c r="C1160" s="1" t="n">
        <v>45356</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12566-2022</t>
        </is>
      </c>
      <c r="B1161" s="1" t="n">
        <v>44638</v>
      </c>
      <c r="C1161" s="1" t="n">
        <v>45356</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12758-2022</t>
        </is>
      </c>
      <c r="B1162" s="1" t="n">
        <v>44641</v>
      </c>
      <c r="C1162" s="1" t="n">
        <v>45356</v>
      </c>
      <c r="D1162" t="inlineStr">
        <is>
          <t>VÄSTERNORRLANDS LÄN</t>
        </is>
      </c>
      <c r="E1162" t="inlineStr">
        <is>
          <t>SOLLEFTEÅ</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12764-2022</t>
        </is>
      </c>
      <c r="B1163" s="1" t="n">
        <v>44641</v>
      </c>
      <c r="C1163" s="1" t="n">
        <v>45356</v>
      </c>
      <c r="D1163" t="inlineStr">
        <is>
          <t>VÄSTERNORRLANDS LÄN</t>
        </is>
      </c>
      <c r="E1163" t="inlineStr">
        <is>
          <t>SOLLEFTEÅ</t>
        </is>
      </c>
      <c r="F1163" t="inlineStr">
        <is>
          <t>SCA</t>
        </is>
      </c>
      <c r="G1163" t="n">
        <v>13.7</v>
      </c>
      <c r="H1163" t="n">
        <v>0</v>
      </c>
      <c r="I1163" t="n">
        <v>0</v>
      </c>
      <c r="J1163" t="n">
        <v>0</v>
      </c>
      <c r="K1163" t="n">
        <v>0</v>
      </c>
      <c r="L1163" t="n">
        <v>0</v>
      </c>
      <c r="M1163" t="n">
        <v>0</v>
      </c>
      <c r="N1163" t="n">
        <v>0</v>
      </c>
      <c r="O1163" t="n">
        <v>0</v>
      </c>
      <c r="P1163" t="n">
        <v>0</v>
      </c>
      <c r="Q1163" t="n">
        <v>0</v>
      </c>
      <c r="R1163" s="2" t="inlineStr"/>
    </row>
    <row r="1164" ht="15" customHeight="1">
      <c r="A1164" t="inlineStr">
        <is>
          <t>A 12774-2022</t>
        </is>
      </c>
      <c r="B1164" s="1" t="n">
        <v>44641</v>
      </c>
      <c r="C1164" s="1" t="n">
        <v>45356</v>
      </c>
      <c r="D1164" t="inlineStr">
        <is>
          <t>VÄSTERNORRLANDS LÄN</t>
        </is>
      </c>
      <c r="E1164" t="inlineStr">
        <is>
          <t>SOLLEFTEÅ</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13300-2022</t>
        </is>
      </c>
      <c r="B1165" s="1" t="n">
        <v>44644</v>
      </c>
      <c r="C1165" s="1" t="n">
        <v>45356</v>
      </c>
      <c r="D1165" t="inlineStr">
        <is>
          <t>VÄSTERNORRLANDS LÄN</t>
        </is>
      </c>
      <c r="E1165" t="inlineStr">
        <is>
          <t>SOLLEFTEÅ</t>
        </is>
      </c>
      <c r="F1165" t="inlineStr">
        <is>
          <t>SCA</t>
        </is>
      </c>
      <c r="G1165" t="n">
        <v>9.9</v>
      </c>
      <c r="H1165" t="n">
        <v>0</v>
      </c>
      <c r="I1165" t="n">
        <v>0</v>
      </c>
      <c r="J1165" t="n">
        <v>0</v>
      </c>
      <c r="K1165" t="n">
        <v>0</v>
      </c>
      <c r="L1165" t="n">
        <v>0</v>
      </c>
      <c r="M1165" t="n">
        <v>0</v>
      </c>
      <c r="N1165" t="n">
        <v>0</v>
      </c>
      <c r="O1165" t="n">
        <v>0</v>
      </c>
      <c r="P1165" t="n">
        <v>0</v>
      </c>
      <c r="Q1165" t="n">
        <v>0</v>
      </c>
      <c r="R1165" s="2" t="inlineStr"/>
    </row>
    <row r="1166" ht="15" customHeight="1">
      <c r="A1166" t="inlineStr">
        <is>
          <t>A 13311-2022</t>
        </is>
      </c>
      <c r="B1166" s="1" t="n">
        <v>44644</v>
      </c>
      <c r="C1166" s="1" t="n">
        <v>45356</v>
      </c>
      <c r="D1166" t="inlineStr">
        <is>
          <t>VÄSTERNORRLANDS LÄN</t>
        </is>
      </c>
      <c r="E1166" t="inlineStr">
        <is>
          <t>SOLLEFTEÅ</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13309-2022</t>
        </is>
      </c>
      <c r="B1167" s="1" t="n">
        <v>44644</v>
      </c>
      <c r="C1167" s="1" t="n">
        <v>45356</v>
      </c>
      <c r="D1167" t="inlineStr">
        <is>
          <t>VÄSTERNORRLANDS LÄN</t>
        </is>
      </c>
      <c r="E1167" t="inlineStr">
        <is>
          <t>SOLLEFTEÅ</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13492-2022</t>
        </is>
      </c>
      <c r="B1168" s="1" t="n">
        <v>44646</v>
      </c>
      <c r="C1168" s="1" t="n">
        <v>45356</v>
      </c>
      <c r="D1168" t="inlineStr">
        <is>
          <t>VÄSTERNORRLANDS LÄN</t>
        </is>
      </c>
      <c r="E1168" t="inlineStr">
        <is>
          <t>SOLLEFTEÅ</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13598-2022</t>
        </is>
      </c>
      <c r="B1169" s="1" t="n">
        <v>44648</v>
      </c>
      <c r="C1169" s="1" t="n">
        <v>45356</v>
      </c>
      <c r="D1169" t="inlineStr">
        <is>
          <t>VÄSTERNORRLANDS LÄN</t>
        </is>
      </c>
      <c r="E1169" t="inlineStr">
        <is>
          <t>SOLLEFTEÅ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13658-2022</t>
        </is>
      </c>
      <c r="B1170" s="1" t="n">
        <v>44648</v>
      </c>
      <c r="C1170" s="1" t="n">
        <v>45356</v>
      </c>
      <c r="D1170" t="inlineStr">
        <is>
          <t>VÄSTERNORRLANDS LÄN</t>
        </is>
      </c>
      <c r="E1170" t="inlineStr">
        <is>
          <t>SOLLEFTEÅ</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13710-2022</t>
        </is>
      </c>
      <c r="B1171" s="1" t="n">
        <v>44649</v>
      </c>
      <c r="C1171" s="1" t="n">
        <v>45356</v>
      </c>
      <c r="D1171" t="inlineStr">
        <is>
          <t>VÄSTERNORRLANDS LÄN</t>
        </is>
      </c>
      <c r="E1171" t="inlineStr">
        <is>
          <t>SOLLEFTEÅ</t>
        </is>
      </c>
      <c r="F1171" t="inlineStr">
        <is>
          <t>SCA</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14061-2022</t>
        </is>
      </c>
      <c r="B1172" s="1" t="n">
        <v>44651</v>
      </c>
      <c r="C1172" s="1" t="n">
        <v>45356</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14066-2022</t>
        </is>
      </c>
      <c r="B1173" s="1" t="n">
        <v>44650</v>
      </c>
      <c r="C1173" s="1" t="n">
        <v>45356</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14058-2022</t>
        </is>
      </c>
      <c r="B1174" s="1" t="n">
        <v>44651</v>
      </c>
      <c r="C1174" s="1" t="n">
        <v>45356</v>
      </c>
      <c r="D1174" t="inlineStr">
        <is>
          <t>VÄSTERNORRLANDS LÄN</t>
        </is>
      </c>
      <c r="E1174" t="inlineStr">
        <is>
          <t>SOLLEFTEÅ</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14063-2022</t>
        </is>
      </c>
      <c r="B1175" s="1" t="n">
        <v>44651</v>
      </c>
      <c r="C1175" s="1" t="n">
        <v>45356</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14055-2022</t>
        </is>
      </c>
      <c r="B1176" s="1" t="n">
        <v>44651</v>
      </c>
      <c r="C1176" s="1" t="n">
        <v>45356</v>
      </c>
      <c r="D1176" t="inlineStr">
        <is>
          <t>VÄSTERNORRLANDS LÄN</t>
        </is>
      </c>
      <c r="E1176" t="inlineStr">
        <is>
          <t>SOLLEFTEÅ</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14060-2022</t>
        </is>
      </c>
      <c r="B1177" s="1" t="n">
        <v>44651</v>
      </c>
      <c r="C1177" s="1" t="n">
        <v>45356</v>
      </c>
      <c r="D1177" t="inlineStr">
        <is>
          <t>VÄSTERNORRLANDS LÄN</t>
        </is>
      </c>
      <c r="E1177" t="inlineStr">
        <is>
          <t>SOLLEFTEÅ</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14065-2022</t>
        </is>
      </c>
      <c r="B1178" s="1" t="n">
        <v>44650</v>
      </c>
      <c r="C1178" s="1" t="n">
        <v>45356</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14059-2022</t>
        </is>
      </c>
      <c r="B1179" s="1" t="n">
        <v>44651</v>
      </c>
      <c r="C1179" s="1" t="n">
        <v>45356</v>
      </c>
      <c r="D1179" t="inlineStr">
        <is>
          <t>VÄSTERNORRLANDS LÄN</t>
        </is>
      </c>
      <c r="E1179" t="inlineStr">
        <is>
          <t>SOLLEFTEÅ</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14064-2022</t>
        </is>
      </c>
      <c r="B1180" s="1" t="n">
        <v>44651</v>
      </c>
      <c r="C1180" s="1" t="n">
        <v>45356</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14276-2022</t>
        </is>
      </c>
      <c r="B1181" s="1" t="n">
        <v>44652</v>
      </c>
      <c r="C1181" s="1" t="n">
        <v>45356</v>
      </c>
      <c r="D1181" t="inlineStr">
        <is>
          <t>VÄSTERNORRLANDS LÄN</t>
        </is>
      </c>
      <c r="E1181" t="inlineStr">
        <is>
          <t>SOLLEFTEÅ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14297-2022</t>
        </is>
      </c>
      <c r="B1182" s="1" t="n">
        <v>44651</v>
      </c>
      <c r="C1182" s="1" t="n">
        <v>45356</v>
      </c>
      <c r="D1182" t="inlineStr">
        <is>
          <t>VÄSTERNORRLANDS LÄN</t>
        </is>
      </c>
      <c r="E1182" t="inlineStr">
        <is>
          <t>SOLLEFTEÅ</t>
        </is>
      </c>
      <c r="F1182" t="inlineStr">
        <is>
          <t>SCA</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14300-2022</t>
        </is>
      </c>
      <c r="B1183" s="1" t="n">
        <v>44652</v>
      </c>
      <c r="C1183" s="1" t="n">
        <v>45356</v>
      </c>
      <c r="D1183" t="inlineStr">
        <is>
          <t>VÄSTERNORRLANDS LÄN</t>
        </is>
      </c>
      <c r="E1183" t="inlineStr">
        <is>
          <t>SOLLEFTEÅ</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14308-2022</t>
        </is>
      </c>
      <c r="B1184" s="1" t="n">
        <v>44652</v>
      </c>
      <c r="C1184" s="1" t="n">
        <v>45356</v>
      </c>
      <c r="D1184" t="inlineStr">
        <is>
          <t>VÄSTERNORRLANDS LÄN</t>
        </is>
      </c>
      <c r="E1184" t="inlineStr">
        <is>
          <t>SOLLEFTEÅ</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14275-2022</t>
        </is>
      </c>
      <c r="B1185" s="1" t="n">
        <v>44651</v>
      </c>
      <c r="C1185" s="1" t="n">
        <v>45356</v>
      </c>
      <c r="D1185" t="inlineStr">
        <is>
          <t>VÄSTERNORRLANDS LÄN</t>
        </is>
      </c>
      <c r="E1185" t="inlineStr">
        <is>
          <t>SOLLEFTEÅ</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14299-2022</t>
        </is>
      </c>
      <c r="B1186" s="1" t="n">
        <v>44652</v>
      </c>
      <c r="C1186" s="1" t="n">
        <v>45356</v>
      </c>
      <c r="D1186" t="inlineStr">
        <is>
          <t>VÄSTERNORRLANDS LÄN</t>
        </is>
      </c>
      <c r="E1186" t="inlineStr">
        <is>
          <t>SOLLEFTEÅ</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14296-2022</t>
        </is>
      </c>
      <c r="B1187" s="1" t="n">
        <v>44652</v>
      </c>
      <c r="C1187" s="1" t="n">
        <v>45356</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14302-2022</t>
        </is>
      </c>
      <c r="B1188" s="1" t="n">
        <v>44651</v>
      </c>
      <c r="C1188" s="1" t="n">
        <v>45356</v>
      </c>
      <c r="D1188" t="inlineStr">
        <is>
          <t>VÄSTERNORRLANDS LÄN</t>
        </is>
      </c>
      <c r="E1188" t="inlineStr">
        <is>
          <t>SOLLEFTEÅ</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14448-2022</t>
        </is>
      </c>
      <c r="B1189" s="1" t="n">
        <v>44652</v>
      </c>
      <c r="C1189" s="1" t="n">
        <v>45356</v>
      </c>
      <c r="D1189" t="inlineStr">
        <is>
          <t>VÄSTERNORRLANDS LÄN</t>
        </is>
      </c>
      <c r="E1189" t="inlineStr">
        <is>
          <t>SOLLEFTEÅ</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14449-2022</t>
        </is>
      </c>
      <c r="B1190" s="1" t="n">
        <v>44652</v>
      </c>
      <c r="C1190" s="1" t="n">
        <v>45356</v>
      </c>
      <c r="D1190" t="inlineStr">
        <is>
          <t>VÄSTERNORRLANDS LÄN</t>
        </is>
      </c>
      <c r="E1190" t="inlineStr">
        <is>
          <t>SOLLEFTEÅ</t>
        </is>
      </c>
      <c r="F1190" t="inlineStr">
        <is>
          <t>SCA</t>
        </is>
      </c>
      <c r="G1190" t="n">
        <v>31.8</v>
      </c>
      <c r="H1190" t="n">
        <v>0</v>
      </c>
      <c r="I1190" t="n">
        <v>0</v>
      </c>
      <c r="J1190" t="n">
        <v>0</v>
      </c>
      <c r="K1190" t="n">
        <v>0</v>
      </c>
      <c r="L1190" t="n">
        <v>0</v>
      </c>
      <c r="M1190" t="n">
        <v>0</v>
      </c>
      <c r="N1190" t="n">
        <v>0</v>
      </c>
      <c r="O1190" t="n">
        <v>0</v>
      </c>
      <c r="P1190" t="n">
        <v>0</v>
      </c>
      <c r="Q1190" t="n">
        <v>0</v>
      </c>
      <c r="R1190" s="2" t="inlineStr"/>
    </row>
    <row r="1191" ht="15" customHeight="1">
      <c r="A1191" t="inlineStr">
        <is>
          <t>A 14450-2022</t>
        </is>
      </c>
      <c r="B1191" s="1" t="n">
        <v>44653</v>
      </c>
      <c r="C1191" s="1" t="n">
        <v>45356</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14447-2022</t>
        </is>
      </c>
      <c r="B1192" s="1" t="n">
        <v>44653</v>
      </c>
      <c r="C1192" s="1" t="n">
        <v>45356</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14477-2022</t>
        </is>
      </c>
      <c r="B1193" s="1" t="n">
        <v>44655</v>
      </c>
      <c r="C1193" s="1" t="n">
        <v>45356</v>
      </c>
      <c r="D1193" t="inlineStr">
        <is>
          <t>VÄSTERNORRLANDS LÄN</t>
        </is>
      </c>
      <c r="E1193" t="inlineStr">
        <is>
          <t>SOLLEFTEÅ</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14910-2022</t>
        </is>
      </c>
      <c r="B1194" s="1" t="n">
        <v>44657</v>
      </c>
      <c r="C1194" s="1" t="n">
        <v>45356</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15090-2022</t>
        </is>
      </c>
      <c r="B1195" s="1" t="n">
        <v>44658</v>
      </c>
      <c r="C1195" s="1" t="n">
        <v>45356</v>
      </c>
      <c r="D1195" t="inlineStr">
        <is>
          <t>VÄSTERNORRLANDS LÄN</t>
        </is>
      </c>
      <c r="E1195" t="inlineStr">
        <is>
          <t>SOLLEFTEÅ</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15241-2022</t>
        </is>
      </c>
      <c r="B1196" s="1" t="n">
        <v>44659</v>
      </c>
      <c r="C1196" s="1" t="n">
        <v>45356</v>
      </c>
      <c r="D1196" t="inlineStr">
        <is>
          <t>VÄSTERNORRLANDS LÄN</t>
        </is>
      </c>
      <c r="E1196" t="inlineStr">
        <is>
          <t>SOLLEFTEÅ</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15234-2022</t>
        </is>
      </c>
      <c r="B1197" s="1" t="n">
        <v>44659</v>
      </c>
      <c r="C1197" s="1" t="n">
        <v>45356</v>
      </c>
      <c r="D1197" t="inlineStr">
        <is>
          <t>VÄSTERNORRLANDS LÄN</t>
        </is>
      </c>
      <c r="E1197" t="inlineStr">
        <is>
          <t>SOLLEFTEÅ</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15658-2022</t>
        </is>
      </c>
      <c r="B1198" s="1" t="n">
        <v>44663</v>
      </c>
      <c r="C1198" s="1" t="n">
        <v>45356</v>
      </c>
      <c r="D1198" t="inlineStr">
        <is>
          <t>VÄSTERNORRLANDS LÄN</t>
        </is>
      </c>
      <c r="E1198" t="inlineStr">
        <is>
          <t>SOLLEFTEÅ</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15809-2022</t>
        </is>
      </c>
      <c r="B1199" s="1" t="n">
        <v>44663</v>
      </c>
      <c r="C1199" s="1" t="n">
        <v>45356</v>
      </c>
      <c r="D1199" t="inlineStr">
        <is>
          <t>VÄSTERNORRLANDS LÄN</t>
        </is>
      </c>
      <c r="E1199" t="inlineStr">
        <is>
          <t>SOLLEFTEÅ</t>
        </is>
      </c>
      <c r="F1199" t="inlineStr">
        <is>
          <t>SCA</t>
        </is>
      </c>
      <c r="G1199" t="n">
        <v>16.3</v>
      </c>
      <c r="H1199" t="n">
        <v>0</v>
      </c>
      <c r="I1199" t="n">
        <v>0</v>
      </c>
      <c r="J1199" t="n">
        <v>0</v>
      </c>
      <c r="K1199" t="n">
        <v>0</v>
      </c>
      <c r="L1199" t="n">
        <v>0</v>
      </c>
      <c r="M1199" t="n">
        <v>0</v>
      </c>
      <c r="N1199" t="n">
        <v>0</v>
      </c>
      <c r="O1199" t="n">
        <v>0</v>
      </c>
      <c r="P1199" t="n">
        <v>0</v>
      </c>
      <c r="Q1199" t="n">
        <v>0</v>
      </c>
      <c r="R1199" s="2" t="inlineStr"/>
    </row>
    <row r="1200" ht="15" customHeight="1">
      <c r="A1200" t="inlineStr">
        <is>
          <t>A 15964-2022</t>
        </is>
      </c>
      <c r="B1200" s="1" t="n">
        <v>44665</v>
      </c>
      <c r="C1200" s="1" t="n">
        <v>45356</v>
      </c>
      <c r="D1200" t="inlineStr">
        <is>
          <t>VÄSTERNORRLANDS LÄN</t>
        </is>
      </c>
      <c r="E1200" t="inlineStr">
        <is>
          <t>SOLLEFTEÅ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15974-2022</t>
        </is>
      </c>
      <c r="B1201" s="1" t="n">
        <v>44665</v>
      </c>
      <c r="C1201" s="1" t="n">
        <v>45356</v>
      </c>
      <c r="D1201" t="inlineStr">
        <is>
          <t>VÄSTERNORRLANDS LÄN</t>
        </is>
      </c>
      <c r="E1201" t="inlineStr">
        <is>
          <t>SOLLEFTEÅ</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16088-2022</t>
        </is>
      </c>
      <c r="B1202" s="1" t="n">
        <v>44665</v>
      </c>
      <c r="C1202" s="1" t="n">
        <v>45356</v>
      </c>
      <c r="D1202" t="inlineStr">
        <is>
          <t>VÄSTERNORRLANDS LÄN</t>
        </is>
      </c>
      <c r="E1202" t="inlineStr">
        <is>
          <t>SOLLEFTEÅ</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16000-2022</t>
        </is>
      </c>
      <c r="B1203" s="1" t="n">
        <v>44665</v>
      </c>
      <c r="C1203" s="1" t="n">
        <v>45356</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16083-2022</t>
        </is>
      </c>
      <c r="B1204" s="1" t="n">
        <v>44665</v>
      </c>
      <c r="C1204" s="1" t="n">
        <v>45356</v>
      </c>
      <c r="D1204" t="inlineStr">
        <is>
          <t>VÄSTERNORRLANDS LÄN</t>
        </is>
      </c>
      <c r="E1204" t="inlineStr">
        <is>
          <t>SOLLEFTEÅ</t>
        </is>
      </c>
      <c r="F1204" t="inlineStr">
        <is>
          <t>Holmen skog AB</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16093-2022</t>
        </is>
      </c>
      <c r="B1205" s="1" t="n">
        <v>44665</v>
      </c>
      <c r="C1205" s="1" t="n">
        <v>45356</v>
      </c>
      <c r="D1205" t="inlineStr">
        <is>
          <t>VÄSTERNORRLANDS LÄN</t>
        </is>
      </c>
      <c r="E1205" t="inlineStr">
        <is>
          <t>SOLLEFTEÅ</t>
        </is>
      </c>
      <c r="F1205" t="inlineStr">
        <is>
          <t>Holmen skog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16365-2022</t>
        </is>
      </c>
      <c r="B1206" s="1" t="n">
        <v>44671</v>
      </c>
      <c r="C1206" s="1" t="n">
        <v>45356</v>
      </c>
      <c r="D1206" t="inlineStr">
        <is>
          <t>VÄSTERNORRLANDS LÄN</t>
        </is>
      </c>
      <c r="E1206" t="inlineStr">
        <is>
          <t>SOLLEFTEÅ</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16419-2022</t>
        </is>
      </c>
      <c r="B1207" s="1" t="n">
        <v>44671</v>
      </c>
      <c r="C1207" s="1" t="n">
        <v>45356</v>
      </c>
      <c r="D1207" t="inlineStr">
        <is>
          <t>VÄSTERNORRLANDS LÄN</t>
        </is>
      </c>
      <c r="E1207" t="inlineStr">
        <is>
          <t>SOLLEFTEÅ</t>
        </is>
      </c>
      <c r="F1207" t="inlineStr">
        <is>
          <t>Kommuner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16521-2022</t>
        </is>
      </c>
      <c r="B1208" s="1" t="n">
        <v>44671</v>
      </c>
      <c r="C1208" s="1" t="n">
        <v>45356</v>
      </c>
      <c r="D1208" t="inlineStr">
        <is>
          <t>VÄSTERNORRLANDS LÄN</t>
        </is>
      </c>
      <c r="E1208" t="inlineStr">
        <is>
          <t>SOLLEFTEÅ</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16675-2022</t>
        </is>
      </c>
      <c r="B1209" s="1" t="n">
        <v>44672</v>
      </c>
      <c r="C1209" s="1" t="n">
        <v>45356</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16611-2022</t>
        </is>
      </c>
      <c r="B1210" s="1" t="n">
        <v>44672</v>
      </c>
      <c r="C1210" s="1" t="n">
        <v>45356</v>
      </c>
      <c r="D1210" t="inlineStr">
        <is>
          <t>VÄSTERNORRLANDS LÄN</t>
        </is>
      </c>
      <c r="E1210" t="inlineStr">
        <is>
          <t>SOLLEFTEÅ</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16670-2022</t>
        </is>
      </c>
      <c r="B1211" s="1" t="n">
        <v>44673</v>
      </c>
      <c r="C1211" s="1" t="n">
        <v>45356</v>
      </c>
      <c r="D1211" t="inlineStr">
        <is>
          <t>VÄSTERNORRLANDS LÄN</t>
        </is>
      </c>
      <c r="E1211" t="inlineStr">
        <is>
          <t>SOLLEFTEÅ</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17045-2022</t>
        </is>
      </c>
      <c r="B1212" s="1" t="n">
        <v>44676</v>
      </c>
      <c r="C1212" s="1" t="n">
        <v>45356</v>
      </c>
      <c r="D1212" t="inlineStr">
        <is>
          <t>VÄSTERNORRLANDS LÄN</t>
        </is>
      </c>
      <c r="E1212" t="inlineStr">
        <is>
          <t>SOLLEFTEÅ</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17049-2022</t>
        </is>
      </c>
      <c r="B1213" s="1" t="n">
        <v>44676</v>
      </c>
      <c r="C1213" s="1" t="n">
        <v>45356</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c r="U1213">
        <f>HYPERLINK("https://klasma.github.io/Logging_2283/knärot/A 17049-2022 karta knärot.png", "A 17049-2022")</f>
        <v/>
      </c>
      <c r="V1213">
        <f>HYPERLINK("https://klasma.github.io/Logging_2283/klagomål/A 17049-2022 FSC-klagomål.docx", "A 17049-2022")</f>
        <v/>
      </c>
      <c r="W1213">
        <f>HYPERLINK("https://klasma.github.io/Logging_2283/klagomålsmail/A 17049-2022 FSC-klagomål mail.docx", "A 17049-2022")</f>
        <v/>
      </c>
      <c r="X1213">
        <f>HYPERLINK("https://klasma.github.io/Logging_2283/tillsyn/A 17049-2022 tillsynsbegäran.docx", "A 17049-2022")</f>
        <v/>
      </c>
      <c r="Y1213">
        <f>HYPERLINK("https://klasma.github.io/Logging_2283/tillsynsmail/A 17049-2022 tillsynsbegäran mail.docx", "A 17049-2022")</f>
        <v/>
      </c>
    </row>
    <row r="1214" ht="15" customHeight="1">
      <c r="A1214" t="inlineStr">
        <is>
          <t>A 17344-2022</t>
        </is>
      </c>
      <c r="B1214" s="1" t="n">
        <v>44678</v>
      </c>
      <c r="C1214" s="1" t="n">
        <v>45356</v>
      </c>
      <c r="D1214" t="inlineStr">
        <is>
          <t>VÄSTERNORRLANDS LÄN</t>
        </is>
      </c>
      <c r="E1214" t="inlineStr">
        <is>
          <t>SOLLEFTEÅ</t>
        </is>
      </c>
      <c r="G1214" t="n">
        <v>34.2</v>
      </c>
      <c r="H1214" t="n">
        <v>0</v>
      </c>
      <c r="I1214" t="n">
        <v>0</v>
      </c>
      <c r="J1214" t="n">
        <v>0</v>
      </c>
      <c r="K1214" t="n">
        <v>0</v>
      </c>
      <c r="L1214" t="n">
        <v>0</v>
      </c>
      <c r="M1214" t="n">
        <v>0</v>
      </c>
      <c r="N1214" t="n">
        <v>0</v>
      </c>
      <c r="O1214" t="n">
        <v>0</v>
      </c>
      <c r="P1214" t="n">
        <v>0</v>
      </c>
      <c r="Q1214" t="n">
        <v>0</v>
      </c>
      <c r="R1214" s="2" t="inlineStr"/>
    </row>
    <row r="1215" ht="15" customHeight="1">
      <c r="A1215" t="inlineStr">
        <is>
          <t>A 17995-2022</t>
        </is>
      </c>
      <c r="B1215" s="1" t="n">
        <v>44684</v>
      </c>
      <c r="C1215" s="1" t="n">
        <v>45356</v>
      </c>
      <c r="D1215" t="inlineStr">
        <is>
          <t>VÄSTERNORRLANDS LÄN</t>
        </is>
      </c>
      <c r="E1215" t="inlineStr">
        <is>
          <t>SOLLEFTEÅ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18000-2022</t>
        </is>
      </c>
      <c r="B1216" s="1" t="n">
        <v>44684</v>
      </c>
      <c r="C1216" s="1" t="n">
        <v>45356</v>
      </c>
      <c r="D1216" t="inlineStr">
        <is>
          <t>VÄSTERNORRLANDS LÄN</t>
        </is>
      </c>
      <c r="E1216" t="inlineStr">
        <is>
          <t>SOLLEFTEÅ</t>
        </is>
      </c>
      <c r="F1216" t="inlineStr">
        <is>
          <t>SCA</t>
        </is>
      </c>
      <c r="G1216" t="n">
        <v>14.4</v>
      </c>
      <c r="H1216" t="n">
        <v>0</v>
      </c>
      <c r="I1216" t="n">
        <v>0</v>
      </c>
      <c r="J1216" t="n">
        <v>0</v>
      </c>
      <c r="K1216" t="n">
        <v>0</v>
      </c>
      <c r="L1216" t="n">
        <v>0</v>
      </c>
      <c r="M1216" t="n">
        <v>0</v>
      </c>
      <c r="N1216" t="n">
        <v>0</v>
      </c>
      <c r="O1216" t="n">
        <v>0</v>
      </c>
      <c r="P1216" t="n">
        <v>0</v>
      </c>
      <c r="Q1216" t="n">
        <v>0</v>
      </c>
      <c r="R1216" s="2" t="inlineStr"/>
    </row>
    <row r="1217" ht="15" customHeight="1">
      <c r="A1217" t="inlineStr">
        <is>
          <t>A 18011-2022</t>
        </is>
      </c>
      <c r="B1217" s="1" t="n">
        <v>44683</v>
      </c>
      <c r="C1217" s="1" t="n">
        <v>45356</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18015-2022</t>
        </is>
      </c>
      <c r="B1218" s="1" t="n">
        <v>44684</v>
      </c>
      <c r="C1218" s="1" t="n">
        <v>45356</v>
      </c>
      <c r="D1218" t="inlineStr">
        <is>
          <t>VÄSTERNORRLANDS LÄN</t>
        </is>
      </c>
      <c r="E1218" t="inlineStr">
        <is>
          <t>SOLLEFTEÅ</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18016-2022</t>
        </is>
      </c>
      <c r="B1219" s="1" t="n">
        <v>44684</v>
      </c>
      <c r="C1219" s="1" t="n">
        <v>45356</v>
      </c>
      <c r="D1219" t="inlineStr">
        <is>
          <t>VÄSTERNORRLANDS LÄN</t>
        </is>
      </c>
      <c r="E1219" t="inlineStr">
        <is>
          <t>SOLLEFTEÅ</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17999-2022</t>
        </is>
      </c>
      <c r="B1220" s="1" t="n">
        <v>44683</v>
      </c>
      <c r="C1220" s="1" t="n">
        <v>45356</v>
      </c>
      <c r="D1220" t="inlineStr">
        <is>
          <t>VÄSTERNORRLANDS LÄN</t>
        </is>
      </c>
      <c r="E1220" t="inlineStr">
        <is>
          <t>SOLLEFTEÅ</t>
        </is>
      </c>
      <c r="F1220" t="inlineStr">
        <is>
          <t>SCA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18013-2022</t>
        </is>
      </c>
      <c r="B1221" s="1" t="n">
        <v>44684</v>
      </c>
      <c r="C1221" s="1" t="n">
        <v>45356</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18017-2022</t>
        </is>
      </c>
      <c r="B1222" s="1" t="n">
        <v>44683</v>
      </c>
      <c r="C1222" s="1" t="n">
        <v>45356</v>
      </c>
      <c r="D1222" t="inlineStr">
        <is>
          <t>VÄSTERNORRLANDS LÄN</t>
        </is>
      </c>
      <c r="E1222" t="inlineStr">
        <is>
          <t>SOLLEFTEÅ</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18019-2022</t>
        </is>
      </c>
      <c r="B1223" s="1" t="n">
        <v>44684</v>
      </c>
      <c r="C1223" s="1" t="n">
        <v>45356</v>
      </c>
      <c r="D1223" t="inlineStr">
        <is>
          <t>VÄSTERNORRLANDS LÄN</t>
        </is>
      </c>
      <c r="E1223" t="inlineStr">
        <is>
          <t>SOLLEFTEÅ</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18187-2022</t>
        </is>
      </c>
      <c r="B1224" s="1" t="n">
        <v>44684</v>
      </c>
      <c r="C1224" s="1" t="n">
        <v>45356</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18190-2022</t>
        </is>
      </c>
      <c r="B1225" s="1" t="n">
        <v>44685</v>
      </c>
      <c r="C1225" s="1" t="n">
        <v>45356</v>
      </c>
      <c r="D1225" t="inlineStr">
        <is>
          <t>VÄSTERNORRLANDS LÄN</t>
        </is>
      </c>
      <c r="E1225" t="inlineStr">
        <is>
          <t>SOLLEFTEÅ</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18197-2022</t>
        </is>
      </c>
      <c r="B1226" s="1" t="n">
        <v>44684</v>
      </c>
      <c r="C1226" s="1" t="n">
        <v>45356</v>
      </c>
      <c r="D1226" t="inlineStr">
        <is>
          <t>VÄSTERNORRLANDS LÄN</t>
        </is>
      </c>
      <c r="E1226" t="inlineStr">
        <is>
          <t>SOLLEFTEÅ</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18188-2022</t>
        </is>
      </c>
      <c r="B1227" s="1" t="n">
        <v>44685</v>
      </c>
      <c r="C1227" s="1" t="n">
        <v>45356</v>
      </c>
      <c r="D1227" t="inlineStr">
        <is>
          <t>VÄSTERNORRLANDS LÄN</t>
        </is>
      </c>
      <c r="E1227" t="inlineStr">
        <is>
          <t>SOLLEFTEÅ</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18196-2022</t>
        </is>
      </c>
      <c r="B1228" s="1" t="n">
        <v>44685</v>
      </c>
      <c r="C1228" s="1" t="n">
        <v>45356</v>
      </c>
      <c r="D1228" t="inlineStr">
        <is>
          <t>VÄSTERNORRLANDS LÄN</t>
        </is>
      </c>
      <c r="E1228" t="inlineStr">
        <is>
          <t>SOLLEFTEÅ</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18202-2022</t>
        </is>
      </c>
      <c r="B1229" s="1" t="n">
        <v>44684</v>
      </c>
      <c r="C1229" s="1" t="n">
        <v>45356</v>
      </c>
      <c r="D1229" t="inlineStr">
        <is>
          <t>VÄSTERNORRLANDS LÄN</t>
        </is>
      </c>
      <c r="E1229" t="inlineStr">
        <is>
          <t>SOLLEFTEÅ</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18304-2022</t>
        </is>
      </c>
      <c r="B1230" s="1" t="n">
        <v>44685</v>
      </c>
      <c r="C1230" s="1" t="n">
        <v>45356</v>
      </c>
      <c r="D1230" t="inlineStr">
        <is>
          <t>VÄSTERNORRLANDS LÄN</t>
        </is>
      </c>
      <c r="E1230" t="inlineStr">
        <is>
          <t>SOLLEFTEÅ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18372-2022</t>
        </is>
      </c>
      <c r="B1231" s="1" t="n">
        <v>44685</v>
      </c>
      <c r="C1231" s="1" t="n">
        <v>45356</v>
      </c>
      <c r="D1231" t="inlineStr">
        <is>
          <t>VÄSTERNORRLANDS LÄN</t>
        </is>
      </c>
      <c r="E1231" t="inlineStr">
        <is>
          <t>SOLLEFTEÅ</t>
        </is>
      </c>
      <c r="F1231" t="inlineStr">
        <is>
          <t>SCA</t>
        </is>
      </c>
      <c r="G1231" t="n">
        <v>11.9</v>
      </c>
      <c r="H1231" t="n">
        <v>0</v>
      </c>
      <c r="I1231" t="n">
        <v>0</v>
      </c>
      <c r="J1231" t="n">
        <v>0</v>
      </c>
      <c r="K1231" t="n">
        <v>0</v>
      </c>
      <c r="L1231" t="n">
        <v>0</v>
      </c>
      <c r="M1231" t="n">
        <v>0</v>
      </c>
      <c r="N1231" t="n">
        <v>0</v>
      </c>
      <c r="O1231" t="n">
        <v>0</v>
      </c>
      <c r="P1231" t="n">
        <v>0</v>
      </c>
      <c r="Q1231" t="n">
        <v>0</v>
      </c>
      <c r="R1231" s="2" t="inlineStr"/>
    </row>
    <row r="1232" ht="15" customHeight="1">
      <c r="A1232" t="inlineStr">
        <is>
          <t>A 18570-2022</t>
        </is>
      </c>
      <c r="B1232" s="1" t="n">
        <v>44687</v>
      </c>
      <c r="C1232" s="1" t="n">
        <v>45356</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18852-2022</t>
        </is>
      </c>
      <c r="B1233" s="1" t="n">
        <v>44690</v>
      </c>
      <c r="C1233" s="1" t="n">
        <v>45356</v>
      </c>
      <c r="D1233" t="inlineStr">
        <is>
          <t>VÄSTERNORRLANDS LÄN</t>
        </is>
      </c>
      <c r="E1233" t="inlineStr">
        <is>
          <t>SOLLEFTEÅ</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19055-2022</t>
        </is>
      </c>
      <c r="B1234" s="1" t="n">
        <v>44691</v>
      </c>
      <c r="C1234" s="1" t="n">
        <v>45356</v>
      </c>
      <c r="D1234" t="inlineStr">
        <is>
          <t>VÄSTERNORRLANDS LÄN</t>
        </is>
      </c>
      <c r="E1234" t="inlineStr">
        <is>
          <t>SOLLEFTEÅ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19051-2022</t>
        </is>
      </c>
      <c r="B1235" s="1" t="n">
        <v>44691</v>
      </c>
      <c r="C1235" s="1" t="n">
        <v>45356</v>
      </c>
      <c r="D1235" t="inlineStr">
        <is>
          <t>VÄSTERNORRLANDS LÄN</t>
        </is>
      </c>
      <c r="E1235" t="inlineStr">
        <is>
          <t>SOLLEFTEÅ</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19053-2022</t>
        </is>
      </c>
      <c r="B1236" s="1" t="n">
        <v>44691</v>
      </c>
      <c r="C1236" s="1" t="n">
        <v>45356</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19203-2022</t>
        </is>
      </c>
      <c r="B1237" s="1" t="n">
        <v>44692</v>
      </c>
      <c r="C1237" s="1" t="n">
        <v>45356</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19208-2022</t>
        </is>
      </c>
      <c r="B1238" s="1" t="n">
        <v>44691</v>
      </c>
      <c r="C1238" s="1" t="n">
        <v>45356</v>
      </c>
      <c r="D1238" t="inlineStr">
        <is>
          <t>VÄSTERNORRLANDS LÄN</t>
        </is>
      </c>
      <c r="E1238" t="inlineStr">
        <is>
          <t>SOLLEFTEÅ</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19295-2022</t>
        </is>
      </c>
      <c r="B1239" s="1" t="n">
        <v>44692</v>
      </c>
      <c r="C1239" s="1" t="n">
        <v>45356</v>
      </c>
      <c r="D1239" t="inlineStr">
        <is>
          <t>VÄSTERNORRLANDS LÄN</t>
        </is>
      </c>
      <c r="E1239" t="inlineStr">
        <is>
          <t>SOLLEFTEÅ</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19414-2022</t>
        </is>
      </c>
      <c r="B1240" s="1" t="n">
        <v>44693</v>
      </c>
      <c r="C1240" s="1" t="n">
        <v>45356</v>
      </c>
      <c r="D1240" t="inlineStr">
        <is>
          <t>VÄSTERNORRLANDS LÄN</t>
        </is>
      </c>
      <c r="E1240" t="inlineStr">
        <is>
          <t>SOLLEFTEÅ</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19416-2022</t>
        </is>
      </c>
      <c r="B1241" s="1" t="n">
        <v>44693</v>
      </c>
      <c r="C1241" s="1" t="n">
        <v>45356</v>
      </c>
      <c r="D1241" t="inlineStr">
        <is>
          <t>VÄSTERNORRLANDS LÄN</t>
        </is>
      </c>
      <c r="E1241" t="inlineStr">
        <is>
          <t>SOLLEFTEÅ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19508-2022</t>
        </is>
      </c>
      <c r="B1242" s="1" t="n">
        <v>44693</v>
      </c>
      <c r="C1242" s="1" t="n">
        <v>45356</v>
      </c>
      <c r="D1242" t="inlineStr">
        <is>
          <t>VÄSTERNORRLANDS LÄN</t>
        </is>
      </c>
      <c r="E1242" t="inlineStr">
        <is>
          <t>SOLLEFTEÅ</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19585-2022</t>
        </is>
      </c>
      <c r="B1243" s="1" t="n">
        <v>44693</v>
      </c>
      <c r="C1243" s="1" t="n">
        <v>45356</v>
      </c>
      <c r="D1243" t="inlineStr">
        <is>
          <t>VÄSTERNORRLANDS LÄN</t>
        </is>
      </c>
      <c r="E1243" t="inlineStr">
        <is>
          <t>SOLLEFTEÅ</t>
        </is>
      </c>
      <c r="F1243" t="inlineStr">
        <is>
          <t>SCA</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19583-2022</t>
        </is>
      </c>
      <c r="B1244" s="1" t="n">
        <v>44693</v>
      </c>
      <c r="C1244" s="1" t="n">
        <v>45356</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19593-2022</t>
        </is>
      </c>
      <c r="B1245" s="1" t="n">
        <v>44694</v>
      </c>
      <c r="C1245" s="1" t="n">
        <v>45356</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19588-2022</t>
        </is>
      </c>
      <c r="B1246" s="1" t="n">
        <v>44694</v>
      </c>
      <c r="C1246" s="1" t="n">
        <v>45356</v>
      </c>
      <c r="D1246" t="inlineStr">
        <is>
          <t>VÄSTERNORRLANDS LÄN</t>
        </is>
      </c>
      <c r="E1246" t="inlineStr">
        <is>
          <t>SOLLEFTEÅ</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19595-2022</t>
        </is>
      </c>
      <c r="B1247" s="1" t="n">
        <v>44693</v>
      </c>
      <c r="C1247" s="1" t="n">
        <v>45356</v>
      </c>
      <c r="D1247" t="inlineStr">
        <is>
          <t>VÄSTERNORRLANDS LÄN</t>
        </is>
      </c>
      <c r="E1247" t="inlineStr">
        <is>
          <t>SOLLEFTEÅ</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19594-2022</t>
        </is>
      </c>
      <c r="B1248" s="1" t="n">
        <v>44694</v>
      </c>
      <c r="C1248" s="1" t="n">
        <v>45356</v>
      </c>
      <c r="D1248" t="inlineStr">
        <is>
          <t>VÄSTERNORRLANDS LÄN</t>
        </is>
      </c>
      <c r="E1248" t="inlineStr">
        <is>
          <t>SOLLEFTEÅ</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19825-2022</t>
        </is>
      </c>
      <c r="B1249" s="1" t="n">
        <v>44695</v>
      </c>
      <c r="C1249" s="1" t="n">
        <v>45356</v>
      </c>
      <c r="D1249" t="inlineStr">
        <is>
          <t>VÄSTERNORRLANDS LÄN</t>
        </is>
      </c>
      <c r="E1249" t="inlineStr">
        <is>
          <t>SOLLEFTEÅ</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19813-2022</t>
        </is>
      </c>
      <c r="B1250" s="1" t="n">
        <v>44695</v>
      </c>
      <c r="C1250" s="1" t="n">
        <v>45356</v>
      </c>
      <c r="D1250" t="inlineStr">
        <is>
          <t>VÄSTERNORRLANDS LÄN</t>
        </is>
      </c>
      <c r="E1250" t="inlineStr">
        <is>
          <t>SOLLEFTEÅ</t>
        </is>
      </c>
      <c r="F1250" t="inlineStr">
        <is>
          <t>SCA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19814-2022</t>
        </is>
      </c>
      <c r="B1251" s="1" t="n">
        <v>44695</v>
      </c>
      <c r="C1251" s="1" t="n">
        <v>45356</v>
      </c>
      <c r="D1251" t="inlineStr">
        <is>
          <t>VÄSTERNORRLANDS LÄN</t>
        </is>
      </c>
      <c r="E1251" t="inlineStr">
        <is>
          <t>SOLLEFTEÅ</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20061-2022</t>
        </is>
      </c>
      <c r="B1252" s="1" t="n">
        <v>44698</v>
      </c>
      <c r="C1252" s="1" t="n">
        <v>45356</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20062-2022</t>
        </is>
      </c>
      <c r="B1253" s="1" t="n">
        <v>44697</v>
      </c>
      <c r="C1253" s="1" t="n">
        <v>45356</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20296-2022</t>
        </is>
      </c>
      <c r="B1254" s="1" t="n">
        <v>44698</v>
      </c>
      <c r="C1254" s="1" t="n">
        <v>45356</v>
      </c>
      <c r="D1254" t="inlineStr">
        <is>
          <t>VÄSTERNORRLANDS LÄN</t>
        </is>
      </c>
      <c r="E1254" t="inlineStr">
        <is>
          <t>SOLLEFTEÅ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20551-2022</t>
        </is>
      </c>
      <c r="B1255" s="1" t="n">
        <v>44699</v>
      </c>
      <c r="C1255" s="1" t="n">
        <v>45356</v>
      </c>
      <c r="D1255" t="inlineStr">
        <is>
          <t>VÄSTERNORRLANDS LÄN</t>
        </is>
      </c>
      <c r="E1255" t="inlineStr">
        <is>
          <t>SOLLEFTEÅ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20699-2022</t>
        </is>
      </c>
      <c r="B1256" s="1" t="n">
        <v>44701</v>
      </c>
      <c r="C1256" s="1" t="n">
        <v>45356</v>
      </c>
      <c r="D1256" t="inlineStr">
        <is>
          <t>VÄSTERNORRLANDS LÄN</t>
        </is>
      </c>
      <c r="E1256" t="inlineStr">
        <is>
          <t>SOLLEFTEÅ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20704-2022</t>
        </is>
      </c>
      <c r="B1257" s="1" t="n">
        <v>44700</v>
      </c>
      <c r="C1257" s="1" t="n">
        <v>45356</v>
      </c>
      <c r="D1257" t="inlineStr">
        <is>
          <t>VÄSTERNORRLANDS LÄN</t>
        </is>
      </c>
      <c r="E1257" t="inlineStr">
        <is>
          <t>SOLLEFTEÅ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20702-2022</t>
        </is>
      </c>
      <c r="B1258" s="1" t="n">
        <v>44701</v>
      </c>
      <c r="C1258" s="1" t="n">
        <v>45356</v>
      </c>
      <c r="D1258" t="inlineStr">
        <is>
          <t>VÄSTERNORRLANDS LÄN</t>
        </is>
      </c>
      <c r="E1258" t="inlineStr">
        <is>
          <t>SOLLEFTEÅ</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20703-2022</t>
        </is>
      </c>
      <c r="B1259" s="1" t="n">
        <v>44701</v>
      </c>
      <c r="C1259" s="1" t="n">
        <v>45356</v>
      </c>
      <c r="D1259" t="inlineStr">
        <is>
          <t>VÄSTERNORRLANDS LÄN</t>
        </is>
      </c>
      <c r="E1259" t="inlineStr">
        <is>
          <t>SOLLEFTEÅ</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20724-2022</t>
        </is>
      </c>
      <c r="B1260" s="1" t="n">
        <v>44700</v>
      </c>
      <c r="C1260" s="1" t="n">
        <v>45356</v>
      </c>
      <c r="D1260" t="inlineStr">
        <is>
          <t>VÄSTERNORRLANDS LÄN</t>
        </is>
      </c>
      <c r="E1260" t="inlineStr">
        <is>
          <t>SOLLEFTEÅ</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20738-2022</t>
        </is>
      </c>
      <c r="B1261" s="1" t="n">
        <v>44700</v>
      </c>
      <c r="C1261" s="1" t="n">
        <v>45356</v>
      </c>
      <c r="D1261" t="inlineStr">
        <is>
          <t>VÄSTERNORRLANDS LÄN</t>
        </is>
      </c>
      <c r="E1261" t="inlineStr">
        <is>
          <t>SOLLEFTEÅ</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20955-2022</t>
        </is>
      </c>
      <c r="B1262" s="1" t="n">
        <v>44702</v>
      </c>
      <c r="C1262" s="1" t="n">
        <v>45356</v>
      </c>
      <c r="D1262" t="inlineStr">
        <is>
          <t>VÄSTERNORRLANDS LÄN</t>
        </is>
      </c>
      <c r="E1262" t="inlineStr">
        <is>
          <t>SOLLEFTEÅ</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20950-2022</t>
        </is>
      </c>
      <c r="B1263" s="1" t="n">
        <v>44701</v>
      </c>
      <c r="C1263" s="1" t="n">
        <v>45356</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20954-2022</t>
        </is>
      </c>
      <c r="B1264" s="1" t="n">
        <v>44702</v>
      </c>
      <c r="C1264" s="1" t="n">
        <v>45356</v>
      </c>
      <c r="D1264" t="inlineStr">
        <is>
          <t>VÄSTERNORRLANDS LÄN</t>
        </is>
      </c>
      <c r="E1264" t="inlineStr">
        <is>
          <t>SOLLEFTEÅ</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20951-2022</t>
        </is>
      </c>
      <c r="B1265" s="1" t="n">
        <v>44701</v>
      </c>
      <c r="C1265" s="1" t="n">
        <v>45356</v>
      </c>
      <c r="D1265" t="inlineStr">
        <is>
          <t>VÄSTERNORRLANDS LÄN</t>
        </is>
      </c>
      <c r="E1265" t="inlineStr">
        <is>
          <t>SOLLEFTEÅ</t>
        </is>
      </c>
      <c r="F1265" t="inlineStr">
        <is>
          <t>SCA</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20942-2022</t>
        </is>
      </c>
      <c r="B1266" s="1" t="n">
        <v>44701</v>
      </c>
      <c r="C1266" s="1" t="n">
        <v>45356</v>
      </c>
      <c r="D1266" t="inlineStr">
        <is>
          <t>VÄSTERNORRLANDS LÄN</t>
        </is>
      </c>
      <c r="E1266" t="inlineStr">
        <is>
          <t>SOLLEFTEÅ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20996-2022</t>
        </is>
      </c>
      <c r="B1267" s="1" t="n">
        <v>44703</v>
      </c>
      <c r="C1267" s="1" t="n">
        <v>45356</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20994-2022</t>
        </is>
      </c>
      <c r="B1268" s="1" t="n">
        <v>44703</v>
      </c>
      <c r="C1268" s="1" t="n">
        <v>45356</v>
      </c>
      <c r="D1268" t="inlineStr">
        <is>
          <t>VÄSTERNORRLANDS LÄN</t>
        </is>
      </c>
      <c r="E1268" t="inlineStr">
        <is>
          <t>SOLLEFTEÅ</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21050-2022</t>
        </is>
      </c>
      <c r="B1269" s="1" t="n">
        <v>44704</v>
      </c>
      <c r="C1269" s="1" t="n">
        <v>45356</v>
      </c>
      <c r="D1269" t="inlineStr">
        <is>
          <t>VÄSTERNORRLANDS LÄN</t>
        </is>
      </c>
      <c r="E1269" t="inlineStr">
        <is>
          <t>SOLLEFTEÅ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21191-2022</t>
        </is>
      </c>
      <c r="B1270" s="1" t="n">
        <v>44705</v>
      </c>
      <c r="C1270" s="1" t="n">
        <v>45356</v>
      </c>
      <c r="D1270" t="inlineStr">
        <is>
          <t>VÄSTERNORRLANDS LÄN</t>
        </is>
      </c>
      <c r="E1270" t="inlineStr">
        <is>
          <t>SOLLEFTEÅ</t>
        </is>
      </c>
      <c r="F1270" t="inlineStr">
        <is>
          <t>SCA</t>
        </is>
      </c>
      <c r="G1270" t="n">
        <v>26.5</v>
      </c>
      <c r="H1270" t="n">
        <v>0</v>
      </c>
      <c r="I1270" t="n">
        <v>0</v>
      </c>
      <c r="J1270" t="n">
        <v>0</v>
      </c>
      <c r="K1270" t="n">
        <v>0</v>
      </c>
      <c r="L1270" t="n">
        <v>0</v>
      </c>
      <c r="M1270" t="n">
        <v>0</v>
      </c>
      <c r="N1270" t="n">
        <v>0</v>
      </c>
      <c r="O1270" t="n">
        <v>0</v>
      </c>
      <c r="P1270" t="n">
        <v>0</v>
      </c>
      <c r="Q1270" t="n">
        <v>0</v>
      </c>
      <c r="R1270" s="2" t="inlineStr"/>
    </row>
    <row r="1271" ht="15" customHeight="1">
      <c r="A1271" t="inlineStr">
        <is>
          <t>A 21210-2022</t>
        </is>
      </c>
      <c r="B1271" s="1" t="n">
        <v>44705</v>
      </c>
      <c r="C1271" s="1" t="n">
        <v>45356</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21404-2022</t>
        </is>
      </c>
      <c r="B1272" s="1" t="n">
        <v>44706</v>
      </c>
      <c r="C1272" s="1" t="n">
        <v>45356</v>
      </c>
      <c r="D1272" t="inlineStr">
        <is>
          <t>VÄSTERNORRLANDS LÄN</t>
        </is>
      </c>
      <c r="E1272" t="inlineStr">
        <is>
          <t>SOLLEFTEÅ</t>
        </is>
      </c>
      <c r="F1272" t="inlineStr">
        <is>
          <t>SCA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21582-2022</t>
        </is>
      </c>
      <c r="B1273" s="1" t="n">
        <v>44706</v>
      </c>
      <c r="C1273" s="1" t="n">
        <v>45356</v>
      </c>
      <c r="D1273" t="inlineStr">
        <is>
          <t>VÄSTERNORRLANDS LÄN</t>
        </is>
      </c>
      <c r="E1273" t="inlineStr">
        <is>
          <t>SOLLEFTEÅ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21637-2022</t>
        </is>
      </c>
      <c r="B1274" s="1" t="n">
        <v>44707</v>
      </c>
      <c r="C1274" s="1" t="n">
        <v>45356</v>
      </c>
      <c r="D1274" t="inlineStr">
        <is>
          <t>VÄSTERNORRLANDS LÄN</t>
        </is>
      </c>
      <c r="E1274" t="inlineStr">
        <is>
          <t>SOLLEFTEÅ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21636-2022</t>
        </is>
      </c>
      <c r="B1275" s="1" t="n">
        <v>44707</v>
      </c>
      <c r="C1275" s="1" t="n">
        <v>45356</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21635-2022</t>
        </is>
      </c>
      <c r="B1276" s="1" t="n">
        <v>44707</v>
      </c>
      <c r="C1276" s="1" t="n">
        <v>45356</v>
      </c>
      <c r="D1276" t="inlineStr">
        <is>
          <t>VÄSTERNORRLANDS LÄN</t>
        </is>
      </c>
      <c r="E1276" t="inlineStr">
        <is>
          <t>SOLLEFTEÅ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21713-2022</t>
        </is>
      </c>
      <c r="B1277" s="1" t="n">
        <v>44708</v>
      </c>
      <c r="C1277" s="1" t="n">
        <v>45356</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21714-2022</t>
        </is>
      </c>
      <c r="B1278" s="1" t="n">
        <v>44708</v>
      </c>
      <c r="C1278" s="1" t="n">
        <v>45356</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21715-2022</t>
        </is>
      </c>
      <c r="B1279" s="1" t="n">
        <v>44708</v>
      </c>
      <c r="C1279" s="1" t="n">
        <v>45356</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21711-2022</t>
        </is>
      </c>
      <c r="B1280" s="1" t="n">
        <v>44707</v>
      </c>
      <c r="C1280" s="1" t="n">
        <v>45356</v>
      </c>
      <c r="D1280" t="inlineStr">
        <is>
          <t>VÄSTERNORRLANDS LÄN</t>
        </is>
      </c>
      <c r="E1280" t="inlineStr">
        <is>
          <t>SOLLEFTEÅ</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21807-2022</t>
        </is>
      </c>
      <c r="B1281" s="1" t="n">
        <v>44708</v>
      </c>
      <c r="C1281" s="1" t="n">
        <v>45356</v>
      </c>
      <c r="D1281" t="inlineStr">
        <is>
          <t>VÄSTERNORRLANDS LÄN</t>
        </is>
      </c>
      <c r="E1281" t="inlineStr">
        <is>
          <t>SOLLEFTEÅ</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22101-2022</t>
        </is>
      </c>
      <c r="B1282" s="1" t="n">
        <v>44712</v>
      </c>
      <c r="C1282" s="1" t="n">
        <v>45356</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22087-2022</t>
        </is>
      </c>
      <c r="B1283" s="1" t="n">
        <v>44712</v>
      </c>
      <c r="C1283" s="1" t="n">
        <v>45356</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22103-2022</t>
        </is>
      </c>
      <c r="B1284" s="1" t="n">
        <v>44712</v>
      </c>
      <c r="C1284" s="1" t="n">
        <v>45356</v>
      </c>
      <c r="D1284" t="inlineStr">
        <is>
          <t>VÄSTERNORRLANDS LÄN</t>
        </is>
      </c>
      <c r="E1284" t="inlineStr">
        <is>
          <t>SOLLEFTEÅ</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22323-2022</t>
        </is>
      </c>
      <c r="B1285" s="1" t="n">
        <v>44713</v>
      </c>
      <c r="C1285" s="1" t="n">
        <v>45356</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22330-2022</t>
        </is>
      </c>
      <c r="B1286" s="1" t="n">
        <v>44712</v>
      </c>
      <c r="C1286" s="1" t="n">
        <v>45356</v>
      </c>
      <c r="D1286" t="inlineStr">
        <is>
          <t>VÄSTERNORRLANDS LÄN</t>
        </is>
      </c>
      <c r="E1286" t="inlineStr">
        <is>
          <t>SOLLEFTEÅ</t>
        </is>
      </c>
      <c r="F1286" t="inlineStr">
        <is>
          <t>SCA</t>
        </is>
      </c>
      <c r="G1286" t="n">
        <v>21.9</v>
      </c>
      <c r="H1286" t="n">
        <v>0</v>
      </c>
      <c r="I1286" t="n">
        <v>0</v>
      </c>
      <c r="J1286" t="n">
        <v>0</v>
      </c>
      <c r="K1286" t="n">
        <v>0</v>
      </c>
      <c r="L1286" t="n">
        <v>0</v>
      </c>
      <c r="M1286" t="n">
        <v>0</v>
      </c>
      <c r="N1286" t="n">
        <v>0</v>
      </c>
      <c r="O1286" t="n">
        <v>0</v>
      </c>
      <c r="P1286" t="n">
        <v>0</v>
      </c>
      <c r="Q1286" t="n">
        <v>0</v>
      </c>
      <c r="R1286" s="2" t="inlineStr"/>
    </row>
    <row r="1287" ht="15" customHeight="1">
      <c r="A1287" t="inlineStr">
        <is>
          <t>A 22341-2022</t>
        </is>
      </c>
      <c r="B1287" s="1" t="n">
        <v>44713</v>
      </c>
      <c r="C1287" s="1" t="n">
        <v>45356</v>
      </c>
      <c r="D1287" t="inlineStr">
        <is>
          <t>VÄSTERNORRLANDS LÄN</t>
        </is>
      </c>
      <c r="E1287" t="inlineStr">
        <is>
          <t>SOLLEFTEÅ</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22342-2022</t>
        </is>
      </c>
      <c r="B1288" s="1" t="n">
        <v>44713</v>
      </c>
      <c r="C1288" s="1" t="n">
        <v>45356</v>
      </c>
      <c r="D1288" t="inlineStr">
        <is>
          <t>VÄSTERNORRLANDS LÄN</t>
        </is>
      </c>
      <c r="E1288" t="inlineStr">
        <is>
          <t>SOLLEFTEÅ</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22343-2022</t>
        </is>
      </c>
      <c r="B1289" s="1" t="n">
        <v>44713</v>
      </c>
      <c r="C1289" s="1" t="n">
        <v>45356</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22664-2022</t>
        </is>
      </c>
      <c r="B1290" s="1" t="n">
        <v>44714</v>
      </c>
      <c r="C1290" s="1" t="n">
        <v>45356</v>
      </c>
      <c r="D1290" t="inlineStr">
        <is>
          <t>VÄSTERNORRLANDS LÄN</t>
        </is>
      </c>
      <c r="E1290" t="inlineStr">
        <is>
          <t>SOLLEFTEÅ</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22762-2022</t>
        </is>
      </c>
      <c r="B1291" s="1" t="n">
        <v>44715</v>
      </c>
      <c r="C1291" s="1" t="n">
        <v>45356</v>
      </c>
      <c r="D1291" t="inlineStr">
        <is>
          <t>VÄSTERNORRLANDS LÄN</t>
        </is>
      </c>
      <c r="E1291" t="inlineStr">
        <is>
          <t>SOLLEFTEÅ</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22956-2022</t>
        </is>
      </c>
      <c r="B1292" s="1" t="n">
        <v>44716</v>
      </c>
      <c r="C1292" s="1" t="n">
        <v>45356</v>
      </c>
      <c r="D1292" t="inlineStr">
        <is>
          <t>VÄSTERNORRLANDS LÄN</t>
        </is>
      </c>
      <c r="E1292" t="inlineStr">
        <is>
          <t>SOLLEFTEÅ</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22952-2022</t>
        </is>
      </c>
      <c r="B1293" s="1" t="n">
        <v>44716</v>
      </c>
      <c r="C1293" s="1" t="n">
        <v>45356</v>
      </c>
      <c r="D1293" t="inlineStr">
        <is>
          <t>VÄSTERNORRLANDS LÄN</t>
        </is>
      </c>
      <c r="E1293" t="inlineStr">
        <is>
          <t>SOLLEFTEÅ</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22962-2022</t>
        </is>
      </c>
      <c r="B1294" s="1" t="n">
        <v>44715</v>
      </c>
      <c r="C1294" s="1" t="n">
        <v>45356</v>
      </c>
      <c r="D1294" t="inlineStr">
        <is>
          <t>VÄSTERNORRLANDS LÄN</t>
        </is>
      </c>
      <c r="E1294" t="inlineStr">
        <is>
          <t>SOLLEFTEÅ</t>
        </is>
      </c>
      <c r="F1294" t="inlineStr">
        <is>
          <t>SCA</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23111-2022</t>
        </is>
      </c>
      <c r="B1295" s="1" t="n">
        <v>44720</v>
      </c>
      <c r="C1295" s="1" t="n">
        <v>45356</v>
      </c>
      <c r="D1295" t="inlineStr">
        <is>
          <t>VÄSTERNORRLANDS LÄN</t>
        </is>
      </c>
      <c r="E1295" t="inlineStr">
        <is>
          <t>SOLLEFTEÅ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23230-2022</t>
        </is>
      </c>
      <c r="B1296" s="1" t="n">
        <v>44720</v>
      </c>
      <c r="C1296" s="1" t="n">
        <v>45356</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23282-2022</t>
        </is>
      </c>
      <c r="B1297" s="1" t="n">
        <v>44720</v>
      </c>
      <c r="C1297" s="1" t="n">
        <v>45356</v>
      </c>
      <c r="D1297" t="inlineStr">
        <is>
          <t>VÄSTERNORRLANDS LÄN</t>
        </is>
      </c>
      <c r="E1297" t="inlineStr">
        <is>
          <t>SOLLEFTEÅ</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23436-2022</t>
        </is>
      </c>
      <c r="B1298" s="1" t="n">
        <v>44720</v>
      </c>
      <c r="C1298" s="1" t="n">
        <v>45356</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23445-2022</t>
        </is>
      </c>
      <c r="B1299" s="1" t="n">
        <v>44721</v>
      </c>
      <c r="C1299" s="1" t="n">
        <v>45356</v>
      </c>
      <c r="D1299" t="inlineStr">
        <is>
          <t>VÄSTERNORRLANDS LÄN</t>
        </is>
      </c>
      <c r="E1299" t="inlineStr">
        <is>
          <t>SOLLEFTEÅ</t>
        </is>
      </c>
      <c r="F1299" t="inlineStr">
        <is>
          <t>SCA</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23447-2022</t>
        </is>
      </c>
      <c r="B1300" s="1" t="n">
        <v>44721</v>
      </c>
      <c r="C1300" s="1" t="n">
        <v>45356</v>
      </c>
      <c r="D1300" t="inlineStr">
        <is>
          <t>VÄSTERNORRLANDS LÄN</t>
        </is>
      </c>
      <c r="E1300" t="inlineStr">
        <is>
          <t>SOLLEFTEÅ</t>
        </is>
      </c>
      <c r="F1300" t="inlineStr">
        <is>
          <t>SCA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23450-2022</t>
        </is>
      </c>
      <c r="B1301" s="1" t="n">
        <v>44720</v>
      </c>
      <c r="C1301" s="1" t="n">
        <v>45356</v>
      </c>
      <c r="D1301" t="inlineStr">
        <is>
          <t>VÄSTERNORRLANDS LÄN</t>
        </is>
      </c>
      <c r="E1301" t="inlineStr">
        <is>
          <t>SOLLEFTEÅ</t>
        </is>
      </c>
      <c r="F1301" t="inlineStr">
        <is>
          <t>SCA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24008-2022</t>
        </is>
      </c>
      <c r="B1302" s="1" t="n">
        <v>44723</v>
      </c>
      <c r="C1302" s="1" t="n">
        <v>45356</v>
      </c>
      <c r="D1302" t="inlineStr">
        <is>
          <t>VÄSTERNORRLANDS LÄN</t>
        </is>
      </c>
      <c r="E1302" t="inlineStr">
        <is>
          <t>SOLLEFTEÅ</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24024-2022</t>
        </is>
      </c>
      <c r="B1303" s="1" t="n">
        <v>44723</v>
      </c>
      <c r="C1303" s="1" t="n">
        <v>45356</v>
      </c>
      <c r="D1303" t="inlineStr">
        <is>
          <t>VÄSTERNORRLANDS LÄN</t>
        </is>
      </c>
      <c r="E1303" t="inlineStr">
        <is>
          <t>SOLLEFTEÅ</t>
        </is>
      </c>
      <c r="F1303" t="inlineStr">
        <is>
          <t>SCA</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24322-2022</t>
        </is>
      </c>
      <c r="B1304" s="1" t="n">
        <v>44726</v>
      </c>
      <c r="C1304" s="1" t="n">
        <v>45356</v>
      </c>
      <c r="D1304" t="inlineStr">
        <is>
          <t>VÄSTERNORRLANDS LÄN</t>
        </is>
      </c>
      <c r="E1304" t="inlineStr">
        <is>
          <t>SOLLEFTEÅ</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24723-2022</t>
        </is>
      </c>
      <c r="B1305" s="1" t="n">
        <v>44728</v>
      </c>
      <c r="C1305" s="1" t="n">
        <v>45356</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24739-2022</t>
        </is>
      </c>
      <c r="B1306" s="1" t="n">
        <v>44728</v>
      </c>
      <c r="C1306" s="1" t="n">
        <v>45356</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24734-2022</t>
        </is>
      </c>
      <c r="B1307" s="1" t="n">
        <v>44728</v>
      </c>
      <c r="C1307" s="1" t="n">
        <v>45356</v>
      </c>
      <c r="D1307" t="inlineStr">
        <is>
          <t>VÄSTERNORRLANDS LÄN</t>
        </is>
      </c>
      <c r="E1307" t="inlineStr">
        <is>
          <t>SOLLEFTEÅ</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24735-2022</t>
        </is>
      </c>
      <c r="B1308" s="1" t="n">
        <v>44728</v>
      </c>
      <c r="C1308" s="1" t="n">
        <v>45356</v>
      </c>
      <c r="D1308" t="inlineStr">
        <is>
          <t>VÄSTERNORRLANDS LÄN</t>
        </is>
      </c>
      <c r="E1308" t="inlineStr">
        <is>
          <t>SOLLEFTEÅ</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24721-2022</t>
        </is>
      </c>
      <c r="B1309" s="1" t="n">
        <v>44728</v>
      </c>
      <c r="C1309" s="1" t="n">
        <v>45356</v>
      </c>
      <c r="D1309" t="inlineStr">
        <is>
          <t>VÄSTERNORRLANDS LÄN</t>
        </is>
      </c>
      <c r="E1309" t="inlineStr">
        <is>
          <t>SOLLEFTEÅ</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24737-2022</t>
        </is>
      </c>
      <c r="B1310" s="1" t="n">
        <v>44728</v>
      </c>
      <c r="C1310" s="1" t="n">
        <v>45356</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25019-2022</t>
        </is>
      </c>
      <c r="B1311" s="1" t="n">
        <v>44728</v>
      </c>
      <c r="C1311" s="1" t="n">
        <v>45356</v>
      </c>
      <c r="D1311" t="inlineStr">
        <is>
          <t>VÄSTERNORRLANDS LÄN</t>
        </is>
      </c>
      <c r="E1311" t="inlineStr">
        <is>
          <t>SOLLEFTEÅ</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25024-2022</t>
        </is>
      </c>
      <c r="B1312" s="1" t="n">
        <v>44729</v>
      </c>
      <c r="C1312" s="1" t="n">
        <v>45356</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25026-2022</t>
        </is>
      </c>
      <c r="B1313" s="1" t="n">
        <v>44729</v>
      </c>
      <c r="C1313" s="1" t="n">
        <v>45356</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25017-2022</t>
        </is>
      </c>
      <c r="B1314" s="1" t="n">
        <v>44729</v>
      </c>
      <c r="C1314" s="1" t="n">
        <v>45356</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25295-2022</t>
        </is>
      </c>
      <c r="B1315" s="1" t="n">
        <v>44731</v>
      </c>
      <c r="C1315" s="1" t="n">
        <v>45356</v>
      </c>
      <c r="D1315" t="inlineStr">
        <is>
          <t>VÄSTERNORRLANDS LÄN</t>
        </is>
      </c>
      <c r="E1315" t="inlineStr">
        <is>
          <t>SOLLEFTEÅ</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25339-2022</t>
        </is>
      </c>
      <c r="B1316" s="1" t="n">
        <v>44732</v>
      </c>
      <c r="C1316" s="1" t="n">
        <v>45356</v>
      </c>
      <c r="D1316" t="inlineStr">
        <is>
          <t>VÄSTERNORRLANDS LÄN</t>
        </is>
      </c>
      <c r="E1316" t="inlineStr">
        <is>
          <t>SOLLEFTEÅ</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25338-2022</t>
        </is>
      </c>
      <c r="B1317" s="1" t="n">
        <v>44731</v>
      </c>
      <c r="C1317" s="1" t="n">
        <v>45356</v>
      </c>
      <c r="D1317" t="inlineStr">
        <is>
          <t>VÄSTERNORRLANDS LÄN</t>
        </is>
      </c>
      <c r="E1317" t="inlineStr">
        <is>
          <t>SOLLEFTEÅ</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25341-2022</t>
        </is>
      </c>
      <c r="B1318" s="1" t="n">
        <v>44731</v>
      </c>
      <c r="C1318" s="1" t="n">
        <v>45356</v>
      </c>
      <c r="D1318" t="inlineStr">
        <is>
          <t>VÄSTERNORRLANDS LÄN</t>
        </is>
      </c>
      <c r="E1318" t="inlineStr">
        <is>
          <t>SOLLEFTEÅ</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26407-2022</t>
        </is>
      </c>
      <c r="B1319" s="1" t="n">
        <v>44735</v>
      </c>
      <c r="C1319" s="1" t="n">
        <v>45356</v>
      </c>
      <c r="D1319" t="inlineStr">
        <is>
          <t>VÄSTERNORRLANDS LÄN</t>
        </is>
      </c>
      <c r="E1319" t="inlineStr">
        <is>
          <t>SOLLEFTEÅ</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26416-2022</t>
        </is>
      </c>
      <c r="B1320" s="1" t="n">
        <v>44736</v>
      </c>
      <c r="C1320" s="1" t="n">
        <v>45356</v>
      </c>
      <c r="D1320" t="inlineStr">
        <is>
          <t>VÄSTERNORRLANDS LÄN</t>
        </is>
      </c>
      <c r="E1320" t="inlineStr">
        <is>
          <t>SOLLEFTEÅ</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26415-2022</t>
        </is>
      </c>
      <c r="B1321" s="1" t="n">
        <v>44735</v>
      </c>
      <c r="C1321" s="1" t="n">
        <v>45356</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26435-2022</t>
        </is>
      </c>
      <c r="B1322" s="1" t="n">
        <v>44737</v>
      </c>
      <c r="C1322" s="1" t="n">
        <v>45356</v>
      </c>
      <c r="D1322" t="inlineStr">
        <is>
          <t>VÄSTERNORRLANDS LÄN</t>
        </is>
      </c>
      <c r="E1322" t="inlineStr">
        <is>
          <t>SOLLEFTEÅ</t>
        </is>
      </c>
      <c r="F1322" t="inlineStr">
        <is>
          <t>SCA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26594-2022</t>
        </is>
      </c>
      <c r="B1323" s="1" t="n">
        <v>44739</v>
      </c>
      <c r="C1323" s="1" t="n">
        <v>45356</v>
      </c>
      <c r="D1323" t="inlineStr">
        <is>
          <t>VÄSTERNORRLANDS LÄN</t>
        </is>
      </c>
      <c r="E1323" t="inlineStr">
        <is>
          <t>SOLLEFTEÅ</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26732-2022</t>
        </is>
      </c>
      <c r="B1324" s="1" t="n">
        <v>44740</v>
      </c>
      <c r="C1324" s="1" t="n">
        <v>45356</v>
      </c>
      <c r="D1324" t="inlineStr">
        <is>
          <t>VÄSTERNORRLANDS LÄN</t>
        </is>
      </c>
      <c r="E1324" t="inlineStr">
        <is>
          <t>SOLLEFTEÅ</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26744-2022</t>
        </is>
      </c>
      <c r="B1325" s="1" t="n">
        <v>44739</v>
      </c>
      <c r="C1325" s="1" t="n">
        <v>45356</v>
      </c>
      <c r="D1325" t="inlineStr">
        <is>
          <t>VÄSTERNORRLANDS LÄN</t>
        </is>
      </c>
      <c r="E1325" t="inlineStr">
        <is>
          <t>SOLLEFTEÅ</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26736-2022</t>
        </is>
      </c>
      <c r="B1326" s="1" t="n">
        <v>44740</v>
      </c>
      <c r="C1326" s="1" t="n">
        <v>45356</v>
      </c>
      <c r="D1326" t="inlineStr">
        <is>
          <t>VÄSTERNORRLANDS LÄN</t>
        </is>
      </c>
      <c r="E1326" t="inlineStr">
        <is>
          <t>SOLLEFTEÅ</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27016-2022</t>
        </is>
      </c>
      <c r="B1327" s="1" t="n">
        <v>44741</v>
      </c>
      <c r="C1327" s="1" t="n">
        <v>45356</v>
      </c>
      <c r="D1327" t="inlineStr">
        <is>
          <t>VÄSTERNORRLANDS LÄN</t>
        </is>
      </c>
      <c r="E1327" t="inlineStr">
        <is>
          <t>SOLLEFTEÅ</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27019-2022</t>
        </is>
      </c>
      <c r="B1328" s="1" t="n">
        <v>44741</v>
      </c>
      <c r="C1328" s="1" t="n">
        <v>45356</v>
      </c>
      <c r="D1328" t="inlineStr">
        <is>
          <t>VÄSTERNORRLANDS LÄN</t>
        </is>
      </c>
      <c r="E1328" t="inlineStr">
        <is>
          <t>SOLLEFTEÅ</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27012-2022</t>
        </is>
      </c>
      <c r="B1329" s="1" t="n">
        <v>44740</v>
      </c>
      <c r="C1329" s="1" t="n">
        <v>45356</v>
      </c>
      <c r="D1329" t="inlineStr">
        <is>
          <t>VÄSTERNORRLANDS LÄN</t>
        </is>
      </c>
      <c r="E1329" t="inlineStr">
        <is>
          <t>SOLLEFTEÅ</t>
        </is>
      </c>
      <c r="F1329" t="inlineStr">
        <is>
          <t>SCA</t>
        </is>
      </c>
      <c r="G1329" t="n">
        <v>19.8</v>
      </c>
      <c r="H1329" t="n">
        <v>0</v>
      </c>
      <c r="I1329" t="n">
        <v>0</v>
      </c>
      <c r="J1329" t="n">
        <v>0</v>
      </c>
      <c r="K1329" t="n">
        <v>0</v>
      </c>
      <c r="L1329" t="n">
        <v>0</v>
      </c>
      <c r="M1329" t="n">
        <v>0</v>
      </c>
      <c r="N1329" t="n">
        <v>0</v>
      </c>
      <c r="O1329" t="n">
        <v>0</v>
      </c>
      <c r="P1329" t="n">
        <v>0</v>
      </c>
      <c r="Q1329" t="n">
        <v>0</v>
      </c>
      <c r="R1329" s="2" t="inlineStr"/>
    </row>
    <row r="1330" ht="15" customHeight="1">
      <c r="A1330" t="inlineStr">
        <is>
          <t>A 27020-2022</t>
        </is>
      </c>
      <c r="B1330" s="1" t="n">
        <v>44741</v>
      </c>
      <c r="C1330" s="1" t="n">
        <v>45356</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27024-2022</t>
        </is>
      </c>
      <c r="B1331" s="1" t="n">
        <v>44741</v>
      </c>
      <c r="C1331" s="1" t="n">
        <v>45356</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27023-2022</t>
        </is>
      </c>
      <c r="B1332" s="1" t="n">
        <v>44741</v>
      </c>
      <c r="C1332" s="1" t="n">
        <v>45356</v>
      </c>
      <c r="D1332" t="inlineStr">
        <is>
          <t>VÄSTERNORRLANDS LÄN</t>
        </is>
      </c>
      <c r="E1332" t="inlineStr">
        <is>
          <t>SOLLEFTEÅ</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27018-2022</t>
        </is>
      </c>
      <c r="B1333" s="1" t="n">
        <v>44740</v>
      </c>
      <c r="C1333" s="1" t="n">
        <v>45356</v>
      </c>
      <c r="D1333" t="inlineStr">
        <is>
          <t>VÄSTERNORRLANDS LÄN</t>
        </is>
      </c>
      <c r="E1333" t="inlineStr">
        <is>
          <t>SOLLEFTEÅ</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27022-2022</t>
        </is>
      </c>
      <c r="B1334" s="1" t="n">
        <v>44741</v>
      </c>
      <c r="C1334" s="1" t="n">
        <v>45356</v>
      </c>
      <c r="D1334" t="inlineStr">
        <is>
          <t>VÄSTERNORRLANDS LÄN</t>
        </is>
      </c>
      <c r="E1334" t="inlineStr">
        <is>
          <t>SOLLEFTEÅ</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27082-2022</t>
        </is>
      </c>
      <c r="B1335" s="1" t="n">
        <v>44741</v>
      </c>
      <c r="C1335" s="1" t="n">
        <v>45356</v>
      </c>
      <c r="D1335" t="inlineStr">
        <is>
          <t>VÄSTERNORRLANDS LÄN</t>
        </is>
      </c>
      <c r="E1335" t="inlineStr">
        <is>
          <t>SOLLEFTEÅ</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27283-2022</t>
        </is>
      </c>
      <c r="B1336" s="1" t="n">
        <v>44742</v>
      </c>
      <c r="C1336" s="1" t="n">
        <v>45356</v>
      </c>
      <c r="D1336" t="inlineStr">
        <is>
          <t>VÄSTERNORRLANDS LÄN</t>
        </is>
      </c>
      <c r="E1336" t="inlineStr">
        <is>
          <t>SOLLEFTEÅ</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27282-2022</t>
        </is>
      </c>
      <c r="B1337" s="1" t="n">
        <v>44741</v>
      </c>
      <c r="C1337" s="1" t="n">
        <v>45356</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27573-2022</t>
        </is>
      </c>
      <c r="B1338" s="1" t="n">
        <v>44743</v>
      </c>
      <c r="C1338" s="1" t="n">
        <v>45356</v>
      </c>
      <c r="D1338" t="inlineStr">
        <is>
          <t>VÄSTERNORRLANDS LÄN</t>
        </is>
      </c>
      <c r="E1338" t="inlineStr">
        <is>
          <t>SOLLEFTEÅ</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27572-2022</t>
        </is>
      </c>
      <c r="B1339" s="1" t="n">
        <v>44743</v>
      </c>
      <c r="C1339" s="1" t="n">
        <v>45356</v>
      </c>
      <c r="D1339" t="inlineStr">
        <is>
          <t>VÄSTERNORRLANDS LÄN</t>
        </is>
      </c>
      <c r="E1339" t="inlineStr">
        <is>
          <t>SOLLEFTEÅ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27603-2022</t>
        </is>
      </c>
      <c r="B1340" s="1" t="n">
        <v>44743</v>
      </c>
      <c r="C1340" s="1" t="n">
        <v>45356</v>
      </c>
      <c r="D1340" t="inlineStr">
        <is>
          <t>VÄSTERNORRLANDS LÄN</t>
        </is>
      </c>
      <c r="E1340" t="inlineStr">
        <is>
          <t>SOLLEFTEÅ</t>
        </is>
      </c>
      <c r="F1340" t="inlineStr">
        <is>
          <t>SCA</t>
        </is>
      </c>
      <c r="G1340" t="n">
        <v>9.6</v>
      </c>
      <c r="H1340" t="n">
        <v>0</v>
      </c>
      <c r="I1340" t="n">
        <v>0</v>
      </c>
      <c r="J1340" t="n">
        <v>0</v>
      </c>
      <c r="K1340" t="n">
        <v>0</v>
      </c>
      <c r="L1340" t="n">
        <v>0</v>
      </c>
      <c r="M1340" t="n">
        <v>0</v>
      </c>
      <c r="N1340" t="n">
        <v>0</v>
      </c>
      <c r="O1340" t="n">
        <v>0</v>
      </c>
      <c r="P1340" t="n">
        <v>0</v>
      </c>
      <c r="Q1340" t="n">
        <v>0</v>
      </c>
      <c r="R1340" s="2" t="inlineStr"/>
    </row>
    <row r="1341" ht="15" customHeight="1">
      <c r="A1341" t="inlineStr">
        <is>
          <t>A 27593-2022</t>
        </is>
      </c>
      <c r="B1341" s="1" t="n">
        <v>44742</v>
      </c>
      <c r="C1341" s="1" t="n">
        <v>45356</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27926-2022</t>
        </is>
      </c>
      <c r="B1342" s="1" t="n">
        <v>44743</v>
      </c>
      <c r="C1342" s="1" t="n">
        <v>45356</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27943-2022</t>
        </is>
      </c>
      <c r="B1343" s="1" t="n">
        <v>44743</v>
      </c>
      <c r="C1343" s="1" t="n">
        <v>45356</v>
      </c>
      <c r="D1343" t="inlineStr">
        <is>
          <t>VÄSTERNORRLANDS LÄN</t>
        </is>
      </c>
      <c r="E1343" t="inlineStr">
        <is>
          <t>SOLLEFTEÅ</t>
        </is>
      </c>
      <c r="F1343" t="inlineStr">
        <is>
          <t>SCA</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28293-2022</t>
        </is>
      </c>
      <c r="B1344" s="1" t="n">
        <v>44747</v>
      </c>
      <c r="C1344" s="1" t="n">
        <v>45356</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28700-2022</t>
        </is>
      </c>
      <c r="B1345" s="1" t="n">
        <v>44748</v>
      </c>
      <c r="C1345" s="1" t="n">
        <v>45356</v>
      </c>
      <c r="D1345" t="inlineStr">
        <is>
          <t>VÄSTERNORRLANDS LÄN</t>
        </is>
      </c>
      <c r="E1345" t="inlineStr">
        <is>
          <t>SOLLEFTEÅ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28729-2022</t>
        </is>
      </c>
      <c r="B1346" s="1" t="n">
        <v>44748</v>
      </c>
      <c r="C1346" s="1" t="n">
        <v>45356</v>
      </c>
      <c r="D1346" t="inlineStr">
        <is>
          <t>VÄSTERNORRLANDS LÄN</t>
        </is>
      </c>
      <c r="E1346" t="inlineStr">
        <is>
          <t>SOLLEFTEÅ</t>
        </is>
      </c>
      <c r="F1346" t="inlineStr">
        <is>
          <t>SCA</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28730-2022</t>
        </is>
      </c>
      <c r="B1347" s="1" t="n">
        <v>44748</v>
      </c>
      <c r="C1347" s="1" t="n">
        <v>45356</v>
      </c>
      <c r="D1347" t="inlineStr">
        <is>
          <t>VÄSTERNORRLANDS LÄN</t>
        </is>
      </c>
      <c r="E1347" t="inlineStr">
        <is>
          <t>SOLLEFTEÅ</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28828-2022</t>
        </is>
      </c>
      <c r="B1348" s="1" t="n">
        <v>44749</v>
      </c>
      <c r="C1348" s="1" t="n">
        <v>45356</v>
      </c>
      <c r="D1348" t="inlineStr">
        <is>
          <t>VÄSTERNORRLANDS LÄN</t>
        </is>
      </c>
      <c r="E1348" t="inlineStr">
        <is>
          <t>SOLLEFTEÅ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28893-2022</t>
        </is>
      </c>
      <c r="B1349" s="1" t="n">
        <v>44749</v>
      </c>
      <c r="C1349" s="1" t="n">
        <v>45356</v>
      </c>
      <c r="D1349" t="inlineStr">
        <is>
          <t>VÄSTERNORRLANDS LÄN</t>
        </is>
      </c>
      <c r="E1349" t="inlineStr">
        <is>
          <t>SOLLEFTEÅ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28909-2022</t>
        </is>
      </c>
      <c r="B1350" s="1" t="n">
        <v>44749</v>
      </c>
      <c r="C1350" s="1" t="n">
        <v>45356</v>
      </c>
      <c r="D1350" t="inlineStr">
        <is>
          <t>VÄSTERNORRLANDS LÄN</t>
        </is>
      </c>
      <c r="E1350" t="inlineStr">
        <is>
          <t>SOLLEFTEÅ</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28896-2022</t>
        </is>
      </c>
      <c r="B1351" s="1" t="n">
        <v>44749</v>
      </c>
      <c r="C1351" s="1" t="n">
        <v>45356</v>
      </c>
      <c r="D1351" t="inlineStr">
        <is>
          <t>VÄSTERNORRLANDS LÄN</t>
        </is>
      </c>
      <c r="E1351" t="inlineStr">
        <is>
          <t>SOLLEFTEÅ</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28903-2022</t>
        </is>
      </c>
      <c r="B1352" s="1" t="n">
        <v>44749</v>
      </c>
      <c r="C1352" s="1" t="n">
        <v>45356</v>
      </c>
      <c r="D1352" t="inlineStr">
        <is>
          <t>VÄSTERNORRLANDS LÄN</t>
        </is>
      </c>
      <c r="E1352" t="inlineStr">
        <is>
          <t>SOLLEFTEÅ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28973-2022</t>
        </is>
      </c>
      <c r="B1353" s="1" t="n">
        <v>44749</v>
      </c>
      <c r="C1353" s="1" t="n">
        <v>45356</v>
      </c>
      <c r="D1353" t="inlineStr">
        <is>
          <t>VÄSTERNORRLANDS LÄN</t>
        </is>
      </c>
      <c r="E1353" t="inlineStr">
        <is>
          <t>SOLLEFTEÅ</t>
        </is>
      </c>
      <c r="F1353" t="inlineStr">
        <is>
          <t>Holmen skog AB</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29290-2022</t>
        </is>
      </c>
      <c r="B1354" s="1" t="n">
        <v>44750</v>
      </c>
      <c r="C1354" s="1" t="n">
        <v>45356</v>
      </c>
      <c r="D1354" t="inlineStr">
        <is>
          <t>VÄSTERNORRLANDS LÄN</t>
        </is>
      </c>
      <c r="E1354" t="inlineStr">
        <is>
          <t>SOLLEFTEÅ</t>
        </is>
      </c>
      <c r="F1354" t="inlineStr">
        <is>
          <t>SCA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29294-2022</t>
        </is>
      </c>
      <c r="B1355" s="1" t="n">
        <v>44751</v>
      </c>
      <c r="C1355" s="1" t="n">
        <v>45356</v>
      </c>
      <c r="D1355" t="inlineStr">
        <is>
          <t>VÄSTERNORRLANDS LÄN</t>
        </is>
      </c>
      <c r="E1355" t="inlineStr">
        <is>
          <t>SOLLEFTEÅ</t>
        </is>
      </c>
      <c r="F1355" t="inlineStr">
        <is>
          <t>SCA</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29300-2022</t>
        </is>
      </c>
      <c r="B1356" s="1" t="n">
        <v>44750</v>
      </c>
      <c r="C1356" s="1" t="n">
        <v>45356</v>
      </c>
      <c r="D1356" t="inlineStr">
        <is>
          <t>VÄSTERNORRLANDS LÄN</t>
        </is>
      </c>
      <c r="E1356" t="inlineStr">
        <is>
          <t>SOLLEFTEÅ</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29292-2022</t>
        </is>
      </c>
      <c r="B1357" s="1" t="n">
        <v>44750</v>
      </c>
      <c r="C1357" s="1" t="n">
        <v>45356</v>
      </c>
      <c r="D1357" t="inlineStr">
        <is>
          <t>VÄSTERNORRLANDS LÄN</t>
        </is>
      </c>
      <c r="E1357" t="inlineStr">
        <is>
          <t>SOLLEFTEÅ</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29538-2022</t>
        </is>
      </c>
      <c r="B1358" s="1" t="n">
        <v>44754</v>
      </c>
      <c r="C1358" s="1" t="n">
        <v>45356</v>
      </c>
      <c r="D1358" t="inlineStr">
        <is>
          <t>VÄSTERNORRLANDS LÄN</t>
        </is>
      </c>
      <c r="E1358" t="inlineStr">
        <is>
          <t>SOLLEFTEÅ</t>
        </is>
      </c>
      <c r="F1358" t="inlineStr">
        <is>
          <t>SCA</t>
        </is>
      </c>
      <c r="G1358" t="n">
        <v>20.2</v>
      </c>
      <c r="H1358" t="n">
        <v>0</v>
      </c>
      <c r="I1358" t="n">
        <v>0</v>
      </c>
      <c r="J1358" t="n">
        <v>0</v>
      </c>
      <c r="K1358" t="n">
        <v>0</v>
      </c>
      <c r="L1358" t="n">
        <v>0</v>
      </c>
      <c r="M1358" t="n">
        <v>0</v>
      </c>
      <c r="N1358" t="n">
        <v>0</v>
      </c>
      <c r="O1358" t="n">
        <v>0</v>
      </c>
      <c r="P1358" t="n">
        <v>0</v>
      </c>
      <c r="Q1358" t="n">
        <v>0</v>
      </c>
      <c r="R1358" s="2" t="inlineStr"/>
    </row>
    <row r="1359" ht="15" customHeight="1">
      <c r="A1359" t="inlineStr">
        <is>
          <t>A 29842-2022</t>
        </is>
      </c>
      <c r="B1359" s="1" t="n">
        <v>44756</v>
      </c>
      <c r="C1359" s="1" t="n">
        <v>45356</v>
      </c>
      <c r="D1359" t="inlineStr">
        <is>
          <t>VÄSTERNORRLANDS LÄN</t>
        </is>
      </c>
      <c r="E1359" t="inlineStr">
        <is>
          <t>SOLLEFTEÅ</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30032-2022</t>
        </is>
      </c>
      <c r="B1360" s="1" t="n">
        <v>44756</v>
      </c>
      <c r="C1360" s="1" t="n">
        <v>45356</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30041-2022</t>
        </is>
      </c>
      <c r="B1361" s="1" t="n">
        <v>44756</v>
      </c>
      <c r="C1361" s="1" t="n">
        <v>45356</v>
      </c>
      <c r="D1361" t="inlineStr">
        <is>
          <t>VÄSTERNORRLANDS LÄN</t>
        </is>
      </c>
      <c r="E1361" t="inlineStr">
        <is>
          <t>SOLLEFTEÅ</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30045-2022</t>
        </is>
      </c>
      <c r="B1362" s="1" t="n">
        <v>44756</v>
      </c>
      <c r="C1362" s="1" t="n">
        <v>45356</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30013-2022</t>
        </is>
      </c>
      <c r="B1363" s="1" t="n">
        <v>44756</v>
      </c>
      <c r="C1363" s="1" t="n">
        <v>45356</v>
      </c>
      <c r="D1363" t="inlineStr">
        <is>
          <t>VÄSTERNORRLANDS LÄN</t>
        </is>
      </c>
      <c r="E1363" t="inlineStr">
        <is>
          <t>SOLLEFTEÅ</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30033-2022</t>
        </is>
      </c>
      <c r="B1364" s="1" t="n">
        <v>44756</v>
      </c>
      <c r="C1364" s="1" t="n">
        <v>45356</v>
      </c>
      <c r="D1364" t="inlineStr">
        <is>
          <t>VÄSTERNORRLANDS LÄN</t>
        </is>
      </c>
      <c r="E1364" t="inlineStr">
        <is>
          <t>SOLLEFTEÅ</t>
        </is>
      </c>
      <c r="F1364" t="inlineStr">
        <is>
          <t>SCA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30040-2022</t>
        </is>
      </c>
      <c r="B1365" s="1" t="n">
        <v>44757</v>
      </c>
      <c r="C1365" s="1" t="n">
        <v>45356</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30034-2022</t>
        </is>
      </c>
      <c r="B1366" s="1" t="n">
        <v>44757</v>
      </c>
      <c r="C1366" s="1" t="n">
        <v>45356</v>
      </c>
      <c r="D1366" t="inlineStr">
        <is>
          <t>VÄSTERNORRLANDS LÄN</t>
        </is>
      </c>
      <c r="E1366" t="inlineStr">
        <is>
          <t>SOLLEFTEÅ</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30039-2022</t>
        </is>
      </c>
      <c r="B1367" s="1" t="n">
        <v>44757</v>
      </c>
      <c r="C1367" s="1" t="n">
        <v>45356</v>
      </c>
      <c r="D1367" t="inlineStr">
        <is>
          <t>VÄSTERNORRLANDS LÄN</t>
        </is>
      </c>
      <c r="E1367" t="inlineStr">
        <is>
          <t>SOLLEFTEÅ</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30043-2022</t>
        </is>
      </c>
      <c r="B1368" s="1" t="n">
        <v>44756</v>
      </c>
      <c r="C1368" s="1" t="n">
        <v>45356</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30047-2022</t>
        </is>
      </c>
      <c r="B1369" s="1" t="n">
        <v>44757</v>
      </c>
      <c r="C1369" s="1" t="n">
        <v>45356</v>
      </c>
      <c r="D1369" t="inlineStr">
        <is>
          <t>VÄSTERNORRLANDS LÄN</t>
        </is>
      </c>
      <c r="E1369" t="inlineStr">
        <is>
          <t>SOLLEFTEÅ</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30238-2022</t>
        </is>
      </c>
      <c r="B1370" s="1" t="n">
        <v>44757</v>
      </c>
      <c r="C1370" s="1" t="n">
        <v>45356</v>
      </c>
      <c r="D1370" t="inlineStr">
        <is>
          <t>VÄSTERNORRLANDS LÄN</t>
        </is>
      </c>
      <c r="E1370" t="inlineStr">
        <is>
          <t>SOLLEFTEÅ</t>
        </is>
      </c>
      <c r="F1370" t="inlineStr">
        <is>
          <t>SCA</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30239-2022</t>
        </is>
      </c>
      <c r="B1371" s="1" t="n">
        <v>44758</v>
      </c>
      <c r="C1371" s="1" t="n">
        <v>45356</v>
      </c>
      <c r="D1371" t="inlineStr">
        <is>
          <t>VÄSTERNORRLANDS LÄN</t>
        </is>
      </c>
      <c r="E1371" t="inlineStr">
        <is>
          <t>SOLLEFTEÅ</t>
        </is>
      </c>
      <c r="F1371" t="inlineStr">
        <is>
          <t>SCA</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30237-2022</t>
        </is>
      </c>
      <c r="B1372" s="1" t="n">
        <v>44758</v>
      </c>
      <c r="C1372" s="1" t="n">
        <v>45356</v>
      </c>
      <c r="D1372" t="inlineStr">
        <is>
          <t>VÄSTERNORRLANDS LÄN</t>
        </is>
      </c>
      <c r="E1372" t="inlineStr">
        <is>
          <t>SOLLEFTEÅ</t>
        </is>
      </c>
      <c r="F1372" t="inlineStr">
        <is>
          <t>SCA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30236-2022</t>
        </is>
      </c>
      <c r="B1373" s="1" t="n">
        <v>44757</v>
      </c>
      <c r="C1373" s="1" t="n">
        <v>45356</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30240-2022</t>
        </is>
      </c>
      <c r="B1374" s="1" t="n">
        <v>44757</v>
      </c>
      <c r="C1374" s="1" t="n">
        <v>45356</v>
      </c>
      <c r="D1374" t="inlineStr">
        <is>
          <t>VÄSTERNORRLANDS LÄN</t>
        </is>
      </c>
      <c r="E1374" t="inlineStr">
        <is>
          <t>SOLLEFTEÅ</t>
        </is>
      </c>
      <c r="F1374" t="inlineStr">
        <is>
          <t>SCA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30606-2022</t>
        </is>
      </c>
      <c r="B1375" s="1" t="n">
        <v>44763</v>
      </c>
      <c r="C1375" s="1" t="n">
        <v>45356</v>
      </c>
      <c r="D1375" t="inlineStr">
        <is>
          <t>VÄSTERNORRLANDS LÄN</t>
        </is>
      </c>
      <c r="E1375" t="inlineStr">
        <is>
          <t>SOLLEFTEÅ</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30805-2022</t>
        </is>
      </c>
      <c r="B1376" s="1" t="n">
        <v>44765</v>
      </c>
      <c r="C1376" s="1" t="n">
        <v>45356</v>
      </c>
      <c r="D1376" t="inlineStr">
        <is>
          <t>VÄSTERNORRLANDS LÄN</t>
        </is>
      </c>
      <c r="E1376" t="inlineStr">
        <is>
          <t>SOLLEFTEÅ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30936-2022</t>
        </is>
      </c>
      <c r="B1377" s="1" t="n">
        <v>44768</v>
      </c>
      <c r="C1377" s="1" t="n">
        <v>45356</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30937-2022</t>
        </is>
      </c>
      <c r="B1378" s="1" t="n">
        <v>44768</v>
      </c>
      <c r="C1378" s="1" t="n">
        <v>45356</v>
      </c>
      <c r="D1378" t="inlineStr">
        <is>
          <t>VÄSTERNORRLANDS LÄN</t>
        </is>
      </c>
      <c r="E1378" t="inlineStr">
        <is>
          <t>SOLLEFTEÅ</t>
        </is>
      </c>
      <c r="F1378" t="inlineStr">
        <is>
          <t>SCA</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31005-2022</t>
        </is>
      </c>
      <c r="B1379" s="1" t="n">
        <v>44768</v>
      </c>
      <c r="C1379" s="1" t="n">
        <v>45356</v>
      </c>
      <c r="D1379" t="inlineStr">
        <is>
          <t>VÄSTERNORRLANDS LÄN</t>
        </is>
      </c>
      <c r="E1379" t="inlineStr">
        <is>
          <t>SOLLEFTEÅ</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31444-2022</t>
        </is>
      </c>
      <c r="B1380" s="1" t="n">
        <v>44774</v>
      </c>
      <c r="C1380" s="1" t="n">
        <v>45356</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31453-2022</t>
        </is>
      </c>
      <c r="B1381" s="1" t="n">
        <v>44775</v>
      </c>
      <c r="C1381" s="1" t="n">
        <v>45356</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31474-2022</t>
        </is>
      </c>
      <c r="B1382" s="1" t="n">
        <v>44775</v>
      </c>
      <c r="C1382" s="1" t="n">
        <v>45356</v>
      </c>
      <c r="D1382" t="inlineStr">
        <is>
          <t>VÄSTERNORRLANDS LÄN</t>
        </is>
      </c>
      <c r="E1382" t="inlineStr">
        <is>
          <t>SOLLEFTEÅ</t>
        </is>
      </c>
      <c r="F1382" t="inlineStr">
        <is>
          <t>SCA</t>
        </is>
      </c>
      <c r="G1382" t="n">
        <v>28.3</v>
      </c>
      <c r="H1382" t="n">
        <v>0</v>
      </c>
      <c r="I1382" t="n">
        <v>0</v>
      </c>
      <c r="J1382" t="n">
        <v>0</v>
      </c>
      <c r="K1382" t="n">
        <v>0</v>
      </c>
      <c r="L1382" t="n">
        <v>0</v>
      </c>
      <c r="M1382" t="n">
        <v>0</v>
      </c>
      <c r="N1382" t="n">
        <v>0</v>
      </c>
      <c r="O1382" t="n">
        <v>0</v>
      </c>
      <c r="P1382" t="n">
        <v>0</v>
      </c>
      <c r="Q1382" t="n">
        <v>0</v>
      </c>
      <c r="R1382" s="2" t="inlineStr"/>
    </row>
    <row r="1383" ht="15" customHeight="1">
      <c r="A1383" t="inlineStr">
        <is>
          <t>A 31440-2022</t>
        </is>
      </c>
      <c r="B1383" s="1" t="n">
        <v>44775</v>
      </c>
      <c r="C1383" s="1" t="n">
        <v>45356</v>
      </c>
      <c r="D1383" t="inlineStr">
        <is>
          <t>VÄSTERNORRLANDS LÄN</t>
        </is>
      </c>
      <c r="E1383" t="inlineStr">
        <is>
          <t>SOLLEFTEÅ</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31464-2022</t>
        </is>
      </c>
      <c r="B1384" s="1" t="n">
        <v>44774</v>
      </c>
      <c r="C1384" s="1" t="n">
        <v>45356</v>
      </c>
      <c r="D1384" t="inlineStr">
        <is>
          <t>VÄSTERNORRLANDS LÄN</t>
        </is>
      </c>
      <c r="E1384" t="inlineStr">
        <is>
          <t>SOLLEFTEÅ</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31452-2022</t>
        </is>
      </c>
      <c r="B1385" s="1" t="n">
        <v>44775</v>
      </c>
      <c r="C1385" s="1" t="n">
        <v>45356</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31490-2022</t>
        </is>
      </c>
      <c r="B1386" s="1" t="n">
        <v>44775</v>
      </c>
      <c r="C1386" s="1" t="n">
        <v>45356</v>
      </c>
      <c r="D1386" t="inlineStr">
        <is>
          <t>VÄSTERNORRLANDS LÄN</t>
        </is>
      </c>
      <c r="E1386" t="inlineStr">
        <is>
          <t>SOLLEFTEÅ</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31451-2022</t>
        </is>
      </c>
      <c r="B1387" s="1" t="n">
        <v>44775</v>
      </c>
      <c r="C1387" s="1" t="n">
        <v>45356</v>
      </c>
      <c r="D1387" t="inlineStr">
        <is>
          <t>VÄSTERNORRLANDS LÄN</t>
        </is>
      </c>
      <c r="E1387" t="inlineStr">
        <is>
          <t>SOLLEFTEÅ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31482-2022</t>
        </is>
      </c>
      <c r="B1388" s="1" t="n">
        <v>44775</v>
      </c>
      <c r="C1388" s="1" t="n">
        <v>45356</v>
      </c>
      <c r="D1388" t="inlineStr">
        <is>
          <t>VÄSTERNORRLANDS LÄN</t>
        </is>
      </c>
      <c r="E1388" t="inlineStr">
        <is>
          <t>SOLLEFTEÅ</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31588-2022</t>
        </is>
      </c>
      <c r="B1389" s="1" t="n">
        <v>44775</v>
      </c>
      <c r="C1389" s="1" t="n">
        <v>45356</v>
      </c>
      <c r="D1389" t="inlineStr">
        <is>
          <t>VÄSTERNORRLANDS LÄN</t>
        </is>
      </c>
      <c r="E1389" t="inlineStr">
        <is>
          <t>SOLLEFTEÅ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31646-2022</t>
        </is>
      </c>
      <c r="B1390" s="1" t="n">
        <v>44776</v>
      </c>
      <c r="C1390" s="1" t="n">
        <v>45356</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31672-2022</t>
        </is>
      </c>
      <c r="B1391" s="1" t="n">
        <v>44776</v>
      </c>
      <c r="C1391" s="1" t="n">
        <v>45356</v>
      </c>
      <c r="D1391" t="inlineStr">
        <is>
          <t>VÄSTERNORRLANDS LÄN</t>
        </is>
      </c>
      <c r="E1391" t="inlineStr">
        <is>
          <t>SOLLEFTEÅ</t>
        </is>
      </c>
      <c r="G1391" t="n">
        <v>16.3</v>
      </c>
      <c r="H1391" t="n">
        <v>0</v>
      </c>
      <c r="I1391" t="n">
        <v>0</v>
      </c>
      <c r="J1391" t="n">
        <v>0</v>
      </c>
      <c r="K1391" t="n">
        <v>0</v>
      </c>
      <c r="L1391" t="n">
        <v>0</v>
      </c>
      <c r="M1391" t="n">
        <v>0</v>
      </c>
      <c r="N1391" t="n">
        <v>0</v>
      </c>
      <c r="O1391" t="n">
        <v>0</v>
      </c>
      <c r="P1391" t="n">
        <v>0</v>
      </c>
      <c r="Q1391" t="n">
        <v>0</v>
      </c>
      <c r="R1391" s="2" t="inlineStr"/>
    </row>
    <row r="1392" ht="15" customHeight="1">
      <c r="A1392" t="inlineStr">
        <is>
          <t>A 31856-2022</t>
        </is>
      </c>
      <c r="B1392" s="1" t="n">
        <v>44776</v>
      </c>
      <c r="C1392" s="1" t="n">
        <v>45356</v>
      </c>
      <c r="D1392" t="inlineStr">
        <is>
          <t>VÄSTERNORRLANDS LÄN</t>
        </is>
      </c>
      <c r="E1392" t="inlineStr">
        <is>
          <t>SOLLEFTEÅ</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31968-2022</t>
        </is>
      </c>
      <c r="B1393" s="1" t="n">
        <v>44778</v>
      </c>
      <c r="C1393" s="1" t="n">
        <v>45356</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31967-2022</t>
        </is>
      </c>
      <c r="B1394" s="1" t="n">
        <v>44778</v>
      </c>
      <c r="C1394" s="1" t="n">
        <v>45356</v>
      </c>
      <c r="D1394" t="inlineStr">
        <is>
          <t>VÄSTERNORRLANDS LÄN</t>
        </is>
      </c>
      <c r="E1394" t="inlineStr">
        <is>
          <t>SOLLEFTEÅ</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31965-2022</t>
        </is>
      </c>
      <c r="B1395" s="1" t="n">
        <v>44778</v>
      </c>
      <c r="C1395" s="1" t="n">
        <v>45356</v>
      </c>
      <c r="D1395" t="inlineStr">
        <is>
          <t>VÄSTERNORRLANDS LÄN</t>
        </is>
      </c>
      <c r="E1395" t="inlineStr">
        <is>
          <t>SOLLEFTEÅ</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31966-2022</t>
        </is>
      </c>
      <c r="B1396" s="1" t="n">
        <v>44778</v>
      </c>
      <c r="C1396" s="1" t="n">
        <v>45356</v>
      </c>
      <c r="D1396" t="inlineStr">
        <is>
          <t>VÄSTERNORRLANDS LÄN</t>
        </is>
      </c>
      <c r="E1396" t="inlineStr">
        <is>
          <t>SOLLEFTEÅ</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32127-2022</t>
        </is>
      </c>
      <c r="B1397" s="1" t="n">
        <v>44779</v>
      </c>
      <c r="C1397" s="1" t="n">
        <v>45356</v>
      </c>
      <c r="D1397" t="inlineStr">
        <is>
          <t>VÄSTERNORRLANDS LÄN</t>
        </is>
      </c>
      <c r="E1397" t="inlineStr">
        <is>
          <t>SOLLEFTEÅ</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32129-2022</t>
        </is>
      </c>
      <c r="B1398" s="1" t="n">
        <v>44779</v>
      </c>
      <c r="C1398" s="1" t="n">
        <v>45356</v>
      </c>
      <c r="D1398" t="inlineStr">
        <is>
          <t>VÄSTERNORRLANDS LÄN</t>
        </is>
      </c>
      <c r="E1398" t="inlineStr">
        <is>
          <t>SOLLEFTEÅ</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32126-2022</t>
        </is>
      </c>
      <c r="B1399" s="1" t="n">
        <v>44778</v>
      </c>
      <c r="C1399" s="1" t="n">
        <v>45356</v>
      </c>
      <c r="D1399" t="inlineStr">
        <is>
          <t>VÄSTERNORRLANDS LÄN</t>
        </is>
      </c>
      <c r="E1399" t="inlineStr">
        <is>
          <t>SOLLEFTEÅ</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32130-2022</t>
        </is>
      </c>
      <c r="B1400" s="1" t="n">
        <v>44779</v>
      </c>
      <c r="C1400" s="1" t="n">
        <v>45356</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32453-2022</t>
        </is>
      </c>
      <c r="B1401" s="1" t="n">
        <v>44782</v>
      </c>
      <c r="C1401" s="1" t="n">
        <v>45356</v>
      </c>
      <c r="D1401" t="inlineStr">
        <is>
          <t>VÄSTERNORRLANDS LÄN</t>
        </is>
      </c>
      <c r="E1401" t="inlineStr">
        <is>
          <t>SOLLEFTEÅ</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32531-2022</t>
        </is>
      </c>
      <c r="B1402" s="1" t="n">
        <v>44783</v>
      </c>
      <c r="C1402" s="1" t="n">
        <v>45356</v>
      </c>
      <c r="D1402" t="inlineStr">
        <is>
          <t>VÄSTERNORRLANDS LÄN</t>
        </is>
      </c>
      <c r="E1402" t="inlineStr">
        <is>
          <t>SOLLEFTEÅ</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32779-2022</t>
        </is>
      </c>
      <c r="B1403" s="1" t="n">
        <v>44784</v>
      </c>
      <c r="C1403" s="1" t="n">
        <v>45356</v>
      </c>
      <c r="D1403" t="inlineStr">
        <is>
          <t>VÄSTERNORRLANDS LÄN</t>
        </is>
      </c>
      <c r="E1403" t="inlineStr">
        <is>
          <t>SOLLEFTEÅ</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32969-2022</t>
        </is>
      </c>
      <c r="B1404" s="1" t="n">
        <v>44785</v>
      </c>
      <c r="C1404" s="1" t="n">
        <v>45356</v>
      </c>
      <c r="D1404" t="inlineStr">
        <is>
          <t>VÄSTERNORRLANDS LÄN</t>
        </is>
      </c>
      <c r="E1404" t="inlineStr">
        <is>
          <t>SOLLEFTEÅ</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33056-2022</t>
        </is>
      </c>
      <c r="B1405" s="1" t="n">
        <v>44785</v>
      </c>
      <c r="C1405" s="1" t="n">
        <v>45356</v>
      </c>
      <c r="D1405" t="inlineStr">
        <is>
          <t>VÄSTERNORRLANDS LÄN</t>
        </is>
      </c>
      <c r="E1405" t="inlineStr">
        <is>
          <t>SOLLEFTEÅ</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33083-2022</t>
        </is>
      </c>
      <c r="B1406" s="1" t="n">
        <v>44785</v>
      </c>
      <c r="C1406" s="1" t="n">
        <v>45356</v>
      </c>
      <c r="D1406" t="inlineStr">
        <is>
          <t>VÄSTERNORRLANDS LÄN</t>
        </is>
      </c>
      <c r="E1406" t="inlineStr">
        <is>
          <t>SOLLEFTEÅ</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33077-2022</t>
        </is>
      </c>
      <c r="B1407" s="1" t="n">
        <v>44785</v>
      </c>
      <c r="C1407" s="1" t="n">
        <v>45356</v>
      </c>
      <c r="D1407" t="inlineStr">
        <is>
          <t>VÄSTERNORRLANDS LÄN</t>
        </is>
      </c>
      <c r="E1407" t="inlineStr">
        <is>
          <t>SOLLEFTEÅ</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33226-2022</t>
        </is>
      </c>
      <c r="B1408" s="1" t="n">
        <v>44786</v>
      </c>
      <c r="C1408" s="1" t="n">
        <v>45356</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33505-2022</t>
        </is>
      </c>
      <c r="B1409" s="1" t="n">
        <v>44789</v>
      </c>
      <c r="C1409" s="1" t="n">
        <v>45356</v>
      </c>
      <c r="D1409" t="inlineStr">
        <is>
          <t>VÄSTERNORRLANDS LÄN</t>
        </is>
      </c>
      <c r="E1409" t="inlineStr">
        <is>
          <t>SOLLEFTEÅ</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33519-2022</t>
        </is>
      </c>
      <c r="B1410" s="1" t="n">
        <v>44789</v>
      </c>
      <c r="C1410" s="1" t="n">
        <v>45356</v>
      </c>
      <c r="D1410" t="inlineStr">
        <is>
          <t>VÄSTERNORRLANDS LÄN</t>
        </is>
      </c>
      <c r="E1410" t="inlineStr">
        <is>
          <t>SOLLEFTEÅ</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33528-2022</t>
        </is>
      </c>
      <c r="B1411" s="1" t="n">
        <v>44788</v>
      </c>
      <c r="C1411" s="1" t="n">
        <v>45356</v>
      </c>
      <c r="D1411" t="inlineStr">
        <is>
          <t>VÄSTERNORRLANDS LÄN</t>
        </is>
      </c>
      <c r="E1411" t="inlineStr">
        <is>
          <t>SOLLEFTEÅ</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33734-2022</t>
        </is>
      </c>
      <c r="B1412" s="1" t="n">
        <v>44790</v>
      </c>
      <c r="C1412" s="1" t="n">
        <v>45356</v>
      </c>
      <c r="D1412" t="inlineStr">
        <is>
          <t>VÄSTERNORRLANDS LÄN</t>
        </is>
      </c>
      <c r="E1412" t="inlineStr">
        <is>
          <t>SOLLEFTEÅ</t>
        </is>
      </c>
      <c r="F1412" t="inlineStr">
        <is>
          <t>SCA</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33990-2022</t>
        </is>
      </c>
      <c r="B1413" s="1" t="n">
        <v>44790</v>
      </c>
      <c r="C1413" s="1" t="n">
        <v>45356</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33995-2022</t>
        </is>
      </c>
      <c r="B1414" s="1" t="n">
        <v>44791</v>
      </c>
      <c r="C1414" s="1" t="n">
        <v>45356</v>
      </c>
      <c r="D1414" t="inlineStr">
        <is>
          <t>VÄSTERNORRLANDS LÄN</t>
        </is>
      </c>
      <c r="E1414" t="inlineStr">
        <is>
          <t>SOLLEFTEÅ</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33994-2022</t>
        </is>
      </c>
      <c r="B1415" s="1" t="n">
        <v>44791</v>
      </c>
      <c r="C1415" s="1" t="n">
        <v>45356</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34242-2022</t>
        </is>
      </c>
      <c r="B1416" s="1" t="n">
        <v>44792</v>
      </c>
      <c r="C1416" s="1" t="n">
        <v>45356</v>
      </c>
      <c r="D1416" t="inlineStr">
        <is>
          <t>VÄSTERNORRLANDS LÄN</t>
        </is>
      </c>
      <c r="E1416" t="inlineStr">
        <is>
          <t>SOLLEFTEÅ</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34252-2022</t>
        </is>
      </c>
      <c r="B1417" s="1" t="n">
        <v>44792</v>
      </c>
      <c r="C1417" s="1" t="n">
        <v>45356</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34267-2022</t>
        </is>
      </c>
      <c r="B1418" s="1" t="n">
        <v>44792</v>
      </c>
      <c r="C1418" s="1" t="n">
        <v>45356</v>
      </c>
      <c r="D1418" t="inlineStr">
        <is>
          <t>VÄSTERNORRLANDS LÄN</t>
        </is>
      </c>
      <c r="E1418" t="inlineStr">
        <is>
          <t>SOLLEFTEÅ</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34281-2022</t>
        </is>
      </c>
      <c r="B1419" s="1" t="n">
        <v>44791</v>
      </c>
      <c r="C1419" s="1" t="n">
        <v>45356</v>
      </c>
      <c r="D1419" t="inlineStr">
        <is>
          <t>VÄSTERNORRLANDS LÄN</t>
        </is>
      </c>
      <c r="E1419" t="inlineStr">
        <is>
          <t>SOLLEFTEÅ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34518-2022</t>
        </is>
      </c>
      <c r="B1420" s="1" t="n">
        <v>44793</v>
      </c>
      <c r="C1420" s="1" t="n">
        <v>45356</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34517-2022</t>
        </is>
      </c>
      <c r="B1421" s="1" t="n">
        <v>44793</v>
      </c>
      <c r="C1421" s="1" t="n">
        <v>45356</v>
      </c>
      <c r="D1421" t="inlineStr">
        <is>
          <t>VÄSTERNORRLANDS LÄN</t>
        </is>
      </c>
      <c r="E1421" t="inlineStr">
        <is>
          <t>SOLLEFTEÅ</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34527-2022</t>
        </is>
      </c>
      <c r="B1422" s="1" t="n">
        <v>44793</v>
      </c>
      <c r="C1422" s="1" t="n">
        <v>45356</v>
      </c>
      <c r="D1422" t="inlineStr">
        <is>
          <t>VÄSTERNORRLANDS LÄN</t>
        </is>
      </c>
      <c r="E1422" t="inlineStr">
        <is>
          <t>SOLLEFTEÅ</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34534-2022</t>
        </is>
      </c>
      <c r="B1423" s="1" t="n">
        <v>44793</v>
      </c>
      <c r="C1423" s="1" t="n">
        <v>45356</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34516-2022</t>
        </is>
      </c>
      <c r="B1424" s="1" t="n">
        <v>44792</v>
      </c>
      <c r="C1424" s="1" t="n">
        <v>45356</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34648-2022</t>
        </is>
      </c>
      <c r="B1425" s="1" t="n">
        <v>44792</v>
      </c>
      <c r="C1425" s="1" t="n">
        <v>45356</v>
      </c>
      <c r="D1425" t="inlineStr">
        <is>
          <t>VÄSTERNORRLANDS LÄN</t>
        </is>
      </c>
      <c r="E1425" t="inlineStr">
        <is>
          <t>SOLLEFTEÅ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34549-2022</t>
        </is>
      </c>
      <c r="B1426" s="1" t="n">
        <v>44793</v>
      </c>
      <c r="C1426" s="1" t="n">
        <v>45356</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34542-2022</t>
        </is>
      </c>
      <c r="B1427" s="1" t="n">
        <v>44793</v>
      </c>
      <c r="C1427" s="1" t="n">
        <v>45356</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34543-2022</t>
        </is>
      </c>
      <c r="B1428" s="1" t="n">
        <v>44793</v>
      </c>
      <c r="C1428" s="1" t="n">
        <v>45356</v>
      </c>
      <c r="D1428" t="inlineStr">
        <is>
          <t>VÄSTERNORRLANDS LÄN</t>
        </is>
      </c>
      <c r="E1428" t="inlineStr">
        <is>
          <t>SOLLEFTEÅ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34552-2022</t>
        </is>
      </c>
      <c r="B1429" s="1" t="n">
        <v>44794</v>
      </c>
      <c r="C1429" s="1" t="n">
        <v>45356</v>
      </c>
      <c r="D1429" t="inlineStr">
        <is>
          <t>VÄSTERNORRLANDS LÄN</t>
        </is>
      </c>
      <c r="E1429" t="inlineStr">
        <is>
          <t>SOLLEFTEÅ</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34804-2022</t>
        </is>
      </c>
      <c r="B1430" s="1" t="n">
        <v>44796</v>
      </c>
      <c r="C1430" s="1" t="n">
        <v>45356</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35019-2022</t>
        </is>
      </c>
      <c r="B1431" s="1" t="n">
        <v>44797</v>
      </c>
      <c r="C1431" s="1" t="n">
        <v>45356</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35229-2022</t>
        </is>
      </c>
      <c r="B1432" s="1" t="n">
        <v>44798</v>
      </c>
      <c r="C1432" s="1" t="n">
        <v>45356</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35747-2022</t>
        </is>
      </c>
      <c r="B1433" s="1" t="n">
        <v>44799</v>
      </c>
      <c r="C1433" s="1" t="n">
        <v>45356</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35797-2022</t>
        </is>
      </c>
      <c r="B1434" s="1" t="n">
        <v>44802</v>
      </c>
      <c r="C1434" s="1" t="n">
        <v>45356</v>
      </c>
      <c r="D1434" t="inlineStr">
        <is>
          <t>VÄSTERNORRLANDS LÄN</t>
        </is>
      </c>
      <c r="E1434" t="inlineStr">
        <is>
          <t>SOLLEFTEÅ</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36080-2022</t>
        </is>
      </c>
      <c r="B1435" s="1" t="n">
        <v>44803</v>
      </c>
      <c r="C1435" s="1" t="n">
        <v>45356</v>
      </c>
      <c r="D1435" t="inlineStr">
        <is>
          <t>VÄSTERNORRLANDS LÄN</t>
        </is>
      </c>
      <c r="E1435" t="inlineStr">
        <is>
          <t>SOLLEFTEÅ</t>
        </is>
      </c>
      <c r="F1435" t="inlineStr">
        <is>
          <t>SCA</t>
        </is>
      </c>
      <c r="G1435" t="n">
        <v>78.2</v>
      </c>
      <c r="H1435" t="n">
        <v>0</v>
      </c>
      <c r="I1435" t="n">
        <v>0</v>
      </c>
      <c r="J1435" t="n">
        <v>0</v>
      </c>
      <c r="K1435" t="n">
        <v>0</v>
      </c>
      <c r="L1435" t="n">
        <v>0</v>
      </c>
      <c r="M1435" t="n">
        <v>0</v>
      </c>
      <c r="N1435" t="n">
        <v>0</v>
      </c>
      <c r="O1435" t="n">
        <v>0</v>
      </c>
      <c r="P1435" t="n">
        <v>0</v>
      </c>
      <c r="Q1435" t="n">
        <v>0</v>
      </c>
      <c r="R1435" s="2" t="inlineStr"/>
    </row>
    <row r="1436" ht="15" customHeight="1">
      <c r="A1436" t="inlineStr">
        <is>
          <t>A 36078-2022</t>
        </is>
      </c>
      <c r="B1436" s="1" t="n">
        <v>44803</v>
      </c>
      <c r="C1436" s="1" t="n">
        <v>45356</v>
      </c>
      <c r="D1436" t="inlineStr">
        <is>
          <t>VÄSTERNORRLANDS LÄN</t>
        </is>
      </c>
      <c r="E1436" t="inlineStr">
        <is>
          <t>SOLLEFTEÅ</t>
        </is>
      </c>
      <c r="F1436" t="inlineStr">
        <is>
          <t>SCA</t>
        </is>
      </c>
      <c r="G1436" t="n">
        <v>12.5</v>
      </c>
      <c r="H1436" t="n">
        <v>0</v>
      </c>
      <c r="I1436" t="n">
        <v>0</v>
      </c>
      <c r="J1436" t="n">
        <v>0</v>
      </c>
      <c r="K1436" t="n">
        <v>0</v>
      </c>
      <c r="L1436" t="n">
        <v>0</v>
      </c>
      <c r="M1436" t="n">
        <v>0</v>
      </c>
      <c r="N1436" t="n">
        <v>0</v>
      </c>
      <c r="O1436" t="n">
        <v>0</v>
      </c>
      <c r="P1436" t="n">
        <v>0</v>
      </c>
      <c r="Q1436" t="n">
        <v>0</v>
      </c>
      <c r="R1436" s="2" t="inlineStr"/>
    </row>
    <row r="1437" ht="15" customHeight="1">
      <c r="A1437" t="inlineStr">
        <is>
          <t>A 36368-2022</t>
        </is>
      </c>
      <c r="B1437" s="1" t="n">
        <v>44804</v>
      </c>
      <c r="C1437" s="1" t="n">
        <v>45356</v>
      </c>
      <c r="D1437" t="inlineStr">
        <is>
          <t>VÄSTERNORRLANDS LÄN</t>
        </is>
      </c>
      <c r="E1437" t="inlineStr">
        <is>
          <t>SOLLEFTEÅ</t>
        </is>
      </c>
      <c r="F1437" t="inlineStr">
        <is>
          <t>SCA</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36367-2022</t>
        </is>
      </c>
      <c r="B1438" s="1" t="n">
        <v>44804</v>
      </c>
      <c r="C1438" s="1" t="n">
        <v>45356</v>
      </c>
      <c r="D1438" t="inlineStr">
        <is>
          <t>VÄSTERNORRLANDS LÄN</t>
        </is>
      </c>
      <c r="E1438" t="inlineStr">
        <is>
          <t>SOLLEFTEÅ</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36688-2022</t>
        </is>
      </c>
      <c r="B1439" s="1" t="n">
        <v>44804</v>
      </c>
      <c r="C1439" s="1" t="n">
        <v>45356</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36681-2022</t>
        </is>
      </c>
      <c r="B1440" s="1" t="n">
        <v>44804</v>
      </c>
      <c r="C1440" s="1" t="n">
        <v>45356</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36926-2022</t>
        </is>
      </c>
      <c r="B1441" s="1" t="n">
        <v>44806</v>
      </c>
      <c r="C1441" s="1" t="n">
        <v>45356</v>
      </c>
      <c r="D1441" t="inlineStr">
        <is>
          <t>VÄSTERNORRLANDS LÄN</t>
        </is>
      </c>
      <c r="E1441" t="inlineStr">
        <is>
          <t>SOLLEFTEÅ</t>
        </is>
      </c>
      <c r="F1441" t="inlineStr">
        <is>
          <t>SCA</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37242-2022</t>
        </is>
      </c>
      <c r="B1442" s="1" t="n">
        <v>44807</v>
      </c>
      <c r="C1442" s="1" t="n">
        <v>45356</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37589-2022</t>
        </is>
      </c>
      <c r="B1443" s="1" t="n">
        <v>44810</v>
      </c>
      <c r="C1443" s="1" t="n">
        <v>45356</v>
      </c>
      <c r="D1443" t="inlineStr">
        <is>
          <t>VÄSTERNORRLANDS LÄN</t>
        </is>
      </c>
      <c r="E1443" t="inlineStr">
        <is>
          <t>SOLLEFTEÅ</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37596-2022</t>
        </is>
      </c>
      <c r="B1444" s="1" t="n">
        <v>44810</v>
      </c>
      <c r="C1444" s="1" t="n">
        <v>45356</v>
      </c>
      <c r="D1444" t="inlineStr">
        <is>
          <t>VÄSTERNORRLANDS LÄN</t>
        </is>
      </c>
      <c r="E1444" t="inlineStr">
        <is>
          <t>SOLLEFTEÅ</t>
        </is>
      </c>
      <c r="F1444" t="inlineStr">
        <is>
          <t>Holmen skog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37597-2022</t>
        </is>
      </c>
      <c r="B1445" s="1" t="n">
        <v>44810</v>
      </c>
      <c r="C1445" s="1" t="n">
        <v>45356</v>
      </c>
      <c r="D1445" t="inlineStr">
        <is>
          <t>VÄSTERNORRLANDS LÄN</t>
        </is>
      </c>
      <c r="E1445" t="inlineStr">
        <is>
          <t>SOLLEFTEÅ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37835-2022</t>
        </is>
      </c>
      <c r="B1446" s="1" t="n">
        <v>44810</v>
      </c>
      <c r="C1446" s="1" t="n">
        <v>45356</v>
      </c>
      <c r="D1446" t="inlineStr">
        <is>
          <t>VÄSTERNORRLANDS LÄN</t>
        </is>
      </c>
      <c r="E1446" t="inlineStr">
        <is>
          <t>SOLLEFTEÅ</t>
        </is>
      </c>
      <c r="F1446" t="inlineStr">
        <is>
          <t>SCA</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37826-2022</t>
        </is>
      </c>
      <c r="B1447" s="1" t="n">
        <v>44811</v>
      </c>
      <c r="C1447" s="1" t="n">
        <v>45356</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37840-2022</t>
        </is>
      </c>
      <c r="B1448" s="1" t="n">
        <v>44810</v>
      </c>
      <c r="C1448" s="1" t="n">
        <v>45356</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38096-2022</t>
        </is>
      </c>
      <c r="B1449" s="1" t="n">
        <v>44812</v>
      </c>
      <c r="C1449" s="1" t="n">
        <v>45356</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38095-2022</t>
        </is>
      </c>
      <c r="B1450" s="1" t="n">
        <v>44811</v>
      </c>
      <c r="C1450" s="1" t="n">
        <v>45356</v>
      </c>
      <c r="D1450" t="inlineStr">
        <is>
          <t>VÄSTERNORRLANDS LÄN</t>
        </is>
      </c>
      <c r="E1450" t="inlineStr">
        <is>
          <t>SOLLEFTEÅ</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37977-2022</t>
        </is>
      </c>
      <c r="B1451" s="1" t="n">
        <v>44811</v>
      </c>
      <c r="C1451" s="1" t="n">
        <v>45356</v>
      </c>
      <c r="D1451" t="inlineStr">
        <is>
          <t>VÄSTERNORRLANDS LÄN</t>
        </is>
      </c>
      <c r="E1451" t="inlineStr">
        <is>
          <t>SOLLEFTEÅ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38102-2022</t>
        </is>
      </c>
      <c r="B1452" s="1" t="n">
        <v>44811</v>
      </c>
      <c r="C1452" s="1" t="n">
        <v>45356</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c r="U1452">
        <f>HYPERLINK("https://klasma.github.io/Logging_2283/knärot/A 38102-2022 karta knärot.png", "A 38102-2022")</f>
        <v/>
      </c>
      <c r="V1452">
        <f>HYPERLINK("https://klasma.github.io/Logging_2283/klagomål/A 38102-2022 FSC-klagomål.docx", "A 38102-2022")</f>
        <v/>
      </c>
      <c r="W1452">
        <f>HYPERLINK("https://klasma.github.io/Logging_2283/klagomålsmail/A 38102-2022 FSC-klagomål mail.docx", "A 38102-2022")</f>
        <v/>
      </c>
      <c r="X1452">
        <f>HYPERLINK("https://klasma.github.io/Logging_2283/tillsyn/A 38102-2022 tillsynsbegäran.docx", "A 38102-2022")</f>
        <v/>
      </c>
      <c r="Y1452">
        <f>HYPERLINK("https://klasma.github.io/Logging_2283/tillsynsmail/A 38102-2022 tillsynsbegäran mail.docx", "A 38102-2022")</f>
        <v/>
      </c>
    </row>
    <row r="1453" ht="15" customHeight="1">
      <c r="A1453" t="inlineStr">
        <is>
          <t>A 38230-2022</t>
        </is>
      </c>
      <c r="B1453" s="1" t="n">
        <v>44812</v>
      </c>
      <c r="C1453" s="1" t="n">
        <v>45356</v>
      </c>
      <c r="D1453" t="inlineStr">
        <is>
          <t>VÄSTERNORRLANDS LÄN</t>
        </is>
      </c>
      <c r="E1453" t="inlineStr">
        <is>
          <t>SOLLEFTEÅ</t>
        </is>
      </c>
      <c r="F1453" t="inlineStr">
        <is>
          <t>Kommuner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38430-2022</t>
        </is>
      </c>
      <c r="B1454" s="1" t="n">
        <v>44812</v>
      </c>
      <c r="C1454" s="1" t="n">
        <v>45356</v>
      </c>
      <c r="D1454" t="inlineStr">
        <is>
          <t>VÄSTERNORRLANDS LÄN</t>
        </is>
      </c>
      <c r="E1454" t="inlineStr">
        <is>
          <t>SOLLEFTEÅ</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38433-2022</t>
        </is>
      </c>
      <c r="B1455" s="1" t="n">
        <v>44812</v>
      </c>
      <c r="C1455" s="1" t="n">
        <v>45356</v>
      </c>
      <c r="D1455" t="inlineStr">
        <is>
          <t>VÄSTERNORRLANDS LÄN</t>
        </is>
      </c>
      <c r="E1455" t="inlineStr">
        <is>
          <t>SOLLEFTEÅ</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38312-2022</t>
        </is>
      </c>
      <c r="B1456" s="1" t="n">
        <v>44812</v>
      </c>
      <c r="C1456" s="1" t="n">
        <v>45356</v>
      </c>
      <c r="D1456" t="inlineStr">
        <is>
          <t>VÄSTERNORRLANDS LÄN</t>
        </is>
      </c>
      <c r="E1456" t="inlineStr">
        <is>
          <t>SOLLEFTEÅ</t>
        </is>
      </c>
      <c r="F1456" t="inlineStr">
        <is>
          <t>Holmen skog AB</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38428-2022</t>
        </is>
      </c>
      <c r="B1457" s="1" t="n">
        <v>44812</v>
      </c>
      <c r="C1457" s="1" t="n">
        <v>45356</v>
      </c>
      <c r="D1457" t="inlineStr">
        <is>
          <t>VÄSTERNORRLANDS LÄN</t>
        </is>
      </c>
      <c r="E1457" t="inlineStr">
        <is>
          <t>SOLLEFTEÅ</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38432-2022</t>
        </is>
      </c>
      <c r="B1458" s="1" t="n">
        <v>44812</v>
      </c>
      <c r="C1458" s="1" t="n">
        <v>45356</v>
      </c>
      <c r="D1458" t="inlineStr">
        <is>
          <t>VÄSTERNORRLANDS LÄN</t>
        </is>
      </c>
      <c r="E1458" t="inlineStr">
        <is>
          <t>SOLLEFTEÅ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38663-2022</t>
        </is>
      </c>
      <c r="B1459" s="1" t="n">
        <v>44814</v>
      </c>
      <c r="C1459" s="1" t="n">
        <v>45356</v>
      </c>
      <c r="D1459" t="inlineStr">
        <is>
          <t>VÄSTERNORRLANDS LÄN</t>
        </is>
      </c>
      <c r="E1459" t="inlineStr">
        <is>
          <t>SOLLEFTEÅ</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39006-2022</t>
        </is>
      </c>
      <c r="B1460" s="1" t="n">
        <v>44817</v>
      </c>
      <c r="C1460" s="1" t="n">
        <v>45356</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39012-2022</t>
        </is>
      </c>
      <c r="B1461" s="1" t="n">
        <v>44816</v>
      </c>
      <c r="C1461" s="1" t="n">
        <v>45356</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39384-2022</t>
        </is>
      </c>
      <c r="B1462" s="1" t="n">
        <v>44818</v>
      </c>
      <c r="C1462" s="1" t="n">
        <v>45356</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39372-2022</t>
        </is>
      </c>
      <c r="B1463" s="1" t="n">
        <v>44818</v>
      </c>
      <c r="C1463" s="1" t="n">
        <v>45356</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39371-2022</t>
        </is>
      </c>
      <c r="B1464" s="1" t="n">
        <v>44818</v>
      </c>
      <c r="C1464" s="1" t="n">
        <v>45356</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39688-2022</t>
        </is>
      </c>
      <c r="B1465" s="1" t="n">
        <v>44818</v>
      </c>
      <c r="C1465" s="1" t="n">
        <v>45356</v>
      </c>
      <c r="D1465" t="inlineStr">
        <is>
          <t>VÄSTERNORRLANDS LÄN</t>
        </is>
      </c>
      <c r="E1465" t="inlineStr">
        <is>
          <t>SOLLEFTEÅ</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39699-2022</t>
        </is>
      </c>
      <c r="B1466" s="1" t="n">
        <v>44819</v>
      </c>
      <c r="C1466" s="1" t="n">
        <v>45356</v>
      </c>
      <c r="D1466" t="inlineStr">
        <is>
          <t>VÄSTERNORRLANDS LÄN</t>
        </is>
      </c>
      <c r="E1466" t="inlineStr">
        <is>
          <t>SOLLEFTEÅ</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39944-2022</t>
        </is>
      </c>
      <c r="B1467" s="1" t="n">
        <v>44819</v>
      </c>
      <c r="C1467" s="1" t="n">
        <v>45356</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39942-2022</t>
        </is>
      </c>
      <c r="B1468" s="1" t="n">
        <v>44820</v>
      </c>
      <c r="C1468" s="1" t="n">
        <v>45356</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39947-2022</t>
        </is>
      </c>
      <c r="B1469" s="1" t="n">
        <v>44819</v>
      </c>
      <c r="C1469" s="1" t="n">
        <v>45356</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39943-2022</t>
        </is>
      </c>
      <c r="B1470" s="1" t="n">
        <v>44820</v>
      </c>
      <c r="C1470" s="1" t="n">
        <v>45356</v>
      </c>
      <c r="D1470" t="inlineStr">
        <is>
          <t>VÄSTERNORRLANDS LÄN</t>
        </is>
      </c>
      <c r="E1470" t="inlineStr">
        <is>
          <t>SOLLEFTEÅ</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39951-2022</t>
        </is>
      </c>
      <c r="B1471" s="1" t="n">
        <v>44820</v>
      </c>
      <c r="C1471" s="1" t="n">
        <v>45356</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39934-2022</t>
        </is>
      </c>
      <c r="B1472" s="1" t="n">
        <v>44820</v>
      </c>
      <c r="C1472" s="1" t="n">
        <v>45356</v>
      </c>
      <c r="D1472" t="inlineStr">
        <is>
          <t>VÄSTERNORRLANDS LÄN</t>
        </is>
      </c>
      <c r="E1472" t="inlineStr">
        <is>
          <t>SOLLEFTEÅ</t>
        </is>
      </c>
      <c r="F1472" t="inlineStr">
        <is>
          <t>SCA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39946-2022</t>
        </is>
      </c>
      <c r="B1473" s="1" t="n">
        <v>44819</v>
      </c>
      <c r="C1473" s="1" t="n">
        <v>45356</v>
      </c>
      <c r="D1473" t="inlineStr">
        <is>
          <t>VÄSTERNORRLANDS LÄN</t>
        </is>
      </c>
      <c r="E1473" t="inlineStr">
        <is>
          <t>SOLLEFTEÅ</t>
        </is>
      </c>
      <c r="F1473" t="inlineStr">
        <is>
          <t>SCA</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40608-2022</t>
        </is>
      </c>
      <c r="B1474" s="1" t="n">
        <v>44824</v>
      </c>
      <c r="C1474" s="1" t="n">
        <v>45356</v>
      </c>
      <c r="D1474" t="inlineStr">
        <is>
          <t>VÄSTERNORRLANDS LÄN</t>
        </is>
      </c>
      <c r="E1474" t="inlineStr">
        <is>
          <t>SOLLEFTEÅ</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40609-2022</t>
        </is>
      </c>
      <c r="B1475" s="1" t="n">
        <v>44824</v>
      </c>
      <c r="C1475" s="1" t="n">
        <v>45356</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40610-2022</t>
        </is>
      </c>
      <c r="B1476" s="1" t="n">
        <v>44824</v>
      </c>
      <c r="C1476" s="1" t="n">
        <v>45356</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40599-2022</t>
        </is>
      </c>
      <c r="B1477" s="1" t="n">
        <v>44824</v>
      </c>
      <c r="C1477" s="1" t="n">
        <v>45356</v>
      </c>
      <c r="D1477" t="inlineStr">
        <is>
          <t>VÄSTERNORRLANDS LÄN</t>
        </is>
      </c>
      <c r="E1477" t="inlineStr">
        <is>
          <t>SOLLEFTEÅ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40611-2022</t>
        </is>
      </c>
      <c r="B1478" s="1" t="n">
        <v>44824</v>
      </c>
      <c r="C1478" s="1" t="n">
        <v>45356</v>
      </c>
      <c r="D1478" t="inlineStr">
        <is>
          <t>VÄSTERNORRLANDS LÄN</t>
        </is>
      </c>
      <c r="E1478" t="inlineStr">
        <is>
          <t>SOLLEFTEÅ</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40832-2022</t>
        </is>
      </c>
      <c r="B1479" s="1" t="n">
        <v>44825</v>
      </c>
      <c r="C1479" s="1" t="n">
        <v>45356</v>
      </c>
      <c r="D1479" t="inlineStr">
        <is>
          <t>VÄSTERNORRLANDS LÄN</t>
        </is>
      </c>
      <c r="E1479" t="inlineStr">
        <is>
          <t>SOLLEFTEÅ</t>
        </is>
      </c>
      <c r="F1479" t="inlineStr">
        <is>
          <t>SCA</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41187-2022</t>
        </is>
      </c>
      <c r="B1480" s="1" t="n">
        <v>44826</v>
      </c>
      <c r="C1480" s="1" t="n">
        <v>45356</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41192-2022</t>
        </is>
      </c>
      <c r="B1481" s="1" t="n">
        <v>44826</v>
      </c>
      <c r="C1481" s="1" t="n">
        <v>45356</v>
      </c>
      <c r="D1481" t="inlineStr">
        <is>
          <t>VÄSTERNORRLANDS LÄN</t>
        </is>
      </c>
      <c r="E1481" t="inlineStr">
        <is>
          <t>SOLLEFTEÅ</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41168-2022</t>
        </is>
      </c>
      <c r="B1482" s="1" t="n">
        <v>44826</v>
      </c>
      <c r="C1482" s="1" t="n">
        <v>45356</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41172-2022</t>
        </is>
      </c>
      <c r="B1483" s="1" t="n">
        <v>44826</v>
      </c>
      <c r="C1483" s="1" t="n">
        <v>45356</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41176-2022</t>
        </is>
      </c>
      <c r="B1484" s="1" t="n">
        <v>44826</v>
      </c>
      <c r="C1484" s="1" t="n">
        <v>45356</v>
      </c>
      <c r="D1484" t="inlineStr">
        <is>
          <t>VÄSTERNORRLANDS LÄN</t>
        </is>
      </c>
      <c r="E1484" t="inlineStr">
        <is>
          <t>SOLLEFTEÅ</t>
        </is>
      </c>
      <c r="F1484" t="inlineStr">
        <is>
          <t>SCA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41189-2022</t>
        </is>
      </c>
      <c r="B1485" s="1" t="n">
        <v>44826</v>
      </c>
      <c r="C1485" s="1" t="n">
        <v>45356</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41196-2022</t>
        </is>
      </c>
      <c r="B1486" s="1" t="n">
        <v>44826</v>
      </c>
      <c r="C1486" s="1" t="n">
        <v>45356</v>
      </c>
      <c r="D1486" t="inlineStr">
        <is>
          <t>VÄSTERNORRLANDS LÄN</t>
        </is>
      </c>
      <c r="E1486" t="inlineStr">
        <is>
          <t>SOLLEFTEÅ</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41195-2022</t>
        </is>
      </c>
      <c r="B1487" s="1" t="n">
        <v>44826</v>
      </c>
      <c r="C1487" s="1" t="n">
        <v>45356</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41456-2022</t>
        </is>
      </c>
      <c r="B1488" s="1" t="n">
        <v>44826</v>
      </c>
      <c r="C1488" s="1" t="n">
        <v>45356</v>
      </c>
      <c r="D1488" t="inlineStr">
        <is>
          <t>VÄSTERNORRLANDS LÄN</t>
        </is>
      </c>
      <c r="E1488" t="inlineStr">
        <is>
          <t>SOLLEFTEÅ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41463-2022</t>
        </is>
      </c>
      <c r="B1489" s="1" t="n">
        <v>44827</v>
      </c>
      <c r="C1489" s="1" t="n">
        <v>45356</v>
      </c>
      <c r="D1489" t="inlineStr">
        <is>
          <t>VÄSTERNORRLANDS LÄN</t>
        </is>
      </c>
      <c r="E1489" t="inlineStr">
        <is>
          <t>SOLLEFTEÅ</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41475-2022</t>
        </is>
      </c>
      <c r="B1490" s="1" t="n">
        <v>44826</v>
      </c>
      <c r="C1490" s="1" t="n">
        <v>45356</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41481-2022</t>
        </is>
      </c>
      <c r="B1491" s="1" t="n">
        <v>44827</v>
      </c>
      <c r="C1491" s="1" t="n">
        <v>45356</v>
      </c>
      <c r="D1491" t="inlineStr">
        <is>
          <t>VÄSTERNORRLANDS LÄN</t>
        </is>
      </c>
      <c r="E1491" t="inlineStr">
        <is>
          <t>SOLLEFTEÅ</t>
        </is>
      </c>
      <c r="F1491" t="inlineStr">
        <is>
          <t>SCA</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41478-2022</t>
        </is>
      </c>
      <c r="B1492" s="1" t="n">
        <v>44827</v>
      </c>
      <c r="C1492" s="1" t="n">
        <v>45356</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41486-2022</t>
        </is>
      </c>
      <c r="B1493" s="1" t="n">
        <v>44827</v>
      </c>
      <c r="C1493" s="1" t="n">
        <v>45356</v>
      </c>
      <c r="D1493" t="inlineStr">
        <is>
          <t>VÄSTERNORRLANDS LÄN</t>
        </is>
      </c>
      <c r="E1493" t="inlineStr">
        <is>
          <t>SOLLEFTEÅ</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41455-2022</t>
        </is>
      </c>
      <c r="B1494" s="1" t="n">
        <v>44826</v>
      </c>
      <c r="C1494" s="1" t="n">
        <v>45356</v>
      </c>
      <c r="D1494" t="inlineStr">
        <is>
          <t>VÄSTERNORRLANDS LÄN</t>
        </is>
      </c>
      <c r="E1494" t="inlineStr">
        <is>
          <t>SOLLEFTEÅ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41474-2022</t>
        </is>
      </c>
      <c r="B1495" s="1" t="n">
        <v>44827</v>
      </c>
      <c r="C1495" s="1" t="n">
        <v>45356</v>
      </c>
      <c r="D1495" t="inlineStr">
        <is>
          <t>VÄSTERNORRLANDS LÄN</t>
        </is>
      </c>
      <c r="E1495" t="inlineStr">
        <is>
          <t>SOLLEFTEÅ</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41480-2022</t>
        </is>
      </c>
      <c r="B1496" s="1" t="n">
        <v>44827</v>
      </c>
      <c r="C1496" s="1" t="n">
        <v>45356</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41488-2022</t>
        </is>
      </c>
      <c r="B1497" s="1" t="n">
        <v>44826</v>
      </c>
      <c r="C1497" s="1" t="n">
        <v>45356</v>
      </c>
      <c r="D1497" t="inlineStr">
        <is>
          <t>VÄSTERNORRLANDS LÄN</t>
        </is>
      </c>
      <c r="E1497" t="inlineStr">
        <is>
          <t>SOLLEFTEÅ</t>
        </is>
      </c>
      <c r="F1497" t="inlineStr">
        <is>
          <t>SCA</t>
        </is>
      </c>
      <c r="G1497" t="n">
        <v>14.7</v>
      </c>
      <c r="H1497" t="n">
        <v>0</v>
      </c>
      <c r="I1497" t="n">
        <v>0</v>
      </c>
      <c r="J1497" t="n">
        <v>0</v>
      </c>
      <c r="K1497" t="n">
        <v>0</v>
      </c>
      <c r="L1497" t="n">
        <v>0</v>
      </c>
      <c r="M1497" t="n">
        <v>0</v>
      </c>
      <c r="N1497" t="n">
        <v>0</v>
      </c>
      <c r="O1497" t="n">
        <v>0</v>
      </c>
      <c r="P1497" t="n">
        <v>0</v>
      </c>
      <c r="Q1497" t="n">
        <v>0</v>
      </c>
      <c r="R1497" s="2" t="inlineStr"/>
    </row>
    <row r="1498" ht="15" customHeight="1">
      <c r="A1498" t="inlineStr">
        <is>
          <t>A 41487-2022</t>
        </is>
      </c>
      <c r="B1498" s="1" t="n">
        <v>44827</v>
      </c>
      <c r="C1498" s="1" t="n">
        <v>45356</v>
      </c>
      <c r="D1498" t="inlineStr">
        <is>
          <t>VÄSTERNORRLANDS LÄN</t>
        </is>
      </c>
      <c r="E1498" t="inlineStr">
        <is>
          <t>SOLLEFTEÅ</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41479-2022</t>
        </is>
      </c>
      <c r="B1499" s="1" t="n">
        <v>44827</v>
      </c>
      <c r="C1499" s="1" t="n">
        <v>45356</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41813-2022</t>
        </is>
      </c>
      <c r="B1500" s="1" t="n">
        <v>44828</v>
      </c>
      <c r="C1500" s="1" t="n">
        <v>45356</v>
      </c>
      <c r="D1500" t="inlineStr">
        <is>
          <t>VÄSTERNORRLANDS LÄN</t>
        </is>
      </c>
      <c r="E1500" t="inlineStr">
        <is>
          <t>SOLLEFTEÅ</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42272-2022</t>
        </is>
      </c>
      <c r="B1501" s="1" t="n">
        <v>44831</v>
      </c>
      <c r="C1501" s="1" t="n">
        <v>45356</v>
      </c>
      <c r="D1501" t="inlineStr">
        <is>
          <t>VÄSTERNORRLANDS LÄN</t>
        </is>
      </c>
      <c r="E1501" t="inlineStr">
        <is>
          <t>SOLLEFTEÅ</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42301-2022</t>
        </is>
      </c>
      <c r="B1502" s="1" t="n">
        <v>44831</v>
      </c>
      <c r="C1502" s="1" t="n">
        <v>45356</v>
      </c>
      <c r="D1502" t="inlineStr">
        <is>
          <t>VÄSTERNORRLANDS LÄN</t>
        </is>
      </c>
      <c r="E1502" t="inlineStr">
        <is>
          <t>SOLLEFTEÅ</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42299-2022</t>
        </is>
      </c>
      <c r="B1503" s="1" t="n">
        <v>44830</v>
      </c>
      <c r="C1503" s="1" t="n">
        <v>45356</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42303-2022</t>
        </is>
      </c>
      <c r="B1504" s="1" t="n">
        <v>44831</v>
      </c>
      <c r="C1504" s="1" t="n">
        <v>45356</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42275-2022</t>
        </is>
      </c>
      <c r="B1505" s="1" t="n">
        <v>44830</v>
      </c>
      <c r="C1505" s="1" t="n">
        <v>45356</v>
      </c>
      <c r="D1505" t="inlineStr">
        <is>
          <t>VÄSTERNORRLANDS LÄN</t>
        </is>
      </c>
      <c r="E1505" t="inlineStr">
        <is>
          <t>SOLLEFTEÅ</t>
        </is>
      </c>
      <c r="F1505" t="inlineStr">
        <is>
          <t>SCA</t>
        </is>
      </c>
      <c r="G1505" t="n">
        <v>26.9</v>
      </c>
      <c r="H1505" t="n">
        <v>0</v>
      </c>
      <c r="I1505" t="n">
        <v>0</v>
      </c>
      <c r="J1505" t="n">
        <v>0</v>
      </c>
      <c r="K1505" t="n">
        <v>0</v>
      </c>
      <c r="L1505" t="n">
        <v>0</v>
      </c>
      <c r="M1505" t="n">
        <v>0</v>
      </c>
      <c r="N1505" t="n">
        <v>0</v>
      </c>
      <c r="O1505" t="n">
        <v>0</v>
      </c>
      <c r="P1505" t="n">
        <v>0</v>
      </c>
      <c r="Q1505" t="n">
        <v>0</v>
      </c>
      <c r="R1505" s="2" t="inlineStr"/>
    </row>
    <row r="1506" ht="15" customHeight="1">
      <c r="A1506" t="inlineStr">
        <is>
          <t>A 42300-2022</t>
        </is>
      </c>
      <c r="B1506" s="1" t="n">
        <v>44831</v>
      </c>
      <c r="C1506" s="1" t="n">
        <v>45356</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42302-2022</t>
        </is>
      </c>
      <c r="B1507" s="1" t="n">
        <v>44830</v>
      </c>
      <c r="C1507" s="1" t="n">
        <v>45356</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42482-2022</t>
        </is>
      </c>
      <c r="B1508" s="1" t="n">
        <v>44831</v>
      </c>
      <c r="C1508" s="1" t="n">
        <v>45356</v>
      </c>
      <c r="D1508" t="inlineStr">
        <is>
          <t>VÄSTERNORRLANDS LÄN</t>
        </is>
      </c>
      <c r="E1508" t="inlineStr">
        <is>
          <t>SOLLEFTEÅ</t>
        </is>
      </c>
      <c r="F1508" t="inlineStr">
        <is>
          <t>Holmen skog AB</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42430-2022</t>
        </is>
      </c>
      <c r="B1509" s="1" t="n">
        <v>44831</v>
      </c>
      <c r="C1509" s="1" t="n">
        <v>45356</v>
      </c>
      <c r="D1509" t="inlineStr">
        <is>
          <t>VÄSTERNORRLANDS LÄN</t>
        </is>
      </c>
      <c r="E1509" t="inlineStr">
        <is>
          <t>SOLLEFTEÅ</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42634-2022</t>
        </is>
      </c>
      <c r="B1510" s="1" t="n">
        <v>44832</v>
      </c>
      <c r="C1510" s="1" t="n">
        <v>45356</v>
      </c>
      <c r="D1510" t="inlineStr">
        <is>
          <t>VÄSTERNORRLANDS LÄN</t>
        </is>
      </c>
      <c r="E1510" t="inlineStr">
        <is>
          <t>SOLLEFTEÅ</t>
        </is>
      </c>
      <c r="F1510" t="inlineStr">
        <is>
          <t>SCA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42663-2022</t>
        </is>
      </c>
      <c r="B1511" s="1" t="n">
        <v>44831</v>
      </c>
      <c r="C1511" s="1" t="n">
        <v>45356</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42664-2022</t>
        </is>
      </c>
      <c r="B1512" s="1" t="n">
        <v>44831</v>
      </c>
      <c r="C1512" s="1" t="n">
        <v>45356</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42654-2022</t>
        </is>
      </c>
      <c r="B1513" s="1" t="n">
        <v>44832</v>
      </c>
      <c r="C1513" s="1" t="n">
        <v>45356</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42771-2022</t>
        </is>
      </c>
      <c r="B1514" s="1" t="n">
        <v>44832</v>
      </c>
      <c r="C1514" s="1" t="n">
        <v>45356</v>
      </c>
      <c r="D1514" t="inlineStr">
        <is>
          <t>VÄSTERNORRLANDS LÄN</t>
        </is>
      </c>
      <c r="E1514" t="inlineStr">
        <is>
          <t>SOLLEFTEÅ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42755-2022</t>
        </is>
      </c>
      <c r="B1515" s="1" t="n">
        <v>44832</v>
      </c>
      <c r="C1515" s="1" t="n">
        <v>45356</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42885-2022</t>
        </is>
      </c>
      <c r="B1516" s="1" t="n">
        <v>44833</v>
      </c>
      <c r="C1516" s="1" t="n">
        <v>45356</v>
      </c>
      <c r="D1516" t="inlineStr">
        <is>
          <t>VÄSTERNORRLANDS LÄN</t>
        </is>
      </c>
      <c r="E1516" t="inlineStr">
        <is>
          <t>SOLLEFTEÅ</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42891-2022</t>
        </is>
      </c>
      <c r="B1517" s="1" t="n">
        <v>44833</v>
      </c>
      <c r="C1517" s="1" t="n">
        <v>45356</v>
      </c>
      <c r="D1517" t="inlineStr">
        <is>
          <t>VÄSTERNORRLANDS LÄN</t>
        </is>
      </c>
      <c r="E1517" t="inlineStr">
        <is>
          <t>SOLLEFTEÅ</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43035-2022</t>
        </is>
      </c>
      <c r="B1518" s="1" t="n">
        <v>44833</v>
      </c>
      <c r="C1518" s="1" t="n">
        <v>45356</v>
      </c>
      <c r="D1518" t="inlineStr">
        <is>
          <t>VÄSTERNORRLANDS LÄN</t>
        </is>
      </c>
      <c r="E1518" t="inlineStr">
        <is>
          <t>SOLLEFTEÅ</t>
        </is>
      </c>
      <c r="F1518" t="inlineStr">
        <is>
          <t>Kommuner</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43130-2022</t>
        </is>
      </c>
      <c r="B1519" s="1" t="n">
        <v>44833</v>
      </c>
      <c r="C1519" s="1" t="n">
        <v>45356</v>
      </c>
      <c r="D1519" t="inlineStr">
        <is>
          <t>VÄSTERNORRLANDS LÄN</t>
        </is>
      </c>
      <c r="E1519" t="inlineStr">
        <is>
          <t>SOLLEFTEÅ</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43137-2022</t>
        </is>
      </c>
      <c r="B1520" s="1" t="n">
        <v>44834</v>
      </c>
      <c r="C1520" s="1" t="n">
        <v>45356</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43124-2022</t>
        </is>
      </c>
      <c r="B1521" s="1" t="n">
        <v>44834</v>
      </c>
      <c r="C1521" s="1" t="n">
        <v>45356</v>
      </c>
      <c r="D1521" t="inlineStr">
        <is>
          <t>VÄSTERNORRLANDS LÄN</t>
        </is>
      </c>
      <c r="E1521" t="inlineStr">
        <is>
          <t>SOLLEFTEÅ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43122-2022</t>
        </is>
      </c>
      <c r="B1522" s="1" t="n">
        <v>44834</v>
      </c>
      <c r="C1522" s="1" t="n">
        <v>45356</v>
      </c>
      <c r="D1522" t="inlineStr">
        <is>
          <t>VÄSTERNORRLANDS LÄN</t>
        </is>
      </c>
      <c r="E1522" t="inlineStr">
        <is>
          <t>SOLLEFTEÅ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43148-2022</t>
        </is>
      </c>
      <c r="B1523" s="1" t="n">
        <v>44834</v>
      </c>
      <c r="C1523" s="1" t="n">
        <v>45356</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43149-2022</t>
        </is>
      </c>
      <c r="B1524" s="1" t="n">
        <v>44834</v>
      </c>
      <c r="C1524" s="1" t="n">
        <v>45356</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43442-2022</t>
        </is>
      </c>
      <c r="B1525" s="1" t="n">
        <v>44834</v>
      </c>
      <c r="C1525" s="1" t="n">
        <v>45356</v>
      </c>
      <c r="D1525" t="inlineStr">
        <is>
          <t>VÄSTERNORRLANDS LÄN</t>
        </is>
      </c>
      <c r="E1525" t="inlineStr">
        <is>
          <t>SOLLEFTEÅ</t>
        </is>
      </c>
      <c r="F1525" t="inlineStr">
        <is>
          <t>Kyrkan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43469-2022</t>
        </is>
      </c>
      <c r="B1526" s="1" t="n">
        <v>44836</v>
      </c>
      <c r="C1526" s="1" t="n">
        <v>45356</v>
      </c>
      <c r="D1526" t="inlineStr">
        <is>
          <t>VÄSTERNORRLANDS LÄN</t>
        </is>
      </c>
      <c r="E1526" t="inlineStr">
        <is>
          <t>SOLLEFTEÅ</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43774-2022</t>
        </is>
      </c>
      <c r="B1527" s="1" t="n">
        <v>44837</v>
      </c>
      <c r="C1527" s="1" t="n">
        <v>45356</v>
      </c>
      <c r="D1527" t="inlineStr">
        <is>
          <t>VÄSTERNORRLANDS LÄN</t>
        </is>
      </c>
      <c r="E1527" t="inlineStr">
        <is>
          <t>SOLLEFTEÅ</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43772-2022</t>
        </is>
      </c>
      <c r="B1528" s="1" t="n">
        <v>44837</v>
      </c>
      <c r="C1528" s="1" t="n">
        <v>45356</v>
      </c>
      <c r="D1528" t="inlineStr">
        <is>
          <t>VÄSTERNORRLANDS LÄN</t>
        </is>
      </c>
      <c r="E1528" t="inlineStr">
        <is>
          <t>SOLLEFTEÅ</t>
        </is>
      </c>
      <c r="F1528" t="inlineStr">
        <is>
          <t>Kyrkan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43762-2022</t>
        </is>
      </c>
      <c r="B1529" s="1" t="n">
        <v>44838</v>
      </c>
      <c r="C1529" s="1" t="n">
        <v>45356</v>
      </c>
      <c r="D1529" t="inlineStr">
        <is>
          <t>VÄSTERNORRLANDS LÄN</t>
        </is>
      </c>
      <c r="E1529" t="inlineStr">
        <is>
          <t>SOLLEFTEÅ</t>
        </is>
      </c>
      <c r="F1529" t="inlineStr">
        <is>
          <t>Kyrkan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43766-2022</t>
        </is>
      </c>
      <c r="B1530" s="1" t="n">
        <v>44838</v>
      </c>
      <c r="C1530" s="1" t="n">
        <v>45356</v>
      </c>
      <c r="D1530" t="inlineStr">
        <is>
          <t>VÄSTERNORRLANDS LÄN</t>
        </is>
      </c>
      <c r="E1530" t="inlineStr">
        <is>
          <t>SOLLEFTEÅ</t>
        </is>
      </c>
      <c r="F1530" t="inlineStr">
        <is>
          <t>Kyrkan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43782-2022</t>
        </is>
      </c>
      <c r="B1531" s="1" t="n">
        <v>44838</v>
      </c>
      <c r="C1531" s="1" t="n">
        <v>45356</v>
      </c>
      <c r="D1531" t="inlineStr">
        <is>
          <t>VÄSTERNORRLANDS LÄN</t>
        </is>
      </c>
      <c r="E1531" t="inlineStr">
        <is>
          <t>SOLLEFTEÅ</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43786-2022</t>
        </is>
      </c>
      <c r="B1532" s="1" t="n">
        <v>44837</v>
      </c>
      <c r="C1532" s="1" t="n">
        <v>45356</v>
      </c>
      <c r="D1532" t="inlineStr">
        <is>
          <t>VÄSTERNORRLANDS LÄN</t>
        </is>
      </c>
      <c r="E1532" t="inlineStr">
        <is>
          <t>SOLLEFTEÅ</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44042-2022</t>
        </is>
      </c>
      <c r="B1533" s="1" t="n">
        <v>44839</v>
      </c>
      <c r="C1533" s="1" t="n">
        <v>45356</v>
      </c>
      <c r="D1533" t="inlineStr">
        <is>
          <t>VÄSTERNORRLANDS LÄN</t>
        </is>
      </c>
      <c r="E1533" t="inlineStr">
        <is>
          <t>SOLLEFTEÅ</t>
        </is>
      </c>
      <c r="F1533" t="inlineStr">
        <is>
          <t>SCA</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44285-2022</t>
        </is>
      </c>
      <c r="B1534" s="1" t="n">
        <v>44839</v>
      </c>
      <c r="C1534" s="1" t="n">
        <v>45356</v>
      </c>
      <c r="D1534" t="inlineStr">
        <is>
          <t>VÄSTERNORRLANDS LÄN</t>
        </is>
      </c>
      <c r="E1534" t="inlineStr">
        <is>
          <t>SOLLEFTEÅ</t>
        </is>
      </c>
      <c r="F1534" t="inlineStr">
        <is>
          <t>Holmen skog AB</t>
        </is>
      </c>
      <c r="G1534" t="n">
        <v>13.9</v>
      </c>
      <c r="H1534" t="n">
        <v>0</v>
      </c>
      <c r="I1534" t="n">
        <v>0</v>
      </c>
      <c r="J1534" t="n">
        <v>0</v>
      </c>
      <c r="K1534" t="n">
        <v>0</v>
      </c>
      <c r="L1534" t="n">
        <v>0</v>
      </c>
      <c r="M1534" t="n">
        <v>0</v>
      </c>
      <c r="N1534" t="n">
        <v>0</v>
      </c>
      <c r="O1534" t="n">
        <v>0</v>
      </c>
      <c r="P1534" t="n">
        <v>0</v>
      </c>
      <c r="Q1534" t="n">
        <v>0</v>
      </c>
      <c r="R1534" s="2" t="inlineStr"/>
    </row>
    <row r="1535" ht="15" customHeight="1">
      <c r="A1535" t="inlineStr">
        <is>
          <t>A 44438-2022</t>
        </is>
      </c>
      <c r="B1535" s="1" t="n">
        <v>44840</v>
      </c>
      <c r="C1535" s="1" t="n">
        <v>45356</v>
      </c>
      <c r="D1535" t="inlineStr">
        <is>
          <t>VÄSTERNORRLANDS LÄN</t>
        </is>
      </c>
      <c r="E1535" t="inlineStr">
        <is>
          <t>SOLLEFTEÅ</t>
        </is>
      </c>
      <c r="F1535" t="inlineStr">
        <is>
          <t>SCA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44454-2022</t>
        </is>
      </c>
      <c r="B1536" s="1" t="n">
        <v>44840</v>
      </c>
      <c r="C1536" s="1" t="n">
        <v>45356</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44208-2022</t>
        </is>
      </c>
      <c r="B1537" s="1" t="n">
        <v>44839</v>
      </c>
      <c r="C1537" s="1" t="n">
        <v>45356</v>
      </c>
      <c r="D1537" t="inlineStr">
        <is>
          <t>VÄSTERNORRLANDS LÄN</t>
        </is>
      </c>
      <c r="E1537" t="inlineStr">
        <is>
          <t>SOLLEFTEÅ</t>
        </is>
      </c>
      <c r="F1537" t="inlineStr">
        <is>
          <t>Holmen skog AB</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44755-2022</t>
        </is>
      </c>
      <c r="B1538" s="1" t="n">
        <v>44841</v>
      </c>
      <c r="C1538" s="1" t="n">
        <v>45356</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44762-2022</t>
        </is>
      </c>
      <c r="B1539" s="1" t="n">
        <v>44840</v>
      </c>
      <c r="C1539" s="1" t="n">
        <v>45356</v>
      </c>
      <c r="D1539" t="inlineStr">
        <is>
          <t>VÄSTERNORRLANDS LÄN</t>
        </is>
      </c>
      <c r="E1539" t="inlineStr">
        <is>
          <t>SOLLEFTEÅ</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44761-2022</t>
        </is>
      </c>
      <c r="B1540" s="1" t="n">
        <v>44840</v>
      </c>
      <c r="C1540" s="1" t="n">
        <v>45356</v>
      </c>
      <c r="D1540" t="inlineStr">
        <is>
          <t>VÄSTERNORRLANDS LÄN</t>
        </is>
      </c>
      <c r="E1540" t="inlineStr">
        <is>
          <t>SOLLEFTEÅ</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44805-2022</t>
        </is>
      </c>
      <c r="B1541" s="1" t="n">
        <v>44841</v>
      </c>
      <c r="C1541" s="1" t="n">
        <v>45356</v>
      </c>
      <c r="D1541" t="inlineStr">
        <is>
          <t>VÄSTERNORRLANDS LÄN</t>
        </is>
      </c>
      <c r="E1541" t="inlineStr">
        <is>
          <t>SOLLEFTEÅ</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45085-2022</t>
        </is>
      </c>
      <c r="B1542" s="1" t="n">
        <v>44841</v>
      </c>
      <c r="C1542" s="1" t="n">
        <v>45356</v>
      </c>
      <c r="D1542" t="inlineStr">
        <is>
          <t>VÄSTERNORRLANDS LÄN</t>
        </is>
      </c>
      <c r="E1542" t="inlineStr">
        <is>
          <t>SOLLEFTEÅ</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45119-2022</t>
        </is>
      </c>
      <c r="B1543" s="1" t="n">
        <v>44843</v>
      </c>
      <c r="C1543" s="1" t="n">
        <v>45356</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45117-2022</t>
        </is>
      </c>
      <c r="B1544" s="1" t="n">
        <v>44844</v>
      </c>
      <c r="C1544" s="1" t="n">
        <v>45356</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45121-2022</t>
        </is>
      </c>
      <c r="B1545" s="1" t="n">
        <v>44844</v>
      </c>
      <c r="C1545" s="1" t="n">
        <v>45356</v>
      </c>
      <c r="D1545" t="inlineStr">
        <is>
          <t>VÄSTERNORRLANDS LÄN</t>
        </is>
      </c>
      <c r="E1545" t="inlineStr">
        <is>
          <t>SOLLEFTEÅ</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45120-2022</t>
        </is>
      </c>
      <c r="B1546" s="1" t="n">
        <v>44843</v>
      </c>
      <c r="C1546" s="1" t="n">
        <v>45356</v>
      </c>
      <c r="D1546" t="inlineStr">
        <is>
          <t>VÄSTERNORRLANDS LÄN</t>
        </is>
      </c>
      <c r="E1546" t="inlineStr">
        <is>
          <t>SOLLEFTEÅ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45118-2022</t>
        </is>
      </c>
      <c r="B1547" s="1" t="n">
        <v>44843</v>
      </c>
      <c r="C1547" s="1" t="n">
        <v>45356</v>
      </c>
      <c r="D1547" t="inlineStr">
        <is>
          <t>VÄSTERNORRLANDS LÄN</t>
        </is>
      </c>
      <c r="E1547" t="inlineStr">
        <is>
          <t>SOLLEFTEÅ</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45419-2022</t>
        </is>
      </c>
      <c r="B1548" s="1" t="n">
        <v>44844</v>
      </c>
      <c r="C1548" s="1" t="n">
        <v>45356</v>
      </c>
      <c r="D1548" t="inlineStr">
        <is>
          <t>VÄSTERNORRLANDS LÄN</t>
        </is>
      </c>
      <c r="E1548" t="inlineStr">
        <is>
          <t>SOLLEFTEÅ</t>
        </is>
      </c>
      <c r="G1548" t="n">
        <v>12.7</v>
      </c>
      <c r="H1548" t="n">
        <v>0</v>
      </c>
      <c r="I1548" t="n">
        <v>0</v>
      </c>
      <c r="J1548" t="n">
        <v>0</v>
      </c>
      <c r="K1548" t="n">
        <v>0</v>
      </c>
      <c r="L1548" t="n">
        <v>0</v>
      </c>
      <c r="M1548" t="n">
        <v>0</v>
      </c>
      <c r="N1548" t="n">
        <v>0</v>
      </c>
      <c r="O1548" t="n">
        <v>0</v>
      </c>
      <c r="P1548" t="n">
        <v>0</v>
      </c>
      <c r="Q1548" t="n">
        <v>0</v>
      </c>
      <c r="R1548" s="2" t="inlineStr"/>
    </row>
    <row r="1549" ht="15" customHeight="1">
      <c r="A1549" t="inlineStr">
        <is>
          <t>A 45423-2022</t>
        </is>
      </c>
      <c r="B1549" s="1" t="n">
        <v>44845</v>
      </c>
      <c r="C1549" s="1" t="n">
        <v>45356</v>
      </c>
      <c r="D1549" t="inlineStr">
        <is>
          <t>VÄSTERNORRLANDS LÄN</t>
        </is>
      </c>
      <c r="E1549" t="inlineStr">
        <is>
          <t>SOLLEFTEÅ</t>
        </is>
      </c>
      <c r="F1549" t="inlineStr">
        <is>
          <t>SCA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46130-2022</t>
        </is>
      </c>
      <c r="B1550" s="1" t="n">
        <v>44844</v>
      </c>
      <c r="C1550" s="1" t="n">
        <v>45356</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45719-2022</t>
        </is>
      </c>
      <c r="B1551" s="1" t="n">
        <v>44846</v>
      </c>
      <c r="C1551" s="1" t="n">
        <v>45356</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46039-2022</t>
        </is>
      </c>
      <c r="B1552" s="1" t="n">
        <v>44847</v>
      </c>
      <c r="C1552" s="1" t="n">
        <v>45356</v>
      </c>
      <c r="D1552" t="inlineStr">
        <is>
          <t>VÄSTERNORRLANDS LÄN</t>
        </is>
      </c>
      <c r="E1552" t="inlineStr">
        <is>
          <t>SOLLEFTEÅ</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46032-2022</t>
        </is>
      </c>
      <c r="B1553" s="1" t="n">
        <v>44846</v>
      </c>
      <c r="C1553" s="1" t="n">
        <v>45356</v>
      </c>
      <c r="D1553" t="inlineStr">
        <is>
          <t>VÄSTERNORRLANDS LÄN</t>
        </is>
      </c>
      <c r="E1553" t="inlineStr">
        <is>
          <t>SOLLEFTEÅ</t>
        </is>
      </c>
      <c r="F1553" t="inlineStr">
        <is>
          <t>SCA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46036-2022</t>
        </is>
      </c>
      <c r="B1554" s="1" t="n">
        <v>44846</v>
      </c>
      <c r="C1554" s="1" t="n">
        <v>45356</v>
      </c>
      <c r="D1554" t="inlineStr">
        <is>
          <t>VÄSTERNORRLANDS LÄN</t>
        </is>
      </c>
      <c r="E1554" t="inlineStr">
        <is>
          <t>SOLLEFTEÅ</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46052-2022</t>
        </is>
      </c>
      <c r="B1555" s="1" t="n">
        <v>44846</v>
      </c>
      <c r="C1555" s="1" t="n">
        <v>45356</v>
      </c>
      <c r="D1555" t="inlineStr">
        <is>
          <t>VÄSTERNORRLANDS LÄN</t>
        </is>
      </c>
      <c r="E1555" t="inlineStr">
        <is>
          <t>SOLLEFTEÅ</t>
        </is>
      </c>
      <c r="F1555" t="inlineStr">
        <is>
          <t>SCA</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46053-2022</t>
        </is>
      </c>
      <c r="B1556" s="1" t="n">
        <v>44846</v>
      </c>
      <c r="C1556" s="1" t="n">
        <v>45356</v>
      </c>
      <c r="D1556" t="inlineStr">
        <is>
          <t>VÄSTERNORRLANDS LÄN</t>
        </is>
      </c>
      <c r="E1556" t="inlineStr">
        <is>
          <t>SOLLEFTEÅ</t>
        </is>
      </c>
      <c r="F1556" t="inlineStr">
        <is>
          <t>SCA</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46324-2022</t>
        </is>
      </c>
      <c r="B1557" s="1" t="n">
        <v>44847</v>
      </c>
      <c r="C1557" s="1" t="n">
        <v>45356</v>
      </c>
      <c r="D1557" t="inlineStr">
        <is>
          <t>VÄSTERNORRLANDS LÄN</t>
        </is>
      </c>
      <c r="E1557" t="inlineStr">
        <is>
          <t>SOLLEFTEÅ</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46626-2022</t>
        </is>
      </c>
      <c r="B1558" s="1" t="n">
        <v>44848</v>
      </c>
      <c r="C1558" s="1" t="n">
        <v>45356</v>
      </c>
      <c r="D1558" t="inlineStr">
        <is>
          <t>VÄSTERNORRLANDS LÄN</t>
        </is>
      </c>
      <c r="E1558" t="inlineStr">
        <is>
          <t>SOLLEFTEÅ</t>
        </is>
      </c>
      <c r="F1558" t="inlineStr">
        <is>
          <t>SCA</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46616-2022</t>
        </is>
      </c>
      <c r="B1559" s="1" t="n">
        <v>44848</v>
      </c>
      <c r="C1559" s="1" t="n">
        <v>45356</v>
      </c>
      <c r="D1559" t="inlineStr">
        <is>
          <t>VÄSTERNORRLANDS LÄN</t>
        </is>
      </c>
      <c r="E1559" t="inlineStr">
        <is>
          <t>SOLLEFTEÅ</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46664-2022</t>
        </is>
      </c>
      <c r="B1560" s="1" t="n">
        <v>44851</v>
      </c>
      <c r="C1560" s="1" t="n">
        <v>45356</v>
      </c>
      <c r="D1560" t="inlineStr">
        <is>
          <t>VÄSTERNORRLANDS LÄN</t>
        </is>
      </c>
      <c r="E1560" t="inlineStr">
        <is>
          <t>SOLLEFTEÅ</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46871-2022</t>
        </is>
      </c>
      <c r="B1561" s="1" t="n">
        <v>44851</v>
      </c>
      <c r="C1561" s="1" t="n">
        <v>45356</v>
      </c>
      <c r="D1561" t="inlineStr">
        <is>
          <t>VÄSTERNORRLANDS LÄN</t>
        </is>
      </c>
      <c r="E1561" t="inlineStr">
        <is>
          <t>SOLLEFTEÅ</t>
        </is>
      </c>
      <c r="F1561" t="inlineStr">
        <is>
          <t>Kyrkan</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46880-2022</t>
        </is>
      </c>
      <c r="B1562" s="1" t="n">
        <v>44851</v>
      </c>
      <c r="C1562" s="1" t="n">
        <v>45356</v>
      </c>
      <c r="D1562" t="inlineStr">
        <is>
          <t>VÄSTERNORRLANDS LÄN</t>
        </is>
      </c>
      <c r="E1562" t="inlineStr">
        <is>
          <t>SOLLEFTEÅ</t>
        </is>
      </c>
      <c r="F1562" t="inlineStr">
        <is>
          <t>Kyrkan</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46986-2022</t>
        </is>
      </c>
      <c r="B1563" s="1" t="n">
        <v>44851</v>
      </c>
      <c r="C1563" s="1" t="n">
        <v>45356</v>
      </c>
      <c r="D1563" t="inlineStr">
        <is>
          <t>VÄSTERNORRLANDS LÄN</t>
        </is>
      </c>
      <c r="E1563" t="inlineStr">
        <is>
          <t>SOLLEFTEÅ</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46985-2022</t>
        </is>
      </c>
      <c r="B1564" s="1" t="n">
        <v>44851</v>
      </c>
      <c r="C1564" s="1" t="n">
        <v>45356</v>
      </c>
      <c r="D1564" t="inlineStr">
        <is>
          <t>VÄSTERNORRLANDS LÄN</t>
        </is>
      </c>
      <c r="E1564" t="inlineStr">
        <is>
          <t>SOLLEFTEÅ</t>
        </is>
      </c>
      <c r="F1564" t="inlineStr">
        <is>
          <t>Kyrkan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47250-2022</t>
        </is>
      </c>
      <c r="B1565" s="1" t="n">
        <v>44852</v>
      </c>
      <c r="C1565" s="1" t="n">
        <v>45356</v>
      </c>
      <c r="D1565" t="inlineStr">
        <is>
          <t>VÄSTERNORRLANDS LÄN</t>
        </is>
      </c>
      <c r="E1565" t="inlineStr">
        <is>
          <t>SOLLEFTEÅ</t>
        </is>
      </c>
      <c r="F1565" t="inlineStr">
        <is>
          <t>SCA</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47268-2022</t>
        </is>
      </c>
      <c r="B1566" s="1" t="n">
        <v>44853</v>
      </c>
      <c r="C1566" s="1" t="n">
        <v>45356</v>
      </c>
      <c r="D1566" t="inlineStr">
        <is>
          <t>VÄSTERNORRLANDS LÄN</t>
        </is>
      </c>
      <c r="E1566" t="inlineStr">
        <is>
          <t>SOLLEFTEÅ</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47269-2022</t>
        </is>
      </c>
      <c r="B1567" s="1" t="n">
        <v>44853</v>
      </c>
      <c r="C1567" s="1" t="n">
        <v>45356</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47272-2022</t>
        </is>
      </c>
      <c r="B1568" s="1" t="n">
        <v>44853</v>
      </c>
      <c r="C1568" s="1" t="n">
        <v>45356</v>
      </c>
      <c r="D1568" t="inlineStr">
        <is>
          <t>VÄSTERNORRLANDS LÄN</t>
        </is>
      </c>
      <c r="E1568" t="inlineStr">
        <is>
          <t>SOLLEFTEÅ</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47564-2022</t>
        </is>
      </c>
      <c r="B1569" s="1" t="n">
        <v>44854</v>
      </c>
      <c r="C1569" s="1" t="n">
        <v>45356</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47580-2022</t>
        </is>
      </c>
      <c r="B1570" s="1" t="n">
        <v>44854</v>
      </c>
      <c r="C1570" s="1" t="n">
        <v>45356</v>
      </c>
      <c r="D1570" t="inlineStr">
        <is>
          <t>VÄSTERNORRLANDS LÄN</t>
        </is>
      </c>
      <c r="E1570" t="inlineStr">
        <is>
          <t>SOLLEFTEÅ</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47787-2022</t>
        </is>
      </c>
      <c r="B1571" s="1" t="n">
        <v>44855</v>
      </c>
      <c r="C1571" s="1" t="n">
        <v>45356</v>
      </c>
      <c r="D1571" t="inlineStr">
        <is>
          <t>VÄSTERNORRLANDS LÄN</t>
        </is>
      </c>
      <c r="E1571" t="inlineStr">
        <is>
          <t>SOLLEFTEÅ</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47814-2022</t>
        </is>
      </c>
      <c r="B1572" s="1" t="n">
        <v>44855</v>
      </c>
      <c r="C1572" s="1" t="n">
        <v>45356</v>
      </c>
      <c r="D1572" t="inlineStr">
        <is>
          <t>VÄSTERNORRLANDS LÄN</t>
        </is>
      </c>
      <c r="E1572" t="inlineStr">
        <is>
          <t>SOLLEFTEÅ</t>
        </is>
      </c>
      <c r="F1572" t="inlineStr">
        <is>
          <t>SCA</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47812-2022</t>
        </is>
      </c>
      <c r="B1573" s="1" t="n">
        <v>44855</v>
      </c>
      <c r="C1573" s="1" t="n">
        <v>45356</v>
      </c>
      <c r="D1573" t="inlineStr">
        <is>
          <t>VÄSTERNORRLANDS LÄN</t>
        </is>
      </c>
      <c r="E1573" t="inlineStr">
        <is>
          <t>SOLLEFTEÅ</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47875-2022</t>
        </is>
      </c>
      <c r="B1574" s="1" t="n">
        <v>44855</v>
      </c>
      <c r="C1574" s="1" t="n">
        <v>45356</v>
      </c>
      <c r="D1574" t="inlineStr">
        <is>
          <t>VÄSTERNORRLANDS LÄN</t>
        </is>
      </c>
      <c r="E1574" t="inlineStr">
        <is>
          <t>SOLLEFTEÅ</t>
        </is>
      </c>
      <c r="F1574" t="inlineStr">
        <is>
          <t>Holmen skog AB</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48056-2022</t>
        </is>
      </c>
      <c r="B1575" s="1" t="n">
        <v>44856</v>
      </c>
      <c r="C1575" s="1" t="n">
        <v>45356</v>
      </c>
      <c r="D1575" t="inlineStr">
        <is>
          <t>VÄSTERNORRLANDS LÄN</t>
        </is>
      </c>
      <c r="E1575" t="inlineStr">
        <is>
          <t>SOLLEFTEÅ</t>
        </is>
      </c>
      <c r="F1575" t="inlineStr">
        <is>
          <t>SCA</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48064-2022</t>
        </is>
      </c>
      <c r="B1576" s="1" t="n">
        <v>44856</v>
      </c>
      <c r="C1576" s="1" t="n">
        <v>45356</v>
      </c>
      <c r="D1576" t="inlineStr">
        <is>
          <t>VÄSTERNORRLANDS LÄN</t>
        </is>
      </c>
      <c r="E1576" t="inlineStr">
        <is>
          <t>SOLLEFTEÅ</t>
        </is>
      </c>
      <c r="F1576" t="inlineStr">
        <is>
          <t>SCA</t>
        </is>
      </c>
      <c r="G1576" t="n">
        <v>13.1</v>
      </c>
      <c r="H1576" t="n">
        <v>0</v>
      </c>
      <c r="I1576" t="n">
        <v>0</v>
      </c>
      <c r="J1576" t="n">
        <v>0</v>
      </c>
      <c r="K1576" t="n">
        <v>0</v>
      </c>
      <c r="L1576" t="n">
        <v>0</v>
      </c>
      <c r="M1576" t="n">
        <v>0</v>
      </c>
      <c r="N1576" t="n">
        <v>0</v>
      </c>
      <c r="O1576" t="n">
        <v>0</v>
      </c>
      <c r="P1576" t="n">
        <v>0</v>
      </c>
      <c r="Q1576" t="n">
        <v>0</v>
      </c>
      <c r="R1576" s="2" t="inlineStr"/>
    </row>
    <row r="1577" ht="15" customHeight="1">
      <c r="A1577" t="inlineStr">
        <is>
          <t>A 48067-2022</t>
        </is>
      </c>
      <c r="B1577" s="1" t="n">
        <v>44855</v>
      </c>
      <c r="C1577" s="1" t="n">
        <v>45356</v>
      </c>
      <c r="D1577" t="inlineStr">
        <is>
          <t>VÄSTERNORRLANDS LÄN</t>
        </is>
      </c>
      <c r="E1577" t="inlineStr">
        <is>
          <t>SOLLEFTEÅ</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48062-2022</t>
        </is>
      </c>
      <c r="B1578" s="1" t="n">
        <v>44856</v>
      </c>
      <c r="C1578" s="1" t="n">
        <v>45356</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47826-2022</t>
        </is>
      </c>
      <c r="B1579" s="1" t="n">
        <v>44855</v>
      </c>
      <c r="C1579" s="1" t="n">
        <v>45356</v>
      </c>
      <c r="D1579" t="inlineStr">
        <is>
          <t>VÄSTERNORRLANDS LÄN</t>
        </is>
      </c>
      <c r="E1579" t="inlineStr">
        <is>
          <t>SOLLEFTEÅ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48057-2022</t>
        </is>
      </c>
      <c r="B1580" s="1" t="n">
        <v>44856</v>
      </c>
      <c r="C1580" s="1" t="n">
        <v>45356</v>
      </c>
      <c r="D1580" t="inlineStr">
        <is>
          <t>VÄSTERNORRLANDS LÄN</t>
        </is>
      </c>
      <c r="E1580" t="inlineStr">
        <is>
          <t>SOLLEFTEÅ</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48061-2022</t>
        </is>
      </c>
      <c r="B1581" s="1" t="n">
        <v>44855</v>
      </c>
      <c r="C1581" s="1" t="n">
        <v>45356</v>
      </c>
      <c r="D1581" t="inlineStr">
        <is>
          <t>VÄSTERNORRLANDS LÄN</t>
        </is>
      </c>
      <c r="E1581" t="inlineStr">
        <is>
          <t>SOLLEFTEÅ</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48065-2022</t>
        </is>
      </c>
      <c r="B1582" s="1" t="n">
        <v>44856</v>
      </c>
      <c r="C1582" s="1" t="n">
        <v>45356</v>
      </c>
      <c r="D1582" t="inlineStr">
        <is>
          <t>VÄSTERNORRLANDS LÄN</t>
        </is>
      </c>
      <c r="E1582" t="inlineStr">
        <is>
          <t>SOLLEFTEÅ</t>
        </is>
      </c>
      <c r="F1582" t="inlineStr">
        <is>
          <t>SCA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48738-2022</t>
        </is>
      </c>
      <c r="B1583" s="1" t="n">
        <v>44855</v>
      </c>
      <c r="C1583" s="1" t="n">
        <v>45356</v>
      </c>
      <c r="D1583" t="inlineStr">
        <is>
          <t>VÄSTERNORRLANDS LÄN</t>
        </is>
      </c>
      <c r="E1583" t="inlineStr">
        <is>
          <t>SOLLEFTEÅ</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48240-2022</t>
        </is>
      </c>
      <c r="B1584" s="1" t="n">
        <v>44858</v>
      </c>
      <c r="C1584" s="1" t="n">
        <v>45356</v>
      </c>
      <c r="D1584" t="inlineStr">
        <is>
          <t>VÄSTERNORRLANDS LÄN</t>
        </is>
      </c>
      <c r="E1584" t="inlineStr">
        <is>
          <t>SOLLEFTEÅ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48511-2022</t>
        </is>
      </c>
      <c r="B1585" s="1" t="n">
        <v>44859</v>
      </c>
      <c r="C1585" s="1" t="n">
        <v>45356</v>
      </c>
      <c r="D1585" t="inlineStr">
        <is>
          <t>VÄSTERNORRLANDS LÄN</t>
        </is>
      </c>
      <c r="E1585" t="inlineStr">
        <is>
          <t>SOLLEFTEÅ</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48512-2022</t>
        </is>
      </c>
      <c r="B1586" s="1" t="n">
        <v>44859</v>
      </c>
      <c r="C1586" s="1" t="n">
        <v>45356</v>
      </c>
      <c r="D1586" t="inlineStr">
        <is>
          <t>VÄSTERNORRLANDS LÄN</t>
        </is>
      </c>
      <c r="E1586" t="inlineStr">
        <is>
          <t>SOLLEFTEÅ</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48519-2022</t>
        </is>
      </c>
      <c r="B1587" s="1" t="n">
        <v>44858</v>
      </c>
      <c r="C1587" s="1" t="n">
        <v>45356</v>
      </c>
      <c r="D1587" t="inlineStr">
        <is>
          <t>VÄSTERNORRLANDS LÄN</t>
        </is>
      </c>
      <c r="E1587" t="inlineStr">
        <is>
          <t>SOLLEFTEÅ</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48296-2022</t>
        </is>
      </c>
      <c r="B1588" s="1" t="n">
        <v>44858</v>
      </c>
      <c r="C1588" s="1" t="n">
        <v>45356</v>
      </c>
      <c r="D1588" t="inlineStr">
        <is>
          <t>VÄSTERNORRLANDS LÄN</t>
        </is>
      </c>
      <c r="E1588" t="inlineStr">
        <is>
          <t>SOLLEFTEÅ</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48510-2022</t>
        </is>
      </c>
      <c r="B1589" s="1" t="n">
        <v>44858</v>
      </c>
      <c r="C1589" s="1" t="n">
        <v>45356</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48535-2022</t>
        </is>
      </c>
      <c r="B1590" s="1" t="n">
        <v>44859</v>
      </c>
      <c r="C1590" s="1" t="n">
        <v>45356</v>
      </c>
      <c r="D1590" t="inlineStr">
        <is>
          <t>VÄSTERNORRLANDS LÄN</t>
        </is>
      </c>
      <c r="E1590" t="inlineStr">
        <is>
          <t>SOLLEFTEÅ</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48513-2022</t>
        </is>
      </c>
      <c r="B1591" s="1" t="n">
        <v>44859</v>
      </c>
      <c r="C1591" s="1" t="n">
        <v>45356</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48905-2022</t>
        </is>
      </c>
      <c r="B1592" s="1" t="n">
        <v>44859</v>
      </c>
      <c r="C1592" s="1" t="n">
        <v>45356</v>
      </c>
      <c r="D1592" t="inlineStr">
        <is>
          <t>VÄSTERNORRLANDS LÄN</t>
        </is>
      </c>
      <c r="E1592" t="inlineStr">
        <is>
          <t>SOLLEFTEÅ</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48915-2022</t>
        </is>
      </c>
      <c r="B1593" s="1" t="n">
        <v>44860</v>
      </c>
      <c r="C1593" s="1" t="n">
        <v>45356</v>
      </c>
      <c r="D1593" t="inlineStr">
        <is>
          <t>VÄSTERNORRLANDS LÄN</t>
        </is>
      </c>
      <c r="E1593" t="inlineStr">
        <is>
          <t>SOLLEFTEÅ</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48919-2022</t>
        </is>
      </c>
      <c r="B1594" s="1" t="n">
        <v>44859</v>
      </c>
      <c r="C1594" s="1" t="n">
        <v>45356</v>
      </c>
      <c r="D1594" t="inlineStr">
        <is>
          <t>VÄSTERNORRLANDS LÄN</t>
        </is>
      </c>
      <c r="E1594" t="inlineStr">
        <is>
          <t>SOLLEFTEÅ</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48901-2022</t>
        </is>
      </c>
      <c r="B1595" s="1" t="n">
        <v>44860</v>
      </c>
      <c r="C1595" s="1" t="n">
        <v>45356</v>
      </c>
      <c r="D1595" t="inlineStr">
        <is>
          <t>VÄSTERNORRLANDS LÄN</t>
        </is>
      </c>
      <c r="E1595" t="inlineStr">
        <is>
          <t>SOLLEFTEÅ</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48913-2022</t>
        </is>
      </c>
      <c r="B1596" s="1" t="n">
        <v>44860</v>
      </c>
      <c r="C1596" s="1" t="n">
        <v>45356</v>
      </c>
      <c r="D1596" t="inlineStr">
        <is>
          <t>VÄSTERNORRLANDS LÄN</t>
        </is>
      </c>
      <c r="E1596" t="inlineStr">
        <is>
          <t>SOLLEFTEÅ</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48923-2022</t>
        </is>
      </c>
      <c r="B1597" s="1" t="n">
        <v>44860</v>
      </c>
      <c r="C1597" s="1" t="n">
        <v>45356</v>
      </c>
      <c r="D1597" t="inlineStr">
        <is>
          <t>VÄSTERNORRLANDS LÄN</t>
        </is>
      </c>
      <c r="E1597" t="inlineStr">
        <is>
          <t>SOLLEFTEÅ</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48902-2022</t>
        </is>
      </c>
      <c r="B1598" s="1" t="n">
        <v>44859</v>
      </c>
      <c r="C1598" s="1" t="n">
        <v>45356</v>
      </c>
      <c r="D1598" t="inlineStr">
        <is>
          <t>VÄSTERNORRLANDS LÄN</t>
        </is>
      </c>
      <c r="E1598" t="inlineStr">
        <is>
          <t>SOLLEFTEÅ</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48914-2022</t>
        </is>
      </c>
      <c r="B1599" s="1" t="n">
        <v>44860</v>
      </c>
      <c r="C1599" s="1" t="n">
        <v>45356</v>
      </c>
      <c r="D1599" t="inlineStr">
        <is>
          <t>VÄSTERNORRLANDS LÄN</t>
        </is>
      </c>
      <c r="E1599" t="inlineStr">
        <is>
          <t>SOLLEFTEÅ</t>
        </is>
      </c>
      <c r="F1599" t="inlineStr">
        <is>
          <t>SCA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49694-2022</t>
        </is>
      </c>
      <c r="B1600" s="1" t="n">
        <v>44859</v>
      </c>
      <c r="C1600" s="1" t="n">
        <v>45356</v>
      </c>
      <c r="D1600" t="inlineStr">
        <is>
          <t>VÄSTERNORRLANDS LÄN</t>
        </is>
      </c>
      <c r="E1600" t="inlineStr">
        <is>
          <t>SOLLEFTEÅ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49708-2022</t>
        </is>
      </c>
      <c r="B1601" s="1" t="n">
        <v>44859</v>
      </c>
      <c r="C1601" s="1" t="n">
        <v>45356</v>
      </c>
      <c r="D1601" t="inlineStr">
        <is>
          <t>VÄSTERNORRLANDS LÄN</t>
        </is>
      </c>
      <c r="E1601" t="inlineStr">
        <is>
          <t>SOLLEFTEÅ</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49176-2022</t>
        </is>
      </c>
      <c r="B1602" s="1" t="n">
        <v>44861</v>
      </c>
      <c r="C1602" s="1" t="n">
        <v>45356</v>
      </c>
      <c r="D1602" t="inlineStr">
        <is>
          <t>VÄSTERNORRLANDS LÄN</t>
        </is>
      </c>
      <c r="E1602" t="inlineStr">
        <is>
          <t>SOLLEFTEÅ</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49181-2022</t>
        </is>
      </c>
      <c r="B1603" s="1" t="n">
        <v>44861</v>
      </c>
      <c r="C1603" s="1" t="n">
        <v>45356</v>
      </c>
      <c r="D1603" t="inlineStr">
        <is>
          <t>VÄSTERNORRLANDS LÄN</t>
        </is>
      </c>
      <c r="E1603" t="inlineStr">
        <is>
          <t>SOLLEFTEÅ</t>
        </is>
      </c>
      <c r="F1603" t="inlineStr">
        <is>
          <t>SCA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49170-2022</t>
        </is>
      </c>
      <c r="B1604" s="1" t="n">
        <v>44861</v>
      </c>
      <c r="C1604" s="1" t="n">
        <v>45356</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49198-2022</t>
        </is>
      </c>
      <c r="B1605" s="1" t="n">
        <v>44860</v>
      </c>
      <c r="C1605" s="1" t="n">
        <v>45356</v>
      </c>
      <c r="D1605" t="inlineStr">
        <is>
          <t>VÄSTERNORRLANDS LÄN</t>
        </is>
      </c>
      <c r="E1605" t="inlineStr">
        <is>
          <t>SOLLEFTEÅ</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49177-2022</t>
        </is>
      </c>
      <c r="B1606" s="1" t="n">
        <v>44861</v>
      </c>
      <c r="C1606" s="1" t="n">
        <v>45356</v>
      </c>
      <c r="D1606" t="inlineStr">
        <is>
          <t>VÄSTERNORRLANDS LÄN</t>
        </is>
      </c>
      <c r="E1606" t="inlineStr">
        <is>
          <t>SOLLEFTEÅ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49171-2022</t>
        </is>
      </c>
      <c r="B1607" s="1" t="n">
        <v>44861</v>
      </c>
      <c r="C1607" s="1" t="n">
        <v>45356</v>
      </c>
      <c r="D1607" t="inlineStr">
        <is>
          <t>VÄSTERNORRLANDS LÄN</t>
        </is>
      </c>
      <c r="E1607" t="inlineStr">
        <is>
          <t>SOLLEFTEÅ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49175-2022</t>
        </is>
      </c>
      <c r="B1608" s="1" t="n">
        <v>44861</v>
      </c>
      <c r="C1608" s="1" t="n">
        <v>45356</v>
      </c>
      <c r="D1608" t="inlineStr">
        <is>
          <t>VÄSTERNORRLANDS LÄN</t>
        </is>
      </c>
      <c r="E1608" t="inlineStr">
        <is>
          <t>SOLLEFTEÅ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49200-2022</t>
        </is>
      </c>
      <c r="B1609" s="1" t="n">
        <v>44861</v>
      </c>
      <c r="C1609" s="1" t="n">
        <v>45356</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49520-2022</t>
        </is>
      </c>
      <c r="B1610" s="1" t="n">
        <v>44862</v>
      </c>
      <c r="C1610" s="1" t="n">
        <v>45356</v>
      </c>
      <c r="D1610" t="inlineStr">
        <is>
          <t>VÄSTERNORRLANDS LÄN</t>
        </is>
      </c>
      <c r="E1610" t="inlineStr">
        <is>
          <t>SOLLEFTEÅ</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49513-2022</t>
        </is>
      </c>
      <c r="B1611" s="1" t="n">
        <v>44862</v>
      </c>
      <c r="C1611" s="1" t="n">
        <v>45356</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49512-2022</t>
        </is>
      </c>
      <c r="B1612" s="1" t="n">
        <v>44861</v>
      </c>
      <c r="C1612" s="1" t="n">
        <v>45356</v>
      </c>
      <c r="D1612" t="inlineStr">
        <is>
          <t>VÄSTERNORRLANDS LÄN</t>
        </is>
      </c>
      <c r="E1612" t="inlineStr">
        <is>
          <t>SOLLEFTEÅ</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49521-2022</t>
        </is>
      </c>
      <c r="B1613" s="1" t="n">
        <v>44861</v>
      </c>
      <c r="C1613" s="1" t="n">
        <v>45356</v>
      </c>
      <c r="D1613" t="inlineStr">
        <is>
          <t>VÄSTERNORRLANDS LÄN</t>
        </is>
      </c>
      <c r="E1613" t="inlineStr">
        <is>
          <t>SOLLEFTEÅ</t>
        </is>
      </c>
      <c r="F1613" t="inlineStr">
        <is>
          <t>SCA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49538-2022</t>
        </is>
      </c>
      <c r="B1614" s="1" t="n">
        <v>44861</v>
      </c>
      <c r="C1614" s="1" t="n">
        <v>45356</v>
      </c>
      <c r="D1614" t="inlineStr">
        <is>
          <t>VÄSTERNORRLANDS LÄN</t>
        </is>
      </c>
      <c r="E1614" t="inlineStr">
        <is>
          <t>SOLLEFTEÅ</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49665-2022</t>
        </is>
      </c>
      <c r="B1615" s="1" t="n">
        <v>44862</v>
      </c>
      <c r="C1615" s="1" t="n">
        <v>45356</v>
      </c>
      <c r="D1615" t="inlineStr">
        <is>
          <t>VÄSTERNORRLANDS LÄN</t>
        </is>
      </c>
      <c r="E1615" t="inlineStr">
        <is>
          <t>SOLLEFTEÅ</t>
        </is>
      </c>
      <c r="F1615" t="inlineStr">
        <is>
          <t>Holmen skog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49860-2022</t>
        </is>
      </c>
      <c r="B1616" s="1" t="n">
        <v>44862</v>
      </c>
      <c r="C1616" s="1" t="n">
        <v>45356</v>
      </c>
      <c r="D1616" t="inlineStr">
        <is>
          <t>VÄSTERNORRLANDS LÄN</t>
        </is>
      </c>
      <c r="E1616" t="inlineStr">
        <is>
          <t>SOLLEFTEÅ</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49866-2022</t>
        </is>
      </c>
      <c r="B1617" s="1" t="n">
        <v>44863</v>
      </c>
      <c r="C1617" s="1" t="n">
        <v>45356</v>
      </c>
      <c r="D1617" t="inlineStr">
        <is>
          <t>VÄSTERNORRLANDS LÄN</t>
        </is>
      </c>
      <c r="E1617" t="inlineStr">
        <is>
          <t>SOLLEFTEÅ</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50813-2022</t>
        </is>
      </c>
      <c r="B1618" s="1" t="n">
        <v>44862</v>
      </c>
      <c r="C1618" s="1" t="n">
        <v>45356</v>
      </c>
      <c r="D1618" t="inlineStr">
        <is>
          <t>VÄSTERNORRLANDS LÄN</t>
        </is>
      </c>
      <c r="E1618" t="inlineStr">
        <is>
          <t>SOLLEFTEÅ</t>
        </is>
      </c>
      <c r="F1618" t="inlineStr">
        <is>
          <t>Övriga statliga verk och myndigheter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50825-2022</t>
        </is>
      </c>
      <c r="B1619" s="1" t="n">
        <v>44862</v>
      </c>
      <c r="C1619" s="1" t="n">
        <v>45356</v>
      </c>
      <c r="D1619" t="inlineStr">
        <is>
          <t>VÄSTERNORRLANDS LÄN</t>
        </is>
      </c>
      <c r="E1619" t="inlineStr">
        <is>
          <t>SOLLEFTEÅ</t>
        </is>
      </c>
      <c r="F1619" t="inlineStr">
        <is>
          <t>Övriga statliga verk och myndigheter</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49911-2022</t>
        </is>
      </c>
      <c r="B1620" s="1" t="n">
        <v>44865</v>
      </c>
      <c r="C1620" s="1" t="n">
        <v>45356</v>
      </c>
      <c r="D1620" t="inlineStr">
        <is>
          <t>VÄSTERNORRLANDS LÄN</t>
        </is>
      </c>
      <c r="E1620" t="inlineStr">
        <is>
          <t>SOLLEFTEÅ</t>
        </is>
      </c>
      <c r="F1620" t="inlineStr">
        <is>
          <t>Holmen skog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50318-2022</t>
        </is>
      </c>
      <c r="B1621" s="1" t="n">
        <v>44865</v>
      </c>
      <c r="C1621" s="1" t="n">
        <v>45356</v>
      </c>
      <c r="D1621" t="inlineStr">
        <is>
          <t>VÄSTERNORRLANDS LÄN</t>
        </is>
      </c>
      <c r="E1621" t="inlineStr">
        <is>
          <t>SOLLEFTEÅ</t>
        </is>
      </c>
      <c r="F1621" t="inlineStr">
        <is>
          <t>SCA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51080-2022</t>
        </is>
      </c>
      <c r="B1622" s="1" t="n">
        <v>44865</v>
      </c>
      <c r="C1622" s="1" t="n">
        <v>45356</v>
      </c>
      <c r="D1622" t="inlineStr">
        <is>
          <t>VÄSTERNORRLANDS LÄN</t>
        </is>
      </c>
      <c r="E1622" t="inlineStr">
        <is>
          <t>SOLLEFTEÅ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50641-2022</t>
        </is>
      </c>
      <c r="B1623" s="1" t="n">
        <v>44866</v>
      </c>
      <c r="C1623" s="1" t="n">
        <v>45356</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50642-2022</t>
        </is>
      </c>
      <c r="B1624" s="1" t="n">
        <v>44866</v>
      </c>
      <c r="C1624" s="1" t="n">
        <v>45356</v>
      </c>
      <c r="D1624" t="inlineStr">
        <is>
          <t>VÄSTERNORRLANDS LÄN</t>
        </is>
      </c>
      <c r="E1624" t="inlineStr">
        <is>
          <t>SOLLEFTEÅ</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50655-2022</t>
        </is>
      </c>
      <c r="B1625" s="1" t="n">
        <v>44866</v>
      </c>
      <c r="C1625" s="1" t="n">
        <v>45356</v>
      </c>
      <c r="D1625" t="inlineStr">
        <is>
          <t>VÄSTERNORRLANDS LÄN</t>
        </is>
      </c>
      <c r="E1625" t="inlineStr">
        <is>
          <t>SOLLEFTEÅ</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50656-2022</t>
        </is>
      </c>
      <c r="B1626" s="1" t="n">
        <v>44866</v>
      </c>
      <c r="C1626" s="1" t="n">
        <v>45356</v>
      </c>
      <c r="D1626" t="inlineStr">
        <is>
          <t>VÄSTERNORRLANDS LÄN</t>
        </is>
      </c>
      <c r="E1626" t="inlineStr">
        <is>
          <t>SOLLEFTEÅ</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50662-2022</t>
        </is>
      </c>
      <c r="B1627" s="1" t="n">
        <v>44866</v>
      </c>
      <c r="C1627" s="1" t="n">
        <v>45356</v>
      </c>
      <c r="D1627" t="inlineStr">
        <is>
          <t>VÄSTERNORRLANDS LÄN</t>
        </is>
      </c>
      <c r="E1627" t="inlineStr">
        <is>
          <t>SOLLEFTEÅ</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51249-2022</t>
        </is>
      </c>
      <c r="B1628" s="1" t="n">
        <v>44866</v>
      </c>
      <c r="C1628" s="1" t="n">
        <v>45356</v>
      </c>
      <c r="D1628" t="inlineStr">
        <is>
          <t>VÄSTERNORRLANDS LÄN</t>
        </is>
      </c>
      <c r="E1628" t="inlineStr">
        <is>
          <t>SOLLEFTEÅ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51006-2022</t>
        </is>
      </c>
      <c r="B1629" s="1" t="n">
        <v>44867</v>
      </c>
      <c r="C1629" s="1" t="n">
        <v>45356</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51212-2022</t>
        </is>
      </c>
      <c r="B1630" s="1" t="n">
        <v>44868</v>
      </c>
      <c r="C1630" s="1" t="n">
        <v>45356</v>
      </c>
      <c r="D1630" t="inlineStr">
        <is>
          <t>VÄSTERNORRLANDS LÄN</t>
        </is>
      </c>
      <c r="E1630" t="inlineStr">
        <is>
          <t>SOLLEFTEÅ</t>
        </is>
      </c>
      <c r="F1630" t="inlineStr">
        <is>
          <t>Holmen skog AB</t>
        </is>
      </c>
      <c r="G1630" t="n">
        <v>18.3</v>
      </c>
      <c r="H1630" t="n">
        <v>0</v>
      </c>
      <c r="I1630" t="n">
        <v>0</v>
      </c>
      <c r="J1630" t="n">
        <v>0</v>
      </c>
      <c r="K1630" t="n">
        <v>0</v>
      </c>
      <c r="L1630" t="n">
        <v>0</v>
      </c>
      <c r="M1630" t="n">
        <v>0</v>
      </c>
      <c r="N1630" t="n">
        <v>0</v>
      </c>
      <c r="O1630" t="n">
        <v>0</v>
      </c>
      <c r="P1630" t="n">
        <v>0</v>
      </c>
      <c r="Q1630" t="n">
        <v>0</v>
      </c>
      <c r="R1630" s="2" t="inlineStr"/>
    </row>
    <row r="1631" ht="15" customHeight="1">
      <c r="A1631" t="inlineStr">
        <is>
          <t>A 51317-2022</t>
        </is>
      </c>
      <c r="B1631" s="1" t="n">
        <v>44868</v>
      </c>
      <c r="C1631" s="1" t="n">
        <v>45356</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51314-2022</t>
        </is>
      </c>
      <c r="B1632" s="1" t="n">
        <v>44868</v>
      </c>
      <c r="C1632" s="1" t="n">
        <v>45356</v>
      </c>
      <c r="D1632" t="inlineStr">
        <is>
          <t>VÄSTERNORRLANDS LÄN</t>
        </is>
      </c>
      <c r="E1632" t="inlineStr">
        <is>
          <t>SOLLEFTEÅ</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51544-2022</t>
        </is>
      </c>
      <c r="B1633" s="1" t="n">
        <v>44869</v>
      </c>
      <c r="C1633" s="1" t="n">
        <v>45356</v>
      </c>
      <c r="D1633" t="inlineStr">
        <is>
          <t>VÄSTERNORRLANDS LÄN</t>
        </is>
      </c>
      <c r="E1633" t="inlineStr">
        <is>
          <t>SOLLEFTEÅ</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51541-2022</t>
        </is>
      </c>
      <c r="B1634" s="1" t="n">
        <v>44869</v>
      </c>
      <c r="C1634" s="1" t="n">
        <v>45356</v>
      </c>
      <c r="D1634" t="inlineStr">
        <is>
          <t>VÄSTERNORRLANDS LÄN</t>
        </is>
      </c>
      <c r="E1634" t="inlineStr">
        <is>
          <t>SOLLEFTEÅ</t>
        </is>
      </c>
      <c r="F1634" t="inlineStr">
        <is>
          <t>SCA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51543-2022</t>
        </is>
      </c>
      <c r="B1635" s="1" t="n">
        <v>44869</v>
      </c>
      <c r="C1635" s="1" t="n">
        <v>45356</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51739-2022</t>
        </is>
      </c>
      <c r="B1636" s="1" t="n">
        <v>44872</v>
      </c>
      <c r="C1636" s="1" t="n">
        <v>45356</v>
      </c>
      <c r="D1636" t="inlineStr">
        <is>
          <t>VÄSTERNORRLANDS LÄN</t>
        </is>
      </c>
      <c r="E1636" t="inlineStr">
        <is>
          <t>SOLLEFTEÅ</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52013-2022</t>
        </is>
      </c>
      <c r="B1637" s="1" t="n">
        <v>44872</v>
      </c>
      <c r="C1637" s="1" t="n">
        <v>45356</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52034-2022</t>
        </is>
      </c>
      <c r="B1638" s="1" t="n">
        <v>44872</v>
      </c>
      <c r="C1638" s="1" t="n">
        <v>45356</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52040-2022</t>
        </is>
      </c>
      <c r="B1639" s="1" t="n">
        <v>44872</v>
      </c>
      <c r="C1639" s="1" t="n">
        <v>45356</v>
      </c>
      <c r="D1639" t="inlineStr">
        <is>
          <t>VÄSTERNORRLANDS LÄN</t>
        </is>
      </c>
      <c r="E1639" t="inlineStr">
        <is>
          <t>SOLLEFTEÅ</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52035-2022</t>
        </is>
      </c>
      <c r="B1640" s="1" t="n">
        <v>44872</v>
      </c>
      <c r="C1640" s="1" t="n">
        <v>45356</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52039-2022</t>
        </is>
      </c>
      <c r="B1641" s="1" t="n">
        <v>44872</v>
      </c>
      <c r="C1641" s="1" t="n">
        <v>45356</v>
      </c>
      <c r="D1641" t="inlineStr">
        <is>
          <t>VÄSTERNORRLANDS LÄN</t>
        </is>
      </c>
      <c r="E1641" t="inlineStr">
        <is>
          <t>SOLLEFTEÅ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53128-2022</t>
        </is>
      </c>
      <c r="B1642" s="1" t="n">
        <v>44873</v>
      </c>
      <c r="C1642" s="1" t="n">
        <v>45356</v>
      </c>
      <c r="D1642" t="inlineStr">
        <is>
          <t>VÄSTERNORRLANDS LÄN</t>
        </is>
      </c>
      <c r="E1642" t="inlineStr">
        <is>
          <t>SOLLEFTEÅ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53123-2022</t>
        </is>
      </c>
      <c r="B1643" s="1" t="n">
        <v>44873</v>
      </c>
      <c r="C1643" s="1" t="n">
        <v>45356</v>
      </c>
      <c r="D1643" t="inlineStr">
        <is>
          <t>VÄSTERNORRLANDS LÄN</t>
        </is>
      </c>
      <c r="E1643" t="inlineStr">
        <is>
          <t>SOLLEFTEÅ</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52549-2022</t>
        </is>
      </c>
      <c r="B1644" s="1" t="n">
        <v>44874</v>
      </c>
      <c r="C1644" s="1" t="n">
        <v>45356</v>
      </c>
      <c r="D1644" t="inlineStr">
        <is>
          <t>VÄSTERNORRLANDS LÄN</t>
        </is>
      </c>
      <c r="E1644" t="inlineStr">
        <is>
          <t>SOLLEFTEÅ</t>
        </is>
      </c>
      <c r="F1644" t="inlineStr">
        <is>
          <t>Holmen skog AB</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52735-2022</t>
        </is>
      </c>
      <c r="B1645" s="1" t="n">
        <v>44874</v>
      </c>
      <c r="C1645" s="1" t="n">
        <v>45356</v>
      </c>
      <c r="D1645" t="inlineStr">
        <is>
          <t>VÄSTERNORRLANDS LÄN</t>
        </is>
      </c>
      <c r="E1645" t="inlineStr">
        <is>
          <t>SOLLEFTEÅ</t>
        </is>
      </c>
      <c r="F1645" t="inlineStr">
        <is>
          <t>SCA</t>
        </is>
      </c>
      <c r="G1645" t="n">
        <v>11.2</v>
      </c>
      <c r="H1645" t="n">
        <v>0</v>
      </c>
      <c r="I1645" t="n">
        <v>0</v>
      </c>
      <c r="J1645" t="n">
        <v>0</v>
      </c>
      <c r="K1645" t="n">
        <v>0</v>
      </c>
      <c r="L1645" t="n">
        <v>0</v>
      </c>
      <c r="M1645" t="n">
        <v>0</v>
      </c>
      <c r="N1645" t="n">
        <v>0</v>
      </c>
      <c r="O1645" t="n">
        <v>0</v>
      </c>
      <c r="P1645" t="n">
        <v>0</v>
      </c>
      <c r="Q1645" t="n">
        <v>0</v>
      </c>
      <c r="R1645" s="2" t="inlineStr"/>
    </row>
    <row r="1646" ht="15" customHeight="1">
      <c r="A1646" t="inlineStr">
        <is>
          <t>A 52595-2022</t>
        </is>
      </c>
      <c r="B1646" s="1" t="n">
        <v>44874</v>
      </c>
      <c r="C1646" s="1" t="n">
        <v>45356</v>
      </c>
      <c r="D1646" t="inlineStr">
        <is>
          <t>VÄSTERNORRLANDS LÄN</t>
        </is>
      </c>
      <c r="E1646" t="inlineStr">
        <is>
          <t>SOLLEFTEÅ</t>
        </is>
      </c>
      <c r="F1646" t="inlineStr">
        <is>
          <t>Holmen skog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52717-2022</t>
        </is>
      </c>
      <c r="B1647" s="1" t="n">
        <v>44874</v>
      </c>
      <c r="C1647" s="1" t="n">
        <v>45356</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52718-2022</t>
        </is>
      </c>
      <c r="B1648" s="1" t="n">
        <v>44874</v>
      </c>
      <c r="C1648" s="1" t="n">
        <v>45356</v>
      </c>
      <c r="D1648" t="inlineStr">
        <is>
          <t>VÄSTERNORRLANDS LÄN</t>
        </is>
      </c>
      <c r="E1648" t="inlineStr">
        <is>
          <t>SOLLEFTEÅ</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53012-2022</t>
        </is>
      </c>
      <c r="B1649" s="1" t="n">
        <v>44875</v>
      </c>
      <c r="C1649" s="1" t="n">
        <v>45356</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52777-2022</t>
        </is>
      </c>
      <c r="B1650" s="1" t="n">
        <v>44875</v>
      </c>
      <c r="C1650" s="1" t="n">
        <v>45356</v>
      </c>
      <c r="D1650" t="inlineStr">
        <is>
          <t>VÄSTERNORRLANDS LÄN</t>
        </is>
      </c>
      <c r="E1650" t="inlineStr">
        <is>
          <t>SOLLEFTEÅ</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53000-2022</t>
        </is>
      </c>
      <c r="B1651" s="1" t="n">
        <v>44875</v>
      </c>
      <c r="C1651" s="1" t="n">
        <v>45356</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53011-2022</t>
        </is>
      </c>
      <c r="B1652" s="1" t="n">
        <v>44875</v>
      </c>
      <c r="C1652" s="1" t="n">
        <v>45356</v>
      </c>
      <c r="D1652" t="inlineStr">
        <is>
          <t>VÄSTERNORRLANDS LÄN</t>
        </is>
      </c>
      <c r="E1652" t="inlineStr">
        <is>
          <t>SOLLEFTEÅ</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53669-2022</t>
        </is>
      </c>
      <c r="B1653" s="1" t="n">
        <v>44879</v>
      </c>
      <c r="C1653" s="1" t="n">
        <v>45356</v>
      </c>
      <c r="D1653" t="inlineStr">
        <is>
          <t>VÄSTERNORRLANDS LÄN</t>
        </is>
      </c>
      <c r="E1653" t="inlineStr">
        <is>
          <t>SOLLEFTEÅ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53933-2022</t>
        </is>
      </c>
      <c r="B1654" s="1" t="n">
        <v>44880</v>
      </c>
      <c r="C1654" s="1" t="n">
        <v>45356</v>
      </c>
      <c r="D1654" t="inlineStr">
        <is>
          <t>VÄSTERNORRLANDS LÄN</t>
        </is>
      </c>
      <c r="E1654" t="inlineStr">
        <is>
          <t>SOLLEFTEÅ</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53929-2022</t>
        </is>
      </c>
      <c r="B1655" s="1" t="n">
        <v>44880</v>
      </c>
      <c r="C1655" s="1" t="n">
        <v>45356</v>
      </c>
      <c r="D1655" t="inlineStr">
        <is>
          <t>VÄSTERNORRLANDS LÄN</t>
        </is>
      </c>
      <c r="E1655" t="inlineStr">
        <is>
          <t>SOLLEFTEÅ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53944-2022</t>
        </is>
      </c>
      <c r="B1656" s="1" t="n">
        <v>44880</v>
      </c>
      <c r="C1656" s="1" t="n">
        <v>45356</v>
      </c>
      <c r="D1656" t="inlineStr">
        <is>
          <t>VÄSTERNORRLANDS LÄN</t>
        </is>
      </c>
      <c r="E1656" t="inlineStr">
        <is>
          <t>SOLLEFTEÅ</t>
        </is>
      </c>
      <c r="F1656" t="inlineStr">
        <is>
          <t>SCA</t>
        </is>
      </c>
      <c r="G1656" t="n">
        <v>9.800000000000001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53947-2022</t>
        </is>
      </c>
      <c r="B1657" s="1" t="n">
        <v>44880</v>
      </c>
      <c r="C1657" s="1" t="n">
        <v>45356</v>
      </c>
      <c r="D1657" t="inlineStr">
        <is>
          <t>VÄSTERNORRLANDS LÄN</t>
        </is>
      </c>
      <c r="E1657" t="inlineStr">
        <is>
          <t>SOLLEFTEÅ</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53985-2022</t>
        </is>
      </c>
      <c r="B1658" s="1" t="n">
        <v>44881</v>
      </c>
      <c r="C1658" s="1" t="n">
        <v>45356</v>
      </c>
      <c r="D1658" t="inlineStr">
        <is>
          <t>VÄSTERNORRLANDS LÄN</t>
        </is>
      </c>
      <c r="E1658" t="inlineStr">
        <is>
          <t>SOLLEFTEÅ</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54256-2022</t>
        </is>
      </c>
      <c r="B1659" s="1" t="n">
        <v>44881</v>
      </c>
      <c r="C1659" s="1" t="n">
        <v>45356</v>
      </c>
      <c r="D1659" t="inlineStr">
        <is>
          <t>VÄSTERNORRLANDS LÄN</t>
        </is>
      </c>
      <c r="E1659" t="inlineStr">
        <is>
          <t>SOLLEFTEÅ</t>
        </is>
      </c>
      <c r="F1659" t="inlineStr">
        <is>
          <t>SCA</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54242-2022</t>
        </is>
      </c>
      <c r="B1660" s="1" t="n">
        <v>44881</v>
      </c>
      <c r="C1660" s="1" t="n">
        <v>45356</v>
      </c>
      <c r="D1660" t="inlineStr">
        <is>
          <t>VÄSTERNORRLANDS LÄN</t>
        </is>
      </c>
      <c r="E1660" t="inlineStr">
        <is>
          <t>SOLLEFTEÅ</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54249-2022</t>
        </is>
      </c>
      <c r="B1661" s="1" t="n">
        <v>44881</v>
      </c>
      <c r="C1661" s="1" t="n">
        <v>45356</v>
      </c>
      <c r="D1661" t="inlineStr">
        <is>
          <t>VÄSTERNORRLANDS LÄN</t>
        </is>
      </c>
      <c r="E1661" t="inlineStr">
        <is>
          <t>SOLLEFTEÅ</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54255-2022</t>
        </is>
      </c>
      <c r="B1662" s="1" t="n">
        <v>44881</v>
      </c>
      <c r="C1662" s="1" t="n">
        <v>45356</v>
      </c>
      <c r="D1662" t="inlineStr">
        <is>
          <t>VÄSTERNORRLANDS LÄN</t>
        </is>
      </c>
      <c r="E1662" t="inlineStr">
        <is>
          <t>SOLLEFTEÅ</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54280-2022</t>
        </is>
      </c>
      <c r="B1663" s="1" t="n">
        <v>44882</v>
      </c>
      <c r="C1663" s="1" t="n">
        <v>45356</v>
      </c>
      <c r="D1663" t="inlineStr">
        <is>
          <t>VÄSTERNORRLANDS LÄN</t>
        </is>
      </c>
      <c r="E1663" t="inlineStr">
        <is>
          <t>SOLLEFTEÅ</t>
        </is>
      </c>
      <c r="F1663" t="inlineStr">
        <is>
          <t>Holmen skog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54538-2022</t>
        </is>
      </c>
      <c r="B1664" s="1" t="n">
        <v>44882</v>
      </c>
      <c r="C1664" s="1" t="n">
        <v>45356</v>
      </c>
      <c r="D1664" t="inlineStr">
        <is>
          <t>VÄSTERNORRLANDS LÄN</t>
        </is>
      </c>
      <c r="E1664" t="inlineStr">
        <is>
          <t>SOLLEFTEÅ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54559-2022</t>
        </is>
      </c>
      <c r="B1665" s="1" t="n">
        <v>44882</v>
      </c>
      <c r="C1665" s="1" t="n">
        <v>45356</v>
      </c>
      <c r="D1665" t="inlineStr">
        <is>
          <t>VÄSTERNORRLANDS LÄN</t>
        </is>
      </c>
      <c r="E1665" t="inlineStr">
        <is>
          <t>SOLLEFTEÅ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54573-2022</t>
        </is>
      </c>
      <c r="B1666" s="1" t="n">
        <v>44882</v>
      </c>
      <c r="C1666" s="1" t="n">
        <v>45356</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54558-2022</t>
        </is>
      </c>
      <c r="B1667" s="1" t="n">
        <v>44882</v>
      </c>
      <c r="C1667" s="1" t="n">
        <v>45356</v>
      </c>
      <c r="D1667" t="inlineStr">
        <is>
          <t>VÄSTERNORRLANDS LÄN</t>
        </is>
      </c>
      <c r="E1667" t="inlineStr">
        <is>
          <t>SOLLEFTEÅ</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54569-2022</t>
        </is>
      </c>
      <c r="B1668" s="1" t="n">
        <v>44882</v>
      </c>
      <c r="C1668" s="1" t="n">
        <v>45356</v>
      </c>
      <c r="D1668" t="inlineStr">
        <is>
          <t>VÄSTERNORRLANDS LÄN</t>
        </is>
      </c>
      <c r="E1668" t="inlineStr">
        <is>
          <t>SOLLEFTEÅ</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55209-2022</t>
        </is>
      </c>
      <c r="B1669" s="1" t="n">
        <v>44887</v>
      </c>
      <c r="C1669" s="1" t="n">
        <v>45356</v>
      </c>
      <c r="D1669" t="inlineStr">
        <is>
          <t>VÄSTERNORRLANDS LÄN</t>
        </is>
      </c>
      <c r="E1669" t="inlineStr">
        <is>
          <t>SOLLEFTEÅ</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55692-2022</t>
        </is>
      </c>
      <c r="B1670" s="1" t="n">
        <v>44888</v>
      </c>
      <c r="C1670" s="1" t="n">
        <v>45356</v>
      </c>
      <c r="D1670" t="inlineStr">
        <is>
          <t>VÄSTERNORRLANDS LÄN</t>
        </is>
      </c>
      <c r="E1670" t="inlineStr">
        <is>
          <t>SOLLEFTEÅ</t>
        </is>
      </c>
      <c r="F1670" t="inlineStr">
        <is>
          <t>Holmen skog AB</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55898-2022</t>
        </is>
      </c>
      <c r="B1671" s="1" t="n">
        <v>44888</v>
      </c>
      <c r="C1671" s="1" t="n">
        <v>45356</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56176-2022</t>
        </is>
      </c>
      <c r="B1672" s="1" t="n">
        <v>44889</v>
      </c>
      <c r="C1672" s="1" t="n">
        <v>45356</v>
      </c>
      <c r="D1672" t="inlineStr">
        <is>
          <t>VÄSTERNORRLANDS LÄN</t>
        </is>
      </c>
      <c r="E1672" t="inlineStr">
        <is>
          <t>SOLLEFTEÅ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56175-2022</t>
        </is>
      </c>
      <c r="B1673" s="1" t="n">
        <v>44889</v>
      </c>
      <c r="C1673" s="1" t="n">
        <v>45356</v>
      </c>
      <c r="D1673" t="inlineStr">
        <is>
          <t>VÄSTERNORRLANDS LÄN</t>
        </is>
      </c>
      <c r="E1673" t="inlineStr">
        <is>
          <t>SOLLEFTEÅ</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56184-2022</t>
        </is>
      </c>
      <c r="B1674" s="1" t="n">
        <v>44889</v>
      </c>
      <c r="C1674" s="1" t="n">
        <v>45356</v>
      </c>
      <c r="D1674" t="inlineStr">
        <is>
          <t>VÄSTERNORRLANDS LÄN</t>
        </is>
      </c>
      <c r="E1674" t="inlineStr">
        <is>
          <t>SOLLEFTEÅ</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56544-2022</t>
        </is>
      </c>
      <c r="B1675" s="1" t="n">
        <v>44893</v>
      </c>
      <c r="C1675" s="1" t="n">
        <v>45356</v>
      </c>
      <c r="D1675" t="inlineStr">
        <is>
          <t>VÄSTERNORRLANDS LÄN</t>
        </is>
      </c>
      <c r="E1675" t="inlineStr">
        <is>
          <t>SOLLEFTEÅ</t>
        </is>
      </c>
      <c r="F1675" t="inlineStr">
        <is>
          <t>Holmen skog AB</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57019-2022</t>
        </is>
      </c>
      <c r="B1676" s="1" t="n">
        <v>44895</v>
      </c>
      <c r="C1676" s="1" t="n">
        <v>45356</v>
      </c>
      <c r="D1676" t="inlineStr">
        <is>
          <t>VÄSTERNORRLANDS LÄN</t>
        </is>
      </c>
      <c r="E1676" t="inlineStr">
        <is>
          <t>SOLLEFTEÅ</t>
        </is>
      </c>
      <c r="F1676" t="inlineStr">
        <is>
          <t>SCA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57020-2022</t>
        </is>
      </c>
      <c r="B1677" s="1" t="n">
        <v>44895</v>
      </c>
      <c r="C1677" s="1" t="n">
        <v>45356</v>
      </c>
      <c r="D1677" t="inlineStr">
        <is>
          <t>VÄSTERNORRLANDS LÄN</t>
        </is>
      </c>
      <c r="E1677" t="inlineStr">
        <is>
          <t>SOLLEFTEÅ</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57282-2022</t>
        </is>
      </c>
      <c r="B1678" s="1" t="n">
        <v>44895</v>
      </c>
      <c r="C1678" s="1" t="n">
        <v>45356</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57273-2022</t>
        </is>
      </c>
      <c r="B1679" s="1" t="n">
        <v>44895</v>
      </c>
      <c r="C1679" s="1" t="n">
        <v>45356</v>
      </c>
      <c r="D1679" t="inlineStr">
        <is>
          <t>VÄSTERNORRLANDS LÄN</t>
        </is>
      </c>
      <c r="E1679" t="inlineStr">
        <is>
          <t>SOLLEFTEÅ</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58643-2022</t>
        </is>
      </c>
      <c r="B1680" s="1" t="n">
        <v>44895</v>
      </c>
      <c r="C1680" s="1" t="n">
        <v>45356</v>
      </c>
      <c r="D1680" t="inlineStr">
        <is>
          <t>VÄSTERNORRLANDS LÄN</t>
        </is>
      </c>
      <c r="E1680" t="inlineStr">
        <is>
          <t>SOLLEFTEÅ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58636-2022</t>
        </is>
      </c>
      <c r="B1681" s="1" t="n">
        <v>44895</v>
      </c>
      <c r="C1681" s="1" t="n">
        <v>45356</v>
      </c>
      <c r="D1681" t="inlineStr">
        <is>
          <t>VÄSTERNORRLANDS LÄN</t>
        </is>
      </c>
      <c r="E1681" t="inlineStr">
        <is>
          <t>SOLLEFTEÅ</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58646-2022</t>
        </is>
      </c>
      <c r="B1682" s="1" t="n">
        <v>44895</v>
      </c>
      <c r="C1682" s="1" t="n">
        <v>45356</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57991-2022</t>
        </is>
      </c>
      <c r="B1683" s="1" t="n">
        <v>44900</v>
      </c>
      <c r="C1683" s="1" t="n">
        <v>45356</v>
      </c>
      <c r="D1683" t="inlineStr">
        <is>
          <t>VÄSTERNORRLANDS LÄN</t>
        </is>
      </c>
      <c r="E1683" t="inlineStr">
        <is>
          <t>SOLLEFTEÅ</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58173-2022</t>
        </is>
      </c>
      <c r="B1684" s="1" t="n">
        <v>44900</v>
      </c>
      <c r="C1684" s="1" t="n">
        <v>45356</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58172-2022</t>
        </is>
      </c>
      <c r="B1685" s="1" t="n">
        <v>44900</v>
      </c>
      <c r="C1685" s="1" t="n">
        <v>45356</v>
      </c>
      <c r="D1685" t="inlineStr">
        <is>
          <t>VÄSTERNORRLANDS LÄN</t>
        </is>
      </c>
      <c r="E1685" t="inlineStr">
        <is>
          <t>SOLLEFTEÅ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58171-2022</t>
        </is>
      </c>
      <c r="B1686" s="1" t="n">
        <v>44900</v>
      </c>
      <c r="C1686" s="1" t="n">
        <v>45356</v>
      </c>
      <c r="D1686" t="inlineStr">
        <is>
          <t>VÄSTERNORRLANDS LÄN</t>
        </is>
      </c>
      <c r="E1686" t="inlineStr">
        <is>
          <t>SOLLEFTEÅ</t>
        </is>
      </c>
      <c r="F1686" t="inlineStr">
        <is>
          <t>SCA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58401-2022</t>
        </is>
      </c>
      <c r="B1687" s="1" t="n">
        <v>44901</v>
      </c>
      <c r="C1687" s="1" t="n">
        <v>45356</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58765-2022</t>
        </is>
      </c>
      <c r="B1688" s="1" t="n">
        <v>44903</v>
      </c>
      <c r="C1688" s="1" t="n">
        <v>45356</v>
      </c>
      <c r="D1688" t="inlineStr">
        <is>
          <t>VÄSTERNORRLANDS LÄN</t>
        </is>
      </c>
      <c r="E1688" t="inlineStr">
        <is>
          <t>SOLLEFTEÅ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59036-2022</t>
        </is>
      </c>
      <c r="B1689" s="1" t="n">
        <v>44903</v>
      </c>
      <c r="C1689" s="1" t="n">
        <v>45356</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59038-2022</t>
        </is>
      </c>
      <c r="B1690" s="1" t="n">
        <v>44903</v>
      </c>
      <c r="C1690" s="1" t="n">
        <v>45356</v>
      </c>
      <c r="D1690" t="inlineStr">
        <is>
          <t>VÄSTERNORRLANDS LÄN</t>
        </is>
      </c>
      <c r="E1690" t="inlineStr">
        <is>
          <t>SOLLEFTEÅ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59037-2022</t>
        </is>
      </c>
      <c r="B1691" s="1" t="n">
        <v>44903</v>
      </c>
      <c r="C1691" s="1" t="n">
        <v>45356</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59371-2022</t>
        </is>
      </c>
      <c r="B1692" s="1" t="n">
        <v>44904</v>
      </c>
      <c r="C1692" s="1" t="n">
        <v>45356</v>
      </c>
      <c r="D1692" t="inlineStr">
        <is>
          <t>VÄSTERNORRLANDS LÄN</t>
        </is>
      </c>
      <c r="E1692" t="inlineStr">
        <is>
          <t>SOLLEFTEÅ</t>
        </is>
      </c>
      <c r="F1692" t="inlineStr">
        <is>
          <t>SCA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60482-2022</t>
        </is>
      </c>
      <c r="B1693" s="1" t="n">
        <v>44904</v>
      </c>
      <c r="C1693" s="1" t="n">
        <v>45356</v>
      </c>
      <c r="D1693" t="inlineStr">
        <is>
          <t>VÄSTERNORRLANDS LÄN</t>
        </is>
      </c>
      <c r="E1693" t="inlineStr">
        <is>
          <t>SOLLEFTEÅ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60856-2022</t>
        </is>
      </c>
      <c r="B1694" s="1" t="n">
        <v>44907</v>
      </c>
      <c r="C1694" s="1" t="n">
        <v>45356</v>
      </c>
      <c r="D1694" t="inlineStr">
        <is>
          <t>VÄSTERNORRLANDS LÄN</t>
        </is>
      </c>
      <c r="E1694" t="inlineStr">
        <is>
          <t>SOLLEFTEÅ</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59647-2022</t>
        </is>
      </c>
      <c r="B1695" s="1" t="n">
        <v>44908</v>
      </c>
      <c r="C1695" s="1" t="n">
        <v>45356</v>
      </c>
      <c r="D1695" t="inlineStr">
        <is>
          <t>VÄSTERNORRLANDS LÄN</t>
        </is>
      </c>
      <c r="E1695" t="inlineStr">
        <is>
          <t>SOLLEFTEÅ</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59908-2022</t>
        </is>
      </c>
      <c r="B1696" s="1" t="n">
        <v>44908</v>
      </c>
      <c r="C1696" s="1" t="n">
        <v>45356</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59854-2022</t>
        </is>
      </c>
      <c r="B1697" s="1" t="n">
        <v>44908</v>
      </c>
      <c r="C1697" s="1" t="n">
        <v>45356</v>
      </c>
      <c r="D1697" t="inlineStr">
        <is>
          <t>VÄSTERNORRLANDS LÄN</t>
        </is>
      </c>
      <c r="E1697" t="inlineStr">
        <is>
          <t>SOLLEFTEÅ</t>
        </is>
      </c>
      <c r="F1697" t="inlineStr">
        <is>
          <t>Holmen skog AB</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60170-2022</t>
        </is>
      </c>
      <c r="B1698" s="1" t="n">
        <v>44909</v>
      </c>
      <c r="C1698" s="1" t="n">
        <v>45356</v>
      </c>
      <c r="D1698" t="inlineStr">
        <is>
          <t>VÄSTERNORRLANDS LÄN</t>
        </is>
      </c>
      <c r="E1698" t="inlineStr">
        <is>
          <t>SOLLEFTEÅ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60169-2022</t>
        </is>
      </c>
      <c r="B1699" s="1" t="n">
        <v>44909</v>
      </c>
      <c r="C1699" s="1" t="n">
        <v>45356</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60171-2022</t>
        </is>
      </c>
      <c r="B1700" s="1" t="n">
        <v>44909</v>
      </c>
      <c r="C1700" s="1" t="n">
        <v>45356</v>
      </c>
      <c r="D1700" t="inlineStr">
        <is>
          <t>VÄSTERNORRLANDS LÄN</t>
        </is>
      </c>
      <c r="E1700" t="inlineStr">
        <is>
          <t>SOLLEFTEÅ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60168-2022</t>
        </is>
      </c>
      <c r="B1701" s="1" t="n">
        <v>44909</v>
      </c>
      <c r="C1701" s="1" t="n">
        <v>45356</v>
      </c>
      <c r="D1701" t="inlineStr">
        <is>
          <t>VÄSTERNORRLANDS LÄN</t>
        </is>
      </c>
      <c r="E1701" t="inlineStr">
        <is>
          <t>SOLLEFTEÅ</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60338-2022</t>
        </is>
      </c>
      <c r="B1702" s="1" t="n">
        <v>44910</v>
      </c>
      <c r="C1702" s="1" t="n">
        <v>45356</v>
      </c>
      <c r="D1702" t="inlineStr">
        <is>
          <t>VÄSTERNORRLANDS LÄN</t>
        </is>
      </c>
      <c r="E1702" t="inlineStr">
        <is>
          <t>SOLLEFTEÅ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60420-2022</t>
        </is>
      </c>
      <c r="B1703" s="1" t="n">
        <v>44910</v>
      </c>
      <c r="C1703" s="1" t="n">
        <v>45356</v>
      </c>
      <c r="D1703" t="inlineStr">
        <is>
          <t>VÄSTERNORRLANDS LÄN</t>
        </is>
      </c>
      <c r="E1703" t="inlineStr">
        <is>
          <t>SOLLEFTEÅ</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61473-2022</t>
        </is>
      </c>
      <c r="B1704" s="1" t="n">
        <v>44910</v>
      </c>
      <c r="C1704" s="1" t="n">
        <v>45356</v>
      </c>
      <c r="D1704" t="inlineStr">
        <is>
          <t>VÄSTERNORRLANDS LÄN</t>
        </is>
      </c>
      <c r="E1704" t="inlineStr">
        <is>
          <t>SOLLEFTEÅ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61459-2022</t>
        </is>
      </c>
      <c r="B1705" s="1" t="n">
        <v>44910</v>
      </c>
      <c r="C1705" s="1" t="n">
        <v>45356</v>
      </c>
      <c r="D1705" t="inlineStr">
        <is>
          <t>VÄSTERNORRLANDS LÄN</t>
        </is>
      </c>
      <c r="E1705" t="inlineStr">
        <is>
          <t>SOLLEFTEÅ</t>
        </is>
      </c>
      <c r="G1705" t="n">
        <v>20.6</v>
      </c>
      <c r="H1705" t="n">
        <v>0</v>
      </c>
      <c r="I1705" t="n">
        <v>0</v>
      </c>
      <c r="J1705" t="n">
        <v>0</v>
      </c>
      <c r="K1705" t="n">
        <v>0</v>
      </c>
      <c r="L1705" t="n">
        <v>0</v>
      </c>
      <c r="M1705" t="n">
        <v>0</v>
      </c>
      <c r="N1705" t="n">
        <v>0</v>
      </c>
      <c r="O1705" t="n">
        <v>0</v>
      </c>
      <c r="P1705" t="n">
        <v>0</v>
      </c>
      <c r="Q1705" t="n">
        <v>0</v>
      </c>
      <c r="R1705" s="2" t="inlineStr"/>
    </row>
    <row r="1706" ht="15" customHeight="1">
      <c r="A1706" t="inlineStr">
        <is>
          <t>A 60665-2022</t>
        </is>
      </c>
      <c r="B1706" s="1" t="n">
        <v>44911</v>
      </c>
      <c r="C1706" s="1" t="n">
        <v>45356</v>
      </c>
      <c r="D1706" t="inlineStr">
        <is>
          <t>VÄSTERNORRLANDS LÄN</t>
        </is>
      </c>
      <c r="E1706" t="inlineStr">
        <is>
          <t>SOLLEFTEÅ</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60664-2022</t>
        </is>
      </c>
      <c r="B1707" s="1" t="n">
        <v>44911</v>
      </c>
      <c r="C1707" s="1" t="n">
        <v>45356</v>
      </c>
      <c r="D1707" t="inlineStr">
        <is>
          <t>VÄSTERNORRLANDS LÄN</t>
        </is>
      </c>
      <c r="E1707" t="inlineStr">
        <is>
          <t>SOLLEFTEÅ</t>
        </is>
      </c>
      <c r="F1707" t="inlineStr">
        <is>
          <t>SCA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60666-2022</t>
        </is>
      </c>
      <c r="B1708" s="1" t="n">
        <v>44911</v>
      </c>
      <c r="C1708" s="1" t="n">
        <v>45356</v>
      </c>
      <c r="D1708" t="inlineStr">
        <is>
          <t>VÄSTERNORRLANDS LÄN</t>
        </is>
      </c>
      <c r="E1708" t="inlineStr">
        <is>
          <t>SOLLEFTEÅ</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61384-2022</t>
        </is>
      </c>
      <c r="B1709" s="1" t="n">
        <v>44915</v>
      </c>
      <c r="C1709" s="1" t="n">
        <v>45356</v>
      </c>
      <c r="D1709" t="inlineStr">
        <is>
          <t>VÄSTERNORRLANDS LÄN</t>
        </is>
      </c>
      <c r="E1709" t="inlineStr">
        <is>
          <t>SOLLEFTEÅ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61345-2022</t>
        </is>
      </c>
      <c r="B1710" s="1" t="n">
        <v>44915</v>
      </c>
      <c r="C1710" s="1" t="n">
        <v>45356</v>
      </c>
      <c r="D1710" t="inlineStr">
        <is>
          <t>VÄSTERNORRLANDS LÄN</t>
        </is>
      </c>
      <c r="E1710" t="inlineStr">
        <is>
          <t>SOLLEFTEÅ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61341-2022</t>
        </is>
      </c>
      <c r="B1711" s="1" t="n">
        <v>44915</v>
      </c>
      <c r="C1711" s="1" t="n">
        <v>45356</v>
      </c>
      <c r="D1711" t="inlineStr">
        <is>
          <t>VÄSTERNORRLANDS LÄN</t>
        </is>
      </c>
      <c r="E1711" t="inlineStr">
        <is>
          <t>SOLLEFTEÅ</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61376-2022</t>
        </is>
      </c>
      <c r="B1712" s="1" t="n">
        <v>44915</v>
      </c>
      <c r="C1712" s="1" t="n">
        <v>45356</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61391-2022</t>
        </is>
      </c>
      <c r="B1713" s="1" t="n">
        <v>44915</v>
      </c>
      <c r="C1713" s="1" t="n">
        <v>45356</v>
      </c>
      <c r="D1713" t="inlineStr">
        <is>
          <t>VÄSTERNORRLANDS LÄN</t>
        </is>
      </c>
      <c r="E1713" t="inlineStr">
        <is>
          <t>SOLLEFTEÅ</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61383-2022</t>
        </is>
      </c>
      <c r="B1714" s="1" t="n">
        <v>44915</v>
      </c>
      <c r="C1714" s="1" t="n">
        <v>45356</v>
      </c>
      <c r="D1714" t="inlineStr">
        <is>
          <t>VÄSTERNORRLANDS LÄN</t>
        </is>
      </c>
      <c r="E1714" t="inlineStr">
        <is>
          <t>SOLLEFTEÅ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61660-2022</t>
        </is>
      </c>
      <c r="B1715" s="1" t="n">
        <v>44917</v>
      </c>
      <c r="C1715" s="1" t="n">
        <v>45356</v>
      </c>
      <c r="D1715" t="inlineStr">
        <is>
          <t>VÄSTERNORRLANDS LÄN</t>
        </is>
      </c>
      <c r="E1715" t="inlineStr">
        <is>
          <t>SOLLEFTEÅ</t>
        </is>
      </c>
      <c r="F1715" t="inlineStr">
        <is>
          <t>SCA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62217-2022</t>
        </is>
      </c>
      <c r="B1716" s="1" t="n">
        <v>44916</v>
      </c>
      <c r="C1716" s="1" t="n">
        <v>45356</v>
      </c>
      <c r="D1716" t="inlineStr">
        <is>
          <t>VÄSTERNORRLANDS LÄN</t>
        </is>
      </c>
      <c r="E1716" t="inlineStr">
        <is>
          <t>SOLLEFTEÅ</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61920-2022</t>
        </is>
      </c>
      <c r="B1717" s="1" t="n">
        <v>44917</v>
      </c>
      <c r="C1717" s="1" t="n">
        <v>45356</v>
      </c>
      <c r="D1717" t="inlineStr">
        <is>
          <t>VÄSTERNORRLANDS LÄN</t>
        </is>
      </c>
      <c r="E1717" t="inlineStr">
        <is>
          <t>SOLLEFTEÅ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61936-2022</t>
        </is>
      </c>
      <c r="B1718" s="1" t="n">
        <v>44917</v>
      </c>
      <c r="C1718" s="1" t="n">
        <v>45356</v>
      </c>
      <c r="D1718" t="inlineStr">
        <is>
          <t>VÄSTERNORRLANDS LÄN</t>
        </is>
      </c>
      <c r="E1718" t="inlineStr">
        <is>
          <t>SOLLEFTEÅ</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62662-2022</t>
        </is>
      </c>
      <c r="B1719" s="1" t="n">
        <v>44917</v>
      </c>
      <c r="C1719" s="1" t="n">
        <v>45356</v>
      </c>
      <c r="D1719" t="inlineStr">
        <is>
          <t>VÄSTERNORRLANDS LÄN</t>
        </is>
      </c>
      <c r="E1719" t="inlineStr">
        <is>
          <t>SOLLEFTEÅ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28-2023</t>
        </is>
      </c>
      <c r="B1720" s="1" t="n">
        <v>44918</v>
      </c>
      <c r="C1720" s="1" t="n">
        <v>45356</v>
      </c>
      <c r="D1720" t="inlineStr">
        <is>
          <t>VÄSTERNORRLANDS LÄN</t>
        </is>
      </c>
      <c r="E1720" t="inlineStr">
        <is>
          <t>SOLLEFTEÅ</t>
        </is>
      </c>
      <c r="G1720" t="n">
        <v>23.8</v>
      </c>
      <c r="H1720" t="n">
        <v>0</v>
      </c>
      <c r="I1720" t="n">
        <v>0</v>
      </c>
      <c r="J1720" t="n">
        <v>0</v>
      </c>
      <c r="K1720" t="n">
        <v>0</v>
      </c>
      <c r="L1720" t="n">
        <v>0</v>
      </c>
      <c r="M1720" t="n">
        <v>0</v>
      </c>
      <c r="N1720" t="n">
        <v>0</v>
      </c>
      <c r="O1720" t="n">
        <v>0</v>
      </c>
      <c r="P1720" t="n">
        <v>0</v>
      </c>
      <c r="Q1720" t="n">
        <v>0</v>
      </c>
      <c r="R1720" s="2" t="inlineStr"/>
    </row>
    <row r="1721" ht="15" customHeight="1">
      <c r="A1721" t="inlineStr">
        <is>
          <t>A 62262-2022</t>
        </is>
      </c>
      <c r="B1721" s="1" t="n">
        <v>44922</v>
      </c>
      <c r="C1721" s="1" t="n">
        <v>45356</v>
      </c>
      <c r="D1721" t="inlineStr">
        <is>
          <t>VÄSTERNORRLANDS LÄN</t>
        </is>
      </c>
      <c r="E1721" t="inlineStr">
        <is>
          <t>SOLLEFTEÅ</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62260-2022</t>
        </is>
      </c>
      <c r="B1722" s="1" t="n">
        <v>44922</v>
      </c>
      <c r="C1722" s="1" t="n">
        <v>45356</v>
      </c>
      <c r="D1722" t="inlineStr">
        <is>
          <t>VÄSTERNORRLANDS LÄN</t>
        </is>
      </c>
      <c r="E1722" t="inlineStr">
        <is>
          <t>SOLLEFTEÅ</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192-2023</t>
        </is>
      </c>
      <c r="B1723" s="1" t="n">
        <v>44922</v>
      </c>
      <c r="C1723" s="1" t="n">
        <v>45356</v>
      </c>
      <c r="D1723" t="inlineStr">
        <is>
          <t>VÄSTERNORRLANDS LÄN</t>
        </is>
      </c>
      <c r="E1723" t="inlineStr">
        <is>
          <t>SOLLEFTEÅ</t>
        </is>
      </c>
      <c r="G1723" t="n">
        <v>20.9</v>
      </c>
      <c r="H1723" t="n">
        <v>0</v>
      </c>
      <c r="I1723" t="n">
        <v>0</v>
      </c>
      <c r="J1723" t="n">
        <v>0</v>
      </c>
      <c r="K1723" t="n">
        <v>0</v>
      </c>
      <c r="L1723" t="n">
        <v>0</v>
      </c>
      <c r="M1723" t="n">
        <v>0</v>
      </c>
      <c r="N1723" t="n">
        <v>0</v>
      </c>
      <c r="O1723" t="n">
        <v>0</v>
      </c>
      <c r="P1723" t="n">
        <v>0</v>
      </c>
      <c r="Q1723" t="n">
        <v>0</v>
      </c>
      <c r="R1723" s="2" t="inlineStr"/>
    </row>
    <row r="1724" ht="15" customHeight="1">
      <c r="A1724" t="inlineStr">
        <is>
          <t>A 62406-2022</t>
        </is>
      </c>
      <c r="B1724" s="1" t="n">
        <v>44923</v>
      </c>
      <c r="C1724" s="1" t="n">
        <v>45356</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62507-2022</t>
        </is>
      </c>
      <c r="B1725" s="1" t="n">
        <v>44924</v>
      </c>
      <c r="C1725" s="1" t="n">
        <v>45356</v>
      </c>
      <c r="D1725" t="inlineStr">
        <is>
          <t>VÄSTERNORRLANDS LÄN</t>
        </is>
      </c>
      <c r="E1725" t="inlineStr">
        <is>
          <t>SOLLEFTEÅ</t>
        </is>
      </c>
      <c r="F1725" t="inlineStr">
        <is>
          <t>Holmen skog AB</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62745-2022</t>
        </is>
      </c>
      <c r="B1726" s="1" t="n">
        <v>44925</v>
      </c>
      <c r="C1726" s="1" t="n">
        <v>45356</v>
      </c>
      <c r="D1726" t="inlineStr">
        <is>
          <t>VÄSTERNORRLANDS LÄN</t>
        </is>
      </c>
      <c r="E1726" t="inlineStr">
        <is>
          <t>SOLLEFTEÅ</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62750-2022</t>
        </is>
      </c>
      <c r="B1727" s="1" t="n">
        <v>44925</v>
      </c>
      <c r="C1727" s="1" t="n">
        <v>45356</v>
      </c>
      <c r="D1727" t="inlineStr">
        <is>
          <t>VÄSTERNORRLANDS LÄN</t>
        </is>
      </c>
      <c r="E1727" t="inlineStr">
        <is>
          <t>SOLLEFTEÅ</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62710-2022</t>
        </is>
      </c>
      <c r="B1728" s="1" t="n">
        <v>44925</v>
      </c>
      <c r="C1728" s="1" t="n">
        <v>45356</v>
      </c>
      <c r="D1728" t="inlineStr">
        <is>
          <t>VÄSTERNORRLANDS LÄN</t>
        </is>
      </c>
      <c r="E1728" t="inlineStr">
        <is>
          <t>SOLLEFTEÅ</t>
        </is>
      </c>
      <c r="F1728" t="inlineStr">
        <is>
          <t>Holmen skog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279-2023</t>
        </is>
      </c>
      <c r="B1729" s="1" t="n">
        <v>44928</v>
      </c>
      <c r="C1729" s="1" t="n">
        <v>45356</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282-2023</t>
        </is>
      </c>
      <c r="B1730" s="1" t="n">
        <v>44928</v>
      </c>
      <c r="C1730" s="1" t="n">
        <v>45356</v>
      </c>
      <c r="D1730" t="inlineStr">
        <is>
          <t>VÄSTERNORRLANDS LÄN</t>
        </is>
      </c>
      <c r="E1730" t="inlineStr">
        <is>
          <t>SOLLEFTEÅ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714-2023</t>
        </is>
      </c>
      <c r="B1731" s="1" t="n">
        <v>44930</v>
      </c>
      <c r="C1731" s="1" t="n">
        <v>45356</v>
      </c>
      <c r="D1731" t="inlineStr">
        <is>
          <t>VÄSTERNORRLANDS LÄN</t>
        </is>
      </c>
      <c r="E1731" t="inlineStr">
        <is>
          <t>SOLLEFTEÅ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918-2023</t>
        </is>
      </c>
      <c r="B1732" s="1" t="n">
        <v>44931</v>
      </c>
      <c r="C1732" s="1" t="n">
        <v>45356</v>
      </c>
      <c r="D1732" t="inlineStr">
        <is>
          <t>VÄSTERNORRLANDS LÄN</t>
        </is>
      </c>
      <c r="E1732" t="inlineStr">
        <is>
          <t>SOLLEFTEÅ</t>
        </is>
      </c>
      <c r="F1732" t="inlineStr">
        <is>
          <t>SCA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965-2023</t>
        </is>
      </c>
      <c r="B1733" s="1" t="n">
        <v>44934</v>
      </c>
      <c r="C1733" s="1" t="n">
        <v>45356</v>
      </c>
      <c r="D1733" t="inlineStr">
        <is>
          <t>VÄSTERNORRLANDS LÄN</t>
        </is>
      </c>
      <c r="E1733" t="inlineStr">
        <is>
          <t>SOLLEFTEÅ</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964-2023</t>
        </is>
      </c>
      <c r="B1734" s="1" t="n">
        <v>44934</v>
      </c>
      <c r="C1734" s="1" t="n">
        <v>45356</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1275-2023</t>
        </is>
      </c>
      <c r="B1735" s="1" t="n">
        <v>44936</v>
      </c>
      <c r="C1735" s="1" t="n">
        <v>45356</v>
      </c>
      <c r="D1735" t="inlineStr">
        <is>
          <t>VÄSTERNORRLANDS LÄN</t>
        </is>
      </c>
      <c r="E1735" t="inlineStr">
        <is>
          <t>SOLLEFTEÅ</t>
        </is>
      </c>
      <c r="G1735" t="n">
        <v>14.4</v>
      </c>
      <c r="H1735" t="n">
        <v>0</v>
      </c>
      <c r="I1735" t="n">
        <v>0</v>
      </c>
      <c r="J1735" t="n">
        <v>0</v>
      </c>
      <c r="K1735" t="n">
        <v>0</v>
      </c>
      <c r="L1735" t="n">
        <v>0</v>
      </c>
      <c r="M1735" t="n">
        <v>0</v>
      </c>
      <c r="N1735" t="n">
        <v>0</v>
      </c>
      <c r="O1735" t="n">
        <v>0</v>
      </c>
      <c r="P1735" t="n">
        <v>0</v>
      </c>
      <c r="Q1735" t="n">
        <v>0</v>
      </c>
      <c r="R1735" s="2" t="inlineStr"/>
    </row>
    <row r="1736" ht="15" customHeight="1">
      <c r="A1736" t="inlineStr">
        <is>
          <t>A 1803-2023</t>
        </is>
      </c>
      <c r="B1736" s="1" t="n">
        <v>44937</v>
      </c>
      <c r="C1736" s="1" t="n">
        <v>45356</v>
      </c>
      <c r="D1736" t="inlineStr">
        <is>
          <t>VÄSTERNORRLANDS LÄN</t>
        </is>
      </c>
      <c r="E1736" t="inlineStr">
        <is>
          <t>SOLLEFTEÅ</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1868-2023</t>
        </is>
      </c>
      <c r="B1737" s="1" t="n">
        <v>44938</v>
      </c>
      <c r="C1737" s="1" t="n">
        <v>45356</v>
      </c>
      <c r="D1737" t="inlineStr">
        <is>
          <t>VÄSTERNORRLANDS LÄN</t>
        </is>
      </c>
      <c r="E1737" t="inlineStr">
        <is>
          <t>SOLLEFTEÅ</t>
        </is>
      </c>
      <c r="F1737" t="inlineStr">
        <is>
          <t>SCA</t>
        </is>
      </c>
      <c r="G1737" t="n">
        <v>19.3</v>
      </c>
      <c r="H1737" t="n">
        <v>0</v>
      </c>
      <c r="I1737" t="n">
        <v>0</v>
      </c>
      <c r="J1737" t="n">
        <v>0</v>
      </c>
      <c r="K1737" t="n">
        <v>0</v>
      </c>
      <c r="L1737" t="n">
        <v>0</v>
      </c>
      <c r="M1737" t="n">
        <v>0</v>
      </c>
      <c r="N1737" t="n">
        <v>0</v>
      </c>
      <c r="O1737" t="n">
        <v>0</v>
      </c>
      <c r="P1737" t="n">
        <v>0</v>
      </c>
      <c r="Q1737" t="n">
        <v>0</v>
      </c>
      <c r="R1737" s="2" t="inlineStr"/>
    </row>
    <row r="1738" ht="15" customHeight="1">
      <c r="A1738" t="inlineStr">
        <is>
          <t>A 1874-2023</t>
        </is>
      </c>
      <c r="B1738" s="1" t="n">
        <v>44938</v>
      </c>
      <c r="C1738" s="1" t="n">
        <v>45356</v>
      </c>
      <c r="D1738" t="inlineStr">
        <is>
          <t>VÄSTERNORRLANDS LÄN</t>
        </is>
      </c>
      <c r="E1738" t="inlineStr">
        <is>
          <t>SOLLEFTEÅ</t>
        </is>
      </c>
      <c r="F1738" t="inlineStr">
        <is>
          <t>SCA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2058-2023</t>
        </is>
      </c>
      <c r="B1739" s="1" t="n">
        <v>44938</v>
      </c>
      <c r="C1739" s="1" t="n">
        <v>45356</v>
      </c>
      <c r="D1739" t="inlineStr">
        <is>
          <t>VÄSTERNORRLANDS LÄN</t>
        </is>
      </c>
      <c r="E1739" t="inlineStr">
        <is>
          <t>SOLLEFTEÅ</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2121-2023</t>
        </is>
      </c>
      <c r="B1740" s="1" t="n">
        <v>44939</v>
      </c>
      <c r="C1740" s="1" t="n">
        <v>45356</v>
      </c>
      <c r="D1740" t="inlineStr">
        <is>
          <t>VÄSTERNORRLANDS LÄN</t>
        </is>
      </c>
      <c r="E1740" t="inlineStr">
        <is>
          <t>SOLLEFTEÅ</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2119-2023</t>
        </is>
      </c>
      <c r="B1741" s="1" t="n">
        <v>44939</v>
      </c>
      <c r="C1741" s="1" t="n">
        <v>45356</v>
      </c>
      <c r="D1741" t="inlineStr">
        <is>
          <t>VÄSTERNORRLANDS LÄN</t>
        </is>
      </c>
      <c r="E1741" t="inlineStr">
        <is>
          <t>SOLLEFTEÅ</t>
        </is>
      </c>
      <c r="F1741" t="inlineStr">
        <is>
          <t>SCA</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2132-2023</t>
        </is>
      </c>
      <c r="B1742" s="1" t="n">
        <v>44939</v>
      </c>
      <c r="C1742" s="1" t="n">
        <v>45356</v>
      </c>
      <c r="D1742" t="inlineStr">
        <is>
          <t>VÄSTERNORRLANDS LÄN</t>
        </is>
      </c>
      <c r="E1742" t="inlineStr">
        <is>
          <t>SOLLEFTEÅ</t>
        </is>
      </c>
      <c r="F1742" t="inlineStr">
        <is>
          <t>SCA</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2120-2023</t>
        </is>
      </c>
      <c r="B1743" s="1" t="n">
        <v>44939</v>
      </c>
      <c r="C1743" s="1" t="n">
        <v>45356</v>
      </c>
      <c r="D1743" t="inlineStr">
        <is>
          <t>VÄSTERNORRLANDS LÄN</t>
        </is>
      </c>
      <c r="E1743" t="inlineStr">
        <is>
          <t>SOLLEFTEÅ</t>
        </is>
      </c>
      <c r="F1743" t="inlineStr">
        <is>
          <t>SCA</t>
        </is>
      </c>
      <c r="G1743" t="n">
        <v>126.9</v>
      </c>
      <c r="H1743" t="n">
        <v>0</v>
      </c>
      <c r="I1743" t="n">
        <v>0</v>
      </c>
      <c r="J1743" t="n">
        <v>0</v>
      </c>
      <c r="K1743" t="n">
        <v>0</v>
      </c>
      <c r="L1743" t="n">
        <v>0</v>
      </c>
      <c r="M1743" t="n">
        <v>0</v>
      </c>
      <c r="N1743" t="n">
        <v>0</v>
      </c>
      <c r="O1743" t="n">
        <v>0</v>
      </c>
      <c r="P1743" t="n">
        <v>0</v>
      </c>
      <c r="Q1743" t="n">
        <v>0</v>
      </c>
      <c r="R1743" s="2" t="inlineStr"/>
    </row>
    <row r="1744" ht="15" customHeight="1">
      <c r="A1744" t="inlineStr">
        <is>
          <t>A 2114-2023</t>
        </is>
      </c>
      <c r="B1744" s="1" t="n">
        <v>44939</v>
      </c>
      <c r="C1744" s="1" t="n">
        <v>45356</v>
      </c>
      <c r="D1744" t="inlineStr">
        <is>
          <t>VÄSTERNORRLANDS LÄN</t>
        </is>
      </c>
      <c r="E1744" t="inlineStr">
        <is>
          <t>SOLLEFTEÅ</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2118-2023</t>
        </is>
      </c>
      <c r="B1745" s="1" t="n">
        <v>44939</v>
      </c>
      <c r="C1745" s="1" t="n">
        <v>45356</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2139-2023</t>
        </is>
      </c>
      <c r="B1746" s="1" t="n">
        <v>44940</v>
      </c>
      <c r="C1746" s="1" t="n">
        <v>45356</v>
      </c>
      <c r="D1746" t="inlineStr">
        <is>
          <t>VÄSTERNORRLANDS LÄN</t>
        </is>
      </c>
      <c r="E1746" t="inlineStr">
        <is>
          <t>SOLLEFTEÅ</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2183-2023</t>
        </is>
      </c>
      <c r="B1747" s="1" t="n">
        <v>44942</v>
      </c>
      <c r="C1747" s="1" t="n">
        <v>45356</v>
      </c>
      <c r="D1747" t="inlineStr">
        <is>
          <t>VÄSTERNORRLANDS LÄN</t>
        </is>
      </c>
      <c r="E1747" t="inlineStr">
        <is>
          <t>SOLLEFTEÅ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2408-2023</t>
        </is>
      </c>
      <c r="B1748" s="1" t="n">
        <v>44942</v>
      </c>
      <c r="C1748" s="1" t="n">
        <v>45356</v>
      </c>
      <c r="D1748" t="inlineStr">
        <is>
          <t>VÄSTERNORRLANDS LÄN</t>
        </is>
      </c>
      <c r="E1748" t="inlineStr">
        <is>
          <t>SOLLEFTEÅ</t>
        </is>
      </c>
      <c r="F1748" t="inlineStr">
        <is>
          <t>SCA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2412-2023</t>
        </is>
      </c>
      <c r="B1749" s="1" t="n">
        <v>44942</v>
      </c>
      <c r="C1749" s="1" t="n">
        <v>45356</v>
      </c>
      <c r="D1749" t="inlineStr">
        <is>
          <t>VÄSTERNORRLANDS LÄN</t>
        </is>
      </c>
      <c r="E1749" t="inlineStr">
        <is>
          <t>SOLLEFTEÅ</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2597-2023</t>
        </is>
      </c>
      <c r="B1750" s="1" t="n">
        <v>44943</v>
      </c>
      <c r="C1750" s="1" t="n">
        <v>45356</v>
      </c>
      <c r="D1750" t="inlineStr">
        <is>
          <t>VÄSTERNORRLANDS LÄN</t>
        </is>
      </c>
      <c r="E1750" t="inlineStr">
        <is>
          <t>SOLLEFTEÅ</t>
        </is>
      </c>
      <c r="F1750" t="inlineStr">
        <is>
          <t>SCA</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2756-2023</t>
        </is>
      </c>
      <c r="B1751" s="1" t="n">
        <v>44943</v>
      </c>
      <c r="C1751" s="1" t="n">
        <v>45356</v>
      </c>
      <c r="D1751" t="inlineStr">
        <is>
          <t>VÄSTERNORRLANDS LÄN</t>
        </is>
      </c>
      <c r="E1751" t="inlineStr">
        <is>
          <t>SOLLEFTEÅ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2598-2023</t>
        </is>
      </c>
      <c r="B1752" s="1" t="n">
        <v>44943</v>
      </c>
      <c r="C1752" s="1" t="n">
        <v>45356</v>
      </c>
      <c r="D1752" t="inlineStr">
        <is>
          <t>VÄSTERNORRLANDS LÄN</t>
        </is>
      </c>
      <c r="E1752" t="inlineStr">
        <is>
          <t>SOLLEFTEÅ</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2927-2023</t>
        </is>
      </c>
      <c r="B1753" s="1" t="n">
        <v>44945</v>
      </c>
      <c r="C1753" s="1" t="n">
        <v>45356</v>
      </c>
      <c r="D1753" t="inlineStr">
        <is>
          <t>VÄSTERNORRLANDS LÄN</t>
        </is>
      </c>
      <c r="E1753" t="inlineStr">
        <is>
          <t>SOLLEFTEÅ</t>
        </is>
      </c>
      <c r="G1753" t="n">
        <v>10.6</v>
      </c>
      <c r="H1753" t="n">
        <v>0</v>
      </c>
      <c r="I1753" t="n">
        <v>0</v>
      </c>
      <c r="J1753" t="n">
        <v>0</v>
      </c>
      <c r="K1753" t="n">
        <v>0</v>
      </c>
      <c r="L1753" t="n">
        <v>0</v>
      </c>
      <c r="M1753" t="n">
        <v>0</v>
      </c>
      <c r="N1753" t="n">
        <v>0</v>
      </c>
      <c r="O1753" t="n">
        <v>0</v>
      </c>
      <c r="P1753" t="n">
        <v>0</v>
      </c>
      <c r="Q1753" t="n">
        <v>0</v>
      </c>
      <c r="R1753" s="2" t="inlineStr"/>
    </row>
    <row r="1754" ht="15" customHeight="1">
      <c r="A1754" t="inlineStr">
        <is>
          <t>A 3019-2023</t>
        </is>
      </c>
      <c r="B1754" s="1" t="n">
        <v>44945</v>
      </c>
      <c r="C1754" s="1" t="n">
        <v>45356</v>
      </c>
      <c r="D1754" t="inlineStr">
        <is>
          <t>VÄSTERNORRLANDS LÄN</t>
        </is>
      </c>
      <c r="E1754" t="inlineStr">
        <is>
          <t>SOLLEFTEÅ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3319-2023</t>
        </is>
      </c>
      <c r="B1755" s="1" t="n">
        <v>44949</v>
      </c>
      <c r="C1755" s="1" t="n">
        <v>45356</v>
      </c>
      <c r="D1755" t="inlineStr">
        <is>
          <t>VÄSTERNORRLANDS LÄN</t>
        </is>
      </c>
      <c r="E1755" t="inlineStr">
        <is>
          <t>SOLLEFTEÅ</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3692-2023</t>
        </is>
      </c>
      <c r="B1756" s="1" t="n">
        <v>44950</v>
      </c>
      <c r="C1756" s="1" t="n">
        <v>45356</v>
      </c>
      <c r="D1756" t="inlineStr">
        <is>
          <t>VÄSTERNORRLANDS LÄN</t>
        </is>
      </c>
      <c r="E1756" t="inlineStr">
        <is>
          <t>SOLLEFTEÅ</t>
        </is>
      </c>
      <c r="F1756" t="inlineStr">
        <is>
          <t>SCA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3691-2023</t>
        </is>
      </c>
      <c r="B1757" s="1" t="n">
        <v>44950</v>
      </c>
      <c r="C1757" s="1" t="n">
        <v>45356</v>
      </c>
      <c r="D1757" t="inlineStr">
        <is>
          <t>VÄSTERNORRLANDS LÄN</t>
        </is>
      </c>
      <c r="E1757" t="inlineStr">
        <is>
          <t>SOLLEFTEÅ</t>
        </is>
      </c>
      <c r="F1757" t="inlineStr">
        <is>
          <t>SCA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3689-2023</t>
        </is>
      </c>
      <c r="B1758" s="1" t="n">
        <v>44950</v>
      </c>
      <c r="C1758" s="1" t="n">
        <v>45356</v>
      </c>
      <c r="D1758" t="inlineStr">
        <is>
          <t>VÄSTERNORRLANDS LÄN</t>
        </is>
      </c>
      <c r="E1758" t="inlineStr">
        <is>
          <t>SOLLEFTEÅ</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4154-2023</t>
        </is>
      </c>
      <c r="B1759" s="1" t="n">
        <v>44950</v>
      </c>
      <c r="C1759" s="1" t="n">
        <v>45356</v>
      </c>
      <c r="D1759" t="inlineStr">
        <is>
          <t>VÄSTERNORRLANDS LÄN</t>
        </is>
      </c>
      <c r="E1759" t="inlineStr">
        <is>
          <t>SOLLEFTEÅ</t>
        </is>
      </c>
      <c r="G1759" t="n">
        <v>9.699999999999999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4406-2023</t>
        </is>
      </c>
      <c r="B1760" s="1" t="n">
        <v>44951</v>
      </c>
      <c r="C1760" s="1" t="n">
        <v>45356</v>
      </c>
      <c r="D1760" t="inlineStr">
        <is>
          <t>VÄSTERNORRLANDS LÄN</t>
        </is>
      </c>
      <c r="E1760" t="inlineStr">
        <is>
          <t>SOLLEFTEÅ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4132-2023</t>
        </is>
      </c>
      <c r="B1761" s="1" t="n">
        <v>44952</v>
      </c>
      <c r="C1761" s="1" t="n">
        <v>45356</v>
      </c>
      <c r="D1761" t="inlineStr">
        <is>
          <t>VÄSTERNORRLANDS LÄN</t>
        </is>
      </c>
      <c r="E1761" t="inlineStr">
        <is>
          <t>SOLLEFTEÅ</t>
        </is>
      </c>
      <c r="F1761" t="inlineStr">
        <is>
          <t>SCA</t>
        </is>
      </c>
      <c r="G1761" t="n">
        <v>50.4</v>
      </c>
      <c r="H1761" t="n">
        <v>0</v>
      </c>
      <c r="I1761" t="n">
        <v>0</v>
      </c>
      <c r="J1761" t="n">
        <v>0</v>
      </c>
      <c r="K1761" t="n">
        <v>0</v>
      </c>
      <c r="L1761" t="n">
        <v>0</v>
      </c>
      <c r="M1761" t="n">
        <v>0</v>
      </c>
      <c r="N1761" t="n">
        <v>0</v>
      </c>
      <c r="O1761" t="n">
        <v>0</v>
      </c>
      <c r="P1761" t="n">
        <v>0</v>
      </c>
      <c r="Q1761" t="n">
        <v>0</v>
      </c>
      <c r="R1761" s="2" t="inlineStr"/>
    </row>
    <row r="1762" ht="15" customHeight="1">
      <c r="A1762" t="inlineStr">
        <is>
          <t>A 4138-2023</t>
        </is>
      </c>
      <c r="B1762" s="1" t="n">
        <v>44952</v>
      </c>
      <c r="C1762" s="1" t="n">
        <v>45356</v>
      </c>
      <c r="D1762" t="inlineStr">
        <is>
          <t>VÄSTERNORRLANDS LÄN</t>
        </is>
      </c>
      <c r="E1762" t="inlineStr">
        <is>
          <t>SOLLEFTEÅ</t>
        </is>
      </c>
      <c r="F1762" t="inlineStr">
        <is>
          <t>SCA</t>
        </is>
      </c>
      <c r="G1762" t="n">
        <v>70</v>
      </c>
      <c r="H1762" t="n">
        <v>0</v>
      </c>
      <c r="I1762" t="n">
        <v>0</v>
      </c>
      <c r="J1762" t="n">
        <v>0</v>
      </c>
      <c r="K1762" t="n">
        <v>0</v>
      </c>
      <c r="L1762" t="n">
        <v>0</v>
      </c>
      <c r="M1762" t="n">
        <v>0</v>
      </c>
      <c r="N1762" t="n">
        <v>0</v>
      </c>
      <c r="O1762" t="n">
        <v>0</v>
      </c>
      <c r="P1762" t="n">
        <v>0</v>
      </c>
      <c r="Q1762" t="n">
        <v>0</v>
      </c>
      <c r="R1762" s="2" t="inlineStr"/>
    </row>
    <row r="1763" ht="15" customHeight="1">
      <c r="A1763" t="inlineStr">
        <is>
          <t>A 4501-2023</t>
        </is>
      </c>
      <c r="B1763" s="1" t="n">
        <v>44952</v>
      </c>
      <c r="C1763" s="1" t="n">
        <v>45356</v>
      </c>
      <c r="D1763" t="inlineStr">
        <is>
          <t>VÄSTERNORRLANDS LÄN</t>
        </is>
      </c>
      <c r="E1763" t="inlineStr">
        <is>
          <t>SOLLEFTEÅ</t>
        </is>
      </c>
      <c r="F1763" t="inlineStr">
        <is>
          <t>Övriga Aktiebolag</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4613-2023</t>
        </is>
      </c>
      <c r="B1764" s="1" t="n">
        <v>44956</v>
      </c>
      <c r="C1764" s="1" t="n">
        <v>45356</v>
      </c>
      <c r="D1764" t="inlineStr">
        <is>
          <t>VÄSTERNORRLANDS LÄN</t>
        </is>
      </c>
      <c r="E1764" t="inlineStr">
        <is>
          <t>SOLLEFTEÅ</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4611-2023</t>
        </is>
      </c>
      <c r="B1765" s="1" t="n">
        <v>44956</v>
      </c>
      <c r="C1765" s="1" t="n">
        <v>45356</v>
      </c>
      <c r="D1765" t="inlineStr">
        <is>
          <t>VÄSTERNORRLANDS LÄN</t>
        </is>
      </c>
      <c r="E1765" t="inlineStr">
        <is>
          <t>SOLLEFTEÅ</t>
        </is>
      </c>
      <c r="F1765" t="inlineStr">
        <is>
          <t>SCA</t>
        </is>
      </c>
      <c r="G1765" t="n">
        <v>19.2</v>
      </c>
      <c r="H1765" t="n">
        <v>0</v>
      </c>
      <c r="I1765" t="n">
        <v>0</v>
      </c>
      <c r="J1765" t="n">
        <v>0</v>
      </c>
      <c r="K1765" t="n">
        <v>0</v>
      </c>
      <c r="L1765" t="n">
        <v>0</v>
      </c>
      <c r="M1765" t="n">
        <v>0</v>
      </c>
      <c r="N1765" t="n">
        <v>0</v>
      </c>
      <c r="O1765" t="n">
        <v>0</v>
      </c>
      <c r="P1765" t="n">
        <v>0</v>
      </c>
      <c r="Q1765" t="n">
        <v>0</v>
      </c>
      <c r="R1765" s="2" t="inlineStr"/>
    </row>
    <row r="1766" ht="15" customHeight="1">
      <c r="A1766" t="inlineStr">
        <is>
          <t>A 4612-2023</t>
        </is>
      </c>
      <c r="B1766" s="1" t="n">
        <v>44956</v>
      </c>
      <c r="C1766" s="1" t="n">
        <v>45356</v>
      </c>
      <c r="D1766" t="inlineStr">
        <is>
          <t>VÄSTERNORRLANDS LÄN</t>
        </is>
      </c>
      <c r="E1766" t="inlineStr">
        <is>
          <t>SOLLEFTEÅ</t>
        </is>
      </c>
      <c r="F1766" t="inlineStr">
        <is>
          <t>SCA</t>
        </is>
      </c>
      <c r="G1766" t="n">
        <v>25.5</v>
      </c>
      <c r="H1766" t="n">
        <v>0</v>
      </c>
      <c r="I1766" t="n">
        <v>0</v>
      </c>
      <c r="J1766" t="n">
        <v>0</v>
      </c>
      <c r="K1766" t="n">
        <v>0</v>
      </c>
      <c r="L1766" t="n">
        <v>0</v>
      </c>
      <c r="M1766" t="n">
        <v>0</v>
      </c>
      <c r="N1766" t="n">
        <v>0</v>
      </c>
      <c r="O1766" t="n">
        <v>0</v>
      </c>
      <c r="P1766" t="n">
        <v>0</v>
      </c>
      <c r="Q1766" t="n">
        <v>0</v>
      </c>
      <c r="R1766" s="2" t="inlineStr"/>
    </row>
    <row r="1767" ht="15" customHeight="1">
      <c r="A1767" t="inlineStr">
        <is>
          <t>A 4623-2023</t>
        </is>
      </c>
      <c r="B1767" s="1" t="n">
        <v>44956</v>
      </c>
      <c r="C1767" s="1" t="n">
        <v>45356</v>
      </c>
      <c r="D1767" t="inlineStr">
        <is>
          <t>VÄSTERNORRLANDS LÄN</t>
        </is>
      </c>
      <c r="E1767" t="inlineStr">
        <is>
          <t>SOLLEFTEÅ</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5001-2023</t>
        </is>
      </c>
      <c r="B1768" s="1" t="n">
        <v>44956</v>
      </c>
      <c r="C1768" s="1" t="n">
        <v>45356</v>
      </c>
      <c r="D1768" t="inlineStr">
        <is>
          <t>VÄSTERNORRLANDS LÄN</t>
        </is>
      </c>
      <c r="E1768" t="inlineStr">
        <is>
          <t>SOLLEFTEÅ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5168-2023</t>
        </is>
      </c>
      <c r="B1769" s="1" t="n">
        <v>44958</v>
      </c>
      <c r="C1769" s="1" t="n">
        <v>45356</v>
      </c>
      <c r="D1769" t="inlineStr">
        <is>
          <t>VÄSTERNORRLANDS LÄN</t>
        </is>
      </c>
      <c r="E1769" t="inlineStr">
        <is>
          <t>SOLLEFTEÅ</t>
        </is>
      </c>
      <c r="F1769" t="inlineStr">
        <is>
          <t>SCA</t>
        </is>
      </c>
      <c r="G1769" t="n">
        <v>16.8</v>
      </c>
      <c r="H1769" t="n">
        <v>0</v>
      </c>
      <c r="I1769" t="n">
        <v>0</v>
      </c>
      <c r="J1769" t="n">
        <v>0</v>
      </c>
      <c r="K1769" t="n">
        <v>0</v>
      </c>
      <c r="L1769" t="n">
        <v>0</v>
      </c>
      <c r="M1769" t="n">
        <v>0</v>
      </c>
      <c r="N1769" t="n">
        <v>0</v>
      </c>
      <c r="O1769" t="n">
        <v>0</v>
      </c>
      <c r="P1769" t="n">
        <v>0</v>
      </c>
      <c r="Q1769" t="n">
        <v>0</v>
      </c>
      <c r="R1769" s="2" t="inlineStr"/>
    </row>
    <row r="1770" ht="15" customHeight="1">
      <c r="A1770" t="inlineStr">
        <is>
          <t>A 5149-2023</t>
        </is>
      </c>
      <c r="B1770" s="1" t="n">
        <v>44958</v>
      </c>
      <c r="C1770" s="1" t="n">
        <v>45356</v>
      </c>
      <c r="D1770" t="inlineStr">
        <is>
          <t>VÄSTERNORRLANDS LÄN</t>
        </is>
      </c>
      <c r="E1770" t="inlineStr">
        <is>
          <t>SOLLEFTEÅ</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5161-2023</t>
        </is>
      </c>
      <c r="B1771" s="1" t="n">
        <v>44958</v>
      </c>
      <c r="C1771" s="1" t="n">
        <v>45356</v>
      </c>
      <c r="D1771" t="inlineStr">
        <is>
          <t>VÄSTERNORRLANDS LÄN</t>
        </is>
      </c>
      <c r="E1771" t="inlineStr">
        <is>
          <t>SOLLEFTEÅ</t>
        </is>
      </c>
      <c r="F1771" t="inlineStr">
        <is>
          <t>SCA</t>
        </is>
      </c>
      <c r="G1771" t="n">
        <v>30.3</v>
      </c>
      <c r="H1771" t="n">
        <v>0</v>
      </c>
      <c r="I1771" t="n">
        <v>0</v>
      </c>
      <c r="J1771" t="n">
        <v>0</v>
      </c>
      <c r="K1771" t="n">
        <v>0</v>
      </c>
      <c r="L1771" t="n">
        <v>0</v>
      </c>
      <c r="M1771" t="n">
        <v>0</v>
      </c>
      <c r="N1771" t="n">
        <v>0</v>
      </c>
      <c r="O1771" t="n">
        <v>0</v>
      </c>
      <c r="P1771" t="n">
        <v>0</v>
      </c>
      <c r="Q1771" t="n">
        <v>0</v>
      </c>
      <c r="R1771" s="2" t="inlineStr"/>
    </row>
    <row r="1772" ht="15" customHeight="1">
      <c r="A1772" t="inlineStr">
        <is>
          <t>A 5166-2023</t>
        </is>
      </c>
      <c r="B1772" s="1" t="n">
        <v>44958</v>
      </c>
      <c r="C1772" s="1" t="n">
        <v>45356</v>
      </c>
      <c r="D1772" t="inlineStr">
        <is>
          <t>VÄSTERNORRLANDS LÄN</t>
        </is>
      </c>
      <c r="E1772" t="inlineStr">
        <is>
          <t>SOLLEFTEÅ</t>
        </is>
      </c>
      <c r="F1772" t="inlineStr">
        <is>
          <t>SCA</t>
        </is>
      </c>
      <c r="G1772" t="n">
        <v>29.3</v>
      </c>
      <c r="H1772" t="n">
        <v>0</v>
      </c>
      <c r="I1772" t="n">
        <v>0</v>
      </c>
      <c r="J1772" t="n">
        <v>0</v>
      </c>
      <c r="K1772" t="n">
        <v>0</v>
      </c>
      <c r="L1772" t="n">
        <v>0</v>
      </c>
      <c r="M1772" t="n">
        <v>0</v>
      </c>
      <c r="N1772" t="n">
        <v>0</v>
      </c>
      <c r="O1772" t="n">
        <v>0</v>
      </c>
      <c r="P1772" t="n">
        <v>0</v>
      </c>
      <c r="Q1772" t="n">
        <v>0</v>
      </c>
      <c r="R1772" s="2" t="inlineStr"/>
    </row>
    <row r="1773" ht="15" customHeight="1">
      <c r="A1773" t="inlineStr">
        <is>
          <t>A 5167-2023</t>
        </is>
      </c>
      <c r="B1773" s="1" t="n">
        <v>44958</v>
      </c>
      <c r="C1773" s="1" t="n">
        <v>45356</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5448-2023</t>
        </is>
      </c>
      <c r="B1774" s="1" t="n">
        <v>44959</v>
      </c>
      <c r="C1774" s="1" t="n">
        <v>45356</v>
      </c>
      <c r="D1774" t="inlineStr">
        <is>
          <t>VÄSTERNORRLANDS LÄN</t>
        </is>
      </c>
      <c r="E1774" t="inlineStr">
        <is>
          <t>SOLLEFTEÅ</t>
        </is>
      </c>
      <c r="F1774" t="inlineStr">
        <is>
          <t>SCA</t>
        </is>
      </c>
      <c r="G1774" t="n">
        <v>138.3</v>
      </c>
      <c r="H1774" t="n">
        <v>0</v>
      </c>
      <c r="I1774" t="n">
        <v>0</v>
      </c>
      <c r="J1774" t="n">
        <v>0</v>
      </c>
      <c r="K1774" t="n">
        <v>0</v>
      </c>
      <c r="L1774" t="n">
        <v>0</v>
      </c>
      <c r="M1774" t="n">
        <v>0</v>
      </c>
      <c r="N1774" t="n">
        <v>0</v>
      </c>
      <c r="O1774" t="n">
        <v>0</v>
      </c>
      <c r="P1774" t="n">
        <v>0</v>
      </c>
      <c r="Q1774" t="n">
        <v>0</v>
      </c>
      <c r="R1774" s="2" t="inlineStr"/>
    </row>
    <row r="1775" ht="15" customHeight="1">
      <c r="A1775" t="inlineStr">
        <is>
          <t>A 5451-2023</t>
        </is>
      </c>
      <c r="B1775" s="1" t="n">
        <v>44959</v>
      </c>
      <c r="C1775" s="1" t="n">
        <v>45356</v>
      </c>
      <c r="D1775" t="inlineStr">
        <is>
          <t>VÄSTERNORRLANDS LÄN</t>
        </is>
      </c>
      <c r="E1775" t="inlineStr">
        <is>
          <t>SOLLEFTEÅ</t>
        </is>
      </c>
      <c r="F1775" t="inlineStr">
        <is>
          <t>SCA</t>
        </is>
      </c>
      <c r="G1775" t="n">
        <v>20.1</v>
      </c>
      <c r="H1775" t="n">
        <v>0</v>
      </c>
      <c r="I1775" t="n">
        <v>0</v>
      </c>
      <c r="J1775" t="n">
        <v>0</v>
      </c>
      <c r="K1775" t="n">
        <v>0</v>
      </c>
      <c r="L1775" t="n">
        <v>0</v>
      </c>
      <c r="M1775" t="n">
        <v>0</v>
      </c>
      <c r="N1775" t="n">
        <v>0</v>
      </c>
      <c r="O1775" t="n">
        <v>0</v>
      </c>
      <c r="P1775" t="n">
        <v>0</v>
      </c>
      <c r="Q1775" t="n">
        <v>0</v>
      </c>
      <c r="R1775" s="2" t="inlineStr"/>
    </row>
    <row r="1776" ht="15" customHeight="1">
      <c r="A1776" t="inlineStr">
        <is>
          <t>A 6271-2023</t>
        </is>
      </c>
      <c r="B1776" s="1" t="n">
        <v>44959</v>
      </c>
      <c r="C1776" s="1" t="n">
        <v>45356</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5519-2023</t>
        </is>
      </c>
      <c r="B1777" s="1" t="n">
        <v>44960</v>
      </c>
      <c r="C1777" s="1" t="n">
        <v>45356</v>
      </c>
      <c r="D1777" t="inlineStr">
        <is>
          <t>VÄSTERNORRLANDS LÄN</t>
        </is>
      </c>
      <c r="E1777" t="inlineStr">
        <is>
          <t>SOLLEFTEÅ</t>
        </is>
      </c>
      <c r="F1777" t="inlineStr">
        <is>
          <t>Holmen skog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5529-2023</t>
        </is>
      </c>
      <c r="B1778" s="1" t="n">
        <v>44960</v>
      </c>
      <c r="C1778" s="1" t="n">
        <v>45356</v>
      </c>
      <c r="D1778" t="inlineStr">
        <is>
          <t>VÄSTERNORRLANDS LÄN</t>
        </is>
      </c>
      <c r="E1778" t="inlineStr">
        <is>
          <t>SOLLEFTEÅ</t>
        </is>
      </c>
      <c r="F1778" t="inlineStr">
        <is>
          <t>Holmen skog AB</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5952-2023</t>
        </is>
      </c>
      <c r="B1779" s="1" t="n">
        <v>44963</v>
      </c>
      <c r="C1779" s="1" t="n">
        <v>45356</v>
      </c>
      <c r="D1779" t="inlineStr">
        <is>
          <t>VÄSTERNORRLANDS LÄN</t>
        </is>
      </c>
      <c r="E1779" t="inlineStr">
        <is>
          <t>SOLLEFTEÅ</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6236-2023</t>
        </is>
      </c>
      <c r="B1780" s="1" t="n">
        <v>44964</v>
      </c>
      <c r="C1780" s="1" t="n">
        <v>45356</v>
      </c>
      <c r="D1780" t="inlineStr">
        <is>
          <t>VÄSTERNORRLANDS LÄN</t>
        </is>
      </c>
      <c r="E1780" t="inlineStr">
        <is>
          <t>SOLLEFTEÅ</t>
        </is>
      </c>
      <c r="F1780" t="inlineStr">
        <is>
          <t>SCA</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6235-2023</t>
        </is>
      </c>
      <c r="B1781" s="1" t="n">
        <v>44964</v>
      </c>
      <c r="C1781" s="1" t="n">
        <v>45356</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6474-2023</t>
        </is>
      </c>
      <c r="B1782" s="1" t="n">
        <v>44965</v>
      </c>
      <c r="C1782" s="1" t="n">
        <v>45356</v>
      </c>
      <c r="D1782" t="inlineStr">
        <is>
          <t>VÄSTERNORRLANDS LÄN</t>
        </is>
      </c>
      <c r="E1782" t="inlineStr">
        <is>
          <t>SOLLEFTEÅ</t>
        </is>
      </c>
      <c r="F1782" t="inlineStr">
        <is>
          <t>SCA</t>
        </is>
      </c>
      <c r="G1782" t="n">
        <v>47.3</v>
      </c>
      <c r="H1782" t="n">
        <v>0</v>
      </c>
      <c r="I1782" t="n">
        <v>0</v>
      </c>
      <c r="J1782" t="n">
        <v>0</v>
      </c>
      <c r="K1782" t="n">
        <v>0</v>
      </c>
      <c r="L1782" t="n">
        <v>0</v>
      </c>
      <c r="M1782" t="n">
        <v>0</v>
      </c>
      <c r="N1782" t="n">
        <v>0</v>
      </c>
      <c r="O1782" t="n">
        <v>0</v>
      </c>
      <c r="P1782" t="n">
        <v>0</v>
      </c>
      <c r="Q1782" t="n">
        <v>0</v>
      </c>
      <c r="R1782" s="2" t="inlineStr"/>
    </row>
    <row r="1783" ht="15" customHeight="1">
      <c r="A1783" t="inlineStr">
        <is>
          <t>A 7009-2023</t>
        </is>
      </c>
      <c r="B1783" s="1" t="n">
        <v>44967</v>
      </c>
      <c r="C1783" s="1" t="n">
        <v>45356</v>
      </c>
      <c r="D1783" t="inlineStr">
        <is>
          <t>VÄSTERNORRLANDS LÄN</t>
        </is>
      </c>
      <c r="E1783" t="inlineStr">
        <is>
          <t>SOLLEFTEÅ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7332-2023</t>
        </is>
      </c>
      <c r="B1784" s="1" t="n">
        <v>44970</v>
      </c>
      <c r="C1784" s="1" t="n">
        <v>45356</v>
      </c>
      <c r="D1784" t="inlineStr">
        <is>
          <t>VÄSTERNORRLANDS LÄN</t>
        </is>
      </c>
      <c r="E1784" t="inlineStr">
        <is>
          <t>SOLLEFTEÅ</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7324-2023</t>
        </is>
      </c>
      <c r="B1785" s="1" t="n">
        <v>44970</v>
      </c>
      <c r="C1785" s="1" t="n">
        <v>45356</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7325-2023</t>
        </is>
      </c>
      <c r="B1786" s="1" t="n">
        <v>44970</v>
      </c>
      <c r="C1786" s="1" t="n">
        <v>45356</v>
      </c>
      <c r="D1786" t="inlineStr">
        <is>
          <t>VÄSTERNORRLANDS LÄN</t>
        </is>
      </c>
      <c r="E1786" t="inlineStr">
        <is>
          <t>SOLLEFTEÅ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7330-2023</t>
        </is>
      </c>
      <c r="B1787" s="1" t="n">
        <v>44971</v>
      </c>
      <c r="C1787" s="1" t="n">
        <v>45356</v>
      </c>
      <c r="D1787" t="inlineStr">
        <is>
          <t>VÄSTERNORRLANDS LÄN</t>
        </is>
      </c>
      <c r="E1787" t="inlineStr">
        <is>
          <t>SOLLEFTEÅ</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7331-2023</t>
        </is>
      </c>
      <c r="B1788" s="1" t="n">
        <v>44970</v>
      </c>
      <c r="C1788" s="1" t="n">
        <v>45356</v>
      </c>
      <c r="D1788" t="inlineStr">
        <is>
          <t>VÄSTERNORRLANDS LÄN</t>
        </is>
      </c>
      <c r="E1788" t="inlineStr">
        <is>
          <t>SOLLEFTEÅ</t>
        </is>
      </c>
      <c r="F1788" t="inlineStr">
        <is>
          <t>SCA</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7333-2023</t>
        </is>
      </c>
      <c r="B1789" s="1" t="n">
        <v>44971</v>
      </c>
      <c r="C1789" s="1" t="n">
        <v>45356</v>
      </c>
      <c r="D1789" t="inlineStr">
        <is>
          <t>VÄSTERNORRLANDS LÄN</t>
        </is>
      </c>
      <c r="E1789" t="inlineStr">
        <is>
          <t>SOLLEFTEÅ</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7713-2023</t>
        </is>
      </c>
      <c r="B1790" s="1" t="n">
        <v>44972</v>
      </c>
      <c r="C1790" s="1" t="n">
        <v>45356</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7721-2023</t>
        </is>
      </c>
      <c r="B1791" s="1" t="n">
        <v>44972</v>
      </c>
      <c r="C1791" s="1" t="n">
        <v>45356</v>
      </c>
      <c r="D1791" t="inlineStr">
        <is>
          <t>VÄSTERNORRLANDS LÄN</t>
        </is>
      </c>
      <c r="E1791" t="inlineStr">
        <is>
          <t>SOLLEFTEÅ</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8030-2023</t>
        </is>
      </c>
      <c r="B1792" s="1" t="n">
        <v>44973</v>
      </c>
      <c r="C1792" s="1" t="n">
        <v>45356</v>
      </c>
      <c r="D1792" t="inlineStr">
        <is>
          <t>VÄSTERNORRLANDS LÄN</t>
        </is>
      </c>
      <c r="E1792" t="inlineStr">
        <is>
          <t>SOLLEFTEÅ</t>
        </is>
      </c>
      <c r="F1792" t="inlineStr">
        <is>
          <t>SCA</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8959-2023</t>
        </is>
      </c>
      <c r="B1793" s="1" t="n">
        <v>44974</v>
      </c>
      <c r="C1793" s="1" t="n">
        <v>45356</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8640-2023</t>
        </is>
      </c>
      <c r="B1794" s="1" t="n">
        <v>44978</v>
      </c>
      <c r="C1794" s="1" t="n">
        <v>45356</v>
      </c>
      <c r="D1794" t="inlineStr">
        <is>
          <t>VÄSTERNORRLANDS LÄN</t>
        </is>
      </c>
      <c r="E1794" t="inlineStr">
        <is>
          <t>SOLLEFTEÅ</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8658-2023</t>
        </is>
      </c>
      <c r="B1795" s="1" t="n">
        <v>44978</v>
      </c>
      <c r="C1795" s="1" t="n">
        <v>45356</v>
      </c>
      <c r="D1795" t="inlineStr">
        <is>
          <t>VÄSTERNORRLANDS LÄN</t>
        </is>
      </c>
      <c r="E1795" t="inlineStr">
        <is>
          <t>SOLLEFTEÅ</t>
        </is>
      </c>
      <c r="F1795" t="inlineStr">
        <is>
          <t>SCA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8668-2023</t>
        </is>
      </c>
      <c r="B1796" s="1" t="n">
        <v>44978</v>
      </c>
      <c r="C1796" s="1" t="n">
        <v>45356</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8672-2023</t>
        </is>
      </c>
      <c r="B1797" s="1" t="n">
        <v>44977</v>
      </c>
      <c r="C1797" s="1" t="n">
        <v>45356</v>
      </c>
      <c r="D1797" t="inlineStr">
        <is>
          <t>VÄSTERNORRLANDS LÄN</t>
        </is>
      </c>
      <c r="E1797" t="inlineStr">
        <is>
          <t>SOLLEFTEÅ</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8656-2023</t>
        </is>
      </c>
      <c r="B1798" s="1" t="n">
        <v>44978</v>
      </c>
      <c r="C1798" s="1" t="n">
        <v>45356</v>
      </c>
      <c r="D1798" t="inlineStr">
        <is>
          <t>VÄSTERNORRLANDS LÄN</t>
        </is>
      </c>
      <c r="E1798" t="inlineStr">
        <is>
          <t>SOLLEFTEÅ</t>
        </is>
      </c>
      <c r="F1798" t="inlineStr">
        <is>
          <t>SCA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8670-2023</t>
        </is>
      </c>
      <c r="B1799" s="1" t="n">
        <v>44977</v>
      </c>
      <c r="C1799" s="1" t="n">
        <v>45356</v>
      </c>
      <c r="D1799" t="inlineStr">
        <is>
          <t>VÄSTERNORRLANDS LÄN</t>
        </is>
      </c>
      <c r="E1799" t="inlineStr">
        <is>
          <t>SOLLEFTEÅ</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8667-2023</t>
        </is>
      </c>
      <c r="B1800" s="1" t="n">
        <v>44978</v>
      </c>
      <c r="C1800" s="1" t="n">
        <v>45356</v>
      </c>
      <c r="D1800" t="inlineStr">
        <is>
          <t>VÄSTERNORRLANDS LÄN</t>
        </is>
      </c>
      <c r="E1800" t="inlineStr">
        <is>
          <t>SOLLEFTEÅ</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8671-2023</t>
        </is>
      </c>
      <c r="B1801" s="1" t="n">
        <v>44978</v>
      </c>
      <c r="C1801" s="1" t="n">
        <v>45356</v>
      </c>
      <c r="D1801" t="inlineStr">
        <is>
          <t>VÄSTERNORRLANDS LÄN</t>
        </is>
      </c>
      <c r="E1801" t="inlineStr">
        <is>
          <t>SOLLEFTEÅ</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8875-2023</t>
        </is>
      </c>
      <c r="B1802" s="1" t="n">
        <v>44978</v>
      </c>
      <c r="C1802" s="1" t="n">
        <v>45356</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8880-2023</t>
        </is>
      </c>
      <c r="B1803" s="1" t="n">
        <v>44978</v>
      </c>
      <c r="C1803" s="1" t="n">
        <v>45356</v>
      </c>
      <c r="D1803" t="inlineStr">
        <is>
          <t>VÄSTERNORRLANDS LÄN</t>
        </is>
      </c>
      <c r="E1803" t="inlineStr">
        <is>
          <t>SOLLEFTEÅ</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9097-2023</t>
        </is>
      </c>
      <c r="B1804" s="1" t="n">
        <v>44979</v>
      </c>
      <c r="C1804" s="1" t="n">
        <v>45356</v>
      </c>
      <c r="D1804" t="inlineStr">
        <is>
          <t>VÄSTERNORRLANDS LÄN</t>
        </is>
      </c>
      <c r="E1804" t="inlineStr">
        <is>
          <t>SOLLEFTEÅ</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9095-2023</t>
        </is>
      </c>
      <c r="B1805" s="1" t="n">
        <v>44979</v>
      </c>
      <c r="C1805" s="1" t="n">
        <v>45356</v>
      </c>
      <c r="D1805" t="inlineStr">
        <is>
          <t>VÄSTERNORRLANDS LÄN</t>
        </is>
      </c>
      <c r="E1805" t="inlineStr">
        <is>
          <t>SOLLEFTEÅ</t>
        </is>
      </c>
      <c r="F1805" t="inlineStr">
        <is>
          <t>SCA</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9099-2023</t>
        </is>
      </c>
      <c r="B1806" s="1" t="n">
        <v>44979</v>
      </c>
      <c r="C1806" s="1" t="n">
        <v>45356</v>
      </c>
      <c r="D1806" t="inlineStr">
        <is>
          <t>VÄSTERNORRLANDS LÄN</t>
        </is>
      </c>
      <c r="E1806" t="inlineStr">
        <is>
          <t>SOLLEFTEÅ</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9096-2023</t>
        </is>
      </c>
      <c r="B1807" s="1" t="n">
        <v>44979</v>
      </c>
      <c r="C1807" s="1" t="n">
        <v>45356</v>
      </c>
      <c r="D1807" t="inlineStr">
        <is>
          <t>VÄSTERNORRLANDS LÄN</t>
        </is>
      </c>
      <c r="E1807" t="inlineStr">
        <is>
          <t>SOLLEFTEÅ</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9104-2023</t>
        </is>
      </c>
      <c r="B1808" s="1" t="n">
        <v>44979</v>
      </c>
      <c r="C1808" s="1" t="n">
        <v>45356</v>
      </c>
      <c r="D1808" t="inlineStr">
        <is>
          <t>VÄSTERNORRLANDS LÄN</t>
        </is>
      </c>
      <c r="E1808" t="inlineStr">
        <is>
          <t>SOLLEFTEÅ</t>
        </is>
      </c>
      <c r="F1808" t="inlineStr">
        <is>
          <t>SCA</t>
        </is>
      </c>
      <c r="G1808" t="n">
        <v>22.1</v>
      </c>
      <c r="H1808" t="n">
        <v>0</v>
      </c>
      <c r="I1808" t="n">
        <v>0</v>
      </c>
      <c r="J1808" t="n">
        <v>0</v>
      </c>
      <c r="K1808" t="n">
        <v>0</v>
      </c>
      <c r="L1808" t="n">
        <v>0</v>
      </c>
      <c r="M1808" t="n">
        <v>0</v>
      </c>
      <c r="N1808" t="n">
        <v>0</v>
      </c>
      <c r="O1808" t="n">
        <v>0</v>
      </c>
      <c r="P1808" t="n">
        <v>0</v>
      </c>
      <c r="Q1808" t="n">
        <v>0</v>
      </c>
      <c r="R1808" s="2" t="inlineStr"/>
    </row>
    <row r="1809" ht="15" customHeight="1">
      <c r="A1809" t="inlineStr">
        <is>
          <t>A 9098-2023</t>
        </is>
      </c>
      <c r="B1809" s="1" t="n">
        <v>44979</v>
      </c>
      <c r="C1809" s="1" t="n">
        <v>45356</v>
      </c>
      <c r="D1809" t="inlineStr">
        <is>
          <t>VÄSTERNORRLANDS LÄN</t>
        </is>
      </c>
      <c r="E1809" t="inlineStr">
        <is>
          <t>SOLLEFTEÅ</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9105-2023</t>
        </is>
      </c>
      <c r="B1810" s="1" t="n">
        <v>44979</v>
      </c>
      <c r="C1810" s="1" t="n">
        <v>45356</v>
      </c>
      <c r="D1810" t="inlineStr">
        <is>
          <t>VÄSTERNORRLANDS LÄN</t>
        </is>
      </c>
      <c r="E1810" t="inlineStr">
        <is>
          <t>SOLLEFTEÅ</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9358-2023</t>
        </is>
      </c>
      <c r="B1811" s="1" t="n">
        <v>44980</v>
      </c>
      <c r="C1811" s="1" t="n">
        <v>45356</v>
      </c>
      <c r="D1811" t="inlineStr">
        <is>
          <t>VÄSTERNORRLANDS LÄN</t>
        </is>
      </c>
      <c r="E1811" t="inlineStr">
        <is>
          <t>SOLLEFTEÅ</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10256-2023</t>
        </is>
      </c>
      <c r="B1812" s="1" t="n">
        <v>44980</v>
      </c>
      <c r="C1812" s="1" t="n">
        <v>45356</v>
      </c>
      <c r="D1812" t="inlineStr">
        <is>
          <t>VÄSTERNORRLANDS LÄN</t>
        </is>
      </c>
      <c r="E1812" t="inlineStr">
        <is>
          <t>SOLLEFTEÅ</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9362-2023</t>
        </is>
      </c>
      <c r="B1813" s="1" t="n">
        <v>44980</v>
      </c>
      <c r="C1813" s="1" t="n">
        <v>45356</v>
      </c>
      <c r="D1813" t="inlineStr">
        <is>
          <t>VÄSTERNORRLANDS LÄN</t>
        </is>
      </c>
      <c r="E1813" t="inlineStr">
        <is>
          <t>SOLLEFTEÅ</t>
        </is>
      </c>
      <c r="F1813" t="inlineStr">
        <is>
          <t>SCA</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9549-2023</t>
        </is>
      </c>
      <c r="B1814" s="1" t="n">
        <v>44981</v>
      </c>
      <c r="C1814" s="1" t="n">
        <v>45356</v>
      </c>
      <c r="D1814" t="inlineStr">
        <is>
          <t>VÄSTERNORRLANDS LÄN</t>
        </is>
      </c>
      <c r="E1814" t="inlineStr">
        <is>
          <t>SOLLEFTEÅ</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10428-2023</t>
        </is>
      </c>
      <c r="B1815" s="1" t="n">
        <v>44981</v>
      </c>
      <c r="C1815" s="1" t="n">
        <v>45356</v>
      </c>
      <c r="D1815" t="inlineStr">
        <is>
          <t>VÄSTERNORRLANDS LÄN</t>
        </is>
      </c>
      <c r="E1815" t="inlineStr">
        <is>
          <t>SOLLEFTEÅ</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9617-2023</t>
        </is>
      </c>
      <c r="B1816" s="1" t="n">
        <v>44983</v>
      </c>
      <c r="C1816" s="1" t="n">
        <v>45356</v>
      </c>
      <c r="D1816" t="inlineStr">
        <is>
          <t>VÄSTERNORRLANDS LÄN</t>
        </is>
      </c>
      <c r="E1816" t="inlineStr">
        <is>
          <t>SOLLEFTEÅ</t>
        </is>
      </c>
      <c r="F1816" t="inlineStr">
        <is>
          <t>SCA</t>
        </is>
      </c>
      <c r="G1816" t="n">
        <v>39.6</v>
      </c>
      <c r="H1816" t="n">
        <v>0</v>
      </c>
      <c r="I1816" t="n">
        <v>0</v>
      </c>
      <c r="J1816" t="n">
        <v>0</v>
      </c>
      <c r="K1816" t="n">
        <v>0</v>
      </c>
      <c r="L1816" t="n">
        <v>0</v>
      </c>
      <c r="M1816" t="n">
        <v>0</v>
      </c>
      <c r="N1816" t="n">
        <v>0</v>
      </c>
      <c r="O1816" t="n">
        <v>0</v>
      </c>
      <c r="P1816" t="n">
        <v>0</v>
      </c>
      <c r="Q1816" t="n">
        <v>0</v>
      </c>
      <c r="R1816" s="2" t="inlineStr"/>
    </row>
    <row r="1817" ht="15" customHeight="1">
      <c r="A1817" t="inlineStr">
        <is>
          <t>A 9616-2023</t>
        </is>
      </c>
      <c r="B1817" s="1" t="n">
        <v>44983</v>
      </c>
      <c r="C1817" s="1" t="n">
        <v>45356</v>
      </c>
      <c r="D1817" t="inlineStr">
        <is>
          <t>VÄSTERNORRLANDS LÄN</t>
        </is>
      </c>
      <c r="E1817" t="inlineStr">
        <is>
          <t>SOLLEFTEÅ</t>
        </is>
      </c>
      <c r="F1817" t="inlineStr">
        <is>
          <t>SCA</t>
        </is>
      </c>
      <c r="G1817" t="n">
        <v>45.9</v>
      </c>
      <c r="H1817" t="n">
        <v>0</v>
      </c>
      <c r="I1817" t="n">
        <v>0</v>
      </c>
      <c r="J1817" t="n">
        <v>0</v>
      </c>
      <c r="K1817" t="n">
        <v>0</v>
      </c>
      <c r="L1817" t="n">
        <v>0</v>
      </c>
      <c r="M1817" t="n">
        <v>0</v>
      </c>
      <c r="N1817" t="n">
        <v>0</v>
      </c>
      <c r="O1817" t="n">
        <v>0</v>
      </c>
      <c r="P1817" t="n">
        <v>0</v>
      </c>
      <c r="Q1817" t="n">
        <v>0</v>
      </c>
      <c r="R1817" s="2" t="inlineStr"/>
    </row>
    <row r="1818" ht="15" customHeight="1">
      <c r="A1818" t="inlineStr">
        <is>
          <t>A 9614-2023</t>
        </is>
      </c>
      <c r="B1818" s="1" t="n">
        <v>44983</v>
      </c>
      <c r="C1818" s="1" t="n">
        <v>45356</v>
      </c>
      <c r="D1818" t="inlineStr">
        <is>
          <t>VÄSTERNORRLANDS LÄN</t>
        </is>
      </c>
      <c r="E1818" t="inlineStr">
        <is>
          <t>SOLLEFTEÅ</t>
        </is>
      </c>
      <c r="F1818" t="inlineStr">
        <is>
          <t>SCA</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9741-2023</t>
        </is>
      </c>
      <c r="B1819" s="1" t="n">
        <v>44984</v>
      </c>
      <c r="C1819" s="1" t="n">
        <v>45356</v>
      </c>
      <c r="D1819" t="inlineStr">
        <is>
          <t>VÄSTERNORRLANDS LÄN</t>
        </is>
      </c>
      <c r="E1819" t="inlineStr">
        <is>
          <t>SOLLEFTEÅ</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9829-2023</t>
        </is>
      </c>
      <c r="B1820" s="1" t="n">
        <v>44984</v>
      </c>
      <c r="C1820" s="1" t="n">
        <v>45356</v>
      </c>
      <c r="D1820" t="inlineStr">
        <is>
          <t>VÄSTERNORRLANDS LÄN</t>
        </is>
      </c>
      <c r="E1820" t="inlineStr">
        <is>
          <t>SOLLEFTEÅ</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9858-2023</t>
        </is>
      </c>
      <c r="B1821" s="1" t="n">
        <v>44984</v>
      </c>
      <c r="C1821" s="1" t="n">
        <v>45356</v>
      </c>
      <c r="D1821" t="inlineStr">
        <is>
          <t>VÄSTERNORRLANDS LÄN</t>
        </is>
      </c>
      <c r="E1821" t="inlineStr">
        <is>
          <t>SOLLEFTEÅ</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9879-2023</t>
        </is>
      </c>
      <c r="B1822" s="1" t="n">
        <v>44984</v>
      </c>
      <c r="C1822" s="1" t="n">
        <v>45356</v>
      </c>
      <c r="D1822" t="inlineStr">
        <is>
          <t>VÄSTERNORRLANDS LÄN</t>
        </is>
      </c>
      <c r="E1822" t="inlineStr">
        <is>
          <t>SOLLEFTEÅ</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9871-2023</t>
        </is>
      </c>
      <c r="B1823" s="1" t="n">
        <v>44984</v>
      </c>
      <c r="C1823" s="1" t="n">
        <v>45356</v>
      </c>
      <c r="D1823" t="inlineStr">
        <is>
          <t>VÄSTERNORRLANDS LÄN</t>
        </is>
      </c>
      <c r="E1823" t="inlineStr">
        <is>
          <t>SOLLEFTEÅ</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10079-2023</t>
        </is>
      </c>
      <c r="B1824" s="1" t="n">
        <v>44985</v>
      </c>
      <c r="C1824" s="1" t="n">
        <v>45356</v>
      </c>
      <c r="D1824" t="inlineStr">
        <is>
          <t>VÄSTERNORRLANDS LÄN</t>
        </is>
      </c>
      <c r="E1824" t="inlineStr">
        <is>
          <t>SOLLEFTEÅ</t>
        </is>
      </c>
      <c r="F1824" t="inlineStr">
        <is>
          <t>SCA</t>
        </is>
      </c>
      <c r="G1824" t="n">
        <v>32.7</v>
      </c>
      <c r="H1824" t="n">
        <v>0</v>
      </c>
      <c r="I1824" t="n">
        <v>0</v>
      </c>
      <c r="J1824" t="n">
        <v>0</v>
      </c>
      <c r="K1824" t="n">
        <v>0</v>
      </c>
      <c r="L1824" t="n">
        <v>0</v>
      </c>
      <c r="M1824" t="n">
        <v>0</v>
      </c>
      <c r="N1824" t="n">
        <v>0</v>
      </c>
      <c r="O1824" t="n">
        <v>0</v>
      </c>
      <c r="P1824" t="n">
        <v>0</v>
      </c>
      <c r="Q1824" t="n">
        <v>0</v>
      </c>
      <c r="R1824" s="2" t="inlineStr"/>
    </row>
    <row r="1825" ht="15" customHeight="1">
      <c r="A1825" t="inlineStr">
        <is>
          <t>A 10094-2023</t>
        </is>
      </c>
      <c r="B1825" s="1" t="n">
        <v>44985</v>
      </c>
      <c r="C1825" s="1" t="n">
        <v>45356</v>
      </c>
      <c r="D1825" t="inlineStr">
        <is>
          <t>VÄSTERNORRLANDS LÄN</t>
        </is>
      </c>
      <c r="E1825" t="inlineStr">
        <is>
          <t>SOLLEFTEÅ</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10095-2023</t>
        </is>
      </c>
      <c r="B1826" s="1" t="n">
        <v>44985</v>
      </c>
      <c r="C1826" s="1" t="n">
        <v>45356</v>
      </c>
      <c r="D1826" t="inlineStr">
        <is>
          <t>VÄSTERNORRLANDS LÄN</t>
        </is>
      </c>
      <c r="E1826" t="inlineStr">
        <is>
          <t>SOLLEFTEÅ</t>
        </is>
      </c>
      <c r="F1826" t="inlineStr">
        <is>
          <t>SCA</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10077-2023</t>
        </is>
      </c>
      <c r="B1827" s="1" t="n">
        <v>44985</v>
      </c>
      <c r="C1827" s="1" t="n">
        <v>45356</v>
      </c>
      <c r="D1827" t="inlineStr">
        <is>
          <t>VÄSTERNORRLANDS LÄN</t>
        </is>
      </c>
      <c r="E1827" t="inlineStr">
        <is>
          <t>SOLLEFTEÅ</t>
        </is>
      </c>
      <c r="F1827" t="inlineStr">
        <is>
          <t>SCA</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10099-2023</t>
        </is>
      </c>
      <c r="B1828" s="1" t="n">
        <v>44985</v>
      </c>
      <c r="C1828" s="1" t="n">
        <v>45356</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10078-2023</t>
        </is>
      </c>
      <c r="B1829" s="1" t="n">
        <v>44985</v>
      </c>
      <c r="C1829" s="1" t="n">
        <v>45356</v>
      </c>
      <c r="D1829" t="inlineStr">
        <is>
          <t>VÄSTERNORRLANDS LÄN</t>
        </is>
      </c>
      <c r="E1829" t="inlineStr">
        <is>
          <t>SOLLEFTEÅ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10093-2023</t>
        </is>
      </c>
      <c r="B1830" s="1" t="n">
        <v>44985</v>
      </c>
      <c r="C1830" s="1" t="n">
        <v>45356</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10294-2023</t>
        </is>
      </c>
      <c r="B1831" s="1" t="n">
        <v>44986</v>
      </c>
      <c r="C1831" s="1" t="n">
        <v>45356</v>
      </c>
      <c r="D1831" t="inlineStr">
        <is>
          <t>VÄSTERNORRLANDS LÄN</t>
        </is>
      </c>
      <c r="E1831" t="inlineStr">
        <is>
          <t>SOLLEFTEÅ</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10311-2023</t>
        </is>
      </c>
      <c r="B1832" s="1" t="n">
        <v>44986</v>
      </c>
      <c r="C1832" s="1" t="n">
        <v>45356</v>
      </c>
      <c r="D1832" t="inlineStr">
        <is>
          <t>VÄSTERNORRLANDS LÄN</t>
        </is>
      </c>
      <c r="E1832" t="inlineStr">
        <is>
          <t>SOLLEFTEÅ</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11094-2023</t>
        </is>
      </c>
      <c r="B1833" s="1" t="n">
        <v>44986</v>
      </c>
      <c r="C1833" s="1" t="n">
        <v>45356</v>
      </c>
      <c r="D1833" t="inlineStr">
        <is>
          <t>VÄSTERNORRLANDS LÄN</t>
        </is>
      </c>
      <c r="E1833" t="inlineStr">
        <is>
          <t>SOLLEFTEÅ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10526-2023</t>
        </is>
      </c>
      <c r="B1834" s="1" t="n">
        <v>44987</v>
      </c>
      <c r="C1834" s="1" t="n">
        <v>45356</v>
      </c>
      <c r="D1834" t="inlineStr">
        <is>
          <t>VÄSTERNORRLANDS LÄN</t>
        </is>
      </c>
      <c r="E1834" t="inlineStr">
        <is>
          <t>SOLLEFTEÅ</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10541-2023</t>
        </is>
      </c>
      <c r="B1835" s="1" t="n">
        <v>44987</v>
      </c>
      <c r="C1835" s="1" t="n">
        <v>45356</v>
      </c>
      <c r="D1835" t="inlineStr">
        <is>
          <t>VÄSTERNORRLANDS LÄN</t>
        </is>
      </c>
      <c r="E1835" t="inlineStr">
        <is>
          <t>SOLLEFTEÅ</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10549-2023</t>
        </is>
      </c>
      <c r="B1836" s="1" t="n">
        <v>44987</v>
      </c>
      <c r="C1836" s="1" t="n">
        <v>45356</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10777-2023</t>
        </is>
      </c>
      <c r="B1837" s="1" t="n">
        <v>44988</v>
      </c>
      <c r="C1837" s="1" t="n">
        <v>45356</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10771-2023</t>
        </is>
      </c>
      <c r="B1838" s="1" t="n">
        <v>44988</v>
      </c>
      <c r="C1838" s="1" t="n">
        <v>45356</v>
      </c>
      <c r="D1838" t="inlineStr">
        <is>
          <t>VÄSTERNORRLANDS LÄN</t>
        </is>
      </c>
      <c r="E1838" t="inlineStr">
        <is>
          <t>SOLLEFTEÅ</t>
        </is>
      </c>
      <c r="F1838" t="inlineStr">
        <is>
          <t>SCA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10783-2023</t>
        </is>
      </c>
      <c r="B1839" s="1" t="n">
        <v>44988</v>
      </c>
      <c r="C1839" s="1" t="n">
        <v>45356</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10768-2023</t>
        </is>
      </c>
      <c r="B1840" s="1" t="n">
        <v>44988</v>
      </c>
      <c r="C1840" s="1" t="n">
        <v>45356</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10785-2023</t>
        </is>
      </c>
      <c r="B1841" s="1" t="n">
        <v>44988</v>
      </c>
      <c r="C1841" s="1" t="n">
        <v>45356</v>
      </c>
      <c r="D1841" t="inlineStr">
        <is>
          <t>VÄSTERNORRLANDS LÄN</t>
        </is>
      </c>
      <c r="E1841" t="inlineStr">
        <is>
          <t>SOLLEFTEÅ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11038-2023</t>
        </is>
      </c>
      <c r="B1842" s="1" t="n">
        <v>44991</v>
      </c>
      <c r="C1842" s="1" t="n">
        <v>45356</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11052-2023</t>
        </is>
      </c>
      <c r="B1843" s="1" t="n">
        <v>44991</v>
      </c>
      <c r="C1843" s="1" t="n">
        <v>45356</v>
      </c>
      <c r="D1843" t="inlineStr">
        <is>
          <t>VÄSTERNORRLANDS LÄN</t>
        </is>
      </c>
      <c r="E1843" t="inlineStr">
        <is>
          <t>SOLLEFTEÅ</t>
        </is>
      </c>
      <c r="F1843" t="inlineStr">
        <is>
          <t>SCA</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11039-2023</t>
        </is>
      </c>
      <c r="B1844" s="1" t="n">
        <v>44991</v>
      </c>
      <c r="C1844" s="1" t="n">
        <v>45356</v>
      </c>
      <c r="D1844" t="inlineStr">
        <is>
          <t>VÄSTERNORRLANDS LÄN</t>
        </is>
      </c>
      <c r="E1844" t="inlineStr">
        <is>
          <t>SOLLEFTEÅ</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11301-2023</t>
        </is>
      </c>
      <c r="B1845" s="1" t="n">
        <v>44993</v>
      </c>
      <c r="C1845" s="1" t="n">
        <v>45356</v>
      </c>
      <c r="D1845" t="inlineStr">
        <is>
          <t>VÄSTERNORRLANDS LÄN</t>
        </is>
      </c>
      <c r="E1845" t="inlineStr">
        <is>
          <t>SOLLEFTEÅ</t>
        </is>
      </c>
      <c r="F1845" t="inlineStr">
        <is>
          <t>SCA</t>
        </is>
      </c>
      <c r="G1845" t="n">
        <v>19.9</v>
      </c>
      <c r="H1845" t="n">
        <v>0</v>
      </c>
      <c r="I1845" t="n">
        <v>0</v>
      </c>
      <c r="J1845" t="n">
        <v>0</v>
      </c>
      <c r="K1845" t="n">
        <v>0</v>
      </c>
      <c r="L1845" t="n">
        <v>0</v>
      </c>
      <c r="M1845" t="n">
        <v>0</v>
      </c>
      <c r="N1845" t="n">
        <v>0</v>
      </c>
      <c r="O1845" t="n">
        <v>0</v>
      </c>
      <c r="P1845" t="n">
        <v>0</v>
      </c>
      <c r="Q1845" t="n">
        <v>0</v>
      </c>
      <c r="R1845" s="2" t="inlineStr"/>
    </row>
    <row r="1846" ht="15" customHeight="1">
      <c r="A1846" t="inlineStr">
        <is>
          <t>A 11306-2023</t>
        </is>
      </c>
      <c r="B1846" s="1" t="n">
        <v>44993</v>
      </c>
      <c r="C1846" s="1" t="n">
        <v>45356</v>
      </c>
      <c r="D1846" t="inlineStr">
        <is>
          <t>VÄSTERNORRLANDS LÄN</t>
        </is>
      </c>
      <c r="E1846" t="inlineStr">
        <is>
          <t>SOLLEFTEÅ</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11551-2023</t>
        </is>
      </c>
      <c r="B1847" s="1" t="n">
        <v>44993</v>
      </c>
      <c r="C1847" s="1" t="n">
        <v>45356</v>
      </c>
      <c r="D1847" t="inlineStr">
        <is>
          <t>VÄSTERNORRLANDS LÄN</t>
        </is>
      </c>
      <c r="E1847" t="inlineStr">
        <is>
          <t>SOLLEFTEÅ</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11555-2023</t>
        </is>
      </c>
      <c r="B1848" s="1" t="n">
        <v>44993</v>
      </c>
      <c r="C1848" s="1" t="n">
        <v>45356</v>
      </c>
      <c r="D1848" t="inlineStr">
        <is>
          <t>VÄSTERNORRLANDS LÄN</t>
        </is>
      </c>
      <c r="E1848" t="inlineStr">
        <is>
          <t>SOLLEFTEÅ</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11554-2023</t>
        </is>
      </c>
      <c r="B1849" s="1" t="n">
        <v>44993</v>
      </c>
      <c r="C1849" s="1" t="n">
        <v>45356</v>
      </c>
      <c r="D1849" t="inlineStr">
        <is>
          <t>VÄSTERNORRLANDS LÄN</t>
        </is>
      </c>
      <c r="E1849" t="inlineStr">
        <is>
          <t>SOLLEFTEÅ</t>
        </is>
      </c>
      <c r="F1849" t="inlineStr">
        <is>
          <t>SCA</t>
        </is>
      </c>
      <c r="G1849" t="n">
        <v>23.1</v>
      </c>
      <c r="H1849" t="n">
        <v>0</v>
      </c>
      <c r="I1849" t="n">
        <v>0</v>
      </c>
      <c r="J1849" t="n">
        <v>0</v>
      </c>
      <c r="K1849" t="n">
        <v>0</v>
      </c>
      <c r="L1849" t="n">
        <v>0</v>
      </c>
      <c r="M1849" t="n">
        <v>0</v>
      </c>
      <c r="N1849" t="n">
        <v>0</v>
      </c>
      <c r="O1849" t="n">
        <v>0</v>
      </c>
      <c r="P1849" t="n">
        <v>0</v>
      </c>
      <c r="Q1849" t="n">
        <v>0</v>
      </c>
      <c r="R1849" s="2" t="inlineStr"/>
    </row>
    <row r="1850" ht="15" customHeight="1">
      <c r="A1850" t="inlineStr">
        <is>
          <t>A 11831-2023</t>
        </is>
      </c>
      <c r="B1850" s="1" t="n">
        <v>44994</v>
      </c>
      <c r="C1850" s="1" t="n">
        <v>45356</v>
      </c>
      <c r="D1850" t="inlineStr">
        <is>
          <t>VÄSTERNORRLANDS LÄN</t>
        </is>
      </c>
      <c r="E1850" t="inlineStr">
        <is>
          <t>SOLLEFTEÅ</t>
        </is>
      </c>
      <c r="F1850" t="inlineStr">
        <is>
          <t>SCA</t>
        </is>
      </c>
      <c r="G1850" t="n">
        <v>14.8</v>
      </c>
      <c r="H1850" t="n">
        <v>0</v>
      </c>
      <c r="I1850" t="n">
        <v>0</v>
      </c>
      <c r="J1850" t="n">
        <v>0</v>
      </c>
      <c r="K1850" t="n">
        <v>0</v>
      </c>
      <c r="L1850" t="n">
        <v>0</v>
      </c>
      <c r="M1850" t="n">
        <v>0</v>
      </c>
      <c r="N1850" t="n">
        <v>0</v>
      </c>
      <c r="O1850" t="n">
        <v>0</v>
      </c>
      <c r="P1850" t="n">
        <v>0</v>
      </c>
      <c r="Q1850" t="n">
        <v>0</v>
      </c>
      <c r="R1850" s="2" t="inlineStr"/>
    </row>
    <row r="1851" ht="15" customHeight="1">
      <c r="A1851" t="inlineStr">
        <is>
          <t>A 12107-2023</t>
        </is>
      </c>
      <c r="B1851" s="1" t="n">
        <v>44995</v>
      </c>
      <c r="C1851" s="1" t="n">
        <v>45356</v>
      </c>
      <c r="D1851" t="inlineStr">
        <is>
          <t>VÄSTERNORRLANDS LÄN</t>
        </is>
      </c>
      <c r="E1851" t="inlineStr">
        <is>
          <t>SOLLEFTEÅ</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12135-2023</t>
        </is>
      </c>
      <c r="B1852" s="1" t="n">
        <v>44995</v>
      </c>
      <c r="C1852" s="1" t="n">
        <v>45356</v>
      </c>
      <c r="D1852" t="inlineStr">
        <is>
          <t>VÄSTERNORRLANDS LÄN</t>
        </is>
      </c>
      <c r="E1852" t="inlineStr">
        <is>
          <t>SOLLEFTEÅ</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12038-2023</t>
        </is>
      </c>
      <c r="B1853" s="1" t="n">
        <v>44996</v>
      </c>
      <c r="C1853" s="1" t="n">
        <v>45356</v>
      </c>
      <c r="D1853" t="inlineStr">
        <is>
          <t>VÄSTERNORRLANDS LÄN</t>
        </is>
      </c>
      <c r="E1853" t="inlineStr">
        <is>
          <t>SOLLEFTEÅ</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12053-2023</t>
        </is>
      </c>
      <c r="B1854" s="1" t="n">
        <v>44996</v>
      </c>
      <c r="C1854" s="1" t="n">
        <v>45356</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12129-2023</t>
        </is>
      </c>
      <c r="B1855" s="1" t="n">
        <v>44995</v>
      </c>
      <c r="C1855" s="1" t="n">
        <v>45356</v>
      </c>
      <c r="D1855" t="inlineStr">
        <is>
          <t>VÄSTERNORRLANDS LÄN</t>
        </is>
      </c>
      <c r="E1855" t="inlineStr">
        <is>
          <t>SOLLEFTEÅ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12164-2023</t>
        </is>
      </c>
      <c r="B1856" s="1" t="n">
        <v>44995</v>
      </c>
      <c r="C1856" s="1" t="n">
        <v>45356</v>
      </c>
      <c r="D1856" t="inlineStr">
        <is>
          <t>VÄSTERNORRLANDS LÄN</t>
        </is>
      </c>
      <c r="E1856" t="inlineStr">
        <is>
          <t>SOLLEFTEÅ</t>
        </is>
      </c>
      <c r="G1856" t="n">
        <v>18.3</v>
      </c>
      <c r="H1856" t="n">
        <v>0</v>
      </c>
      <c r="I1856" t="n">
        <v>0</v>
      </c>
      <c r="J1856" t="n">
        <v>0</v>
      </c>
      <c r="K1856" t="n">
        <v>0</v>
      </c>
      <c r="L1856" t="n">
        <v>0</v>
      </c>
      <c r="M1856" t="n">
        <v>0</v>
      </c>
      <c r="N1856" t="n">
        <v>0</v>
      </c>
      <c r="O1856" t="n">
        <v>0</v>
      </c>
      <c r="P1856" t="n">
        <v>0</v>
      </c>
      <c r="Q1856" t="n">
        <v>0</v>
      </c>
      <c r="R1856" s="2" t="inlineStr"/>
    </row>
    <row r="1857" ht="15" customHeight="1">
      <c r="A1857" t="inlineStr">
        <is>
          <t>A 12311-2023</t>
        </is>
      </c>
      <c r="B1857" s="1" t="n">
        <v>44995</v>
      </c>
      <c r="C1857" s="1" t="n">
        <v>45356</v>
      </c>
      <c r="D1857" t="inlineStr">
        <is>
          <t>VÄSTERNORRLANDS LÄN</t>
        </is>
      </c>
      <c r="E1857" t="inlineStr">
        <is>
          <t>SOLLEFTEÅ</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12054-2023</t>
        </is>
      </c>
      <c r="B1858" s="1" t="n">
        <v>44996</v>
      </c>
      <c r="C1858" s="1" t="n">
        <v>45356</v>
      </c>
      <c r="D1858" t="inlineStr">
        <is>
          <t>VÄSTERNORRLANDS LÄN</t>
        </is>
      </c>
      <c r="E1858" t="inlineStr">
        <is>
          <t>SOLLEFTEÅ</t>
        </is>
      </c>
      <c r="F1858" t="inlineStr">
        <is>
          <t>SCA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12045-2023</t>
        </is>
      </c>
      <c r="B1859" s="1" t="n">
        <v>44996</v>
      </c>
      <c r="C1859" s="1" t="n">
        <v>45356</v>
      </c>
      <c r="D1859" t="inlineStr">
        <is>
          <t>VÄSTERNORRLANDS LÄN</t>
        </is>
      </c>
      <c r="E1859" t="inlineStr">
        <is>
          <t>SOLLEFTEÅ</t>
        </is>
      </c>
      <c r="F1859" t="inlineStr">
        <is>
          <t>SCA</t>
        </is>
      </c>
      <c r="G1859" t="n">
        <v>16.4</v>
      </c>
      <c r="H1859" t="n">
        <v>0</v>
      </c>
      <c r="I1859" t="n">
        <v>0</v>
      </c>
      <c r="J1859" t="n">
        <v>0</v>
      </c>
      <c r="K1859" t="n">
        <v>0</v>
      </c>
      <c r="L1859" t="n">
        <v>0</v>
      </c>
      <c r="M1859" t="n">
        <v>0</v>
      </c>
      <c r="N1859" t="n">
        <v>0</v>
      </c>
      <c r="O1859" t="n">
        <v>0</v>
      </c>
      <c r="P1859" t="n">
        <v>0</v>
      </c>
      <c r="Q1859" t="n">
        <v>0</v>
      </c>
      <c r="R1859" s="2" t="inlineStr"/>
    </row>
    <row r="1860" ht="15" customHeight="1">
      <c r="A1860" t="inlineStr">
        <is>
          <t>A 12429-2023</t>
        </is>
      </c>
      <c r="B1860" s="1" t="n">
        <v>44998</v>
      </c>
      <c r="C1860" s="1" t="n">
        <v>45356</v>
      </c>
      <c r="D1860" t="inlineStr">
        <is>
          <t>VÄSTERNORRLANDS LÄN</t>
        </is>
      </c>
      <c r="E1860" t="inlineStr">
        <is>
          <t>SOLLEFTEÅ</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12515-2023</t>
        </is>
      </c>
      <c r="B1861" s="1" t="n">
        <v>45000</v>
      </c>
      <c r="C1861" s="1" t="n">
        <v>45356</v>
      </c>
      <c r="D1861" t="inlineStr">
        <is>
          <t>VÄSTERNORRLANDS LÄN</t>
        </is>
      </c>
      <c r="E1861" t="inlineStr">
        <is>
          <t>SOLLEFTEÅ</t>
        </is>
      </c>
      <c r="F1861" t="inlineStr">
        <is>
          <t>SCA</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12726-2023</t>
        </is>
      </c>
      <c r="B1862" s="1" t="n">
        <v>45000</v>
      </c>
      <c r="C1862" s="1" t="n">
        <v>45356</v>
      </c>
      <c r="D1862" t="inlineStr">
        <is>
          <t>VÄSTERNORRLANDS LÄN</t>
        </is>
      </c>
      <c r="E1862" t="inlineStr">
        <is>
          <t>SOLLEFTEÅ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12512-2023</t>
        </is>
      </c>
      <c r="B1863" s="1" t="n">
        <v>45000</v>
      </c>
      <c r="C1863" s="1" t="n">
        <v>45356</v>
      </c>
      <c r="D1863" t="inlineStr">
        <is>
          <t>VÄSTERNORRLANDS LÄN</t>
        </is>
      </c>
      <c r="E1863" t="inlineStr">
        <is>
          <t>SOLLEFTEÅ</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12536-2023</t>
        </is>
      </c>
      <c r="B1864" s="1" t="n">
        <v>45000</v>
      </c>
      <c r="C1864" s="1" t="n">
        <v>45356</v>
      </c>
      <c r="D1864" t="inlineStr">
        <is>
          <t>VÄSTERNORRLANDS LÄN</t>
        </is>
      </c>
      <c r="E1864" t="inlineStr">
        <is>
          <t>SOLLEFTEÅ</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12540-2023</t>
        </is>
      </c>
      <c r="B1865" s="1" t="n">
        <v>45000</v>
      </c>
      <c r="C1865" s="1" t="n">
        <v>45356</v>
      </c>
      <c r="D1865" t="inlineStr">
        <is>
          <t>VÄSTERNORRLANDS LÄN</t>
        </is>
      </c>
      <c r="E1865" t="inlineStr">
        <is>
          <t>SOLLEFTEÅ</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12730-2023</t>
        </is>
      </c>
      <c r="B1866" s="1" t="n">
        <v>45000</v>
      </c>
      <c r="C1866" s="1" t="n">
        <v>45356</v>
      </c>
      <c r="D1866" t="inlineStr">
        <is>
          <t>VÄSTERNORRLANDS LÄN</t>
        </is>
      </c>
      <c r="E1866" t="inlineStr">
        <is>
          <t>SOLLEFTEÅ</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12735-2023</t>
        </is>
      </c>
      <c r="B1867" s="1" t="n">
        <v>45000</v>
      </c>
      <c r="C1867" s="1" t="n">
        <v>45356</v>
      </c>
      <c r="D1867" t="inlineStr">
        <is>
          <t>VÄSTERNORRLANDS LÄN</t>
        </is>
      </c>
      <c r="E1867" t="inlineStr">
        <is>
          <t>SOLLEFTEÅ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12539-2023</t>
        </is>
      </c>
      <c r="B1868" s="1" t="n">
        <v>45000</v>
      </c>
      <c r="C1868" s="1" t="n">
        <v>45356</v>
      </c>
      <c r="D1868" t="inlineStr">
        <is>
          <t>VÄSTERNORRLANDS LÄN</t>
        </is>
      </c>
      <c r="E1868" t="inlineStr">
        <is>
          <t>SOLLEFTEÅ</t>
        </is>
      </c>
      <c r="F1868" t="inlineStr">
        <is>
          <t>SCA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12727-2023</t>
        </is>
      </c>
      <c r="B1869" s="1" t="n">
        <v>45000</v>
      </c>
      <c r="C1869" s="1" t="n">
        <v>45356</v>
      </c>
      <c r="D1869" t="inlineStr">
        <is>
          <t>VÄSTERNORRLANDS LÄN</t>
        </is>
      </c>
      <c r="E1869" t="inlineStr">
        <is>
          <t>SOLLEFTEÅ</t>
        </is>
      </c>
      <c r="G1869" t="n">
        <v>15.7</v>
      </c>
      <c r="H1869" t="n">
        <v>0</v>
      </c>
      <c r="I1869" t="n">
        <v>0</v>
      </c>
      <c r="J1869" t="n">
        <v>0</v>
      </c>
      <c r="K1869" t="n">
        <v>0</v>
      </c>
      <c r="L1869" t="n">
        <v>0</v>
      </c>
      <c r="M1869" t="n">
        <v>0</v>
      </c>
      <c r="N1869" t="n">
        <v>0</v>
      </c>
      <c r="O1869" t="n">
        <v>0</v>
      </c>
      <c r="P1869" t="n">
        <v>0</v>
      </c>
      <c r="Q1869" t="n">
        <v>0</v>
      </c>
      <c r="R1869" s="2" t="inlineStr"/>
    </row>
    <row r="1870" ht="15" customHeight="1">
      <c r="A1870" t="inlineStr">
        <is>
          <t>A 12733-2023</t>
        </is>
      </c>
      <c r="B1870" s="1" t="n">
        <v>45000</v>
      </c>
      <c r="C1870" s="1" t="n">
        <v>45356</v>
      </c>
      <c r="D1870" t="inlineStr">
        <is>
          <t>VÄSTERNORRLANDS LÄN</t>
        </is>
      </c>
      <c r="E1870" t="inlineStr">
        <is>
          <t>SOLLEFTEÅ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12747-2023</t>
        </is>
      </c>
      <c r="B1871" s="1" t="n">
        <v>45000</v>
      </c>
      <c r="C1871" s="1" t="n">
        <v>45356</v>
      </c>
      <c r="D1871" t="inlineStr">
        <is>
          <t>VÄSTERNORRLANDS LÄN</t>
        </is>
      </c>
      <c r="E1871" t="inlineStr">
        <is>
          <t>SOLLEFTEÅ</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12734-2023</t>
        </is>
      </c>
      <c r="B1872" s="1" t="n">
        <v>45000</v>
      </c>
      <c r="C1872" s="1" t="n">
        <v>45356</v>
      </c>
      <c r="D1872" t="inlineStr">
        <is>
          <t>VÄSTERNORRLANDS LÄN</t>
        </is>
      </c>
      <c r="E1872" t="inlineStr">
        <is>
          <t>SOLLEFTEÅ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12752-2023</t>
        </is>
      </c>
      <c r="B1873" s="1" t="n">
        <v>45000</v>
      </c>
      <c r="C1873" s="1" t="n">
        <v>45356</v>
      </c>
      <c r="D1873" t="inlineStr">
        <is>
          <t>VÄSTERNORRLANDS LÄN</t>
        </is>
      </c>
      <c r="E1873" t="inlineStr">
        <is>
          <t>SOLLEFTEÅ</t>
        </is>
      </c>
      <c r="F1873" t="inlineStr">
        <is>
          <t>SCA</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12746-2023</t>
        </is>
      </c>
      <c r="B1874" s="1" t="n">
        <v>45000</v>
      </c>
      <c r="C1874" s="1" t="n">
        <v>45356</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12755-2023</t>
        </is>
      </c>
      <c r="B1875" s="1" t="n">
        <v>45000</v>
      </c>
      <c r="C1875" s="1" t="n">
        <v>45356</v>
      </c>
      <c r="D1875" t="inlineStr">
        <is>
          <t>VÄSTERNORRLANDS LÄN</t>
        </is>
      </c>
      <c r="E1875" t="inlineStr">
        <is>
          <t>SOLLEFTEÅ</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12820-2023</t>
        </is>
      </c>
      <c r="B1876" s="1" t="n">
        <v>45000</v>
      </c>
      <c r="C1876" s="1" t="n">
        <v>45356</v>
      </c>
      <c r="D1876" t="inlineStr">
        <is>
          <t>VÄSTERNORRLANDS LÄN</t>
        </is>
      </c>
      <c r="E1876" t="inlineStr">
        <is>
          <t>SOLLEFTEÅ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12972-2023</t>
        </is>
      </c>
      <c r="B1877" s="1" t="n">
        <v>45001</v>
      </c>
      <c r="C1877" s="1" t="n">
        <v>45356</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13066-2023</t>
        </is>
      </c>
      <c r="B1878" s="1" t="n">
        <v>45001</v>
      </c>
      <c r="C1878" s="1" t="n">
        <v>45356</v>
      </c>
      <c r="D1878" t="inlineStr">
        <is>
          <t>VÄSTERNORRLANDS LÄN</t>
        </is>
      </c>
      <c r="E1878" t="inlineStr">
        <is>
          <t>SOLLEFTEÅ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13050-2023</t>
        </is>
      </c>
      <c r="B1879" s="1" t="n">
        <v>45001</v>
      </c>
      <c r="C1879" s="1" t="n">
        <v>45356</v>
      </c>
      <c r="D1879" t="inlineStr">
        <is>
          <t>VÄSTERNORRLANDS LÄN</t>
        </is>
      </c>
      <c r="E1879" t="inlineStr">
        <is>
          <t>SOLLEFTEÅ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12996-2023</t>
        </is>
      </c>
      <c r="B1880" s="1" t="n">
        <v>45002</v>
      </c>
      <c r="C1880" s="1" t="n">
        <v>45356</v>
      </c>
      <c r="D1880" t="inlineStr">
        <is>
          <t>VÄSTERNORRLANDS LÄN</t>
        </is>
      </c>
      <c r="E1880" t="inlineStr">
        <is>
          <t>SOLLEFTEÅ</t>
        </is>
      </c>
      <c r="F1880" t="inlineStr">
        <is>
          <t>SCA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13009-2023</t>
        </is>
      </c>
      <c r="B1881" s="1" t="n">
        <v>45002</v>
      </c>
      <c r="C1881" s="1" t="n">
        <v>45356</v>
      </c>
      <c r="D1881" t="inlineStr">
        <is>
          <t>VÄSTERNORRLANDS LÄN</t>
        </is>
      </c>
      <c r="E1881" t="inlineStr">
        <is>
          <t>SOLLEFTEÅ</t>
        </is>
      </c>
      <c r="F1881" t="inlineStr">
        <is>
          <t>SCA</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13006-2023</t>
        </is>
      </c>
      <c r="B1882" s="1" t="n">
        <v>45002</v>
      </c>
      <c r="C1882" s="1" t="n">
        <v>45356</v>
      </c>
      <c r="D1882" t="inlineStr">
        <is>
          <t>VÄSTERNORRLANDS LÄN</t>
        </is>
      </c>
      <c r="E1882" t="inlineStr">
        <is>
          <t>SOLLEFTEÅ</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12983-2023</t>
        </is>
      </c>
      <c r="B1883" s="1" t="n">
        <v>45002</v>
      </c>
      <c r="C1883" s="1" t="n">
        <v>45356</v>
      </c>
      <c r="D1883" t="inlineStr">
        <is>
          <t>VÄSTERNORRLANDS LÄN</t>
        </is>
      </c>
      <c r="E1883" t="inlineStr">
        <is>
          <t>SOLLEFTEÅ</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13008-2023</t>
        </is>
      </c>
      <c r="B1884" s="1" t="n">
        <v>45002</v>
      </c>
      <c r="C1884" s="1" t="n">
        <v>45356</v>
      </c>
      <c r="D1884" t="inlineStr">
        <is>
          <t>VÄSTERNORRLANDS LÄN</t>
        </is>
      </c>
      <c r="E1884" t="inlineStr">
        <is>
          <t>SOLLEFTEÅ</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13007-2023</t>
        </is>
      </c>
      <c r="B1885" s="1" t="n">
        <v>45002</v>
      </c>
      <c r="C1885" s="1" t="n">
        <v>45356</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13252-2023</t>
        </is>
      </c>
      <c r="B1886" s="1" t="n">
        <v>45002</v>
      </c>
      <c r="C1886" s="1" t="n">
        <v>45356</v>
      </c>
      <c r="D1886" t="inlineStr">
        <is>
          <t>VÄSTERNORRLANDS LÄN</t>
        </is>
      </c>
      <c r="E1886" t="inlineStr">
        <is>
          <t>SOLLEFTEÅ</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13264-2023</t>
        </is>
      </c>
      <c r="B1887" s="1" t="n">
        <v>45002</v>
      </c>
      <c r="C1887" s="1" t="n">
        <v>45356</v>
      </c>
      <c r="D1887" t="inlineStr">
        <is>
          <t>VÄSTERNORRLANDS LÄN</t>
        </is>
      </c>
      <c r="E1887" t="inlineStr">
        <is>
          <t>SOLLEFTEÅ</t>
        </is>
      </c>
      <c r="F1887" t="inlineStr">
        <is>
          <t>SCA</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13292-2023</t>
        </is>
      </c>
      <c r="B1888" s="1" t="n">
        <v>45004</v>
      </c>
      <c r="C1888" s="1" t="n">
        <v>45356</v>
      </c>
      <c r="D1888" t="inlineStr">
        <is>
          <t>VÄSTERNORRLANDS LÄN</t>
        </is>
      </c>
      <c r="E1888" t="inlineStr">
        <is>
          <t>SOLLEFTEÅ</t>
        </is>
      </c>
      <c r="F1888" t="inlineStr">
        <is>
          <t>SCA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13489-2023</t>
        </is>
      </c>
      <c r="B1889" s="1" t="n">
        <v>45005</v>
      </c>
      <c r="C1889" s="1" t="n">
        <v>45356</v>
      </c>
      <c r="D1889" t="inlineStr">
        <is>
          <t>VÄSTERNORRLANDS LÄN</t>
        </is>
      </c>
      <c r="E1889" t="inlineStr">
        <is>
          <t>SOLLEFTEÅ</t>
        </is>
      </c>
      <c r="F1889" t="inlineStr">
        <is>
          <t>SCA</t>
        </is>
      </c>
      <c r="G1889" t="n">
        <v>26.3</v>
      </c>
      <c r="H1889" t="n">
        <v>0</v>
      </c>
      <c r="I1889" t="n">
        <v>0</v>
      </c>
      <c r="J1889" t="n">
        <v>0</v>
      </c>
      <c r="K1889" t="n">
        <v>0</v>
      </c>
      <c r="L1889" t="n">
        <v>0</v>
      </c>
      <c r="M1889" t="n">
        <v>0</v>
      </c>
      <c r="N1889" t="n">
        <v>0</v>
      </c>
      <c r="O1889" t="n">
        <v>0</v>
      </c>
      <c r="P1889" t="n">
        <v>0</v>
      </c>
      <c r="Q1889" t="n">
        <v>0</v>
      </c>
      <c r="R1889" s="2" t="inlineStr"/>
    </row>
    <row r="1890" ht="15" customHeight="1">
      <c r="A1890" t="inlineStr">
        <is>
          <t>A 13487-2023</t>
        </is>
      </c>
      <c r="B1890" s="1" t="n">
        <v>45005</v>
      </c>
      <c r="C1890" s="1" t="n">
        <v>45356</v>
      </c>
      <c r="D1890" t="inlineStr">
        <is>
          <t>VÄSTERNORRLANDS LÄN</t>
        </is>
      </c>
      <c r="E1890" t="inlineStr">
        <is>
          <t>SOLLEFTEÅ</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13521-2023</t>
        </is>
      </c>
      <c r="B1891" s="1" t="n">
        <v>45005</v>
      </c>
      <c r="C1891" s="1" t="n">
        <v>45356</v>
      </c>
      <c r="D1891" t="inlineStr">
        <is>
          <t>VÄSTERNORRLANDS LÄN</t>
        </is>
      </c>
      <c r="E1891" t="inlineStr">
        <is>
          <t>SOLLEFTEÅ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13567-2023</t>
        </is>
      </c>
      <c r="B1892" s="1" t="n">
        <v>45005</v>
      </c>
      <c r="C1892" s="1" t="n">
        <v>45356</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13570-2023</t>
        </is>
      </c>
      <c r="B1893" s="1" t="n">
        <v>45005</v>
      </c>
      <c r="C1893" s="1" t="n">
        <v>45356</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13499-2023</t>
        </is>
      </c>
      <c r="B1894" s="1" t="n">
        <v>45005</v>
      </c>
      <c r="C1894" s="1" t="n">
        <v>45356</v>
      </c>
      <c r="D1894" t="inlineStr">
        <is>
          <t>VÄSTERNORRLANDS LÄN</t>
        </is>
      </c>
      <c r="E1894" t="inlineStr">
        <is>
          <t>SOLLEFTEÅ</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13565-2023</t>
        </is>
      </c>
      <c r="B1895" s="1" t="n">
        <v>45005</v>
      </c>
      <c r="C1895" s="1" t="n">
        <v>45356</v>
      </c>
      <c r="D1895" t="inlineStr">
        <is>
          <t>VÄSTERNORRLANDS LÄN</t>
        </is>
      </c>
      <c r="E1895" t="inlineStr">
        <is>
          <t>SOLLEFTEÅ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13689-2023</t>
        </is>
      </c>
      <c r="B1896" s="1" t="n">
        <v>45006</v>
      </c>
      <c r="C1896" s="1" t="n">
        <v>45356</v>
      </c>
      <c r="D1896" t="inlineStr">
        <is>
          <t>VÄSTERNORRLANDS LÄN</t>
        </is>
      </c>
      <c r="E1896" t="inlineStr">
        <is>
          <t>SOLLEFTEÅ</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13695-2023</t>
        </is>
      </c>
      <c r="B1897" s="1" t="n">
        <v>45006</v>
      </c>
      <c r="C1897" s="1" t="n">
        <v>45356</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13697-2023</t>
        </is>
      </c>
      <c r="B1898" s="1" t="n">
        <v>45006</v>
      </c>
      <c r="C1898" s="1" t="n">
        <v>45356</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14109-2023</t>
        </is>
      </c>
      <c r="B1899" s="1" t="n">
        <v>45008</v>
      </c>
      <c r="C1899" s="1" t="n">
        <v>45356</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14134-2023</t>
        </is>
      </c>
      <c r="B1900" s="1" t="n">
        <v>45008</v>
      </c>
      <c r="C1900" s="1" t="n">
        <v>45356</v>
      </c>
      <c r="D1900" t="inlineStr">
        <is>
          <t>VÄSTERNORRLANDS LÄN</t>
        </is>
      </c>
      <c r="E1900" t="inlineStr">
        <is>
          <t>SOLLEFTEÅ</t>
        </is>
      </c>
      <c r="F1900" t="inlineStr">
        <is>
          <t>Övriga Aktiebolag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14718-2023</t>
        </is>
      </c>
      <c r="B1901" s="1" t="n">
        <v>45012</v>
      </c>
      <c r="C1901" s="1" t="n">
        <v>45356</v>
      </c>
      <c r="D1901" t="inlineStr">
        <is>
          <t>VÄSTERNORRLANDS LÄN</t>
        </is>
      </c>
      <c r="E1901" t="inlineStr">
        <is>
          <t>SOLLEFTEÅ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14675-2023</t>
        </is>
      </c>
      <c r="B1902" s="1" t="n">
        <v>45014</v>
      </c>
      <c r="C1902" s="1" t="n">
        <v>45356</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14668-2023</t>
        </is>
      </c>
      <c r="B1903" s="1" t="n">
        <v>45014</v>
      </c>
      <c r="C1903" s="1" t="n">
        <v>45356</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14674-2023</t>
        </is>
      </c>
      <c r="B1904" s="1" t="n">
        <v>45013</v>
      </c>
      <c r="C1904" s="1" t="n">
        <v>45356</v>
      </c>
      <c r="D1904" t="inlineStr">
        <is>
          <t>VÄSTERNORRLANDS LÄN</t>
        </is>
      </c>
      <c r="E1904" t="inlineStr">
        <is>
          <t>SOLLEFTEÅ</t>
        </is>
      </c>
      <c r="F1904" t="inlineStr">
        <is>
          <t>Övriga statliga verk och myndigheter</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14937-2023</t>
        </is>
      </c>
      <c r="B1905" s="1" t="n">
        <v>45014</v>
      </c>
      <c r="C1905" s="1" t="n">
        <v>45356</v>
      </c>
      <c r="D1905" t="inlineStr">
        <is>
          <t>VÄSTERNORRLANDS LÄN</t>
        </is>
      </c>
      <c r="E1905" t="inlineStr">
        <is>
          <t>SOLLEFTEÅ</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14859-2023</t>
        </is>
      </c>
      <c r="B1906" s="1" t="n">
        <v>45015</v>
      </c>
      <c r="C1906" s="1" t="n">
        <v>45356</v>
      </c>
      <c r="D1906" t="inlineStr">
        <is>
          <t>VÄSTERNORRLANDS LÄN</t>
        </is>
      </c>
      <c r="E1906" t="inlineStr">
        <is>
          <t>SOLLEFTEÅ</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14875-2023</t>
        </is>
      </c>
      <c r="B1907" s="1" t="n">
        <v>45015</v>
      </c>
      <c r="C1907" s="1" t="n">
        <v>45356</v>
      </c>
      <c r="D1907" t="inlineStr">
        <is>
          <t>VÄSTERNORRLANDS LÄN</t>
        </is>
      </c>
      <c r="E1907" t="inlineStr">
        <is>
          <t>SOLLEFTEÅ</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15080-2023</t>
        </is>
      </c>
      <c r="B1908" s="1" t="n">
        <v>45016</v>
      </c>
      <c r="C1908" s="1" t="n">
        <v>45356</v>
      </c>
      <c r="D1908" t="inlineStr">
        <is>
          <t>VÄSTERNORRLANDS LÄN</t>
        </is>
      </c>
      <c r="E1908" t="inlineStr">
        <is>
          <t>SOLLEFTEÅ</t>
        </is>
      </c>
      <c r="F1908" t="inlineStr">
        <is>
          <t>SCA</t>
        </is>
      </c>
      <c r="G1908" t="n">
        <v>33.6</v>
      </c>
      <c r="H1908" t="n">
        <v>0</v>
      </c>
      <c r="I1908" t="n">
        <v>0</v>
      </c>
      <c r="J1908" t="n">
        <v>0</v>
      </c>
      <c r="K1908" t="n">
        <v>0</v>
      </c>
      <c r="L1908" t="n">
        <v>0</v>
      </c>
      <c r="M1908" t="n">
        <v>0</v>
      </c>
      <c r="N1908" t="n">
        <v>0</v>
      </c>
      <c r="O1908" t="n">
        <v>0</v>
      </c>
      <c r="P1908" t="n">
        <v>0</v>
      </c>
      <c r="Q1908" t="n">
        <v>0</v>
      </c>
      <c r="R1908" s="2" t="inlineStr"/>
    </row>
    <row r="1909" ht="15" customHeight="1">
      <c r="A1909" t="inlineStr">
        <is>
          <t>A 15632-2023</t>
        </is>
      </c>
      <c r="B1909" s="1" t="n">
        <v>45019</v>
      </c>
      <c r="C1909" s="1" t="n">
        <v>45356</v>
      </c>
      <c r="D1909" t="inlineStr">
        <is>
          <t>VÄSTERNORRLANDS LÄN</t>
        </is>
      </c>
      <c r="E1909" t="inlineStr">
        <is>
          <t>SOLLEFTEÅ</t>
        </is>
      </c>
      <c r="G1909" t="n">
        <v>12.8</v>
      </c>
      <c r="H1909" t="n">
        <v>0</v>
      </c>
      <c r="I1909" t="n">
        <v>0</v>
      </c>
      <c r="J1909" t="n">
        <v>0</v>
      </c>
      <c r="K1909" t="n">
        <v>0</v>
      </c>
      <c r="L1909" t="n">
        <v>0</v>
      </c>
      <c r="M1909" t="n">
        <v>0</v>
      </c>
      <c r="N1909" t="n">
        <v>0</v>
      </c>
      <c r="O1909" t="n">
        <v>0</v>
      </c>
      <c r="P1909" t="n">
        <v>0</v>
      </c>
      <c r="Q1909" t="n">
        <v>0</v>
      </c>
      <c r="R1909" s="2" t="inlineStr"/>
    </row>
    <row r="1910" ht="15" customHeight="1">
      <c r="A1910" t="inlineStr">
        <is>
          <t>A 15723-2023</t>
        </is>
      </c>
      <c r="B1910" s="1" t="n">
        <v>45020</v>
      </c>
      <c r="C1910" s="1" t="n">
        <v>45356</v>
      </c>
      <c r="D1910" t="inlineStr">
        <is>
          <t>VÄSTERNORRLANDS LÄN</t>
        </is>
      </c>
      <c r="E1910" t="inlineStr">
        <is>
          <t>SOLLEFTEÅ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15978-2023</t>
        </is>
      </c>
      <c r="B1911" s="1" t="n">
        <v>45023</v>
      </c>
      <c r="C1911" s="1" t="n">
        <v>45356</v>
      </c>
      <c r="D1911" t="inlineStr">
        <is>
          <t>VÄSTERNORRLANDS LÄN</t>
        </is>
      </c>
      <c r="E1911" t="inlineStr">
        <is>
          <t>SOLLEFTEÅ</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15987-2023</t>
        </is>
      </c>
      <c r="B1912" s="1" t="n">
        <v>45023</v>
      </c>
      <c r="C1912" s="1" t="n">
        <v>45356</v>
      </c>
      <c r="D1912" t="inlineStr">
        <is>
          <t>VÄSTERNORRLANDS LÄN</t>
        </is>
      </c>
      <c r="E1912" t="inlineStr">
        <is>
          <t>SOLLEFTEÅ</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15998-2023</t>
        </is>
      </c>
      <c r="B1913" s="1" t="n">
        <v>45024</v>
      </c>
      <c r="C1913" s="1" t="n">
        <v>45356</v>
      </c>
      <c r="D1913" t="inlineStr">
        <is>
          <t>VÄSTERNORRLANDS LÄN</t>
        </is>
      </c>
      <c r="E1913" t="inlineStr">
        <is>
          <t>SOLLEFTEÅ</t>
        </is>
      </c>
      <c r="F1913" t="inlineStr">
        <is>
          <t>SCA</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16189-2023</t>
        </is>
      </c>
      <c r="B1914" s="1" t="n">
        <v>45028</v>
      </c>
      <c r="C1914" s="1" t="n">
        <v>45356</v>
      </c>
      <c r="D1914" t="inlineStr">
        <is>
          <t>VÄSTERNORRLANDS LÄN</t>
        </is>
      </c>
      <c r="E1914" t="inlineStr">
        <is>
          <t>SOLLEFTEÅ</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16190-2023</t>
        </is>
      </c>
      <c r="B1915" s="1" t="n">
        <v>45028</v>
      </c>
      <c r="C1915" s="1" t="n">
        <v>45356</v>
      </c>
      <c r="D1915" t="inlineStr">
        <is>
          <t>VÄSTERNORRLANDS LÄN</t>
        </is>
      </c>
      <c r="E1915" t="inlineStr">
        <is>
          <t>SOLLEFTEÅ</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16196-2023</t>
        </is>
      </c>
      <c r="B1916" s="1" t="n">
        <v>45028</v>
      </c>
      <c r="C1916" s="1" t="n">
        <v>45356</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16370-2023</t>
        </is>
      </c>
      <c r="B1917" s="1" t="n">
        <v>45029</v>
      </c>
      <c r="C1917" s="1" t="n">
        <v>45356</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16376-2023</t>
        </is>
      </c>
      <c r="B1918" s="1" t="n">
        <v>45029</v>
      </c>
      <c r="C1918" s="1" t="n">
        <v>45356</v>
      </c>
      <c r="D1918" t="inlineStr">
        <is>
          <t>VÄSTERNORRLANDS LÄN</t>
        </is>
      </c>
      <c r="E1918" t="inlineStr">
        <is>
          <t>SOLLEFTEÅ</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16562-2023</t>
        </is>
      </c>
      <c r="B1919" s="1" t="n">
        <v>45029</v>
      </c>
      <c r="C1919" s="1" t="n">
        <v>45356</v>
      </c>
      <c r="D1919" t="inlineStr">
        <is>
          <t>VÄSTERNORRLANDS LÄN</t>
        </is>
      </c>
      <c r="E1919" t="inlineStr">
        <is>
          <t>SOLLEFTEÅ</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16760-2023</t>
        </is>
      </c>
      <c r="B1920" s="1" t="n">
        <v>45030</v>
      </c>
      <c r="C1920" s="1" t="n">
        <v>45356</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17007-2023</t>
        </is>
      </c>
      <c r="B1921" s="1" t="n">
        <v>45034</v>
      </c>
      <c r="C1921" s="1" t="n">
        <v>45356</v>
      </c>
      <c r="D1921" t="inlineStr">
        <is>
          <t>VÄSTERNORRLANDS LÄN</t>
        </is>
      </c>
      <c r="E1921" t="inlineStr">
        <is>
          <t>SOLLEFTEÅ</t>
        </is>
      </c>
      <c r="F1921" t="inlineStr">
        <is>
          <t>SCA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17064-2023</t>
        </is>
      </c>
      <c r="B1922" s="1" t="n">
        <v>45034</v>
      </c>
      <c r="C1922" s="1" t="n">
        <v>45356</v>
      </c>
      <c r="D1922" t="inlineStr">
        <is>
          <t>VÄSTERNORRLANDS LÄN</t>
        </is>
      </c>
      <c r="E1922" t="inlineStr">
        <is>
          <t>SOLLEFTEÅ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17218-2023</t>
        </is>
      </c>
      <c r="B1923" s="1" t="n">
        <v>45035</v>
      </c>
      <c r="C1923" s="1" t="n">
        <v>45356</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17219-2023</t>
        </is>
      </c>
      <c r="B1924" s="1" t="n">
        <v>45034</v>
      </c>
      <c r="C1924" s="1" t="n">
        <v>45356</v>
      </c>
      <c r="D1924" t="inlineStr">
        <is>
          <t>VÄSTERNORRLANDS LÄN</t>
        </is>
      </c>
      <c r="E1924" t="inlineStr">
        <is>
          <t>SOLLEFTEÅ</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17416-2023</t>
        </is>
      </c>
      <c r="B1925" s="1" t="n">
        <v>45036</v>
      </c>
      <c r="C1925" s="1" t="n">
        <v>45356</v>
      </c>
      <c r="D1925" t="inlineStr">
        <is>
          <t>VÄSTERNORRLANDS LÄN</t>
        </is>
      </c>
      <c r="E1925" t="inlineStr">
        <is>
          <t>SOLLEFTEÅ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17683-2023</t>
        </is>
      </c>
      <c r="B1926" s="1" t="n">
        <v>45035</v>
      </c>
      <c r="C1926" s="1" t="n">
        <v>45356</v>
      </c>
      <c r="D1926" t="inlineStr">
        <is>
          <t>VÄSTERNORRLANDS LÄN</t>
        </is>
      </c>
      <c r="E1926" t="inlineStr">
        <is>
          <t>SOLLEFTEÅ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17664-2023</t>
        </is>
      </c>
      <c r="B1927" s="1" t="n">
        <v>45037</v>
      </c>
      <c r="C1927" s="1" t="n">
        <v>45356</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18149-2023</t>
        </is>
      </c>
      <c r="B1928" s="1" t="n">
        <v>45040</v>
      </c>
      <c r="C1928" s="1" t="n">
        <v>45356</v>
      </c>
      <c r="D1928" t="inlineStr">
        <is>
          <t>VÄSTERNORRLANDS LÄN</t>
        </is>
      </c>
      <c r="E1928" t="inlineStr">
        <is>
          <t>SOLLEFTEÅ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18160-2023</t>
        </is>
      </c>
      <c r="B1929" s="1" t="n">
        <v>45040</v>
      </c>
      <c r="C1929" s="1" t="n">
        <v>45356</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18167-2023</t>
        </is>
      </c>
      <c r="B1930" s="1" t="n">
        <v>45040</v>
      </c>
      <c r="C1930" s="1" t="n">
        <v>45356</v>
      </c>
      <c r="D1930" t="inlineStr">
        <is>
          <t>VÄSTERNORRLANDS LÄN</t>
        </is>
      </c>
      <c r="E1930" t="inlineStr">
        <is>
          <t>SOLLEFTEÅ</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18459-2023</t>
        </is>
      </c>
      <c r="B1931" s="1" t="n">
        <v>45041</v>
      </c>
      <c r="C1931" s="1" t="n">
        <v>45356</v>
      </c>
      <c r="D1931" t="inlineStr">
        <is>
          <t>VÄSTERNORRLANDS LÄN</t>
        </is>
      </c>
      <c r="E1931" t="inlineStr">
        <is>
          <t>SOLLEFTEÅ</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18378-2023</t>
        </is>
      </c>
      <c r="B1932" s="1" t="n">
        <v>45041</v>
      </c>
      <c r="C1932" s="1" t="n">
        <v>45356</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18456-2023</t>
        </is>
      </c>
      <c r="B1933" s="1" t="n">
        <v>45041</v>
      </c>
      <c r="C1933" s="1" t="n">
        <v>45356</v>
      </c>
      <c r="D1933" t="inlineStr">
        <is>
          <t>VÄSTERNORRLANDS LÄN</t>
        </is>
      </c>
      <c r="E1933" t="inlineStr">
        <is>
          <t>SOLLEFTEÅ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18861-2023</t>
        </is>
      </c>
      <c r="B1934" s="1" t="n">
        <v>45042</v>
      </c>
      <c r="C1934" s="1" t="n">
        <v>45356</v>
      </c>
      <c r="D1934" t="inlineStr">
        <is>
          <t>VÄSTERNORRLANDS LÄN</t>
        </is>
      </c>
      <c r="E1934" t="inlineStr">
        <is>
          <t>SOLLEFTEÅ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18762-2023</t>
        </is>
      </c>
      <c r="B1935" s="1" t="n">
        <v>45043</v>
      </c>
      <c r="C1935" s="1" t="n">
        <v>45356</v>
      </c>
      <c r="D1935" t="inlineStr">
        <is>
          <t>VÄSTERNORRLANDS LÄN</t>
        </is>
      </c>
      <c r="E1935" t="inlineStr">
        <is>
          <t>SOLLEFTEÅ</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18781-2023</t>
        </is>
      </c>
      <c r="B1936" s="1" t="n">
        <v>45043</v>
      </c>
      <c r="C1936" s="1" t="n">
        <v>45356</v>
      </c>
      <c r="D1936" t="inlineStr">
        <is>
          <t>VÄSTERNORRLANDS LÄN</t>
        </is>
      </c>
      <c r="E1936" t="inlineStr">
        <is>
          <t>SOLLEFTEÅ</t>
        </is>
      </c>
      <c r="F1936" t="inlineStr">
        <is>
          <t>SCA</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18785-2023</t>
        </is>
      </c>
      <c r="B1937" s="1" t="n">
        <v>45043</v>
      </c>
      <c r="C1937" s="1" t="n">
        <v>45356</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18753-2023</t>
        </is>
      </c>
      <c r="B1938" s="1" t="n">
        <v>45044</v>
      </c>
      <c r="C1938" s="1" t="n">
        <v>45356</v>
      </c>
      <c r="D1938" t="inlineStr">
        <is>
          <t>VÄSTERNORRLANDS LÄN</t>
        </is>
      </c>
      <c r="E1938" t="inlineStr">
        <is>
          <t>SOLLEFTEÅ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18761-2023</t>
        </is>
      </c>
      <c r="B1939" s="1" t="n">
        <v>45043</v>
      </c>
      <c r="C1939" s="1" t="n">
        <v>45356</v>
      </c>
      <c r="D1939" t="inlineStr">
        <is>
          <t>VÄSTERNORRLANDS LÄN</t>
        </is>
      </c>
      <c r="E1939" t="inlineStr">
        <is>
          <t>SOLLEFTEÅ</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18782-2023</t>
        </is>
      </c>
      <c r="B1940" s="1" t="n">
        <v>45044</v>
      </c>
      <c r="C1940" s="1" t="n">
        <v>45356</v>
      </c>
      <c r="D1940" t="inlineStr">
        <is>
          <t>VÄSTERNORRLANDS LÄN</t>
        </is>
      </c>
      <c r="E1940" t="inlineStr">
        <is>
          <t>SOLLEFTEÅ</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18786-2023</t>
        </is>
      </c>
      <c r="B1941" s="1" t="n">
        <v>45043</v>
      </c>
      <c r="C1941" s="1" t="n">
        <v>45356</v>
      </c>
      <c r="D1941" t="inlineStr">
        <is>
          <t>VÄSTERNORRLANDS LÄN</t>
        </is>
      </c>
      <c r="E1941" t="inlineStr">
        <is>
          <t>SOLLEFTEÅ</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18755-2023</t>
        </is>
      </c>
      <c r="B1942" s="1" t="n">
        <v>45043</v>
      </c>
      <c r="C1942" s="1" t="n">
        <v>45356</v>
      </c>
      <c r="D1942" t="inlineStr">
        <is>
          <t>VÄSTERNORRLANDS LÄN</t>
        </is>
      </c>
      <c r="E1942" t="inlineStr">
        <is>
          <t>SOLLEFTEÅ</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18780-2023</t>
        </is>
      </c>
      <c r="B1943" s="1" t="n">
        <v>45044</v>
      </c>
      <c r="C1943" s="1" t="n">
        <v>45356</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18784-2023</t>
        </is>
      </c>
      <c r="B1944" s="1" t="n">
        <v>45044</v>
      </c>
      <c r="C1944" s="1" t="n">
        <v>45356</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18980-2023</t>
        </is>
      </c>
      <c r="B1945" s="1" t="n">
        <v>45044</v>
      </c>
      <c r="C1945" s="1" t="n">
        <v>45356</v>
      </c>
      <c r="D1945" t="inlineStr">
        <is>
          <t>VÄSTERNORRLANDS LÄN</t>
        </is>
      </c>
      <c r="E1945" t="inlineStr">
        <is>
          <t>SOLLEFTEÅ</t>
        </is>
      </c>
      <c r="F1945" t="inlineStr">
        <is>
          <t>Övriga statliga verk och myndigheter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18989-2023</t>
        </is>
      </c>
      <c r="B1946" s="1" t="n">
        <v>45044</v>
      </c>
      <c r="C1946" s="1" t="n">
        <v>45356</v>
      </c>
      <c r="D1946" t="inlineStr">
        <is>
          <t>VÄSTERNORRLANDS LÄN</t>
        </is>
      </c>
      <c r="E1946" t="inlineStr">
        <is>
          <t>SOLLEFTEÅ</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19154-2023</t>
        </is>
      </c>
      <c r="B1947" s="1" t="n">
        <v>45044</v>
      </c>
      <c r="C1947" s="1" t="n">
        <v>45356</v>
      </c>
      <c r="D1947" t="inlineStr">
        <is>
          <t>VÄSTERNORRLANDS LÄN</t>
        </is>
      </c>
      <c r="E1947" t="inlineStr">
        <is>
          <t>SOLLEFTEÅ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19433-2023</t>
        </is>
      </c>
      <c r="B1948" s="1" t="n">
        <v>45049</v>
      </c>
      <c r="C1948" s="1" t="n">
        <v>45356</v>
      </c>
      <c r="D1948" t="inlineStr">
        <is>
          <t>VÄSTERNORRLANDS LÄN</t>
        </is>
      </c>
      <c r="E1948" t="inlineStr">
        <is>
          <t>SOLLEFTEÅ</t>
        </is>
      </c>
      <c r="F1948" t="inlineStr">
        <is>
          <t>SCA</t>
        </is>
      </c>
      <c r="G1948" t="n">
        <v>12.3</v>
      </c>
      <c r="H1948" t="n">
        <v>0</v>
      </c>
      <c r="I1948" t="n">
        <v>0</v>
      </c>
      <c r="J1948" t="n">
        <v>0</v>
      </c>
      <c r="K1948" t="n">
        <v>0</v>
      </c>
      <c r="L1948" t="n">
        <v>0</v>
      </c>
      <c r="M1948" t="n">
        <v>0</v>
      </c>
      <c r="N1948" t="n">
        <v>0</v>
      </c>
      <c r="O1948" t="n">
        <v>0</v>
      </c>
      <c r="P1948" t="n">
        <v>0</v>
      </c>
      <c r="Q1948" t="n">
        <v>0</v>
      </c>
      <c r="R1948" s="2" t="inlineStr"/>
    </row>
    <row r="1949" ht="15" customHeight="1">
      <c r="A1949" t="inlineStr">
        <is>
          <t>A 19434-2023</t>
        </is>
      </c>
      <c r="B1949" s="1" t="n">
        <v>45049</v>
      </c>
      <c r="C1949" s="1" t="n">
        <v>45356</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19609-2023</t>
        </is>
      </c>
      <c r="B1950" s="1" t="n">
        <v>45050</v>
      </c>
      <c r="C1950" s="1" t="n">
        <v>45356</v>
      </c>
      <c r="D1950" t="inlineStr">
        <is>
          <t>VÄSTERNORRLANDS LÄN</t>
        </is>
      </c>
      <c r="E1950" t="inlineStr">
        <is>
          <t>SOLLEFTEÅ</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19610-2023</t>
        </is>
      </c>
      <c r="B1951" s="1" t="n">
        <v>45050</v>
      </c>
      <c r="C1951" s="1" t="n">
        <v>45356</v>
      </c>
      <c r="D1951" t="inlineStr">
        <is>
          <t>VÄSTERNORRLANDS LÄN</t>
        </is>
      </c>
      <c r="E1951" t="inlineStr">
        <is>
          <t>SOLLEFTEÅ</t>
        </is>
      </c>
      <c r="G1951" t="n">
        <v>10.4</v>
      </c>
      <c r="H1951" t="n">
        <v>0</v>
      </c>
      <c r="I1951" t="n">
        <v>0</v>
      </c>
      <c r="J1951" t="n">
        <v>0</v>
      </c>
      <c r="K1951" t="n">
        <v>0</v>
      </c>
      <c r="L1951" t="n">
        <v>0</v>
      </c>
      <c r="M1951" t="n">
        <v>0</v>
      </c>
      <c r="N1951" t="n">
        <v>0</v>
      </c>
      <c r="O1951" t="n">
        <v>0</v>
      </c>
      <c r="P1951" t="n">
        <v>0</v>
      </c>
      <c r="Q1951" t="n">
        <v>0</v>
      </c>
      <c r="R1951" s="2" t="inlineStr"/>
    </row>
    <row r="1952" ht="15" customHeight="1">
      <c r="A1952" t="inlineStr">
        <is>
          <t>A 19615-2023</t>
        </is>
      </c>
      <c r="B1952" s="1" t="n">
        <v>45051</v>
      </c>
      <c r="C1952" s="1" t="n">
        <v>45356</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19625-2023</t>
        </is>
      </c>
      <c r="B1953" s="1" t="n">
        <v>45050</v>
      </c>
      <c r="C1953" s="1" t="n">
        <v>45356</v>
      </c>
      <c r="D1953" t="inlineStr">
        <is>
          <t>VÄSTERNORRLANDS LÄN</t>
        </is>
      </c>
      <c r="E1953" t="inlineStr">
        <is>
          <t>SOLLEFTEÅ</t>
        </is>
      </c>
      <c r="F1953" t="inlineStr">
        <is>
          <t>SCA</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19614-2023</t>
        </is>
      </c>
      <c r="B1954" s="1" t="n">
        <v>45050</v>
      </c>
      <c r="C1954" s="1" t="n">
        <v>45356</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19816-2023</t>
        </is>
      </c>
      <c r="B1955" s="1" t="n">
        <v>45052</v>
      </c>
      <c r="C1955" s="1" t="n">
        <v>45356</v>
      </c>
      <c r="D1955" t="inlineStr">
        <is>
          <t>VÄSTERNORRLANDS LÄN</t>
        </is>
      </c>
      <c r="E1955" t="inlineStr">
        <is>
          <t>SOLLEFTEÅ</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19829-2023</t>
        </is>
      </c>
      <c r="B1956" s="1" t="n">
        <v>45052</v>
      </c>
      <c r="C1956" s="1" t="n">
        <v>45356</v>
      </c>
      <c r="D1956" t="inlineStr">
        <is>
          <t>VÄSTERNORRLANDS LÄN</t>
        </is>
      </c>
      <c r="E1956" t="inlineStr">
        <is>
          <t>SOLLEFTEÅ</t>
        </is>
      </c>
      <c r="F1956" t="inlineStr">
        <is>
          <t>SCA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19830-2023</t>
        </is>
      </c>
      <c r="B1957" s="1" t="n">
        <v>45052</v>
      </c>
      <c r="C1957" s="1" t="n">
        <v>45356</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20089-2023</t>
        </is>
      </c>
      <c r="B1958" s="1" t="n">
        <v>45055</v>
      </c>
      <c r="C1958" s="1" t="n">
        <v>45356</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20269-2023</t>
        </is>
      </c>
      <c r="B1959" s="1" t="n">
        <v>45055</v>
      </c>
      <c r="C1959" s="1" t="n">
        <v>45356</v>
      </c>
      <c r="D1959" t="inlineStr">
        <is>
          <t>VÄSTERNORRLANDS LÄN</t>
        </is>
      </c>
      <c r="E1959" t="inlineStr">
        <is>
          <t>SOLLEFTEÅ</t>
        </is>
      </c>
      <c r="F1959" t="inlineStr">
        <is>
          <t>SCA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20268-2023</t>
        </is>
      </c>
      <c r="B1960" s="1" t="n">
        <v>45055</v>
      </c>
      <c r="C1960" s="1" t="n">
        <v>45356</v>
      </c>
      <c r="D1960" t="inlineStr">
        <is>
          <t>VÄSTERNORRLANDS LÄN</t>
        </is>
      </c>
      <c r="E1960" t="inlineStr">
        <is>
          <t>SOLLEFTEÅ</t>
        </is>
      </c>
      <c r="F1960" t="inlineStr">
        <is>
          <t>SCA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20266-2023</t>
        </is>
      </c>
      <c r="B1961" s="1" t="n">
        <v>45055</v>
      </c>
      <c r="C1961" s="1" t="n">
        <v>45356</v>
      </c>
      <c r="D1961" t="inlineStr">
        <is>
          <t>VÄSTERNORRLANDS LÄN</t>
        </is>
      </c>
      <c r="E1961" t="inlineStr">
        <is>
          <t>SOLLEFTEÅ</t>
        </is>
      </c>
      <c r="F1961" t="inlineStr">
        <is>
          <t>SCA</t>
        </is>
      </c>
      <c r="G1961" t="n">
        <v>21.3</v>
      </c>
      <c r="H1961" t="n">
        <v>0</v>
      </c>
      <c r="I1961" t="n">
        <v>0</v>
      </c>
      <c r="J1961" t="n">
        <v>0</v>
      </c>
      <c r="K1961" t="n">
        <v>0</v>
      </c>
      <c r="L1961" t="n">
        <v>0</v>
      </c>
      <c r="M1961" t="n">
        <v>0</v>
      </c>
      <c r="N1961" t="n">
        <v>0</v>
      </c>
      <c r="O1961" t="n">
        <v>0</v>
      </c>
      <c r="P1961" t="n">
        <v>0</v>
      </c>
      <c r="Q1961" t="n">
        <v>0</v>
      </c>
      <c r="R1961" s="2" t="inlineStr"/>
    </row>
    <row r="1962" ht="15" customHeight="1">
      <c r="A1962" t="inlineStr">
        <is>
          <t>A 20271-2023</t>
        </is>
      </c>
      <c r="B1962" s="1" t="n">
        <v>45056</v>
      </c>
      <c r="C1962" s="1" t="n">
        <v>45356</v>
      </c>
      <c r="D1962" t="inlineStr">
        <is>
          <t>VÄSTERNORRLANDS LÄN</t>
        </is>
      </c>
      <c r="E1962" t="inlineStr">
        <is>
          <t>SOLLEFTEÅ</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20461-2023</t>
        </is>
      </c>
      <c r="B1963" s="1" t="n">
        <v>45057</v>
      </c>
      <c r="C1963" s="1" t="n">
        <v>45356</v>
      </c>
      <c r="D1963" t="inlineStr">
        <is>
          <t>VÄSTERNORRLANDS LÄN</t>
        </is>
      </c>
      <c r="E1963" t="inlineStr">
        <is>
          <t>SOLLEFTEÅ</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20460-2023</t>
        </is>
      </c>
      <c r="B1964" s="1" t="n">
        <v>45057</v>
      </c>
      <c r="C1964" s="1" t="n">
        <v>45356</v>
      </c>
      <c r="D1964" t="inlineStr">
        <is>
          <t>VÄSTERNORRLANDS LÄN</t>
        </is>
      </c>
      <c r="E1964" t="inlineStr">
        <is>
          <t>SOLLEFTEÅ</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20599-2023</t>
        </is>
      </c>
      <c r="B1965" s="1" t="n">
        <v>45058</v>
      </c>
      <c r="C1965" s="1" t="n">
        <v>45356</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20598-2023</t>
        </is>
      </c>
      <c r="B1966" s="1" t="n">
        <v>45058</v>
      </c>
      <c r="C1966" s="1" t="n">
        <v>45356</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21195-2023</t>
        </is>
      </c>
      <c r="B1967" s="1" t="n">
        <v>45057</v>
      </c>
      <c r="C1967" s="1" t="n">
        <v>45356</v>
      </c>
      <c r="D1967" t="inlineStr">
        <is>
          <t>VÄSTERNORRLANDS LÄN</t>
        </is>
      </c>
      <c r="E1967" t="inlineStr">
        <is>
          <t>SOLLEFTEÅ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20629-2023</t>
        </is>
      </c>
      <c r="B1968" s="1" t="n">
        <v>45058</v>
      </c>
      <c r="C1968" s="1" t="n">
        <v>45356</v>
      </c>
      <c r="D1968" t="inlineStr">
        <is>
          <t>VÄSTERNORRLANDS LÄN</t>
        </is>
      </c>
      <c r="E1968" t="inlineStr">
        <is>
          <t>SOLLEFTEÅ</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20628-2023</t>
        </is>
      </c>
      <c r="B1969" s="1" t="n">
        <v>45058</v>
      </c>
      <c r="C1969" s="1" t="n">
        <v>45356</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21230-2023</t>
        </is>
      </c>
      <c r="B1970" s="1" t="n">
        <v>45057</v>
      </c>
      <c r="C1970" s="1" t="n">
        <v>45356</v>
      </c>
      <c r="D1970" t="inlineStr">
        <is>
          <t>VÄSTERNORRLANDS LÄN</t>
        </is>
      </c>
      <c r="E1970" t="inlineStr">
        <is>
          <t>SOLLEFTEÅ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20754-2023</t>
        </is>
      </c>
      <c r="B1971" s="1" t="n">
        <v>45058</v>
      </c>
      <c r="C1971" s="1" t="n">
        <v>45356</v>
      </c>
      <c r="D1971" t="inlineStr">
        <is>
          <t>VÄSTERNORRLANDS LÄN</t>
        </is>
      </c>
      <c r="E1971" t="inlineStr">
        <is>
          <t>SOLLEFTEÅ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20859-2023</t>
        </is>
      </c>
      <c r="B1972" s="1" t="n">
        <v>45059</v>
      </c>
      <c r="C1972" s="1" t="n">
        <v>45356</v>
      </c>
      <c r="D1972" t="inlineStr">
        <is>
          <t>VÄSTERNORRLANDS LÄN</t>
        </is>
      </c>
      <c r="E1972" t="inlineStr">
        <is>
          <t>SOLLEFTEÅ</t>
        </is>
      </c>
      <c r="F1972" t="inlineStr">
        <is>
          <t>SCA</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20862-2023</t>
        </is>
      </c>
      <c r="B1973" s="1" t="n">
        <v>45059</v>
      </c>
      <c r="C1973" s="1" t="n">
        <v>45356</v>
      </c>
      <c r="D1973" t="inlineStr">
        <is>
          <t>VÄSTERNORRLANDS LÄN</t>
        </is>
      </c>
      <c r="E1973" t="inlineStr">
        <is>
          <t>SOLLEFTEÅ</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20817-2023</t>
        </is>
      </c>
      <c r="B1974" s="1" t="n">
        <v>45058</v>
      </c>
      <c r="C1974" s="1" t="n">
        <v>45356</v>
      </c>
      <c r="D1974" t="inlineStr">
        <is>
          <t>VÄSTERNORRLANDS LÄN</t>
        </is>
      </c>
      <c r="E1974" t="inlineStr">
        <is>
          <t>SOLLEFTEÅ</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20873-2023</t>
        </is>
      </c>
      <c r="B1975" s="1" t="n">
        <v>45059</v>
      </c>
      <c r="C1975" s="1" t="n">
        <v>45356</v>
      </c>
      <c r="D1975" t="inlineStr">
        <is>
          <t>VÄSTERNORRLANDS LÄN</t>
        </is>
      </c>
      <c r="E1975" t="inlineStr">
        <is>
          <t>SOLLEFTEÅ</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20878-2023</t>
        </is>
      </c>
      <c r="B1976" s="1" t="n">
        <v>45059</v>
      </c>
      <c r="C1976" s="1" t="n">
        <v>45356</v>
      </c>
      <c r="D1976" t="inlineStr">
        <is>
          <t>VÄSTERNORRLANDS LÄN</t>
        </is>
      </c>
      <c r="E1976" t="inlineStr">
        <is>
          <t>SOLLEFTEÅ</t>
        </is>
      </c>
      <c r="F1976" t="inlineStr">
        <is>
          <t>SCA</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20872-2023</t>
        </is>
      </c>
      <c r="B1977" s="1" t="n">
        <v>45058</v>
      </c>
      <c r="C1977" s="1" t="n">
        <v>45356</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21513-2023</t>
        </is>
      </c>
      <c r="B1978" s="1" t="n">
        <v>45061</v>
      </c>
      <c r="C1978" s="1" t="n">
        <v>45356</v>
      </c>
      <c r="D1978" t="inlineStr">
        <is>
          <t>VÄSTERNORRLANDS LÄN</t>
        </is>
      </c>
      <c r="E1978" t="inlineStr">
        <is>
          <t>SOLLEFTEÅ</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21349-2023</t>
        </is>
      </c>
      <c r="B1979" s="1" t="n">
        <v>45063</v>
      </c>
      <c r="C1979" s="1" t="n">
        <v>45356</v>
      </c>
      <c r="D1979" t="inlineStr">
        <is>
          <t>VÄSTERNORRLANDS LÄN</t>
        </is>
      </c>
      <c r="E1979" t="inlineStr">
        <is>
          <t>SOLLEFTEÅ</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21346-2023</t>
        </is>
      </c>
      <c r="B1980" s="1" t="n">
        <v>45063</v>
      </c>
      <c r="C1980" s="1" t="n">
        <v>45356</v>
      </c>
      <c r="D1980" t="inlineStr">
        <is>
          <t>VÄSTERNORRLANDS LÄN</t>
        </is>
      </c>
      <c r="E1980" t="inlineStr">
        <is>
          <t>SOLLEFTEÅ</t>
        </is>
      </c>
      <c r="F1980" t="inlineStr">
        <is>
          <t>SCA</t>
        </is>
      </c>
      <c r="G1980" t="n">
        <v>15.5</v>
      </c>
      <c r="H1980" t="n">
        <v>0</v>
      </c>
      <c r="I1980" t="n">
        <v>0</v>
      </c>
      <c r="J1980" t="n">
        <v>0</v>
      </c>
      <c r="K1980" t="n">
        <v>0</v>
      </c>
      <c r="L1980" t="n">
        <v>0</v>
      </c>
      <c r="M1980" t="n">
        <v>0</v>
      </c>
      <c r="N1980" t="n">
        <v>0</v>
      </c>
      <c r="O1980" t="n">
        <v>0</v>
      </c>
      <c r="P1980" t="n">
        <v>0</v>
      </c>
      <c r="Q1980" t="n">
        <v>0</v>
      </c>
      <c r="R1980" s="2" t="inlineStr"/>
    </row>
    <row r="1981" ht="15" customHeight="1">
      <c r="A1981" t="inlineStr">
        <is>
          <t>A 21340-2023</t>
        </is>
      </c>
      <c r="B1981" s="1" t="n">
        <v>45062</v>
      </c>
      <c r="C1981" s="1" t="n">
        <v>45356</v>
      </c>
      <c r="D1981" t="inlineStr">
        <is>
          <t>VÄSTERNORRLANDS LÄN</t>
        </is>
      </c>
      <c r="E1981" t="inlineStr">
        <is>
          <t>SOLLEFTEÅ</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21344-2023</t>
        </is>
      </c>
      <c r="B1982" s="1" t="n">
        <v>45062</v>
      </c>
      <c r="C1982" s="1" t="n">
        <v>45356</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21361-2023</t>
        </is>
      </c>
      <c r="B1983" s="1" t="n">
        <v>45063</v>
      </c>
      <c r="C1983" s="1" t="n">
        <v>45356</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21690-2023</t>
        </is>
      </c>
      <c r="B1984" s="1" t="n">
        <v>45064</v>
      </c>
      <c r="C1984" s="1" t="n">
        <v>45356</v>
      </c>
      <c r="D1984" t="inlineStr">
        <is>
          <t>VÄSTERNORRLANDS LÄN</t>
        </is>
      </c>
      <c r="E1984" t="inlineStr">
        <is>
          <t>SOLLEFTEÅ</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21674-2023</t>
        </is>
      </c>
      <c r="B1985" s="1" t="n">
        <v>45064</v>
      </c>
      <c r="C1985" s="1" t="n">
        <v>45356</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22008-2023</t>
        </is>
      </c>
      <c r="B1986" s="1" t="n">
        <v>45068</v>
      </c>
      <c r="C1986" s="1" t="n">
        <v>45356</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22220-2023</t>
        </is>
      </c>
      <c r="B1987" s="1" t="n">
        <v>45070</v>
      </c>
      <c r="C1987" s="1" t="n">
        <v>45356</v>
      </c>
      <c r="D1987" t="inlineStr">
        <is>
          <t>VÄSTERNORRLANDS LÄN</t>
        </is>
      </c>
      <c r="E1987" t="inlineStr">
        <is>
          <t>SOLLEFTEÅ</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22229-2023</t>
        </is>
      </c>
      <c r="B1988" s="1" t="n">
        <v>45070</v>
      </c>
      <c r="C1988" s="1" t="n">
        <v>45356</v>
      </c>
      <c r="D1988" t="inlineStr">
        <is>
          <t>VÄSTERNORRLANDS LÄN</t>
        </is>
      </c>
      <c r="E1988" t="inlineStr">
        <is>
          <t>SOLLEFTEÅ</t>
        </is>
      </c>
      <c r="F1988" t="inlineStr">
        <is>
          <t>SCA</t>
        </is>
      </c>
      <c r="G1988" t="n">
        <v>20.8</v>
      </c>
      <c r="H1988" t="n">
        <v>0</v>
      </c>
      <c r="I1988" t="n">
        <v>0</v>
      </c>
      <c r="J1988" t="n">
        <v>0</v>
      </c>
      <c r="K1988" t="n">
        <v>0</v>
      </c>
      <c r="L1988" t="n">
        <v>0</v>
      </c>
      <c r="M1988" t="n">
        <v>0</v>
      </c>
      <c r="N1988" t="n">
        <v>0</v>
      </c>
      <c r="O1988" t="n">
        <v>0</v>
      </c>
      <c r="P1988" t="n">
        <v>0</v>
      </c>
      <c r="Q1988" t="n">
        <v>0</v>
      </c>
      <c r="R1988" s="2" t="inlineStr"/>
    </row>
    <row r="1989" ht="15" customHeight="1">
      <c r="A1989" t="inlineStr">
        <is>
          <t>A 22750-2023</t>
        </is>
      </c>
      <c r="B1989" s="1" t="n">
        <v>45072</v>
      </c>
      <c r="C1989" s="1" t="n">
        <v>45356</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22994-2023</t>
        </is>
      </c>
      <c r="B1990" s="1" t="n">
        <v>45072</v>
      </c>
      <c r="C1990" s="1" t="n">
        <v>45356</v>
      </c>
      <c r="D1990" t="inlineStr">
        <is>
          <t>VÄSTERNORRLANDS LÄN</t>
        </is>
      </c>
      <c r="E1990" t="inlineStr">
        <is>
          <t>SOLLEFTEÅ</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22992-2023</t>
        </is>
      </c>
      <c r="B1991" s="1" t="n">
        <v>45072</v>
      </c>
      <c r="C1991" s="1" t="n">
        <v>45356</v>
      </c>
      <c r="D1991" t="inlineStr">
        <is>
          <t>VÄSTERNORRLANDS LÄN</t>
        </is>
      </c>
      <c r="E1991" t="inlineStr">
        <is>
          <t>SOLLEFTEÅ</t>
        </is>
      </c>
      <c r="F1991" t="inlineStr">
        <is>
          <t>SCA</t>
        </is>
      </c>
      <c r="G1991" t="n">
        <v>13.6</v>
      </c>
      <c r="H1991" t="n">
        <v>0</v>
      </c>
      <c r="I1991" t="n">
        <v>0</v>
      </c>
      <c r="J1991" t="n">
        <v>0</v>
      </c>
      <c r="K1991" t="n">
        <v>0</v>
      </c>
      <c r="L1991" t="n">
        <v>0</v>
      </c>
      <c r="M1991" t="n">
        <v>0</v>
      </c>
      <c r="N1991" t="n">
        <v>0</v>
      </c>
      <c r="O1991" t="n">
        <v>0</v>
      </c>
      <c r="P1991" t="n">
        <v>0</v>
      </c>
      <c r="Q1991" t="n">
        <v>0</v>
      </c>
      <c r="R1991" s="2" t="inlineStr"/>
    </row>
    <row r="1992" ht="15" customHeight="1">
      <c r="A1992" t="inlineStr">
        <is>
          <t>A 22995-2023</t>
        </is>
      </c>
      <c r="B1992" s="1" t="n">
        <v>45073</v>
      </c>
      <c r="C1992" s="1" t="n">
        <v>45356</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23488-2023</t>
        </is>
      </c>
      <c r="B1993" s="1" t="n">
        <v>45072</v>
      </c>
      <c r="C1993" s="1" t="n">
        <v>45356</v>
      </c>
      <c r="D1993" t="inlineStr">
        <is>
          <t>VÄSTERNORRLANDS LÄN</t>
        </is>
      </c>
      <c r="E1993" t="inlineStr">
        <is>
          <t>SOLLEFTEÅ</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23016-2023</t>
        </is>
      </c>
      <c r="B1994" s="1" t="n">
        <v>45073</v>
      </c>
      <c r="C1994" s="1" t="n">
        <v>45356</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23286-2023</t>
        </is>
      </c>
      <c r="B1995" s="1" t="n">
        <v>45075</v>
      </c>
      <c r="C1995" s="1" t="n">
        <v>45356</v>
      </c>
      <c r="D1995" t="inlineStr">
        <is>
          <t>VÄSTERNORRLANDS LÄN</t>
        </is>
      </c>
      <c r="E1995" t="inlineStr">
        <is>
          <t>SOLLEFTEÅ</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23277-2023</t>
        </is>
      </c>
      <c r="B1996" s="1" t="n">
        <v>45075</v>
      </c>
      <c r="C1996" s="1" t="n">
        <v>45356</v>
      </c>
      <c r="D1996" t="inlineStr">
        <is>
          <t>VÄSTERNORRLANDS LÄN</t>
        </is>
      </c>
      <c r="E1996" t="inlineStr">
        <is>
          <t>SOLLEFTEÅ</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23285-2023</t>
        </is>
      </c>
      <c r="B1997" s="1" t="n">
        <v>45075</v>
      </c>
      <c r="C1997" s="1" t="n">
        <v>45356</v>
      </c>
      <c r="D1997" t="inlineStr">
        <is>
          <t>VÄSTERNORRLANDS LÄN</t>
        </is>
      </c>
      <c r="E1997" t="inlineStr">
        <is>
          <t>SOLLEFTEÅ</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23289-2023</t>
        </is>
      </c>
      <c r="B1998" s="1" t="n">
        <v>45075</v>
      </c>
      <c r="C1998" s="1" t="n">
        <v>45356</v>
      </c>
      <c r="D1998" t="inlineStr">
        <is>
          <t>VÄSTERNORRLANDS LÄN</t>
        </is>
      </c>
      <c r="E1998" t="inlineStr">
        <is>
          <t>SOLLEFTEÅ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23287-2023</t>
        </is>
      </c>
      <c r="B1999" s="1" t="n">
        <v>45075</v>
      </c>
      <c r="C1999" s="1" t="n">
        <v>45356</v>
      </c>
      <c r="D1999" t="inlineStr">
        <is>
          <t>VÄSTERNORRLANDS LÄN</t>
        </is>
      </c>
      <c r="E1999" t="inlineStr">
        <is>
          <t>SOLLEFTEÅ</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23288-2023</t>
        </is>
      </c>
      <c r="B2000" s="1" t="n">
        <v>45075</v>
      </c>
      <c r="C2000" s="1" t="n">
        <v>45356</v>
      </c>
      <c r="D2000" t="inlineStr">
        <is>
          <t>VÄSTERNORRLANDS LÄN</t>
        </is>
      </c>
      <c r="E2000" t="inlineStr">
        <is>
          <t>SOLLEFTEÅ</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23523-2023</t>
        </is>
      </c>
      <c r="B2001" s="1" t="n">
        <v>45076</v>
      </c>
      <c r="C2001" s="1" t="n">
        <v>45356</v>
      </c>
      <c r="D2001" t="inlineStr">
        <is>
          <t>VÄSTERNORRLANDS LÄN</t>
        </is>
      </c>
      <c r="E2001" t="inlineStr">
        <is>
          <t>SOLLEFTEÅ</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23527-2023</t>
        </is>
      </c>
      <c r="B2002" s="1" t="n">
        <v>45076</v>
      </c>
      <c r="C2002" s="1" t="n">
        <v>45356</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24306-2023</t>
        </is>
      </c>
      <c r="B2003" s="1" t="n">
        <v>45080</v>
      </c>
      <c r="C2003" s="1" t="n">
        <v>45356</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24314-2023</t>
        </is>
      </c>
      <c r="B2004" s="1" t="n">
        <v>45079</v>
      </c>
      <c r="C2004" s="1" t="n">
        <v>45356</v>
      </c>
      <c r="D2004" t="inlineStr">
        <is>
          <t>VÄSTERNORRLANDS LÄN</t>
        </is>
      </c>
      <c r="E2004" t="inlineStr">
        <is>
          <t>SOLLEFTEÅ</t>
        </is>
      </c>
      <c r="F2004" t="inlineStr">
        <is>
          <t>SCA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25259-2023</t>
        </is>
      </c>
      <c r="B2005" s="1" t="n">
        <v>45079</v>
      </c>
      <c r="C2005" s="1" t="n">
        <v>45356</v>
      </c>
      <c r="D2005" t="inlineStr">
        <is>
          <t>VÄSTERNORRLANDS LÄN</t>
        </is>
      </c>
      <c r="E2005" t="inlineStr">
        <is>
          <t>SOLLEFTEÅ</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25267-2023</t>
        </is>
      </c>
      <c r="B2006" s="1" t="n">
        <v>45079</v>
      </c>
      <c r="C2006" s="1" t="n">
        <v>45356</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24548-2023</t>
        </is>
      </c>
      <c r="B2007" s="1" t="n">
        <v>45082</v>
      </c>
      <c r="C2007" s="1" t="n">
        <v>45356</v>
      </c>
      <c r="D2007" t="inlineStr">
        <is>
          <t>VÄSTERNORRLANDS LÄN</t>
        </is>
      </c>
      <c r="E2007" t="inlineStr">
        <is>
          <t>SOLLEFTEÅ</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25550-2023</t>
        </is>
      </c>
      <c r="B2008" s="1" t="n">
        <v>45082</v>
      </c>
      <c r="C2008" s="1" t="n">
        <v>45356</v>
      </c>
      <c r="D2008" t="inlineStr">
        <is>
          <t>VÄSTERNORRLANDS LÄN</t>
        </is>
      </c>
      <c r="E2008" t="inlineStr">
        <is>
          <t>SOLLEFTEÅ</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24595-2023</t>
        </is>
      </c>
      <c r="B2009" s="1" t="n">
        <v>45084</v>
      </c>
      <c r="C2009" s="1" t="n">
        <v>45356</v>
      </c>
      <c r="D2009" t="inlineStr">
        <is>
          <t>VÄSTERNORRLANDS LÄN</t>
        </is>
      </c>
      <c r="E2009" t="inlineStr">
        <is>
          <t>SOLLEFTEÅ</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24597-2023</t>
        </is>
      </c>
      <c r="B2010" s="1" t="n">
        <v>45083</v>
      </c>
      <c r="C2010" s="1" t="n">
        <v>45356</v>
      </c>
      <c r="D2010" t="inlineStr">
        <is>
          <t>VÄSTERNORRLANDS LÄN</t>
        </is>
      </c>
      <c r="E2010" t="inlineStr">
        <is>
          <t>SOLLEFTEÅ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24596-2023</t>
        </is>
      </c>
      <c r="B2011" s="1" t="n">
        <v>45084</v>
      </c>
      <c r="C2011" s="1" t="n">
        <v>45356</v>
      </c>
      <c r="D2011" t="inlineStr">
        <is>
          <t>VÄSTERNORRLANDS LÄN</t>
        </is>
      </c>
      <c r="E2011" t="inlineStr">
        <is>
          <t>SOLLEFTEÅ</t>
        </is>
      </c>
      <c r="F2011" t="inlineStr">
        <is>
          <t>SCA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25795-2023</t>
        </is>
      </c>
      <c r="B2012" s="1" t="n">
        <v>45085</v>
      </c>
      <c r="C2012" s="1" t="n">
        <v>45356</v>
      </c>
      <c r="D2012" t="inlineStr">
        <is>
          <t>VÄSTERNORRLANDS LÄN</t>
        </is>
      </c>
      <c r="E2012" t="inlineStr">
        <is>
          <t>SOLLEFTEÅ</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25848-2023</t>
        </is>
      </c>
      <c r="B2013" s="1" t="n">
        <v>45085</v>
      </c>
      <c r="C2013" s="1" t="n">
        <v>45356</v>
      </c>
      <c r="D2013" t="inlineStr">
        <is>
          <t>VÄSTERNORRLANDS LÄN</t>
        </is>
      </c>
      <c r="E2013" t="inlineStr">
        <is>
          <t>SOLLEFTEÅ</t>
        </is>
      </c>
      <c r="G2013" t="n">
        <v>9.5</v>
      </c>
      <c r="H2013" t="n">
        <v>0</v>
      </c>
      <c r="I2013" t="n">
        <v>0</v>
      </c>
      <c r="J2013" t="n">
        <v>0</v>
      </c>
      <c r="K2013" t="n">
        <v>0</v>
      </c>
      <c r="L2013" t="n">
        <v>0</v>
      </c>
      <c r="M2013" t="n">
        <v>0</v>
      </c>
      <c r="N2013" t="n">
        <v>0</v>
      </c>
      <c r="O2013" t="n">
        <v>0</v>
      </c>
      <c r="P2013" t="n">
        <v>0</v>
      </c>
      <c r="Q2013" t="n">
        <v>0</v>
      </c>
      <c r="R2013" s="2" t="inlineStr"/>
    </row>
    <row r="2014" ht="15" customHeight="1">
      <c r="A2014" t="inlineStr">
        <is>
          <t>A 25079-2023</t>
        </is>
      </c>
      <c r="B2014" s="1" t="n">
        <v>45086</v>
      </c>
      <c r="C2014" s="1" t="n">
        <v>45356</v>
      </c>
      <c r="D2014" t="inlineStr">
        <is>
          <t>VÄSTERNORRLANDS LÄN</t>
        </is>
      </c>
      <c r="E2014" t="inlineStr">
        <is>
          <t>SOLLEFTEÅ</t>
        </is>
      </c>
      <c r="F2014" t="inlineStr">
        <is>
          <t>Kommuner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25310-2023</t>
        </is>
      </c>
      <c r="B2015" s="1" t="n">
        <v>45087</v>
      </c>
      <c r="C2015" s="1" t="n">
        <v>45356</v>
      </c>
      <c r="D2015" t="inlineStr">
        <is>
          <t>VÄSTERNORRLANDS LÄN</t>
        </is>
      </c>
      <c r="E2015" t="inlineStr">
        <is>
          <t>SOLLEFTEÅ</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25314-2023</t>
        </is>
      </c>
      <c r="B2016" s="1" t="n">
        <v>45086</v>
      </c>
      <c r="C2016" s="1" t="n">
        <v>45356</v>
      </c>
      <c r="D2016" t="inlineStr">
        <is>
          <t>VÄSTERNORRLANDS LÄN</t>
        </is>
      </c>
      <c r="E2016" t="inlineStr">
        <is>
          <t>SOLLEFTEÅ</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25392-2023</t>
        </is>
      </c>
      <c r="B2017" s="1" t="n">
        <v>45089</v>
      </c>
      <c r="C2017" s="1" t="n">
        <v>45356</v>
      </c>
      <c r="D2017" t="inlineStr">
        <is>
          <t>VÄSTERNORRLANDS LÄN</t>
        </is>
      </c>
      <c r="E2017" t="inlineStr">
        <is>
          <t>SOLLEFTEÅ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25987-2023</t>
        </is>
      </c>
      <c r="B2018" s="1" t="n">
        <v>45091</v>
      </c>
      <c r="C2018" s="1" t="n">
        <v>45356</v>
      </c>
      <c r="D2018" t="inlineStr">
        <is>
          <t>VÄSTERNORRLANDS LÄN</t>
        </is>
      </c>
      <c r="E2018" t="inlineStr">
        <is>
          <t>SOLLEFTEÅ</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26210-2023</t>
        </is>
      </c>
      <c r="B2019" s="1" t="n">
        <v>45090</v>
      </c>
      <c r="C2019" s="1" t="n">
        <v>45356</v>
      </c>
      <c r="D2019" t="inlineStr">
        <is>
          <t>VÄSTERNORRLANDS LÄN</t>
        </is>
      </c>
      <c r="E2019" t="inlineStr">
        <is>
          <t>SOLLEFTEÅ</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25986-2023</t>
        </is>
      </c>
      <c r="B2020" s="1" t="n">
        <v>45090</v>
      </c>
      <c r="C2020" s="1" t="n">
        <v>45356</v>
      </c>
      <c r="D2020" t="inlineStr">
        <is>
          <t>VÄSTERNORRLANDS LÄN</t>
        </is>
      </c>
      <c r="E2020" t="inlineStr">
        <is>
          <t>SOLLEFTEÅ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26373-2023</t>
        </is>
      </c>
      <c r="B2021" s="1" t="n">
        <v>45092</v>
      </c>
      <c r="C2021" s="1" t="n">
        <v>45356</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27544-2023</t>
        </is>
      </c>
      <c r="B2022" s="1" t="n">
        <v>45092</v>
      </c>
      <c r="C2022" s="1" t="n">
        <v>45356</v>
      </c>
      <c r="D2022" t="inlineStr">
        <is>
          <t>VÄSTERNORRLANDS LÄN</t>
        </is>
      </c>
      <c r="E2022" t="inlineStr">
        <is>
          <t>SOLLEFTEÅ</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27534-2023</t>
        </is>
      </c>
      <c r="B2023" s="1" t="n">
        <v>45092</v>
      </c>
      <c r="C2023" s="1" t="n">
        <v>45356</v>
      </c>
      <c r="D2023" t="inlineStr">
        <is>
          <t>VÄSTERNORRLANDS LÄN</t>
        </is>
      </c>
      <c r="E2023" t="inlineStr">
        <is>
          <t>SOLLEFTEÅ</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27381-2023</t>
        </is>
      </c>
      <c r="B2024" s="1" t="n">
        <v>45097</v>
      </c>
      <c r="C2024" s="1" t="n">
        <v>45356</v>
      </c>
      <c r="D2024" t="inlineStr">
        <is>
          <t>VÄSTERNORRLANDS LÄN</t>
        </is>
      </c>
      <c r="E2024" t="inlineStr">
        <is>
          <t>SOLLEFTEÅ</t>
        </is>
      </c>
      <c r="F2024" t="inlineStr">
        <is>
          <t>SCA</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27382-2023</t>
        </is>
      </c>
      <c r="B2025" s="1" t="n">
        <v>45097</v>
      </c>
      <c r="C2025" s="1" t="n">
        <v>45356</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27384-2023</t>
        </is>
      </c>
      <c r="B2026" s="1" t="n">
        <v>45097</v>
      </c>
      <c r="C2026" s="1" t="n">
        <v>45356</v>
      </c>
      <c r="D2026" t="inlineStr">
        <is>
          <t>VÄSTERNORRLANDS LÄN</t>
        </is>
      </c>
      <c r="E2026" t="inlineStr">
        <is>
          <t>SOLLEFTEÅ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27392-2023</t>
        </is>
      </c>
      <c r="B2027" s="1" t="n">
        <v>45097</v>
      </c>
      <c r="C2027" s="1" t="n">
        <v>45356</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28653-2023</t>
        </is>
      </c>
      <c r="B2028" s="1" t="n">
        <v>45096</v>
      </c>
      <c r="C2028" s="1" t="n">
        <v>45356</v>
      </c>
      <c r="D2028" t="inlineStr">
        <is>
          <t>VÄSTERNORRLANDS LÄN</t>
        </is>
      </c>
      <c r="E2028" t="inlineStr">
        <is>
          <t>SOLLEFTEÅ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27383-2023</t>
        </is>
      </c>
      <c r="B2029" s="1" t="n">
        <v>45097</v>
      </c>
      <c r="C2029" s="1" t="n">
        <v>45356</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27391-2023</t>
        </is>
      </c>
      <c r="B2030" s="1" t="n">
        <v>45097</v>
      </c>
      <c r="C2030" s="1" t="n">
        <v>45356</v>
      </c>
      <c r="D2030" t="inlineStr">
        <is>
          <t>VÄSTERNORRLANDS LÄN</t>
        </is>
      </c>
      <c r="E2030" t="inlineStr">
        <is>
          <t>SOLLEFTEÅ</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27674-2023</t>
        </is>
      </c>
      <c r="B2031" s="1" t="n">
        <v>45097</v>
      </c>
      <c r="C2031" s="1" t="n">
        <v>45356</v>
      </c>
      <c r="D2031" t="inlineStr">
        <is>
          <t>VÄSTERNORRLANDS LÄN</t>
        </is>
      </c>
      <c r="E2031" t="inlineStr">
        <is>
          <t>SOLLEFTEÅ</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29210-2023</t>
        </is>
      </c>
      <c r="B2032" s="1" t="n">
        <v>45097</v>
      </c>
      <c r="C2032" s="1" t="n">
        <v>45356</v>
      </c>
      <c r="D2032" t="inlineStr">
        <is>
          <t>VÄSTERNORRLANDS LÄN</t>
        </is>
      </c>
      <c r="E2032" t="inlineStr">
        <is>
          <t>SOLLEFTEÅ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29197-2023</t>
        </is>
      </c>
      <c r="B2033" s="1" t="n">
        <v>45097</v>
      </c>
      <c r="C2033" s="1" t="n">
        <v>45356</v>
      </c>
      <c r="D2033" t="inlineStr">
        <is>
          <t>VÄSTERNORRLANDS LÄN</t>
        </is>
      </c>
      <c r="E2033" t="inlineStr">
        <is>
          <t>SOLLEFTEÅ</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28384-2023</t>
        </is>
      </c>
      <c r="B2034" s="1" t="n">
        <v>45100</v>
      </c>
      <c r="C2034" s="1" t="n">
        <v>45356</v>
      </c>
      <c r="D2034" t="inlineStr">
        <is>
          <t>VÄSTERNORRLANDS LÄN</t>
        </is>
      </c>
      <c r="E2034" t="inlineStr">
        <is>
          <t>SOLLEFTEÅ</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28385-2023</t>
        </is>
      </c>
      <c r="B2035" s="1" t="n">
        <v>45099</v>
      </c>
      <c r="C2035" s="1" t="n">
        <v>45356</v>
      </c>
      <c r="D2035" t="inlineStr">
        <is>
          <t>VÄSTERNORRLANDS LÄN</t>
        </is>
      </c>
      <c r="E2035" t="inlineStr">
        <is>
          <t>SOLLEFTEÅ</t>
        </is>
      </c>
      <c r="F2035" t="inlineStr">
        <is>
          <t>SCA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28374-2023</t>
        </is>
      </c>
      <c r="B2036" s="1" t="n">
        <v>45099</v>
      </c>
      <c r="C2036" s="1" t="n">
        <v>45356</v>
      </c>
      <c r="D2036" t="inlineStr">
        <is>
          <t>VÄSTERNORRLANDS LÄN</t>
        </is>
      </c>
      <c r="E2036" t="inlineStr">
        <is>
          <t>SOLLEFTEÅ</t>
        </is>
      </c>
      <c r="F2036" t="inlineStr">
        <is>
          <t>SCA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28366-2023</t>
        </is>
      </c>
      <c r="B2037" s="1" t="n">
        <v>45099</v>
      </c>
      <c r="C2037" s="1" t="n">
        <v>45356</v>
      </c>
      <c r="D2037" t="inlineStr">
        <is>
          <t>VÄSTERNORRLANDS LÄN</t>
        </is>
      </c>
      <c r="E2037" t="inlineStr">
        <is>
          <t>SOLLEFTEÅ</t>
        </is>
      </c>
      <c r="F2037" t="inlineStr">
        <is>
          <t>SCA</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28383-2023</t>
        </is>
      </c>
      <c r="B2038" s="1" t="n">
        <v>45099</v>
      </c>
      <c r="C2038" s="1" t="n">
        <v>45356</v>
      </c>
      <c r="D2038" t="inlineStr">
        <is>
          <t>VÄSTERNORRLANDS LÄN</t>
        </is>
      </c>
      <c r="E2038" t="inlineStr">
        <is>
          <t>SOLLEFTEÅ</t>
        </is>
      </c>
      <c r="F2038" t="inlineStr">
        <is>
          <t>SCA</t>
        </is>
      </c>
      <c r="G2038" t="n">
        <v>20.6</v>
      </c>
      <c r="H2038" t="n">
        <v>0</v>
      </c>
      <c r="I2038" t="n">
        <v>0</v>
      </c>
      <c r="J2038" t="n">
        <v>0</v>
      </c>
      <c r="K2038" t="n">
        <v>0</v>
      </c>
      <c r="L2038" t="n">
        <v>0</v>
      </c>
      <c r="M2038" t="n">
        <v>0</v>
      </c>
      <c r="N2038" t="n">
        <v>0</v>
      </c>
      <c r="O2038" t="n">
        <v>0</v>
      </c>
      <c r="P2038" t="n">
        <v>0</v>
      </c>
      <c r="Q2038" t="n">
        <v>0</v>
      </c>
      <c r="R2038" s="2" t="inlineStr"/>
    </row>
    <row r="2039" ht="15" customHeight="1">
      <c r="A2039" t="inlineStr">
        <is>
          <t>A 28375-2023</t>
        </is>
      </c>
      <c r="B2039" s="1" t="n">
        <v>45100</v>
      </c>
      <c r="C2039" s="1" t="n">
        <v>45356</v>
      </c>
      <c r="D2039" t="inlineStr">
        <is>
          <t>VÄSTERNORRLANDS LÄN</t>
        </is>
      </c>
      <c r="E2039" t="inlineStr">
        <is>
          <t>SOLLEFTEÅ</t>
        </is>
      </c>
      <c r="F2039" t="inlineStr">
        <is>
          <t>SCA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30163-2023</t>
        </is>
      </c>
      <c r="B2040" s="1" t="n">
        <v>45099</v>
      </c>
      <c r="C2040" s="1" t="n">
        <v>45356</v>
      </c>
      <c r="D2040" t="inlineStr">
        <is>
          <t>VÄSTERNORRLANDS LÄN</t>
        </is>
      </c>
      <c r="E2040" t="inlineStr">
        <is>
          <t>SOLLEFTEÅ</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28736-2023</t>
        </is>
      </c>
      <c r="B2041" s="1" t="n">
        <v>45104</v>
      </c>
      <c r="C2041" s="1" t="n">
        <v>45356</v>
      </c>
      <c r="D2041" t="inlineStr">
        <is>
          <t>VÄSTERNORRLANDS LÄN</t>
        </is>
      </c>
      <c r="E2041" t="inlineStr">
        <is>
          <t>SOLLEFTEÅ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28749-2023</t>
        </is>
      </c>
      <c r="B2042" s="1" t="n">
        <v>45103</v>
      </c>
      <c r="C2042" s="1" t="n">
        <v>45356</v>
      </c>
      <c r="D2042" t="inlineStr">
        <is>
          <t>VÄSTERNORRLANDS LÄN</t>
        </is>
      </c>
      <c r="E2042" t="inlineStr">
        <is>
          <t>SOLLEFTEÅ</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29065-2023</t>
        </is>
      </c>
      <c r="B2043" s="1" t="n">
        <v>45105</v>
      </c>
      <c r="C2043" s="1" t="n">
        <v>45356</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29062-2023</t>
        </is>
      </c>
      <c r="B2044" s="1" t="n">
        <v>45104</v>
      </c>
      <c r="C2044" s="1" t="n">
        <v>45356</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29064-2023</t>
        </is>
      </c>
      <c r="B2045" s="1" t="n">
        <v>45105</v>
      </c>
      <c r="C2045" s="1" t="n">
        <v>45356</v>
      </c>
      <c r="D2045" t="inlineStr">
        <is>
          <t>VÄSTERNORRLANDS LÄN</t>
        </is>
      </c>
      <c r="E2045" t="inlineStr">
        <is>
          <t>SOLLEFTEÅ</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29070-2023</t>
        </is>
      </c>
      <c r="B2046" s="1" t="n">
        <v>45105</v>
      </c>
      <c r="C2046" s="1" t="n">
        <v>45356</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29306-2023</t>
        </is>
      </c>
      <c r="B2047" s="1" t="n">
        <v>45106</v>
      </c>
      <c r="C2047" s="1" t="n">
        <v>45356</v>
      </c>
      <c r="D2047" t="inlineStr">
        <is>
          <t>VÄSTERNORRLANDS LÄN</t>
        </is>
      </c>
      <c r="E2047" t="inlineStr">
        <is>
          <t>SOLLEFTEÅ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29337-2023</t>
        </is>
      </c>
      <c r="B2048" s="1" t="n">
        <v>45105</v>
      </c>
      <c r="C2048" s="1" t="n">
        <v>45356</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29336-2023</t>
        </is>
      </c>
      <c r="B2049" s="1" t="n">
        <v>45105</v>
      </c>
      <c r="C2049" s="1" t="n">
        <v>45356</v>
      </c>
      <c r="D2049" t="inlineStr">
        <is>
          <t>VÄSTERNORRLANDS LÄN</t>
        </is>
      </c>
      <c r="E2049" t="inlineStr">
        <is>
          <t>SOLLEFTEÅ</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29339-2023</t>
        </is>
      </c>
      <c r="B2050" s="1" t="n">
        <v>45105</v>
      </c>
      <c r="C2050" s="1" t="n">
        <v>45356</v>
      </c>
      <c r="D2050" t="inlineStr">
        <is>
          <t>VÄSTERNORRLANDS LÄN</t>
        </is>
      </c>
      <c r="E2050" t="inlineStr">
        <is>
          <t>SOLLEFTEÅ</t>
        </is>
      </c>
      <c r="F2050" t="inlineStr">
        <is>
          <t>SCA</t>
        </is>
      </c>
      <c r="G2050" t="n">
        <v>10.4</v>
      </c>
      <c r="H2050" t="n">
        <v>0</v>
      </c>
      <c r="I2050" t="n">
        <v>0</v>
      </c>
      <c r="J2050" t="n">
        <v>0</v>
      </c>
      <c r="K2050" t="n">
        <v>0</v>
      </c>
      <c r="L2050" t="n">
        <v>0</v>
      </c>
      <c r="M2050" t="n">
        <v>0</v>
      </c>
      <c r="N2050" t="n">
        <v>0</v>
      </c>
      <c r="O2050" t="n">
        <v>0</v>
      </c>
      <c r="P2050" t="n">
        <v>0</v>
      </c>
      <c r="Q2050" t="n">
        <v>0</v>
      </c>
      <c r="R2050" s="2" t="inlineStr"/>
    </row>
    <row r="2051" ht="15" customHeight="1">
      <c r="A2051" t="inlineStr">
        <is>
          <t>A 29614-2023</t>
        </is>
      </c>
      <c r="B2051" s="1" t="n">
        <v>45107</v>
      </c>
      <c r="C2051" s="1" t="n">
        <v>45356</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29446-2023</t>
        </is>
      </c>
      <c r="B2052" s="1" t="n">
        <v>45106</v>
      </c>
      <c r="C2052" s="1" t="n">
        <v>45356</v>
      </c>
      <c r="D2052" t="inlineStr">
        <is>
          <t>VÄSTERNORRLANDS LÄN</t>
        </is>
      </c>
      <c r="E2052" t="inlineStr">
        <is>
          <t>SOLLEFTEÅ</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29612-2023</t>
        </is>
      </c>
      <c r="B2053" s="1" t="n">
        <v>45106</v>
      </c>
      <c r="C2053" s="1" t="n">
        <v>45356</v>
      </c>
      <c r="D2053" t="inlineStr">
        <is>
          <t>VÄSTERNORRLANDS LÄN</t>
        </is>
      </c>
      <c r="E2053" t="inlineStr">
        <is>
          <t>SOLLEFTEÅ</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29619-2023</t>
        </is>
      </c>
      <c r="B2054" s="1" t="n">
        <v>45106</v>
      </c>
      <c r="C2054" s="1" t="n">
        <v>45356</v>
      </c>
      <c r="D2054" t="inlineStr">
        <is>
          <t>VÄSTERNORRLANDS LÄN</t>
        </is>
      </c>
      <c r="E2054" t="inlineStr">
        <is>
          <t>SOLLEFTEÅ</t>
        </is>
      </c>
      <c r="F2054" t="inlineStr">
        <is>
          <t>SCA</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29611-2023</t>
        </is>
      </c>
      <c r="B2055" s="1" t="n">
        <v>45106</v>
      </c>
      <c r="C2055" s="1" t="n">
        <v>45356</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29832-2023</t>
        </is>
      </c>
      <c r="B2056" s="1" t="n">
        <v>45107</v>
      </c>
      <c r="C2056" s="1" t="n">
        <v>45356</v>
      </c>
      <c r="D2056" t="inlineStr">
        <is>
          <t>VÄSTERNORRLANDS LÄN</t>
        </is>
      </c>
      <c r="E2056" t="inlineStr">
        <is>
          <t>SOLLEFTEÅ</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29952-2023</t>
        </is>
      </c>
      <c r="B2057" s="1" t="n">
        <v>45107</v>
      </c>
      <c r="C2057" s="1" t="n">
        <v>45356</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29944-2023</t>
        </is>
      </c>
      <c r="B2058" s="1" t="n">
        <v>45108</v>
      </c>
      <c r="C2058" s="1" t="n">
        <v>45356</v>
      </c>
      <c r="D2058" t="inlineStr">
        <is>
          <t>VÄSTERNORRLANDS LÄN</t>
        </is>
      </c>
      <c r="E2058" t="inlineStr">
        <is>
          <t>SOLLEFTEÅ</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29956-2023</t>
        </is>
      </c>
      <c r="B2059" s="1" t="n">
        <v>45107</v>
      </c>
      <c r="C2059" s="1" t="n">
        <v>45356</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29949-2023</t>
        </is>
      </c>
      <c r="B2060" s="1" t="n">
        <v>45107</v>
      </c>
      <c r="C2060" s="1" t="n">
        <v>45356</v>
      </c>
      <c r="D2060" t="inlineStr">
        <is>
          <t>VÄSTERNORRLANDS LÄN</t>
        </is>
      </c>
      <c r="E2060" t="inlineStr">
        <is>
          <t>SOLLEFTEÅ</t>
        </is>
      </c>
      <c r="F2060" t="inlineStr">
        <is>
          <t>SCA</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29957-2023</t>
        </is>
      </c>
      <c r="B2061" s="1" t="n">
        <v>45107</v>
      </c>
      <c r="C2061" s="1" t="n">
        <v>45356</v>
      </c>
      <c r="D2061" t="inlineStr">
        <is>
          <t>VÄSTERNORRLANDS LÄN</t>
        </is>
      </c>
      <c r="E2061" t="inlineStr">
        <is>
          <t>SOLLEFTEÅ</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29946-2023</t>
        </is>
      </c>
      <c r="B2062" s="1" t="n">
        <v>45108</v>
      </c>
      <c r="C2062" s="1" t="n">
        <v>45356</v>
      </c>
      <c r="D2062" t="inlineStr">
        <is>
          <t>VÄSTERNORRLANDS LÄN</t>
        </is>
      </c>
      <c r="E2062" t="inlineStr">
        <is>
          <t>SOLLEFTEÅ</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29964-2023</t>
        </is>
      </c>
      <c r="B2063" s="1" t="n">
        <v>45108</v>
      </c>
      <c r="C2063" s="1" t="n">
        <v>45356</v>
      </c>
      <c r="D2063" t="inlineStr">
        <is>
          <t>VÄSTERNORRLANDS LÄN</t>
        </is>
      </c>
      <c r="E2063" t="inlineStr">
        <is>
          <t>SOLLEFTEÅ</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30295-2023</t>
        </is>
      </c>
      <c r="B2064" s="1" t="n">
        <v>45110</v>
      </c>
      <c r="C2064" s="1" t="n">
        <v>45356</v>
      </c>
      <c r="D2064" t="inlineStr">
        <is>
          <t>VÄSTERNORRLANDS LÄN</t>
        </is>
      </c>
      <c r="E2064" t="inlineStr">
        <is>
          <t>SOLLEFTEÅ</t>
        </is>
      </c>
      <c r="F2064" t="inlineStr">
        <is>
          <t>SCA</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30567-2023</t>
        </is>
      </c>
      <c r="B2065" s="1" t="n">
        <v>45112</v>
      </c>
      <c r="C2065" s="1" t="n">
        <v>45356</v>
      </c>
      <c r="D2065" t="inlineStr">
        <is>
          <t>VÄSTERNORRLANDS LÄN</t>
        </is>
      </c>
      <c r="E2065" t="inlineStr">
        <is>
          <t>SOLLEFTEÅ</t>
        </is>
      </c>
      <c r="F2065" t="inlineStr">
        <is>
          <t>SCA</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30822-2023</t>
        </is>
      </c>
      <c r="B2066" s="1" t="n">
        <v>45113</v>
      </c>
      <c r="C2066" s="1" t="n">
        <v>45356</v>
      </c>
      <c r="D2066" t="inlineStr">
        <is>
          <t>VÄSTERNORRLANDS LÄN</t>
        </is>
      </c>
      <c r="E2066" t="inlineStr">
        <is>
          <t>SOLLEFTEÅ</t>
        </is>
      </c>
      <c r="F2066" t="inlineStr">
        <is>
          <t>SCA</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30829-2023</t>
        </is>
      </c>
      <c r="B2067" s="1" t="n">
        <v>45113</v>
      </c>
      <c r="C2067" s="1" t="n">
        <v>45356</v>
      </c>
      <c r="D2067" t="inlineStr">
        <is>
          <t>VÄSTERNORRLANDS LÄN</t>
        </is>
      </c>
      <c r="E2067" t="inlineStr">
        <is>
          <t>SOLLEFTEÅ</t>
        </is>
      </c>
      <c r="F2067" t="inlineStr">
        <is>
          <t>SCA</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31177-2023</t>
        </is>
      </c>
      <c r="B2068" s="1" t="n">
        <v>45113</v>
      </c>
      <c r="C2068" s="1" t="n">
        <v>45356</v>
      </c>
      <c r="D2068" t="inlineStr">
        <is>
          <t>VÄSTERNORRLANDS LÄN</t>
        </is>
      </c>
      <c r="E2068" t="inlineStr">
        <is>
          <t>SOLLEFTEÅ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31179-2023</t>
        </is>
      </c>
      <c r="B2069" s="1" t="n">
        <v>45114</v>
      </c>
      <c r="C2069" s="1" t="n">
        <v>45356</v>
      </c>
      <c r="D2069" t="inlineStr">
        <is>
          <t>VÄSTERNORRLANDS LÄN</t>
        </is>
      </c>
      <c r="E2069" t="inlineStr">
        <is>
          <t>SOLLEFTEÅ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31178-2023</t>
        </is>
      </c>
      <c r="B2070" s="1" t="n">
        <v>45114</v>
      </c>
      <c r="C2070" s="1" t="n">
        <v>45356</v>
      </c>
      <c r="D2070" t="inlineStr">
        <is>
          <t>VÄSTERNORRLANDS LÄN</t>
        </is>
      </c>
      <c r="E2070" t="inlineStr">
        <is>
          <t>SOLLEFTEÅ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31387-2023</t>
        </is>
      </c>
      <c r="B2071" s="1" t="n">
        <v>45114</v>
      </c>
      <c r="C2071" s="1" t="n">
        <v>45356</v>
      </c>
      <c r="D2071" t="inlineStr">
        <is>
          <t>VÄSTERNORRLANDS LÄN</t>
        </is>
      </c>
      <c r="E2071" t="inlineStr">
        <is>
          <t>SOLLEFTEÅ</t>
        </is>
      </c>
      <c r="F2071" t="inlineStr">
        <is>
          <t>Övriga statliga verk och myndigheter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33203-2023</t>
        </is>
      </c>
      <c r="B2072" s="1" t="n">
        <v>45114</v>
      </c>
      <c r="C2072" s="1" t="n">
        <v>45356</v>
      </c>
      <c r="D2072" t="inlineStr">
        <is>
          <t>VÄSTERNORRLANDS LÄN</t>
        </is>
      </c>
      <c r="E2072" t="inlineStr">
        <is>
          <t>SOLLEFTEÅ</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31913-2023</t>
        </is>
      </c>
      <c r="B2073" s="1" t="n">
        <v>45118</v>
      </c>
      <c r="C2073" s="1" t="n">
        <v>45356</v>
      </c>
      <c r="D2073" t="inlineStr">
        <is>
          <t>VÄSTERNORRLANDS LÄN</t>
        </is>
      </c>
      <c r="E2073" t="inlineStr">
        <is>
          <t>SOLLEFTEÅ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31917-2023</t>
        </is>
      </c>
      <c r="B2074" s="1" t="n">
        <v>45119</v>
      </c>
      <c r="C2074" s="1" t="n">
        <v>45356</v>
      </c>
      <c r="D2074" t="inlineStr">
        <is>
          <t>VÄSTERNORRLANDS LÄN</t>
        </is>
      </c>
      <c r="E2074" t="inlineStr">
        <is>
          <t>SOLLEFTEÅ</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31915-2023</t>
        </is>
      </c>
      <c r="B2075" s="1" t="n">
        <v>45119</v>
      </c>
      <c r="C2075" s="1" t="n">
        <v>45356</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31919-2023</t>
        </is>
      </c>
      <c r="B2076" s="1" t="n">
        <v>45118</v>
      </c>
      <c r="C2076" s="1" t="n">
        <v>45356</v>
      </c>
      <c r="D2076" t="inlineStr">
        <is>
          <t>VÄSTERNORRLANDS LÄN</t>
        </is>
      </c>
      <c r="E2076" t="inlineStr">
        <is>
          <t>SOLLEFTEÅ</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31923-2023</t>
        </is>
      </c>
      <c r="B2077" s="1" t="n">
        <v>45118</v>
      </c>
      <c r="C2077" s="1" t="n">
        <v>45356</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31914-2023</t>
        </is>
      </c>
      <c r="B2078" s="1" t="n">
        <v>45118</v>
      </c>
      <c r="C2078" s="1" t="n">
        <v>45356</v>
      </c>
      <c r="D2078" t="inlineStr">
        <is>
          <t>VÄSTERNORRLANDS LÄN</t>
        </is>
      </c>
      <c r="E2078" t="inlineStr">
        <is>
          <t>SOLLEFTEÅ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31918-2023</t>
        </is>
      </c>
      <c r="B2079" s="1" t="n">
        <v>45118</v>
      </c>
      <c r="C2079" s="1" t="n">
        <v>45356</v>
      </c>
      <c r="D2079" t="inlineStr">
        <is>
          <t>VÄSTERNORRLANDS LÄN</t>
        </is>
      </c>
      <c r="E2079" t="inlineStr">
        <is>
          <t>SOLLEFTEÅ</t>
        </is>
      </c>
      <c r="F2079" t="inlineStr">
        <is>
          <t>SCA</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31922-2023</t>
        </is>
      </c>
      <c r="B2080" s="1" t="n">
        <v>45119</v>
      </c>
      <c r="C2080" s="1" t="n">
        <v>45356</v>
      </c>
      <c r="D2080" t="inlineStr">
        <is>
          <t>VÄSTERNORRLANDS LÄN</t>
        </is>
      </c>
      <c r="E2080" t="inlineStr">
        <is>
          <t>SOLLEFTEÅ</t>
        </is>
      </c>
      <c r="F2080" t="inlineStr">
        <is>
          <t>SCA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31916-2023</t>
        </is>
      </c>
      <c r="B2081" s="1" t="n">
        <v>45119</v>
      </c>
      <c r="C2081" s="1" t="n">
        <v>45356</v>
      </c>
      <c r="D2081" t="inlineStr">
        <is>
          <t>VÄSTERNORRLANDS LÄN</t>
        </is>
      </c>
      <c r="E2081" t="inlineStr">
        <is>
          <t>SOLLEFTEÅ</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31924-2023</t>
        </is>
      </c>
      <c r="B2082" s="1" t="n">
        <v>45118</v>
      </c>
      <c r="C2082" s="1" t="n">
        <v>45356</v>
      </c>
      <c r="D2082" t="inlineStr">
        <is>
          <t>VÄSTERNORRLANDS LÄN</t>
        </is>
      </c>
      <c r="E2082" t="inlineStr">
        <is>
          <t>SOLLEFTEÅ</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31921-2023</t>
        </is>
      </c>
      <c r="B2083" s="1" t="n">
        <v>45119</v>
      </c>
      <c r="C2083" s="1" t="n">
        <v>45356</v>
      </c>
      <c r="D2083" t="inlineStr">
        <is>
          <t>VÄSTERNORRLANDS LÄN</t>
        </is>
      </c>
      <c r="E2083" t="inlineStr">
        <is>
          <t>SOLLEFTEÅ</t>
        </is>
      </c>
      <c r="F2083" t="inlineStr">
        <is>
          <t>SCA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31925-2023</t>
        </is>
      </c>
      <c r="B2084" s="1" t="n">
        <v>45118</v>
      </c>
      <c r="C2084" s="1" t="n">
        <v>45356</v>
      </c>
      <c r="D2084" t="inlineStr">
        <is>
          <t>VÄSTERNORRLANDS LÄN</t>
        </is>
      </c>
      <c r="E2084" t="inlineStr">
        <is>
          <t>SOLLEFTEÅ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32218-2023</t>
        </is>
      </c>
      <c r="B2085" s="1" t="n">
        <v>45120</v>
      </c>
      <c r="C2085" s="1" t="n">
        <v>45356</v>
      </c>
      <c r="D2085" t="inlineStr">
        <is>
          <t>VÄSTERNORRLANDS LÄN</t>
        </is>
      </c>
      <c r="E2085" t="inlineStr">
        <is>
          <t>SOLLEFTEÅ</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33642-2023</t>
        </is>
      </c>
      <c r="B2086" s="1" t="n">
        <v>45119</v>
      </c>
      <c r="C2086" s="1" t="n">
        <v>45356</v>
      </c>
      <c r="D2086" t="inlineStr">
        <is>
          <t>VÄSTERNORRLANDS LÄN</t>
        </is>
      </c>
      <c r="E2086" t="inlineStr">
        <is>
          <t>SOLLEFTEÅ</t>
        </is>
      </c>
      <c r="F2086" t="inlineStr">
        <is>
          <t>SCA</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32216-2023</t>
        </is>
      </c>
      <c r="B2087" s="1" t="n">
        <v>45120</v>
      </c>
      <c r="C2087" s="1" t="n">
        <v>45356</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32466-2023</t>
        </is>
      </c>
      <c r="B2088" s="1" t="n">
        <v>45120</v>
      </c>
      <c r="C2088" s="1" t="n">
        <v>45356</v>
      </c>
      <c r="D2088" t="inlineStr">
        <is>
          <t>VÄSTERNORRLANDS LÄN</t>
        </is>
      </c>
      <c r="E2088" t="inlineStr">
        <is>
          <t>SOLLEFTEÅ</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32726-2023</t>
        </is>
      </c>
      <c r="B2089" s="1" t="n">
        <v>45121</v>
      </c>
      <c r="C2089" s="1" t="n">
        <v>45356</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32728-2023</t>
        </is>
      </c>
      <c r="B2090" s="1" t="n">
        <v>45121</v>
      </c>
      <c r="C2090" s="1" t="n">
        <v>45356</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32733-2023</t>
        </is>
      </c>
      <c r="B2091" s="1" t="n">
        <v>45121</v>
      </c>
      <c r="C2091" s="1" t="n">
        <v>45356</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32727-2023</t>
        </is>
      </c>
      <c r="B2092" s="1" t="n">
        <v>45121</v>
      </c>
      <c r="C2092" s="1" t="n">
        <v>45356</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32735-2023</t>
        </is>
      </c>
      <c r="B2093" s="1" t="n">
        <v>45121</v>
      </c>
      <c r="C2093" s="1" t="n">
        <v>45356</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32780-2023</t>
        </is>
      </c>
      <c r="B2094" s="1" t="n">
        <v>45123</v>
      </c>
      <c r="C2094" s="1" t="n">
        <v>45356</v>
      </c>
      <c r="D2094" t="inlineStr">
        <is>
          <t>VÄSTERNORRLANDS LÄN</t>
        </is>
      </c>
      <c r="E2094" t="inlineStr">
        <is>
          <t>SOLLEFTEÅ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33964-2023</t>
        </is>
      </c>
      <c r="B2095" s="1" t="n">
        <v>45124</v>
      </c>
      <c r="C2095" s="1" t="n">
        <v>45356</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33037-2023</t>
        </is>
      </c>
      <c r="B2096" s="1" t="n">
        <v>45126</v>
      </c>
      <c r="C2096" s="1" t="n">
        <v>45356</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34100-2023</t>
        </is>
      </c>
      <c r="B2097" s="1" t="n">
        <v>45125</v>
      </c>
      <c r="C2097" s="1" t="n">
        <v>45356</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33175-2023</t>
        </is>
      </c>
      <c r="B2098" s="1" t="n">
        <v>45126</v>
      </c>
      <c r="C2098" s="1" t="n">
        <v>45356</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33328-2023</t>
        </is>
      </c>
      <c r="B2099" s="1" t="n">
        <v>45127</v>
      </c>
      <c r="C2099" s="1" t="n">
        <v>45356</v>
      </c>
      <c r="D2099" t="inlineStr">
        <is>
          <t>VÄSTERNORRLANDS LÄN</t>
        </is>
      </c>
      <c r="E2099" t="inlineStr">
        <is>
          <t>SOLLEFTEÅ</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34284-2023</t>
        </is>
      </c>
      <c r="B2100" s="1" t="n">
        <v>45128</v>
      </c>
      <c r="C2100" s="1" t="n">
        <v>45356</v>
      </c>
      <c r="D2100" t="inlineStr">
        <is>
          <t>VÄSTERNORRLANDS LÄN</t>
        </is>
      </c>
      <c r="E2100" t="inlineStr">
        <is>
          <t>SOLLEFTEÅ</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33591-2023</t>
        </is>
      </c>
      <c r="B2101" s="1" t="n">
        <v>45131</v>
      </c>
      <c r="C2101" s="1" t="n">
        <v>45356</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33709-2023</t>
        </is>
      </c>
      <c r="B2102" s="1" t="n">
        <v>45133</v>
      </c>
      <c r="C2102" s="1" t="n">
        <v>45356</v>
      </c>
      <c r="D2102" t="inlineStr">
        <is>
          <t>VÄSTERNORRLANDS LÄN</t>
        </is>
      </c>
      <c r="E2102" t="inlineStr">
        <is>
          <t>SOLLEFTEÅ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33713-2023</t>
        </is>
      </c>
      <c r="B2103" s="1" t="n">
        <v>45133</v>
      </c>
      <c r="C2103" s="1" t="n">
        <v>45356</v>
      </c>
      <c r="D2103" t="inlineStr">
        <is>
          <t>VÄSTERNORRLANDS LÄN</t>
        </is>
      </c>
      <c r="E2103" t="inlineStr">
        <is>
          <t>SOLLEFTEÅ</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33999-2023</t>
        </is>
      </c>
      <c r="B2104" s="1" t="n">
        <v>45134</v>
      </c>
      <c r="C2104" s="1" t="n">
        <v>45356</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34309-2023</t>
        </is>
      </c>
      <c r="B2105" s="1" t="n">
        <v>45139</v>
      </c>
      <c r="C2105" s="1" t="n">
        <v>45356</v>
      </c>
      <c r="D2105" t="inlineStr">
        <is>
          <t>VÄSTERNORRLANDS LÄN</t>
        </is>
      </c>
      <c r="E2105" t="inlineStr">
        <is>
          <t>SOLLEFTEÅ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34306-2023</t>
        </is>
      </c>
      <c r="B2106" s="1" t="n">
        <v>45138</v>
      </c>
      <c r="C2106" s="1" t="n">
        <v>45356</v>
      </c>
      <c r="D2106" t="inlineStr">
        <is>
          <t>VÄSTERNORRLANDS LÄN</t>
        </is>
      </c>
      <c r="E2106" t="inlineStr">
        <is>
          <t>SOLLEFTEÅ</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34310-2023</t>
        </is>
      </c>
      <c r="B2107" s="1" t="n">
        <v>45139</v>
      </c>
      <c r="C2107" s="1" t="n">
        <v>45356</v>
      </c>
      <c r="D2107" t="inlineStr">
        <is>
          <t>VÄSTERNORRLANDS LÄN</t>
        </is>
      </c>
      <c r="E2107" t="inlineStr">
        <is>
          <t>SOLLEFTEÅ</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34308-2023</t>
        </is>
      </c>
      <c r="B2108" s="1" t="n">
        <v>45138</v>
      </c>
      <c r="C2108" s="1" t="n">
        <v>45356</v>
      </c>
      <c r="D2108" t="inlineStr">
        <is>
          <t>VÄSTERNORRLANDS LÄN</t>
        </is>
      </c>
      <c r="E2108" t="inlineStr">
        <is>
          <t>SOLLEFTEÅ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34329-2023</t>
        </is>
      </c>
      <c r="B2109" s="1" t="n">
        <v>45139</v>
      </c>
      <c r="C2109" s="1" t="n">
        <v>45356</v>
      </c>
      <c r="D2109" t="inlineStr">
        <is>
          <t>VÄSTERNORRLANDS LÄN</t>
        </is>
      </c>
      <c r="E2109" t="inlineStr">
        <is>
          <t>SOLLEFTEÅ</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34330-2023</t>
        </is>
      </c>
      <c r="B2110" s="1" t="n">
        <v>45138</v>
      </c>
      <c r="C2110" s="1" t="n">
        <v>45356</v>
      </c>
      <c r="D2110" t="inlineStr">
        <is>
          <t>VÄSTERNORRLANDS LÄN</t>
        </is>
      </c>
      <c r="E2110" t="inlineStr">
        <is>
          <t>SOLLEFTEÅ</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34328-2023</t>
        </is>
      </c>
      <c r="B2111" s="1" t="n">
        <v>45139</v>
      </c>
      <c r="C2111" s="1" t="n">
        <v>45356</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34307-2023</t>
        </is>
      </c>
      <c r="B2112" s="1" t="n">
        <v>45138</v>
      </c>
      <c r="C2112" s="1" t="n">
        <v>45356</v>
      </c>
      <c r="D2112" t="inlineStr">
        <is>
          <t>VÄSTERNORRLANDS LÄN</t>
        </is>
      </c>
      <c r="E2112" t="inlineStr">
        <is>
          <t>SOLLEFTEÅ</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34311-2023</t>
        </is>
      </c>
      <c r="B2113" s="1" t="n">
        <v>45139</v>
      </c>
      <c r="C2113" s="1" t="n">
        <v>45356</v>
      </c>
      <c r="D2113" t="inlineStr">
        <is>
          <t>VÄSTERNORRLANDS LÄN</t>
        </is>
      </c>
      <c r="E2113" t="inlineStr">
        <is>
          <t>SOLLEFTEÅ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34327-2023</t>
        </is>
      </c>
      <c r="B2114" s="1" t="n">
        <v>45139</v>
      </c>
      <c r="C2114" s="1" t="n">
        <v>45356</v>
      </c>
      <c r="D2114" t="inlineStr">
        <is>
          <t>VÄSTERNORRLANDS LÄN</t>
        </is>
      </c>
      <c r="E2114" t="inlineStr">
        <is>
          <t>SOLLEFTEÅ</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34487-2023</t>
        </is>
      </c>
      <c r="B2115" s="1" t="n">
        <v>45140</v>
      </c>
      <c r="C2115" s="1" t="n">
        <v>45356</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34741-2023</t>
        </is>
      </c>
      <c r="B2116" s="1" t="n">
        <v>45139</v>
      </c>
      <c r="C2116" s="1" t="n">
        <v>45356</v>
      </c>
      <c r="D2116" t="inlineStr">
        <is>
          <t>VÄSTERNORRLANDS LÄN</t>
        </is>
      </c>
      <c r="E2116" t="inlineStr">
        <is>
          <t>SOLLEFTEÅ</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34737-2023</t>
        </is>
      </c>
      <c r="B2117" s="1" t="n">
        <v>45139</v>
      </c>
      <c r="C2117" s="1" t="n">
        <v>45356</v>
      </c>
      <c r="D2117" t="inlineStr">
        <is>
          <t>VÄSTERNORRLANDS LÄN</t>
        </is>
      </c>
      <c r="E2117" t="inlineStr">
        <is>
          <t>SOLLEFTEÅ</t>
        </is>
      </c>
      <c r="F2117" t="inlineStr">
        <is>
          <t>SCA</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34687-2023</t>
        </is>
      </c>
      <c r="B2118" s="1" t="n">
        <v>45141</v>
      </c>
      <c r="C2118" s="1" t="n">
        <v>45356</v>
      </c>
      <c r="D2118" t="inlineStr">
        <is>
          <t>VÄSTERNORRLANDS LÄN</t>
        </is>
      </c>
      <c r="E2118" t="inlineStr">
        <is>
          <t>SOLLEFTEÅ</t>
        </is>
      </c>
      <c r="F2118" t="inlineStr">
        <is>
          <t>SCA</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34699-2023</t>
        </is>
      </c>
      <c r="B2119" s="1" t="n">
        <v>45141</v>
      </c>
      <c r="C2119" s="1" t="n">
        <v>45356</v>
      </c>
      <c r="D2119" t="inlineStr">
        <is>
          <t>VÄSTERNORRLANDS LÄN</t>
        </is>
      </c>
      <c r="E2119" t="inlineStr">
        <is>
          <t>SOLLEFTEÅ</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34686-2023</t>
        </is>
      </c>
      <c r="B2120" s="1" t="n">
        <v>45141</v>
      </c>
      <c r="C2120" s="1" t="n">
        <v>45356</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34696-2023</t>
        </is>
      </c>
      <c r="B2121" s="1" t="n">
        <v>45141</v>
      </c>
      <c r="C2121" s="1" t="n">
        <v>45356</v>
      </c>
      <c r="D2121" t="inlineStr">
        <is>
          <t>VÄSTERNORRLANDS LÄN</t>
        </is>
      </c>
      <c r="E2121" t="inlineStr">
        <is>
          <t>SOLLEFTEÅ</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34983-2023</t>
        </is>
      </c>
      <c r="B2122" s="1" t="n">
        <v>45141</v>
      </c>
      <c r="C2122" s="1" t="n">
        <v>45356</v>
      </c>
      <c r="D2122" t="inlineStr">
        <is>
          <t>VÄSTERNORRLANDS LÄN</t>
        </is>
      </c>
      <c r="E2122" t="inlineStr">
        <is>
          <t>SOLLEFTEÅ</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34848-2023</t>
        </is>
      </c>
      <c r="B2123" s="1" t="n">
        <v>45142</v>
      </c>
      <c r="C2123" s="1" t="n">
        <v>45356</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35147-2023</t>
        </is>
      </c>
      <c r="B2124" s="1" t="n">
        <v>45142</v>
      </c>
      <c r="C2124" s="1" t="n">
        <v>45356</v>
      </c>
      <c r="D2124" t="inlineStr">
        <is>
          <t>VÄSTERNORRLANDS LÄN</t>
        </is>
      </c>
      <c r="E2124" t="inlineStr">
        <is>
          <t>SOLLEFTEÅ</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35276-2023</t>
        </is>
      </c>
      <c r="B2125" s="1" t="n">
        <v>45146</v>
      </c>
      <c r="C2125" s="1" t="n">
        <v>45356</v>
      </c>
      <c r="D2125" t="inlineStr">
        <is>
          <t>VÄSTERNORRLANDS LÄN</t>
        </is>
      </c>
      <c r="E2125" t="inlineStr">
        <is>
          <t>SOLLEFTEÅ</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35295-2023</t>
        </is>
      </c>
      <c r="B2126" s="1" t="n">
        <v>45145</v>
      </c>
      <c r="C2126" s="1" t="n">
        <v>45356</v>
      </c>
      <c r="D2126" t="inlineStr">
        <is>
          <t>VÄSTERNORRLANDS LÄN</t>
        </is>
      </c>
      <c r="E2126" t="inlineStr">
        <is>
          <t>SOLLEFTEÅ</t>
        </is>
      </c>
      <c r="F2126" t="inlineStr">
        <is>
          <t>SCA</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35277-2023</t>
        </is>
      </c>
      <c r="B2127" s="1" t="n">
        <v>45145</v>
      </c>
      <c r="C2127" s="1" t="n">
        <v>45356</v>
      </c>
      <c r="D2127" t="inlineStr">
        <is>
          <t>VÄSTERNORRLANDS LÄN</t>
        </is>
      </c>
      <c r="E2127" t="inlineStr">
        <is>
          <t>SOLLEFTEÅ</t>
        </is>
      </c>
      <c r="F2127" t="inlineStr">
        <is>
          <t>SCA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35352-2023</t>
        </is>
      </c>
      <c r="B2128" s="1" t="n">
        <v>45145</v>
      </c>
      <c r="C2128" s="1" t="n">
        <v>45356</v>
      </c>
      <c r="D2128" t="inlineStr">
        <is>
          <t>VÄSTERNORRLANDS LÄN</t>
        </is>
      </c>
      <c r="E2128" t="inlineStr">
        <is>
          <t>SOLLEFTEÅ</t>
        </is>
      </c>
      <c r="F2128" t="inlineStr">
        <is>
          <t>SCA</t>
        </is>
      </c>
      <c r="G2128" t="n">
        <v>12.5</v>
      </c>
      <c r="H2128" t="n">
        <v>0</v>
      </c>
      <c r="I2128" t="n">
        <v>0</v>
      </c>
      <c r="J2128" t="n">
        <v>0</v>
      </c>
      <c r="K2128" t="n">
        <v>0</v>
      </c>
      <c r="L2128" t="n">
        <v>0</v>
      </c>
      <c r="M2128" t="n">
        <v>0</v>
      </c>
      <c r="N2128" t="n">
        <v>0</v>
      </c>
      <c r="O2128" t="n">
        <v>0</v>
      </c>
      <c r="P2128" t="n">
        <v>0</v>
      </c>
      <c r="Q2128" t="n">
        <v>0</v>
      </c>
      <c r="R2128" s="2" t="inlineStr"/>
    </row>
    <row r="2129" ht="15" customHeight="1">
      <c r="A2129" t="inlineStr">
        <is>
          <t>A 35470-2023</t>
        </is>
      </c>
      <c r="B2129" s="1" t="n">
        <v>45146</v>
      </c>
      <c r="C2129" s="1" t="n">
        <v>45356</v>
      </c>
      <c r="D2129" t="inlineStr">
        <is>
          <t>VÄSTERNORRLANDS LÄN</t>
        </is>
      </c>
      <c r="E2129" t="inlineStr">
        <is>
          <t>SOLLEFTEÅ</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35511-2023</t>
        </is>
      </c>
      <c r="B2130" s="1" t="n">
        <v>45146</v>
      </c>
      <c r="C2130" s="1" t="n">
        <v>45356</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35505-2023</t>
        </is>
      </c>
      <c r="B2131" s="1" t="n">
        <v>45147</v>
      </c>
      <c r="C2131" s="1" t="n">
        <v>45356</v>
      </c>
      <c r="D2131" t="inlineStr">
        <is>
          <t>VÄSTERNORRLANDS LÄN</t>
        </is>
      </c>
      <c r="E2131" t="inlineStr">
        <is>
          <t>SOLLEFTEÅ</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35509-2023</t>
        </is>
      </c>
      <c r="B2132" s="1" t="n">
        <v>45147</v>
      </c>
      <c r="C2132" s="1" t="n">
        <v>45356</v>
      </c>
      <c r="D2132" t="inlineStr">
        <is>
          <t>VÄSTERNORRLANDS LÄN</t>
        </is>
      </c>
      <c r="E2132" t="inlineStr">
        <is>
          <t>SOLLEFTEÅ</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35569-2023</t>
        </is>
      </c>
      <c r="B2133" s="1" t="n">
        <v>45147</v>
      </c>
      <c r="C2133" s="1" t="n">
        <v>45356</v>
      </c>
      <c r="D2133" t="inlineStr">
        <is>
          <t>VÄSTERNORRLANDS LÄN</t>
        </is>
      </c>
      <c r="E2133" t="inlineStr">
        <is>
          <t>SOLLEFTEÅ</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35746-2023</t>
        </is>
      </c>
      <c r="B2134" s="1" t="n">
        <v>45148</v>
      </c>
      <c r="C2134" s="1" t="n">
        <v>45356</v>
      </c>
      <c r="D2134" t="inlineStr">
        <is>
          <t>VÄSTERNORRLANDS LÄN</t>
        </is>
      </c>
      <c r="E2134" t="inlineStr">
        <is>
          <t>SOLLEFTEÅ</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35556-2023</t>
        </is>
      </c>
      <c r="B2135" s="1" t="n">
        <v>45147</v>
      </c>
      <c r="C2135" s="1" t="n">
        <v>45356</v>
      </c>
      <c r="D2135" t="inlineStr">
        <is>
          <t>VÄSTERNORRLANDS LÄN</t>
        </is>
      </c>
      <c r="E2135" t="inlineStr">
        <is>
          <t>SOLLEFTEÅ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35764-2023</t>
        </is>
      </c>
      <c r="B2136" s="1" t="n">
        <v>45147</v>
      </c>
      <c r="C2136" s="1" t="n">
        <v>45356</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35745-2023</t>
        </is>
      </c>
      <c r="B2137" s="1" t="n">
        <v>45148</v>
      </c>
      <c r="C2137" s="1" t="n">
        <v>45356</v>
      </c>
      <c r="D2137" t="inlineStr">
        <is>
          <t>VÄSTERNORRLANDS LÄN</t>
        </is>
      </c>
      <c r="E2137" t="inlineStr">
        <is>
          <t>SOLLEFTEÅ</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35761-2023</t>
        </is>
      </c>
      <c r="B2138" s="1" t="n">
        <v>45148</v>
      </c>
      <c r="C2138" s="1" t="n">
        <v>45356</v>
      </c>
      <c r="D2138" t="inlineStr">
        <is>
          <t>VÄSTERNORRLANDS LÄN</t>
        </is>
      </c>
      <c r="E2138" t="inlineStr">
        <is>
          <t>SOLLEFTEÅ</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35945-2023</t>
        </is>
      </c>
      <c r="B2139" s="1" t="n">
        <v>45148</v>
      </c>
      <c r="C2139" s="1" t="n">
        <v>45356</v>
      </c>
      <c r="D2139" t="inlineStr">
        <is>
          <t>VÄSTERNORRLANDS LÄN</t>
        </is>
      </c>
      <c r="E2139" t="inlineStr">
        <is>
          <t>SOLLEFTEÅ</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35980-2023</t>
        </is>
      </c>
      <c r="B2140" s="1" t="n">
        <v>45149</v>
      </c>
      <c r="C2140" s="1" t="n">
        <v>45356</v>
      </c>
      <c r="D2140" t="inlineStr">
        <is>
          <t>VÄSTERNORRLANDS LÄN</t>
        </is>
      </c>
      <c r="E2140" t="inlineStr">
        <is>
          <t>SOLLEFTEÅ</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35975-2023</t>
        </is>
      </c>
      <c r="B2141" s="1" t="n">
        <v>45148</v>
      </c>
      <c r="C2141" s="1" t="n">
        <v>45356</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35974-2023</t>
        </is>
      </c>
      <c r="B2142" s="1" t="n">
        <v>45148</v>
      </c>
      <c r="C2142" s="1" t="n">
        <v>45356</v>
      </c>
      <c r="D2142" t="inlineStr">
        <is>
          <t>VÄSTERNORRLANDS LÄN</t>
        </is>
      </c>
      <c r="E2142" t="inlineStr">
        <is>
          <t>SOLLEFTEÅ</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35978-2023</t>
        </is>
      </c>
      <c r="B2143" s="1" t="n">
        <v>45148</v>
      </c>
      <c r="C2143" s="1" t="n">
        <v>45356</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35977-2023</t>
        </is>
      </c>
      <c r="B2144" s="1" t="n">
        <v>45149</v>
      </c>
      <c r="C2144" s="1" t="n">
        <v>45356</v>
      </c>
      <c r="D2144" t="inlineStr">
        <is>
          <t>VÄSTERNORRLANDS LÄN</t>
        </is>
      </c>
      <c r="E2144" t="inlineStr">
        <is>
          <t>SOLLEFTEÅ</t>
        </is>
      </c>
      <c r="F2144" t="inlineStr">
        <is>
          <t>SCA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36211-2023</t>
        </is>
      </c>
      <c r="B2145" s="1" t="n">
        <v>45150</v>
      </c>
      <c r="C2145" s="1" t="n">
        <v>45356</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36222-2023</t>
        </is>
      </c>
      <c r="B2146" s="1" t="n">
        <v>45150</v>
      </c>
      <c r="C2146" s="1" t="n">
        <v>45356</v>
      </c>
      <c r="D2146" t="inlineStr">
        <is>
          <t>VÄSTERNORRLANDS LÄN</t>
        </is>
      </c>
      <c r="E2146" t="inlineStr">
        <is>
          <t>SOLLEFTEÅ</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36511-2023</t>
        </is>
      </c>
      <c r="B2147" s="1" t="n">
        <v>45153</v>
      </c>
      <c r="C2147" s="1" t="n">
        <v>45356</v>
      </c>
      <c r="D2147" t="inlineStr">
        <is>
          <t>VÄSTERNORRLANDS LÄN</t>
        </is>
      </c>
      <c r="E2147" t="inlineStr">
        <is>
          <t>SOLLEFTEÅ</t>
        </is>
      </c>
      <c r="F2147" t="inlineStr">
        <is>
          <t>SCA</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36514-2023</t>
        </is>
      </c>
      <c r="B2148" s="1" t="n">
        <v>45153</v>
      </c>
      <c r="C2148" s="1" t="n">
        <v>45356</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36508-2023</t>
        </is>
      </c>
      <c r="B2149" s="1" t="n">
        <v>45153</v>
      </c>
      <c r="C2149" s="1" t="n">
        <v>45356</v>
      </c>
      <c r="D2149" t="inlineStr">
        <is>
          <t>VÄSTERNORRLANDS LÄN</t>
        </is>
      </c>
      <c r="E2149" t="inlineStr">
        <is>
          <t>SOLLEFTEÅ</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36512-2023</t>
        </is>
      </c>
      <c r="B2150" s="1" t="n">
        <v>45152</v>
      </c>
      <c r="C2150" s="1" t="n">
        <v>45356</v>
      </c>
      <c r="D2150" t="inlineStr">
        <is>
          <t>VÄSTERNORRLANDS LÄN</t>
        </is>
      </c>
      <c r="E2150" t="inlineStr">
        <is>
          <t>SOLLEFTEÅ</t>
        </is>
      </c>
      <c r="F2150" t="inlineStr">
        <is>
          <t>SCA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36513-2023</t>
        </is>
      </c>
      <c r="B2151" s="1" t="n">
        <v>45153</v>
      </c>
      <c r="C2151" s="1" t="n">
        <v>45356</v>
      </c>
      <c r="D2151" t="inlineStr">
        <is>
          <t>VÄSTERNORRLANDS LÄN</t>
        </is>
      </c>
      <c r="E2151" t="inlineStr">
        <is>
          <t>SOLLEFTEÅ</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36770-2023</t>
        </is>
      </c>
      <c r="B2152" s="1" t="n">
        <v>45153</v>
      </c>
      <c r="C2152" s="1" t="n">
        <v>45356</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36771-2023</t>
        </is>
      </c>
      <c r="B2153" s="1" t="n">
        <v>45153</v>
      </c>
      <c r="C2153" s="1" t="n">
        <v>45356</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36944-2023</t>
        </is>
      </c>
      <c r="B2154" s="1" t="n">
        <v>45154</v>
      </c>
      <c r="C2154" s="1" t="n">
        <v>45356</v>
      </c>
      <c r="D2154" t="inlineStr">
        <is>
          <t>VÄSTERNORRLANDS LÄN</t>
        </is>
      </c>
      <c r="E2154" t="inlineStr">
        <is>
          <t>SOLLEFTEÅ</t>
        </is>
      </c>
      <c r="F2154" t="inlineStr">
        <is>
          <t>Övriga Aktiebolag</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36976-2023</t>
        </is>
      </c>
      <c r="B2155" s="1" t="n">
        <v>45155</v>
      </c>
      <c r="C2155" s="1" t="n">
        <v>45356</v>
      </c>
      <c r="D2155" t="inlineStr">
        <is>
          <t>VÄSTERNORRLANDS LÄN</t>
        </is>
      </c>
      <c r="E2155" t="inlineStr">
        <is>
          <t>SOLLEFTEÅ</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36977-2023</t>
        </is>
      </c>
      <c r="B2156" s="1" t="n">
        <v>45155</v>
      </c>
      <c r="C2156" s="1" t="n">
        <v>45356</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36967-2023</t>
        </is>
      </c>
      <c r="B2157" s="1" t="n">
        <v>45155</v>
      </c>
      <c r="C2157" s="1" t="n">
        <v>45356</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37269-2023</t>
        </is>
      </c>
      <c r="B2158" s="1" t="n">
        <v>45155</v>
      </c>
      <c r="C2158" s="1" t="n">
        <v>45356</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37412-2023</t>
        </is>
      </c>
      <c r="B2159" s="1" t="n">
        <v>45155</v>
      </c>
      <c r="C2159" s="1" t="n">
        <v>45356</v>
      </c>
      <c r="D2159" t="inlineStr">
        <is>
          <t>VÄSTERNORRLANDS LÄN</t>
        </is>
      </c>
      <c r="E2159" t="inlineStr">
        <is>
          <t>SOLLEFTEÅ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37381-2023</t>
        </is>
      </c>
      <c r="B2160" s="1" t="n">
        <v>45155</v>
      </c>
      <c r="C2160" s="1" t="n">
        <v>45356</v>
      </c>
      <c r="D2160" t="inlineStr">
        <is>
          <t>VÄSTERNORRLANDS LÄN</t>
        </is>
      </c>
      <c r="E2160" t="inlineStr">
        <is>
          <t>SOLLEFTEÅ</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37484-2023</t>
        </is>
      </c>
      <c r="B2161" s="1" t="n">
        <v>45156</v>
      </c>
      <c r="C2161" s="1" t="n">
        <v>45356</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37615-2023</t>
        </is>
      </c>
      <c r="B2162" s="1" t="n">
        <v>45156</v>
      </c>
      <c r="C2162" s="1" t="n">
        <v>45356</v>
      </c>
      <c r="D2162" t="inlineStr">
        <is>
          <t>VÄSTERNORRLANDS LÄN</t>
        </is>
      </c>
      <c r="E2162" t="inlineStr">
        <is>
          <t>SOLLEFTEÅ</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37711-2023</t>
        </is>
      </c>
      <c r="B2163" s="1" t="n">
        <v>45156</v>
      </c>
      <c r="C2163" s="1" t="n">
        <v>45356</v>
      </c>
      <c r="D2163" t="inlineStr">
        <is>
          <t>VÄSTERNORRLANDS LÄN</t>
        </is>
      </c>
      <c r="E2163" t="inlineStr">
        <is>
          <t>SOLLEFTEÅ</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37735-2023</t>
        </is>
      </c>
      <c r="B2164" s="1" t="n">
        <v>45156</v>
      </c>
      <c r="C2164" s="1" t="n">
        <v>45356</v>
      </c>
      <c r="D2164" t="inlineStr">
        <is>
          <t>VÄSTERNORRLANDS LÄN</t>
        </is>
      </c>
      <c r="E2164" t="inlineStr">
        <is>
          <t>SOLLEFTEÅ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37486-2023</t>
        </is>
      </c>
      <c r="B2165" s="1" t="n">
        <v>45157</v>
      </c>
      <c r="C2165" s="1" t="n">
        <v>45356</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37691-2023</t>
        </is>
      </c>
      <c r="B2166" s="1" t="n">
        <v>45156</v>
      </c>
      <c r="C2166" s="1" t="n">
        <v>45356</v>
      </c>
      <c r="D2166" t="inlineStr">
        <is>
          <t>VÄSTERNORRLANDS LÄN</t>
        </is>
      </c>
      <c r="E2166" t="inlineStr">
        <is>
          <t>SOLLEFTEÅ</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37722-2023</t>
        </is>
      </c>
      <c r="B2167" s="1" t="n">
        <v>45156</v>
      </c>
      <c r="C2167" s="1" t="n">
        <v>45356</v>
      </c>
      <c r="D2167" t="inlineStr">
        <is>
          <t>VÄSTERNORRLANDS LÄN</t>
        </is>
      </c>
      <c r="E2167" t="inlineStr">
        <is>
          <t>SOLLEFTEÅ</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37611-2023</t>
        </is>
      </c>
      <c r="B2168" s="1" t="n">
        <v>45156</v>
      </c>
      <c r="C2168" s="1" t="n">
        <v>45356</v>
      </c>
      <c r="D2168" t="inlineStr">
        <is>
          <t>VÄSTERNORRLANDS LÄN</t>
        </is>
      </c>
      <c r="E2168" t="inlineStr">
        <is>
          <t>SOLLEFTEÅ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37671-2023</t>
        </is>
      </c>
      <c r="B2169" s="1" t="n">
        <v>45156</v>
      </c>
      <c r="C2169" s="1" t="n">
        <v>45356</v>
      </c>
      <c r="D2169" t="inlineStr">
        <is>
          <t>VÄSTERNORRLANDS LÄN</t>
        </is>
      </c>
      <c r="E2169" t="inlineStr">
        <is>
          <t>SOLLEFTEÅ</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37696-2023</t>
        </is>
      </c>
      <c r="B2170" s="1" t="n">
        <v>45156</v>
      </c>
      <c r="C2170" s="1" t="n">
        <v>45356</v>
      </c>
      <c r="D2170" t="inlineStr">
        <is>
          <t>VÄSTERNORRLANDS LÄN</t>
        </is>
      </c>
      <c r="E2170" t="inlineStr">
        <is>
          <t>SOLLEFTEÅ</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37726-2023</t>
        </is>
      </c>
      <c r="B2171" s="1" t="n">
        <v>45156</v>
      </c>
      <c r="C2171" s="1" t="n">
        <v>45356</v>
      </c>
      <c r="D2171" t="inlineStr">
        <is>
          <t>VÄSTERNORRLANDS LÄN</t>
        </is>
      </c>
      <c r="E2171" t="inlineStr">
        <is>
          <t>SOLLEFTEÅ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37483-2023</t>
        </is>
      </c>
      <c r="B2172" s="1" t="n">
        <v>45157</v>
      </c>
      <c r="C2172" s="1" t="n">
        <v>45356</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37487-2023</t>
        </is>
      </c>
      <c r="B2173" s="1" t="n">
        <v>45157</v>
      </c>
      <c r="C2173" s="1" t="n">
        <v>45356</v>
      </c>
      <c r="D2173" t="inlineStr">
        <is>
          <t>VÄSTERNORRLANDS LÄN</t>
        </is>
      </c>
      <c r="E2173" t="inlineStr">
        <is>
          <t>SOLLEFTEÅ</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37699-2023</t>
        </is>
      </c>
      <c r="B2174" s="1" t="n">
        <v>45156</v>
      </c>
      <c r="C2174" s="1" t="n">
        <v>45356</v>
      </c>
      <c r="D2174" t="inlineStr">
        <is>
          <t>VÄSTERNORRLANDS LÄN</t>
        </is>
      </c>
      <c r="E2174" t="inlineStr">
        <is>
          <t>SOLLEFTEÅ</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37731-2023</t>
        </is>
      </c>
      <c r="B2175" s="1" t="n">
        <v>45156</v>
      </c>
      <c r="C2175" s="1" t="n">
        <v>45356</v>
      </c>
      <c r="D2175" t="inlineStr">
        <is>
          <t>VÄSTERNORRLANDS LÄN</t>
        </is>
      </c>
      <c r="E2175" t="inlineStr">
        <is>
          <t>SOLLEFTEÅ</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37807-2023</t>
        </is>
      </c>
      <c r="B2176" s="1" t="n">
        <v>45160</v>
      </c>
      <c r="C2176" s="1" t="n">
        <v>45356</v>
      </c>
      <c r="D2176" t="inlineStr">
        <is>
          <t>VÄSTERNORRLANDS LÄN</t>
        </is>
      </c>
      <c r="E2176" t="inlineStr">
        <is>
          <t>SOLLEFTEÅ</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38093-2023</t>
        </is>
      </c>
      <c r="B2177" s="1" t="n">
        <v>45160</v>
      </c>
      <c r="C2177" s="1" t="n">
        <v>45356</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38097-2023</t>
        </is>
      </c>
      <c r="B2178" s="1" t="n">
        <v>45160</v>
      </c>
      <c r="C2178" s="1" t="n">
        <v>45356</v>
      </c>
      <c r="D2178" t="inlineStr">
        <is>
          <t>VÄSTERNORRLANDS LÄN</t>
        </is>
      </c>
      <c r="E2178" t="inlineStr">
        <is>
          <t>SOLLEFTEÅ</t>
        </is>
      </c>
      <c r="F2178" t="inlineStr">
        <is>
          <t>SCA</t>
        </is>
      </c>
      <c r="G2178" t="n">
        <v>47.1</v>
      </c>
      <c r="H2178" t="n">
        <v>0</v>
      </c>
      <c r="I2178" t="n">
        <v>0</v>
      </c>
      <c r="J2178" t="n">
        <v>0</v>
      </c>
      <c r="K2178" t="n">
        <v>0</v>
      </c>
      <c r="L2178" t="n">
        <v>0</v>
      </c>
      <c r="M2178" t="n">
        <v>0</v>
      </c>
      <c r="N2178" t="n">
        <v>0</v>
      </c>
      <c r="O2178" t="n">
        <v>0</v>
      </c>
      <c r="P2178" t="n">
        <v>0</v>
      </c>
      <c r="Q2178" t="n">
        <v>0</v>
      </c>
      <c r="R2178" s="2" t="inlineStr"/>
    </row>
    <row r="2179" ht="15" customHeight="1">
      <c r="A2179" t="inlineStr">
        <is>
          <t>A 38092-2023</t>
        </is>
      </c>
      <c r="B2179" s="1" t="n">
        <v>45161</v>
      </c>
      <c r="C2179" s="1" t="n">
        <v>45356</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38100-2023</t>
        </is>
      </c>
      <c r="B2180" s="1" t="n">
        <v>45161</v>
      </c>
      <c r="C2180" s="1" t="n">
        <v>45356</v>
      </c>
      <c r="D2180" t="inlineStr">
        <is>
          <t>VÄSTERNORRLANDS LÄN</t>
        </is>
      </c>
      <c r="E2180" t="inlineStr">
        <is>
          <t>SOLLEFTEÅ</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38375-2023</t>
        </is>
      </c>
      <c r="B2181" s="1" t="n">
        <v>45161</v>
      </c>
      <c r="C2181" s="1" t="n">
        <v>45356</v>
      </c>
      <c r="D2181" t="inlineStr">
        <is>
          <t>VÄSTERNORRLANDS LÄN</t>
        </is>
      </c>
      <c r="E2181" t="inlineStr">
        <is>
          <t>SOLLEFTEÅ</t>
        </is>
      </c>
      <c r="F2181" t="inlineStr">
        <is>
          <t>SCA</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39077-2023</t>
        </is>
      </c>
      <c r="B2182" s="1" t="n">
        <v>45164</v>
      </c>
      <c r="C2182" s="1" t="n">
        <v>45356</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39399-2023</t>
        </is>
      </c>
      <c r="B2183" s="1" t="n">
        <v>45163</v>
      </c>
      <c r="C2183" s="1" t="n">
        <v>45356</v>
      </c>
      <c r="D2183" t="inlineStr">
        <is>
          <t>VÄSTERNORRLANDS LÄN</t>
        </is>
      </c>
      <c r="E2183" t="inlineStr">
        <is>
          <t>SOLLEFTEÅ</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39058-2023</t>
        </is>
      </c>
      <c r="B2184" s="1" t="n">
        <v>45164</v>
      </c>
      <c r="C2184" s="1" t="n">
        <v>45356</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39379-2023</t>
        </is>
      </c>
      <c r="B2185" s="1" t="n">
        <v>45163</v>
      </c>
      <c r="C2185" s="1" t="n">
        <v>45356</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39496-2023</t>
        </is>
      </c>
      <c r="B2186" s="1" t="n">
        <v>45167</v>
      </c>
      <c r="C2186" s="1" t="n">
        <v>45356</v>
      </c>
      <c r="D2186" t="inlineStr">
        <is>
          <t>VÄSTERNORRLANDS LÄN</t>
        </is>
      </c>
      <c r="E2186" t="inlineStr">
        <is>
          <t>SOLLEFTEÅ</t>
        </is>
      </c>
      <c r="F2186" t="inlineStr">
        <is>
          <t>SCA</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39497-2023</t>
        </is>
      </c>
      <c r="B2187" s="1" t="n">
        <v>45167</v>
      </c>
      <c r="C2187" s="1" t="n">
        <v>45356</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39727-2023</t>
        </is>
      </c>
      <c r="B2188" s="1" t="n">
        <v>45166</v>
      </c>
      <c r="C2188" s="1" t="n">
        <v>45356</v>
      </c>
      <c r="D2188" t="inlineStr">
        <is>
          <t>VÄSTERNORRLANDS LÄN</t>
        </is>
      </c>
      <c r="E2188" t="inlineStr">
        <is>
          <t>SOLLEFTEÅ</t>
        </is>
      </c>
      <c r="F2188" t="inlineStr">
        <is>
          <t>SCA</t>
        </is>
      </c>
      <c r="G2188" t="n">
        <v>45.3</v>
      </c>
      <c r="H2188" t="n">
        <v>0</v>
      </c>
      <c r="I2188" t="n">
        <v>0</v>
      </c>
      <c r="J2188" t="n">
        <v>0</v>
      </c>
      <c r="K2188" t="n">
        <v>0</v>
      </c>
      <c r="L2188" t="n">
        <v>0</v>
      </c>
      <c r="M2188" t="n">
        <v>0</v>
      </c>
      <c r="N2188" t="n">
        <v>0</v>
      </c>
      <c r="O2188" t="n">
        <v>0</v>
      </c>
      <c r="P2188" t="n">
        <v>0</v>
      </c>
      <c r="Q2188" t="n">
        <v>0</v>
      </c>
      <c r="R2188" s="2" t="inlineStr"/>
    </row>
    <row r="2189" ht="15" customHeight="1">
      <c r="A2189" t="inlineStr">
        <is>
          <t>A 39495-2023</t>
        </is>
      </c>
      <c r="B2189" s="1" t="n">
        <v>45167</v>
      </c>
      <c r="C2189" s="1" t="n">
        <v>45356</v>
      </c>
      <c r="D2189" t="inlineStr">
        <is>
          <t>VÄSTERNORRLANDS LÄN</t>
        </is>
      </c>
      <c r="E2189" t="inlineStr">
        <is>
          <t>SOLLEFTEÅ</t>
        </is>
      </c>
      <c r="F2189" t="inlineStr">
        <is>
          <t>SCA</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40098-2023</t>
        </is>
      </c>
      <c r="B2190" s="1" t="n">
        <v>45169</v>
      </c>
      <c r="C2190" s="1" t="n">
        <v>45356</v>
      </c>
      <c r="D2190" t="inlineStr">
        <is>
          <t>VÄSTERNORRLANDS LÄN</t>
        </is>
      </c>
      <c r="E2190" t="inlineStr">
        <is>
          <t>SOLLEFTEÅ</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40099-2023</t>
        </is>
      </c>
      <c r="B2191" s="1" t="n">
        <v>45169</v>
      </c>
      <c r="C2191" s="1" t="n">
        <v>45356</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40115-2023</t>
        </is>
      </c>
      <c r="B2192" s="1" t="n">
        <v>45169</v>
      </c>
      <c r="C2192" s="1" t="n">
        <v>45356</v>
      </c>
      <c r="D2192" t="inlineStr">
        <is>
          <t>VÄSTERNORRLANDS LÄN</t>
        </is>
      </c>
      <c r="E2192" t="inlineStr">
        <is>
          <t>SOLLEFTEÅ</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40202-2023</t>
        </is>
      </c>
      <c r="B2193" s="1" t="n">
        <v>45169</v>
      </c>
      <c r="C2193" s="1" t="n">
        <v>45356</v>
      </c>
      <c r="D2193" t="inlineStr">
        <is>
          <t>VÄSTERNORRLANDS LÄN</t>
        </is>
      </c>
      <c r="E2193" t="inlineStr">
        <is>
          <t>SOLLEFTEÅ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40403-2023</t>
        </is>
      </c>
      <c r="B2194" s="1" t="n">
        <v>45170</v>
      </c>
      <c r="C2194" s="1" t="n">
        <v>45356</v>
      </c>
      <c r="D2194" t="inlineStr">
        <is>
          <t>VÄSTERNORRLANDS LÄN</t>
        </is>
      </c>
      <c r="E2194" t="inlineStr">
        <is>
          <t>SOLLEFTEÅ</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40404-2023</t>
        </is>
      </c>
      <c r="B2195" s="1" t="n">
        <v>45170</v>
      </c>
      <c r="C2195" s="1" t="n">
        <v>45356</v>
      </c>
      <c r="D2195" t="inlineStr">
        <is>
          <t>VÄSTERNORRLANDS LÄN</t>
        </is>
      </c>
      <c r="E2195" t="inlineStr">
        <is>
          <t>SOLLEFTEÅ</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40429-2023</t>
        </is>
      </c>
      <c r="B2196" s="1" t="n">
        <v>45169</v>
      </c>
      <c r="C2196" s="1" t="n">
        <v>45356</v>
      </c>
      <c r="D2196" t="inlineStr">
        <is>
          <t>VÄSTERNORRLANDS LÄN</t>
        </is>
      </c>
      <c r="E2196" t="inlineStr">
        <is>
          <t>SOLLEFTEÅ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40421-2023</t>
        </is>
      </c>
      <c r="B2197" s="1" t="n">
        <v>45170</v>
      </c>
      <c r="C2197" s="1" t="n">
        <v>45356</v>
      </c>
      <c r="D2197" t="inlineStr">
        <is>
          <t>VÄSTERNORRLANDS LÄN</t>
        </is>
      </c>
      <c r="E2197" t="inlineStr">
        <is>
          <t>SOLLEFTEÅ</t>
        </is>
      </c>
      <c r="F2197" t="inlineStr">
        <is>
          <t>SCA</t>
        </is>
      </c>
      <c r="G2197" t="n">
        <v>10.2</v>
      </c>
      <c r="H2197" t="n">
        <v>0</v>
      </c>
      <c r="I2197" t="n">
        <v>0</v>
      </c>
      <c r="J2197" t="n">
        <v>0</v>
      </c>
      <c r="K2197" t="n">
        <v>0</v>
      </c>
      <c r="L2197" t="n">
        <v>0</v>
      </c>
      <c r="M2197" t="n">
        <v>0</v>
      </c>
      <c r="N2197" t="n">
        <v>0</v>
      </c>
      <c r="O2197" t="n">
        <v>0</v>
      </c>
      <c r="P2197" t="n">
        <v>0</v>
      </c>
      <c r="Q2197" t="n">
        <v>0</v>
      </c>
      <c r="R2197" s="2" t="inlineStr"/>
    </row>
    <row r="2198" ht="15" customHeight="1">
      <c r="A2198" t="inlineStr">
        <is>
          <t>A 40766-2023</t>
        </is>
      </c>
      <c r="B2198" s="1" t="n">
        <v>45170</v>
      </c>
      <c r="C2198" s="1" t="n">
        <v>45356</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40764-2023</t>
        </is>
      </c>
      <c r="B2199" s="1" t="n">
        <v>45170</v>
      </c>
      <c r="C2199" s="1" t="n">
        <v>45356</v>
      </c>
      <c r="D2199" t="inlineStr">
        <is>
          <t>VÄSTERNORRLANDS LÄN</t>
        </is>
      </c>
      <c r="E2199" t="inlineStr">
        <is>
          <t>SOLLEFTEÅ</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41145-2023</t>
        </is>
      </c>
      <c r="B2200" s="1" t="n">
        <v>45174</v>
      </c>
      <c r="C2200" s="1" t="n">
        <v>45356</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41146-2023</t>
        </is>
      </c>
      <c r="B2201" s="1" t="n">
        <v>45174</v>
      </c>
      <c r="C2201" s="1" t="n">
        <v>45356</v>
      </c>
      <c r="D2201" t="inlineStr">
        <is>
          <t>VÄSTERNORRLANDS LÄN</t>
        </is>
      </c>
      <c r="E2201" t="inlineStr">
        <is>
          <t>SOLLEFTEÅ</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41143-2023</t>
        </is>
      </c>
      <c r="B2202" s="1" t="n">
        <v>45174</v>
      </c>
      <c r="C2202" s="1" t="n">
        <v>45356</v>
      </c>
      <c r="D2202" t="inlineStr">
        <is>
          <t>VÄSTERNORRLANDS LÄN</t>
        </is>
      </c>
      <c r="E2202" t="inlineStr">
        <is>
          <t>SOLLEFTEÅ</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41257-2023</t>
        </is>
      </c>
      <c r="B2203" s="1" t="n">
        <v>45174</v>
      </c>
      <c r="C2203" s="1" t="n">
        <v>45356</v>
      </c>
      <c r="D2203" t="inlineStr">
        <is>
          <t>VÄSTERNORRLANDS LÄN</t>
        </is>
      </c>
      <c r="E2203" t="inlineStr">
        <is>
          <t>SOLLEFTEÅ</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41655-2023</t>
        </is>
      </c>
      <c r="B2204" s="1" t="n">
        <v>45176</v>
      </c>
      <c r="C2204" s="1" t="n">
        <v>45356</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41933-2023</t>
        </is>
      </c>
      <c r="B2205" s="1" t="n">
        <v>45177</v>
      </c>
      <c r="C2205" s="1" t="n">
        <v>45356</v>
      </c>
      <c r="D2205" t="inlineStr">
        <is>
          <t>VÄSTERNORRLANDS LÄN</t>
        </is>
      </c>
      <c r="E2205" t="inlineStr">
        <is>
          <t>SOLLEFTEÅ</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41924-2023</t>
        </is>
      </c>
      <c r="B2206" s="1" t="n">
        <v>45176</v>
      </c>
      <c r="C2206" s="1" t="n">
        <v>45356</v>
      </c>
      <c r="D2206" t="inlineStr">
        <is>
          <t>VÄSTERNORRLANDS LÄN</t>
        </is>
      </c>
      <c r="E2206" t="inlineStr">
        <is>
          <t>SOLLEFTEÅ</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42150-2023</t>
        </is>
      </c>
      <c r="B2207" s="1" t="n">
        <v>45178</v>
      </c>
      <c r="C2207" s="1" t="n">
        <v>45356</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42162-2023</t>
        </is>
      </c>
      <c r="B2208" s="1" t="n">
        <v>45178</v>
      </c>
      <c r="C2208" s="1" t="n">
        <v>45356</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42140-2023</t>
        </is>
      </c>
      <c r="B2209" s="1" t="n">
        <v>45178</v>
      </c>
      <c r="C2209" s="1" t="n">
        <v>45356</v>
      </c>
      <c r="D2209" t="inlineStr">
        <is>
          <t>VÄSTERNORRLANDS LÄN</t>
        </is>
      </c>
      <c r="E2209" t="inlineStr">
        <is>
          <t>SOLLEFTEÅ</t>
        </is>
      </c>
      <c r="G2209" t="n">
        <v>13.3</v>
      </c>
      <c r="H2209" t="n">
        <v>0</v>
      </c>
      <c r="I2209" t="n">
        <v>0</v>
      </c>
      <c r="J2209" t="n">
        <v>0</v>
      </c>
      <c r="K2209" t="n">
        <v>0</v>
      </c>
      <c r="L2209" t="n">
        <v>0</v>
      </c>
      <c r="M2209" t="n">
        <v>0</v>
      </c>
      <c r="N2209" t="n">
        <v>0</v>
      </c>
      <c r="O2209" t="n">
        <v>0</v>
      </c>
      <c r="P2209" t="n">
        <v>0</v>
      </c>
      <c r="Q2209" t="n">
        <v>0</v>
      </c>
      <c r="R2209" s="2" t="inlineStr"/>
    </row>
    <row r="2210" ht="15" customHeight="1">
      <c r="A2210" t="inlineStr">
        <is>
          <t>A 42160-2023</t>
        </is>
      </c>
      <c r="B2210" s="1" t="n">
        <v>45177</v>
      </c>
      <c r="C2210" s="1" t="n">
        <v>45356</v>
      </c>
      <c r="D2210" t="inlineStr">
        <is>
          <t>VÄSTERNORRLANDS LÄN</t>
        </is>
      </c>
      <c r="E2210" t="inlineStr">
        <is>
          <t>SOLLEFTEÅ</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42164-2023</t>
        </is>
      </c>
      <c r="B2211" s="1" t="n">
        <v>45178</v>
      </c>
      <c r="C2211" s="1" t="n">
        <v>45356</v>
      </c>
      <c r="D2211" t="inlineStr">
        <is>
          <t>VÄSTERNORRLANDS LÄN</t>
        </is>
      </c>
      <c r="E2211" t="inlineStr">
        <is>
          <t>SOLLEFTEÅ</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42147-2023</t>
        </is>
      </c>
      <c r="B2212" s="1" t="n">
        <v>45177</v>
      </c>
      <c r="C2212" s="1" t="n">
        <v>45356</v>
      </c>
      <c r="D2212" t="inlineStr">
        <is>
          <t>VÄSTERNORRLANDS LÄN</t>
        </is>
      </c>
      <c r="E2212" t="inlineStr">
        <is>
          <t>SOLLEFTEÅ</t>
        </is>
      </c>
      <c r="G2212" t="n">
        <v>24.4</v>
      </c>
      <c r="H2212" t="n">
        <v>0</v>
      </c>
      <c r="I2212" t="n">
        <v>0</v>
      </c>
      <c r="J2212" t="n">
        <v>0</v>
      </c>
      <c r="K2212" t="n">
        <v>0</v>
      </c>
      <c r="L2212" t="n">
        <v>0</v>
      </c>
      <c r="M2212" t="n">
        <v>0</v>
      </c>
      <c r="N2212" t="n">
        <v>0</v>
      </c>
      <c r="O2212" t="n">
        <v>0</v>
      </c>
      <c r="P2212" t="n">
        <v>0</v>
      </c>
      <c r="Q2212" t="n">
        <v>0</v>
      </c>
      <c r="R2212" s="2" t="inlineStr"/>
    </row>
    <row r="2213" ht="15" customHeight="1">
      <c r="A2213" t="inlineStr">
        <is>
          <t>A 42440-2023</t>
        </is>
      </c>
      <c r="B2213" s="1" t="n">
        <v>45180</v>
      </c>
      <c r="C2213" s="1" t="n">
        <v>45356</v>
      </c>
      <c r="D2213" t="inlineStr">
        <is>
          <t>VÄSTERNORRLANDS LÄN</t>
        </is>
      </c>
      <c r="E2213" t="inlineStr">
        <is>
          <t>SOLLEFTEÅ</t>
        </is>
      </c>
      <c r="F2213" t="inlineStr">
        <is>
          <t>Holmen skog AB</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42514-2023</t>
        </is>
      </c>
      <c r="B2214" s="1" t="n">
        <v>45181</v>
      </c>
      <c r="C2214" s="1" t="n">
        <v>45356</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42512-2023</t>
        </is>
      </c>
      <c r="B2215" s="1" t="n">
        <v>45181</v>
      </c>
      <c r="C2215" s="1" t="n">
        <v>45356</v>
      </c>
      <c r="D2215" t="inlineStr">
        <is>
          <t>VÄSTERNORRLANDS LÄN</t>
        </is>
      </c>
      <c r="E2215" t="inlineStr">
        <is>
          <t>SOLLEFTEÅ</t>
        </is>
      </c>
      <c r="F2215" t="inlineStr">
        <is>
          <t>SCA</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43487-2023</t>
        </is>
      </c>
      <c r="B2216" s="1" t="n">
        <v>45181</v>
      </c>
      <c r="C2216" s="1" t="n">
        <v>45356</v>
      </c>
      <c r="D2216" t="inlineStr">
        <is>
          <t>VÄSTERNORRLANDS LÄN</t>
        </is>
      </c>
      <c r="E2216" t="inlineStr">
        <is>
          <t>SOLLEFTEÅ</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43177-2023</t>
        </is>
      </c>
      <c r="B2217" s="1" t="n">
        <v>45181</v>
      </c>
      <c r="C2217" s="1" t="n">
        <v>45356</v>
      </c>
      <c r="D2217" t="inlineStr">
        <is>
          <t>VÄSTERNORRLANDS LÄN</t>
        </is>
      </c>
      <c r="E2217" t="inlineStr">
        <is>
          <t>SOLLEFTEÅ</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43512-2023</t>
        </is>
      </c>
      <c r="B2218" s="1" t="n">
        <v>45181</v>
      </c>
      <c r="C2218" s="1" t="n">
        <v>45356</v>
      </c>
      <c r="D2218" t="inlineStr">
        <is>
          <t>VÄSTERNORRLANDS LÄN</t>
        </is>
      </c>
      <c r="E2218" t="inlineStr">
        <is>
          <t>SOLLEFTEÅ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44533-2023</t>
        </is>
      </c>
      <c r="B2219" s="1" t="n">
        <v>45183</v>
      </c>
      <c r="C2219" s="1" t="n">
        <v>45356</v>
      </c>
      <c r="D2219" t="inlineStr">
        <is>
          <t>VÄSTERNORRLANDS LÄN</t>
        </is>
      </c>
      <c r="E2219" t="inlineStr">
        <is>
          <t>SOLLEFTEÅ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43531-2023</t>
        </is>
      </c>
      <c r="B2220" s="1" t="n">
        <v>45184</v>
      </c>
      <c r="C2220" s="1" t="n">
        <v>45356</v>
      </c>
      <c r="D2220" t="inlineStr">
        <is>
          <t>VÄSTERNORRLANDS LÄN</t>
        </is>
      </c>
      <c r="E2220" t="inlineStr">
        <is>
          <t>SOLLEFTEÅ</t>
        </is>
      </c>
      <c r="F2220" t="inlineStr">
        <is>
          <t>Holmen skog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43504-2023</t>
        </is>
      </c>
      <c r="B2221" s="1" t="n">
        <v>45184</v>
      </c>
      <c r="C2221" s="1" t="n">
        <v>45356</v>
      </c>
      <c r="D2221" t="inlineStr">
        <is>
          <t>VÄSTERNORRLANDS LÄN</t>
        </is>
      </c>
      <c r="E2221" t="inlineStr">
        <is>
          <t>SOLLEFTEÅ</t>
        </is>
      </c>
      <c r="F2221" t="inlineStr">
        <is>
          <t>Holmen skog AB</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43954-2023</t>
        </is>
      </c>
      <c r="B2222" s="1" t="n">
        <v>45187</v>
      </c>
      <c r="C2222" s="1" t="n">
        <v>45356</v>
      </c>
      <c r="D2222" t="inlineStr">
        <is>
          <t>VÄSTERNORRLANDS LÄN</t>
        </is>
      </c>
      <c r="E2222" t="inlineStr">
        <is>
          <t>SOLLEFTEÅ</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45193-2023</t>
        </is>
      </c>
      <c r="B2223" s="1" t="n">
        <v>45187</v>
      </c>
      <c r="C2223" s="1" t="n">
        <v>45356</v>
      </c>
      <c r="D2223" t="inlineStr">
        <is>
          <t>VÄSTERNORRLANDS LÄN</t>
        </is>
      </c>
      <c r="E2223" t="inlineStr">
        <is>
          <t>SOLLEFTEÅ</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44389-2023</t>
        </is>
      </c>
      <c r="B2224" s="1" t="n">
        <v>45189</v>
      </c>
      <c r="C2224" s="1" t="n">
        <v>45356</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44393-2023</t>
        </is>
      </c>
      <c r="B2225" s="1" t="n">
        <v>45189</v>
      </c>
      <c r="C2225" s="1" t="n">
        <v>45356</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44388-2023</t>
        </is>
      </c>
      <c r="B2226" s="1" t="n">
        <v>45189</v>
      </c>
      <c r="C2226" s="1" t="n">
        <v>45356</v>
      </c>
      <c r="D2226" t="inlineStr">
        <is>
          <t>VÄSTERNORRLANDS LÄN</t>
        </is>
      </c>
      <c r="E2226" t="inlineStr">
        <is>
          <t>SOLLEFTEÅ</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44392-2023</t>
        </is>
      </c>
      <c r="B2227" s="1" t="n">
        <v>45189</v>
      </c>
      <c r="C2227" s="1" t="n">
        <v>45356</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44408-2023</t>
        </is>
      </c>
      <c r="B2228" s="1" t="n">
        <v>45189</v>
      </c>
      <c r="C2228" s="1" t="n">
        <v>45356</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44391-2023</t>
        </is>
      </c>
      <c r="B2229" s="1" t="n">
        <v>45189</v>
      </c>
      <c r="C2229" s="1" t="n">
        <v>45356</v>
      </c>
      <c r="D2229" t="inlineStr">
        <is>
          <t>VÄSTERNORRLANDS LÄN</t>
        </is>
      </c>
      <c r="E2229" t="inlineStr">
        <is>
          <t>SOLLEFTEÅ</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44407-2023</t>
        </is>
      </c>
      <c r="B2230" s="1" t="n">
        <v>45189</v>
      </c>
      <c r="C2230" s="1" t="n">
        <v>45356</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45644-2023</t>
        </is>
      </c>
      <c r="B2231" s="1" t="n">
        <v>45188</v>
      </c>
      <c r="C2231" s="1" t="n">
        <v>45356</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c r="U2231">
        <f>HYPERLINK("https://klasma.github.io/Logging_2283/knärot/A 45644-2023 karta knärot.png", "A 45644-2023")</f>
        <v/>
      </c>
      <c r="V2231">
        <f>HYPERLINK("https://klasma.github.io/Logging_2283/klagomål/A 45644-2023 FSC-klagomål.docx", "A 45644-2023")</f>
        <v/>
      </c>
      <c r="W2231">
        <f>HYPERLINK("https://klasma.github.io/Logging_2283/klagomålsmail/A 45644-2023 FSC-klagomål mail.docx", "A 45644-2023")</f>
        <v/>
      </c>
      <c r="X2231">
        <f>HYPERLINK("https://klasma.github.io/Logging_2283/tillsyn/A 45644-2023 tillsynsbegäran.docx", "A 45644-2023")</f>
        <v/>
      </c>
      <c r="Y2231">
        <f>HYPERLINK("https://klasma.github.io/Logging_2283/tillsynsmail/A 45644-2023 tillsynsbegäran mail.docx", "A 45644-2023")</f>
        <v/>
      </c>
    </row>
    <row r="2232" ht="15" customHeight="1">
      <c r="A2232" t="inlineStr">
        <is>
          <t>A 44410-2023</t>
        </is>
      </c>
      <c r="B2232" s="1" t="n">
        <v>45189</v>
      </c>
      <c r="C2232" s="1" t="n">
        <v>45356</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44905-2023</t>
        </is>
      </c>
      <c r="B2233" s="1" t="n">
        <v>45189</v>
      </c>
      <c r="C2233" s="1" t="n">
        <v>45356</v>
      </c>
      <c r="D2233" t="inlineStr">
        <is>
          <t>VÄSTERNORRLANDS LÄN</t>
        </is>
      </c>
      <c r="E2233" t="inlineStr">
        <is>
          <t>SOLLEFTEÅ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44781-2023</t>
        </is>
      </c>
      <c r="B2234" s="1" t="n">
        <v>45190</v>
      </c>
      <c r="C2234" s="1" t="n">
        <v>45356</v>
      </c>
      <c r="D2234" t="inlineStr">
        <is>
          <t>VÄSTERNORRLANDS LÄN</t>
        </is>
      </c>
      <c r="E2234" t="inlineStr">
        <is>
          <t>SOLLEFTEÅ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45007-2023</t>
        </is>
      </c>
      <c r="B2235" s="1" t="n">
        <v>45190</v>
      </c>
      <c r="C2235" s="1" t="n">
        <v>45356</v>
      </c>
      <c r="D2235" t="inlineStr">
        <is>
          <t>VÄSTERNORRLANDS LÄN</t>
        </is>
      </c>
      <c r="E2235" t="inlineStr">
        <is>
          <t>SOLLEFTEÅ</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45015-2023</t>
        </is>
      </c>
      <c r="B2236" s="1" t="n">
        <v>45191</v>
      </c>
      <c r="C2236" s="1" t="n">
        <v>45356</v>
      </c>
      <c r="D2236" t="inlineStr">
        <is>
          <t>VÄSTERNORRLANDS LÄN</t>
        </is>
      </c>
      <c r="E2236" t="inlineStr">
        <is>
          <t>SOLLEFTEÅ</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44984-2023</t>
        </is>
      </c>
      <c r="B2237" s="1" t="n">
        <v>45191</v>
      </c>
      <c r="C2237" s="1" t="n">
        <v>45356</v>
      </c>
      <c r="D2237" t="inlineStr">
        <is>
          <t>VÄSTERNORRLANDS LÄN</t>
        </is>
      </c>
      <c r="E2237" t="inlineStr">
        <is>
          <t>SOLLEFTEÅ</t>
        </is>
      </c>
      <c r="F2237" t="inlineStr">
        <is>
          <t>SCA</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45016-2023</t>
        </is>
      </c>
      <c r="B2238" s="1" t="n">
        <v>45191</v>
      </c>
      <c r="C2238" s="1" t="n">
        <v>45356</v>
      </c>
      <c r="D2238" t="inlineStr">
        <is>
          <t>VÄSTERNORRLANDS LÄN</t>
        </is>
      </c>
      <c r="E2238" t="inlineStr">
        <is>
          <t>SOLLEFTEÅ</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44986-2023</t>
        </is>
      </c>
      <c r="B2239" s="1" t="n">
        <v>45190</v>
      </c>
      <c r="C2239" s="1" t="n">
        <v>45356</v>
      </c>
      <c r="D2239" t="inlineStr">
        <is>
          <t>VÄSTERNORRLANDS LÄN</t>
        </is>
      </c>
      <c r="E2239" t="inlineStr">
        <is>
          <t>SOLLEFTEÅ</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44994-2023</t>
        </is>
      </c>
      <c r="B2240" s="1" t="n">
        <v>45190</v>
      </c>
      <c r="C2240" s="1" t="n">
        <v>45356</v>
      </c>
      <c r="D2240" t="inlineStr">
        <is>
          <t>VÄSTERNORRLANDS LÄN</t>
        </is>
      </c>
      <c r="E2240" t="inlineStr">
        <is>
          <t>SOLLEFTEÅ</t>
        </is>
      </c>
      <c r="F2240" t="inlineStr">
        <is>
          <t>SCA</t>
        </is>
      </c>
      <c r="G2240" t="n">
        <v>26.8</v>
      </c>
      <c r="H2240" t="n">
        <v>0</v>
      </c>
      <c r="I2240" t="n">
        <v>0</v>
      </c>
      <c r="J2240" t="n">
        <v>0</v>
      </c>
      <c r="K2240" t="n">
        <v>0</v>
      </c>
      <c r="L2240" t="n">
        <v>0</v>
      </c>
      <c r="M2240" t="n">
        <v>0</v>
      </c>
      <c r="N2240" t="n">
        <v>0</v>
      </c>
      <c r="O2240" t="n">
        <v>0</v>
      </c>
      <c r="P2240" t="n">
        <v>0</v>
      </c>
      <c r="Q2240" t="n">
        <v>0</v>
      </c>
      <c r="R2240" s="2" t="inlineStr"/>
    </row>
    <row r="2241" ht="15" customHeight="1">
      <c r="A2241" t="inlineStr">
        <is>
          <t>A 44998-2023</t>
        </is>
      </c>
      <c r="B2241" s="1" t="n">
        <v>45191</v>
      </c>
      <c r="C2241" s="1" t="n">
        <v>45356</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45014-2023</t>
        </is>
      </c>
      <c r="B2242" s="1" t="n">
        <v>45191</v>
      </c>
      <c r="C2242" s="1" t="n">
        <v>45356</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45017-2023</t>
        </is>
      </c>
      <c r="B2243" s="1" t="n">
        <v>45190</v>
      </c>
      <c r="C2243" s="1" t="n">
        <v>45356</v>
      </c>
      <c r="D2243" t="inlineStr">
        <is>
          <t>VÄSTERNORRLANDS LÄN</t>
        </is>
      </c>
      <c r="E2243" t="inlineStr">
        <is>
          <t>SOLLEFTEÅ</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46212-2023</t>
        </is>
      </c>
      <c r="B2244" s="1" t="n">
        <v>45190</v>
      </c>
      <c r="C2244" s="1" t="n">
        <v>45356</v>
      </c>
      <c r="D2244" t="inlineStr">
        <is>
          <t>VÄSTERNORRLANDS LÄN</t>
        </is>
      </c>
      <c r="E2244" t="inlineStr">
        <is>
          <t>SOLLEFTEÅ</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46207-2023</t>
        </is>
      </c>
      <c r="B2245" s="1" t="n">
        <v>45190</v>
      </c>
      <c r="C2245" s="1" t="n">
        <v>45356</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46357-2023</t>
        </is>
      </c>
      <c r="B2246" s="1" t="n">
        <v>45191</v>
      </c>
      <c r="C2246" s="1" t="n">
        <v>45356</v>
      </c>
      <c r="D2246" t="inlineStr">
        <is>
          <t>VÄSTERNORRLANDS LÄN</t>
        </is>
      </c>
      <c r="E2246" t="inlineStr">
        <is>
          <t>SOLLEFTEÅ</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46344-2023</t>
        </is>
      </c>
      <c r="B2247" s="1" t="n">
        <v>45191</v>
      </c>
      <c r="C2247" s="1" t="n">
        <v>45356</v>
      </c>
      <c r="D2247" t="inlineStr">
        <is>
          <t>VÄSTERNORRLANDS LÄN</t>
        </is>
      </c>
      <c r="E2247" t="inlineStr">
        <is>
          <t>SOLLEFTEÅ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45570-2023</t>
        </is>
      </c>
      <c r="B2248" s="1" t="n">
        <v>45194</v>
      </c>
      <c r="C2248" s="1" t="n">
        <v>45356</v>
      </c>
      <c r="D2248" t="inlineStr">
        <is>
          <t>VÄSTERNORRLANDS LÄN</t>
        </is>
      </c>
      <c r="E2248" t="inlineStr">
        <is>
          <t>SOLLEFTEÅ</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45958-2023</t>
        </is>
      </c>
      <c r="B2249" s="1" t="n">
        <v>45195</v>
      </c>
      <c r="C2249" s="1" t="n">
        <v>45356</v>
      </c>
      <c r="D2249" t="inlineStr">
        <is>
          <t>VÄSTERNORRLANDS LÄN</t>
        </is>
      </c>
      <c r="E2249" t="inlineStr">
        <is>
          <t>SOLLEFTEÅ</t>
        </is>
      </c>
      <c r="F2249" t="inlineStr">
        <is>
          <t>SCA</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45973-2023</t>
        </is>
      </c>
      <c r="B2250" s="1" t="n">
        <v>45195</v>
      </c>
      <c r="C2250" s="1" t="n">
        <v>45356</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46256-2023</t>
        </is>
      </c>
      <c r="B2251" s="1" t="n">
        <v>45197</v>
      </c>
      <c r="C2251" s="1" t="n">
        <v>45356</v>
      </c>
      <c r="D2251" t="inlineStr">
        <is>
          <t>VÄSTERNORRLANDS LÄN</t>
        </is>
      </c>
      <c r="E2251" t="inlineStr">
        <is>
          <t>SOLLEFTEÅ</t>
        </is>
      </c>
      <c r="F2251" t="inlineStr">
        <is>
          <t>SCA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47329-2023</t>
        </is>
      </c>
      <c r="B2252" s="1" t="n">
        <v>45196</v>
      </c>
      <c r="C2252" s="1" t="n">
        <v>45356</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47327-2023</t>
        </is>
      </c>
      <c r="B2253" s="1" t="n">
        <v>45196</v>
      </c>
      <c r="C2253" s="1" t="n">
        <v>45356</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46553-2023</t>
        </is>
      </c>
      <c r="B2254" s="1" t="n">
        <v>45198</v>
      </c>
      <c r="C2254" s="1" t="n">
        <v>45356</v>
      </c>
      <c r="D2254" t="inlineStr">
        <is>
          <t>VÄSTERNORRLANDS LÄN</t>
        </is>
      </c>
      <c r="E2254" t="inlineStr">
        <is>
          <t>SOLLEFTEÅ</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46550-2023</t>
        </is>
      </c>
      <c r="B2255" s="1" t="n">
        <v>45198</v>
      </c>
      <c r="C2255" s="1" t="n">
        <v>45356</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46554-2023</t>
        </is>
      </c>
      <c r="B2256" s="1" t="n">
        <v>45198</v>
      </c>
      <c r="C2256" s="1" t="n">
        <v>45356</v>
      </c>
      <c r="D2256" t="inlineStr">
        <is>
          <t>VÄSTERNORRLANDS LÄN</t>
        </is>
      </c>
      <c r="E2256" t="inlineStr">
        <is>
          <t>SOLLEFTEÅ</t>
        </is>
      </c>
      <c r="F2256" t="inlineStr">
        <is>
          <t>SCA</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46555-2023</t>
        </is>
      </c>
      <c r="B2257" s="1" t="n">
        <v>45198</v>
      </c>
      <c r="C2257" s="1" t="n">
        <v>45356</v>
      </c>
      <c r="D2257" t="inlineStr">
        <is>
          <t>VÄSTERNORRLANDS LÄN</t>
        </is>
      </c>
      <c r="E2257" t="inlineStr">
        <is>
          <t>SOLLEFTEÅ</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46804-2023</t>
        </is>
      </c>
      <c r="B2258" s="1" t="n">
        <v>45198</v>
      </c>
      <c r="C2258" s="1" t="n">
        <v>45356</v>
      </c>
      <c r="D2258" t="inlineStr">
        <is>
          <t>VÄSTERNORRLANDS LÄN</t>
        </is>
      </c>
      <c r="E2258" t="inlineStr">
        <is>
          <t>SOLLEFTEÅ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47741-2023</t>
        </is>
      </c>
      <c r="B2259" s="1" t="n">
        <v>45198</v>
      </c>
      <c r="C2259" s="1" t="n">
        <v>45356</v>
      </c>
      <c r="D2259" t="inlineStr">
        <is>
          <t>VÄSTERNORRLANDS LÄN</t>
        </is>
      </c>
      <c r="E2259" t="inlineStr">
        <is>
          <t>SOLLEFTEÅ</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47159-2023</t>
        </is>
      </c>
      <c r="B2260" s="1" t="n">
        <v>45201</v>
      </c>
      <c r="C2260" s="1" t="n">
        <v>45356</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47167-2023</t>
        </is>
      </c>
      <c r="B2261" s="1" t="n">
        <v>45202</v>
      </c>
      <c r="C2261" s="1" t="n">
        <v>45356</v>
      </c>
      <c r="D2261" t="inlineStr">
        <is>
          <t>VÄSTERNORRLANDS LÄN</t>
        </is>
      </c>
      <c r="E2261" t="inlineStr">
        <is>
          <t>SOLLEFTEÅ</t>
        </is>
      </c>
      <c r="F2261" t="inlineStr">
        <is>
          <t>SCA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47175-2023</t>
        </is>
      </c>
      <c r="B2262" s="1" t="n">
        <v>45202</v>
      </c>
      <c r="C2262" s="1" t="n">
        <v>45356</v>
      </c>
      <c r="D2262" t="inlineStr">
        <is>
          <t>VÄSTERNORRLANDS LÄN</t>
        </is>
      </c>
      <c r="E2262" t="inlineStr">
        <is>
          <t>SOLLEFTEÅ</t>
        </is>
      </c>
      <c r="F2262" t="inlineStr">
        <is>
          <t>SCA</t>
        </is>
      </c>
      <c r="G2262" t="n">
        <v>14.7</v>
      </c>
      <c r="H2262" t="n">
        <v>0</v>
      </c>
      <c r="I2262" t="n">
        <v>0</v>
      </c>
      <c r="J2262" t="n">
        <v>0</v>
      </c>
      <c r="K2262" t="n">
        <v>0</v>
      </c>
      <c r="L2262" t="n">
        <v>0</v>
      </c>
      <c r="M2262" t="n">
        <v>0</v>
      </c>
      <c r="N2262" t="n">
        <v>0</v>
      </c>
      <c r="O2262" t="n">
        <v>0</v>
      </c>
      <c r="P2262" t="n">
        <v>0</v>
      </c>
      <c r="Q2262" t="n">
        <v>0</v>
      </c>
      <c r="R2262" s="2" t="inlineStr"/>
    </row>
    <row r="2263" ht="15" customHeight="1">
      <c r="A2263" t="inlineStr">
        <is>
          <t>A 47170-2023</t>
        </is>
      </c>
      <c r="B2263" s="1" t="n">
        <v>45202</v>
      </c>
      <c r="C2263" s="1" t="n">
        <v>45356</v>
      </c>
      <c r="D2263" t="inlineStr">
        <is>
          <t>VÄSTERNORRLANDS LÄN</t>
        </is>
      </c>
      <c r="E2263" t="inlineStr">
        <is>
          <t>SOLLEFTEÅ</t>
        </is>
      </c>
      <c r="F2263" t="inlineStr">
        <is>
          <t>SCA</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47174-2023</t>
        </is>
      </c>
      <c r="B2264" s="1" t="n">
        <v>45202</v>
      </c>
      <c r="C2264" s="1" t="n">
        <v>45356</v>
      </c>
      <c r="D2264" t="inlineStr">
        <is>
          <t>VÄSTERNORRLANDS LÄN</t>
        </is>
      </c>
      <c r="E2264" t="inlineStr">
        <is>
          <t>SOLLEFTEÅ</t>
        </is>
      </c>
      <c r="F2264" t="inlineStr">
        <is>
          <t>SCA</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47177-2023</t>
        </is>
      </c>
      <c r="B2265" s="1" t="n">
        <v>45201</v>
      </c>
      <c r="C2265" s="1" t="n">
        <v>45356</v>
      </c>
      <c r="D2265" t="inlineStr">
        <is>
          <t>VÄSTERNORRLANDS LÄN</t>
        </is>
      </c>
      <c r="E2265" t="inlineStr">
        <is>
          <t>SOLLEFTEÅ</t>
        </is>
      </c>
      <c r="F2265" t="inlineStr">
        <is>
          <t>SCA</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47181-2023</t>
        </is>
      </c>
      <c r="B2266" s="1" t="n">
        <v>45202</v>
      </c>
      <c r="C2266" s="1" t="n">
        <v>45356</v>
      </c>
      <c r="D2266" t="inlineStr">
        <is>
          <t>VÄSTERNORRLANDS LÄN</t>
        </is>
      </c>
      <c r="E2266" t="inlineStr">
        <is>
          <t>SOLLEFTEÅ</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47185-2023</t>
        </is>
      </c>
      <c r="B2267" s="1" t="n">
        <v>45201</v>
      </c>
      <c r="C2267" s="1" t="n">
        <v>45356</v>
      </c>
      <c r="D2267" t="inlineStr">
        <is>
          <t>VÄSTERNORRLANDS LÄN</t>
        </is>
      </c>
      <c r="E2267" t="inlineStr">
        <is>
          <t>SOLLEFTEÅ</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47490-2023</t>
        </is>
      </c>
      <c r="B2268" s="1" t="n">
        <v>45203</v>
      </c>
      <c r="C2268" s="1" t="n">
        <v>45356</v>
      </c>
      <c r="D2268" t="inlineStr">
        <is>
          <t>VÄSTERNORRLANDS LÄN</t>
        </is>
      </c>
      <c r="E2268" t="inlineStr">
        <is>
          <t>SOLLEFTEÅ</t>
        </is>
      </c>
      <c r="F2268" t="inlineStr">
        <is>
          <t>SCA</t>
        </is>
      </c>
      <c r="G2268" t="n">
        <v>12.6</v>
      </c>
      <c r="H2268" t="n">
        <v>0</v>
      </c>
      <c r="I2268" t="n">
        <v>0</v>
      </c>
      <c r="J2268" t="n">
        <v>0</v>
      </c>
      <c r="K2268" t="n">
        <v>0</v>
      </c>
      <c r="L2268" t="n">
        <v>0</v>
      </c>
      <c r="M2268" t="n">
        <v>0</v>
      </c>
      <c r="N2268" t="n">
        <v>0</v>
      </c>
      <c r="O2268" t="n">
        <v>0</v>
      </c>
      <c r="P2268" t="n">
        <v>0</v>
      </c>
      <c r="Q2268" t="n">
        <v>0</v>
      </c>
      <c r="R2268" s="2" t="inlineStr"/>
    </row>
    <row r="2269" ht="15" customHeight="1">
      <c r="A2269" t="inlineStr">
        <is>
          <t>A 47457-2023</t>
        </is>
      </c>
      <c r="B2269" s="1" t="n">
        <v>45202</v>
      </c>
      <c r="C2269" s="1" t="n">
        <v>45356</v>
      </c>
      <c r="D2269" t="inlineStr">
        <is>
          <t>VÄSTERNORRLANDS LÄN</t>
        </is>
      </c>
      <c r="E2269" t="inlineStr">
        <is>
          <t>SOLLEFTEÅ</t>
        </is>
      </c>
      <c r="F2269" t="inlineStr">
        <is>
          <t>Holmen skog AB</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47477-2023</t>
        </is>
      </c>
      <c r="B2270" s="1" t="n">
        <v>45203</v>
      </c>
      <c r="C2270" s="1" t="n">
        <v>45356</v>
      </c>
      <c r="D2270" t="inlineStr">
        <is>
          <t>VÄSTERNORRLANDS LÄN</t>
        </is>
      </c>
      <c r="E2270" t="inlineStr">
        <is>
          <t>SOLLEFTEÅ</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47794-2023</t>
        </is>
      </c>
      <c r="B2271" s="1" t="n">
        <v>45204</v>
      </c>
      <c r="C2271" s="1" t="n">
        <v>45356</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48077-2023</t>
        </is>
      </c>
      <c r="B2272" s="1" t="n">
        <v>45205</v>
      </c>
      <c r="C2272" s="1" t="n">
        <v>45356</v>
      </c>
      <c r="D2272" t="inlineStr">
        <is>
          <t>VÄSTERNORRLANDS LÄN</t>
        </is>
      </c>
      <c r="E2272" t="inlineStr">
        <is>
          <t>SOLLEFTEÅ</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48085-2023</t>
        </is>
      </c>
      <c r="B2273" s="1" t="n">
        <v>45205</v>
      </c>
      <c r="C2273" s="1" t="n">
        <v>45356</v>
      </c>
      <c r="D2273" t="inlineStr">
        <is>
          <t>VÄSTERNORRLANDS LÄN</t>
        </is>
      </c>
      <c r="E2273" t="inlineStr">
        <is>
          <t>SOLLEFTEÅ</t>
        </is>
      </c>
      <c r="F2273" t="inlineStr">
        <is>
          <t>SCA</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48089-2023</t>
        </is>
      </c>
      <c r="B2274" s="1" t="n">
        <v>45204</v>
      </c>
      <c r="C2274" s="1" t="n">
        <v>45356</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48083-2023</t>
        </is>
      </c>
      <c r="B2275" s="1" t="n">
        <v>45204</v>
      </c>
      <c r="C2275" s="1" t="n">
        <v>45356</v>
      </c>
      <c r="D2275" t="inlineStr">
        <is>
          <t>VÄSTERNORRLANDS LÄN</t>
        </is>
      </c>
      <c r="E2275" t="inlineStr">
        <is>
          <t>SOLLEFTEÅ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48086-2023</t>
        </is>
      </c>
      <c r="B2276" s="1" t="n">
        <v>45205</v>
      </c>
      <c r="C2276" s="1" t="n">
        <v>45356</v>
      </c>
      <c r="D2276" t="inlineStr">
        <is>
          <t>VÄSTERNORRLANDS LÄN</t>
        </is>
      </c>
      <c r="E2276" t="inlineStr">
        <is>
          <t>SOLLEFTEÅ</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48090-2023</t>
        </is>
      </c>
      <c r="B2277" s="1" t="n">
        <v>45205</v>
      </c>
      <c r="C2277" s="1" t="n">
        <v>45356</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48072-2023</t>
        </is>
      </c>
      <c r="B2278" s="1" t="n">
        <v>45205</v>
      </c>
      <c r="C2278" s="1" t="n">
        <v>45356</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48088-2023</t>
        </is>
      </c>
      <c r="B2279" s="1" t="n">
        <v>45205</v>
      </c>
      <c r="C2279" s="1" t="n">
        <v>45356</v>
      </c>
      <c r="D2279" t="inlineStr">
        <is>
          <t>VÄSTERNORRLANDS LÄN</t>
        </is>
      </c>
      <c r="E2279" t="inlineStr">
        <is>
          <t>SOLLEFTEÅ</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48964-2023</t>
        </is>
      </c>
      <c r="B2280" s="1" t="n">
        <v>45204</v>
      </c>
      <c r="C2280" s="1" t="n">
        <v>45356</v>
      </c>
      <c r="D2280" t="inlineStr">
        <is>
          <t>VÄSTERNORRLANDS LÄN</t>
        </is>
      </c>
      <c r="E2280" t="inlineStr">
        <is>
          <t>SOLLEFTEÅ</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49417-2023</t>
        </is>
      </c>
      <c r="B2281" s="1" t="n">
        <v>45205</v>
      </c>
      <c r="C2281" s="1" t="n">
        <v>45356</v>
      </c>
      <c r="D2281" t="inlineStr">
        <is>
          <t>VÄSTERNORRLANDS LÄN</t>
        </is>
      </c>
      <c r="E2281" t="inlineStr">
        <is>
          <t>SOLLEFTEÅ</t>
        </is>
      </c>
      <c r="F2281" t="inlineStr">
        <is>
          <t>SCA</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48767-2023</t>
        </is>
      </c>
      <c r="B2282" s="1" t="n">
        <v>45208</v>
      </c>
      <c r="C2282" s="1" t="n">
        <v>45356</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48528-2023</t>
        </is>
      </c>
      <c r="B2283" s="1" t="n">
        <v>45208</v>
      </c>
      <c r="C2283" s="1" t="n">
        <v>45356</v>
      </c>
      <c r="D2283" t="inlineStr">
        <is>
          <t>VÄSTERNORRLANDS LÄN</t>
        </is>
      </c>
      <c r="E2283" t="inlineStr">
        <is>
          <t>SOLLEFTEÅ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48570-2023</t>
        </is>
      </c>
      <c r="B2284" s="1" t="n">
        <v>45208</v>
      </c>
      <c r="C2284" s="1" t="n">
        <v>45356</v>
      </c>
      <c r="D2284" t="inlineStr">
        <is>
          <t>VÄSTERNORRLANDS LÄN</t>
        </is>
      </c>
      <c r="E2284" t="inlineStr">
        <is>
          <t>SOLLEFTEÅ</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48999-2023</t>
        </is>
      </c>
      <c r="B2285" s="1" t="n">
        <v>45209</v>
      </c>
      <c r="C2285" s="1" t="n">
        <v>45356</v>
      </c>
      <c r="D2285" t="inlineStr">
        <is>
          <t>VÄSTERNORRLANDS LÄN</t>
        </is>
      </c>
      <c r="E2285" t="inlineStr">
        <is>
          <t>SOLLEFTEÅ</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49036-2023</t>
        </is>
      </c>
      <c r="B2286" s="1" t="n">
        <v>45210</v>
      </c>
      <c r="C2286" s="1" t="n">
        <v>45356</v>
      </c>
      <c r="D2286" t="inlineStr">
        <is>
          <t>VÄSTERNORRLANDS LÄN</t>
        </is>
      </c>
      <c r="E2286" t="inlineStr">
        <is>
          <t>SOLLEFTEÅ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50313-2023</t>
        </is>
      </c>
      <c r="B2287" s="1" t="n">
        <v>45209</v>
      </c>
      <c r="C2287" s="1" t="n">
        <v>45356</v>
      </c>
      <c r="D2287" t="inlineStr">
        <is>
          <t>VÄSTERNORRLANDS LÄN</t>
        </is>
      </c>
      <c r="E2287" t="inlineStr">
        <is>
          <t>SOLLEFTEÅ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49313-2023</t>
        </is>
      </c>
      <c r="B2288" s="1" t="n">
        <v>45211</v>
      </c>
      <c r="C2288" s="1" t="n">
        <v>45356</v>
      </c>
      <c r="D2288" t="inlineStr">
        <is>
          <t>VÄSTERNORRLANDS LÄN</t>
        </is>
      </c>
      <c r="E2288" t="inlineStr">
        <is>
          <t>SOLLEFTEÅ</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49317-2023</t>
        </is>
      </c>
      <c r="B2289" s="1" t="n">
        <v>45210</v>
      </c>
      <c r="C2289" s="1" t="n">
        <v>45356</v>
      </c>
      <c r="D2289" t="inlineStr">
        <is>
          <t>VÄSTERNORRLANDS LÄN</t>
        </is>
      </c>
      <c r="E2289" t="inlineStr">
        <is>
          <t>SOLLEFTEÅ</t>
        </is>
      </c>
      <c r="F2289" t="inlineStr">
        <is>
          <t>SCA</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49323-2023</t>
        </is>
      </c>
      <c r="B2290" s="1" t="n">
        <v>45211</v>
      </c>
      <c r="C2290" s="1" t="n">
        <v>45356</v>
      </c>
      <c r="D2290" t="inlineStr">
        <is>
          <t>VÄSTERNORRLANDS LÄN</t>
        </is>
      </c>
      <c r="E2290" t="inlineStr">
        <is>
          <t>SOLLEFTEÅ</t>
        </is>
      </c>
      <c r="F2290" t="inlineStr">
        <is>
          <t>SCA</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49324-2023</t>
        </is>
      </c>
      <c r="B2291" s="1" t="n">
        <v>45210</v>
      </c>
      <c r="C2291" s="1" t="n">
        <v>45356</v>
      </c>
      <c r="D2291" t="inlineStr">
        <is>
          <t>VÄSTERNORRLANDS LÄN</t>
        </is>
      </c>
      <c r="E2291" t="inlineStr">
        <is>
          <t>SOLLEFTEÅ</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50698-2023</t>
        </is>
      </c>
      <c r="B2292" s="1" t="n">
        <v>45210</v>
      </c>
      <c r="C2292" s="1" t="n">
        <v>45356</v>
      </c>
      <c r="D2292" t="inlineStr">
        <is>
          <t>VÄSTERNORRLANDS LÄN</t>
        </is>
      </c>
      <c r="E2292" t="inlineStr">
        <is>
          <t>SOLLEFTEÅ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50745-2023</t>
        </is>
      </c>
      <c r="B2293" s="1" t="n">
        <v>45210</v>
      </c>
      <c r="C2293" s="1" t="n">
        <v>45356</v>
      </c>
      <c r="D2293" t="inlineStr">
        <is>
          <t>VÄSTERNORRLANDS LÄN</t>
        </is>
      </c>
      <c r="E2293" t="inlineStr">
        <is>
          <t>SOLLEFTEÅ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50716-2023</t>
        </is>
      </c>
      <c r="B2294" s="1" t="n">
        <v>45210</v>
      </c>
      <c r="C2294" s="1" t="n">
        <v>45356</v>
      </c>
      <c r="D2294" t="inlineStr">
        <is>
          <t>VÄSTERNORRLANDS LÄN</t>
        </is>
      </c>
      <c r="E2294" t="inlineStr">
        <is>
          <t>SOLLEFTEÅ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50674-2023</t>
        </is>
      </c>
      <c r="B2295" s="1" t="n">
        <v>45210</v>
      </c>
      <c r="C2295" s="1" t="n">
        <v>45356</v>
      </c>
      <c r="D2295" t="inlineStr">
        <is>
          <t>VÄSTERNORRLANDS LÄN</t>
        </is>
      </c>
      <c r="E2295" t="inlineStr">
        <is>
          <t>SOLLEFTEÅ</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50688-2023</t>
        </is>
      </c>
      <c r="B2296" s="1" t="n">
        <v>45210</v>
      </c>
      <c r="C2296" s="1" t="n">
        <v>45356</v>
      </c>
      <c r="D2296" t="inlineStr">
        <is>
          <t>VÄSTERNORRLANDS LÄN</t>
        </is>
      </c>
      <c r="E2296" t="inlineStr">
        <is>
          <t>SOLLEFTEÅ</t>
        </is>
      </c>
      <c r="G2296" t="n">
        <v>15.6</v>
      </c>
      <c r="H2296" t="n">
        <v>0</v>
      </c>
      <c r="I2296" t="n">
        <v>0</v>
      </c>
      <c r="J2296" t="n">
        <v>0</v>
      </c>
      <c r="K2296" t="n">
        <v>0</v>
      </c>
      <c r="L2296" t="n">
        <v>0</v>
      </c>
      <c r="M2296" t="n">
        <v>0</v>
      </c>
      <c r="N2296" t="n">
        <v>0</v>
      </c>
      <c r="O2296" t="n">
        <v>0</v>
      </c>
      <c r="P2296" t="n">
        <v>0</v>
      </c>
      <c r="Q2296" t="n">
        <v>0</v>
      </c>
      <c r="R2296" s="2" t="inlineStr"/>
    </row>
    <row r="2297" ht="15" customHeight="1">
      <c r="A2297" t="inlineStr">
        <is>
          <t>A 50708-2023</t>
        </is>
      </c>
      <c r="B2297" s="1" t="n">
        <v>45210</v>
      </c>
      <c r="C2297" s="1" t="n">
        <v>45356</v>
      </c>
      <c r="D2297" t="inlineStr">
        <is>
          <t>VÄSTERNORRLANDS LÄN</t>
        </is>
      </c>
      <c r="E2297" t="inlineStr">
        <is>
          <t>SOLLEFTEÅ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49649-2023</t>
        </is>
      </c>
      <c r="B2298" s="1" t="n">
        <v>45212</v>
      </c>
      <c r="C2298" s="1" t="n">
        <v>45356</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49810-2023</t>
        </is>
      </c>
      <c r="B2299" s="1" t="n">
        <v>45212</v>
      </c>
      <c r="C2299" s="1" t="n">
        <v>45356</v>
      </c>
      <c r="D2299" t="inlineStr">
        <is>
          <t>VÄSTERNORRLANDS LÄN</t>
        </is>
      </c>
      <c r="E2299" t="inlineStr">
        <is>
          <t>SOLLEFTEÅ</t>
        </is>
      </c>
      <c r="F2299" t="inlineStr">
        <is>
          <t>Holmen skog AB</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50226-2023</t>
        </is>
      </c>
      <c r="B2300" s="1" t="n">
        <v>45216</v>
      </c>
      <c r="C2300" s="1" t="n">
        <v>45356</v>
      </c>
      <c r="D2300" t="inlineStr">
        <is>
          <t>VÄSTERNORRLANDS LÄN</t>
        </is>
      </c>
      <c r="E2300" t="inlineStr">
        <is>
          <t>SOLLEFTEÅ</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51522-2023</t>
        </is>
      </c>
      <c r="B2301" s="1" t="n">
        <v>45215</v>
      </c>
      <c r="C2301" s="1" t="n">
        <v>45356</v>
      </c>
      <c r="D2301" t="inlineStr">
        <is>
          <t>VÄSTERNORRLANDS LÄN</t>
        </is>
      </c>
      <c r="E2301" t="inlineStr">
        <is>
          <t>SOLLEFTEÅ</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51515-2023</t>
        </is>
      </c>
      <c r="B2302" s="1" t="n">
        <v>45215</v>
      </c>
      <c r="C2302" s="1" t="n">
        <v>45356</v>
      </c>
      <c r="D2302" t="inlineStr">
        <is>
          <t>VÄSTERNORRLANDS LÄN</t>
        </is>
      </c>
      <c r="E2302" t="inlineStr">
        <is>
          <t>SOLLEFTEÅ</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51681-2023</t>
        </is>
      </c>
      <c r="B2303" s="1" t="n">
        <v>45215</v>
      </c>
      <c r="C2303" s="1" t="n">
        <v>45356</v>
      </c>
      <c r="D2303" t="inlineStr">
        <is>
          <t>VÄSTERNORRLANDS LÄN</t>
        </is>
      </c>
      <c r="E2303" t="inlineStr">
        <is>
          <t>SOLLEFTEÅ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51677-2023</t>
        </is>
      </c>
      <c r="B2304" s="1" t="n">
        <v>45215</v>
      </c>
      <c r="C2304" s="1" t="n">
        <v>45356</v>
      </c>
      <c r="D2304" t="inlineStr">
        <is>
          <t>VÄSTERNORRLANDS LÄN</t>
        </is>
      </c>
      <c r="E2304" t="inlineStr">
        <is>
          <t>SOLLEFTEÅ</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51690-2023</t>
        </is>
      </c>
      <c r="B2305" s="1" t="n">
        <v>45215</v>
      </c>
      <c r="C2305" s="1" t="n">
        <v>45356</v>
      </c>
      <c r="D2305" t="inlineStr">
        <is>
          <t>VÄSTERNORRLANDS LÄN</t>
        </is>
      </c>
      <c r="E2305" t="inlineStr">
        <is>
          <t>SOLLEFTEÅ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50507-2023</t>
        </is>
      </c>
      <c r="B2306" s="1" t="n">
        <v>45217</v>
      </c>
      <c r="C2306" s="1" t="n">
        <v>45356</v>
      </c>
      <c r="D2306" t="inlineStr">
        <is>
          <t>VÄSTERNORRLANDS LÄN</t>
        </is>
      </c>
      <c r="E2306" t="inlineStr">
        <is>
          <t>SOLLEFTEÅ</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50767-2023</t>
        </is>
      </c>
      <c r="B2307" s="1" t="n">
        <v>45217</v>
      </c>
      <c r="C2307" s="1" t="n">
        <v>45356</v>
      </c>
      <c r="D2307" t="inlineStr">
        <is>
          <t>VÄSTERNORRLANDS LÄN</t>
        </is>
      </c>
      <c r="E2307" t="inlineStr">
        <is>
          <t>SOLLEFTEÅ</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50841-2023</t>
        </is>
      </c>
      <c r="B2308" s="1" t="n">
        <v>45217</v>
      </c>
      <c r="C2308" s="1" t="n">
        <v>45356</v>
      </c>
      <c r="D2308" t="inlineStr">
        <is>
          <t>VÄSTERNORRLANDS LÄN</t>
        </is>
      </c>
      <c r="E2308" t="inlineStr">
        <is>
          <t>SOLLEFTEÅ</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50615-2023</t>
        </is>
      </c>
      <c r="B2309" s="1" t="n">
        <v>45217</v>
      </c>
      <c r="C2309" s="1" t="n">
        <v>45356</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50757-2023</t>
        </is>
      </c>
      <c r="B2310" s="1" t="n">
        <v>45217</v>
      </c>
      <c r="C2310" s="1" t="n">
        <v>45356</v>
      </c>
      <c r="D2310" t="inlineStr">
        <is>
          <t>VÄSTERNORRLANDS LÄN</t>
        </is>
      </c>
      <c r="E2310" t="inlineStr">
        <is>
          <t>SOLLEFTEÅ</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50844-2023</t>
        </is>
      </c>
      <c r="B2311" s="1" t="n">
        <v>45217</v>
      </c>
      <c r="C2311" s="1" t="n">
        <v>45356</v>
      </c>
      <c r="D2311" t="inlineStr">
        <is>
          <t>VÄSTERNORRLANDS LÄN</t>
        </is>
      </c>
      <c r="E2311" t="inlineStr">
        <is>
          <t>SOLLEFTEÅ</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52266-2023</t>
        </is>
      </c>
      <c r="B2312" s="1" t="n">
        <v>45217</v>
      </c>
      <c r="C2312" s="1" t="n">
        <v>45356</v>
      </c>
      <c r="D2312" t="inlineStr">
        <is>
          <t>VÄSTERNORRLANDS LÄN</t>
        </is>
      </c>
      <c r="E2312" t="inlineStr">
        <is>
          <t>SOLLEFTEÅ</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52267-2023</t>
        </is>
      </c>
      <c r="B2313" s="1" t="n">
        <v>45217</v>
      </c>
      <c r="C2313" s="1" t="n">
        <v>45356</v>
      </c>
      <c r="D2313" t="inlineStr">
        <is>
          <t>VÄSTERNORRLANDS LÄN</t>
        </is>
      </c>
      <c r="E2313" t="inlineStr">
        <is>
          <t>SOLLEFTEÅ</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51107-2023</t>
        </is>
      </c>
      <c r="B2314" s="1" t="n">
        <v>45219</v>
      </c>
      <c r="C2314" s="1" t="n">
        <v>45356</v>
      </c>
      <c r="D2314" t="inlineStr">
        <is>
          <t>VÄSTERNORRLANDS LÄN</t>
        </is>
      </c>
      <c r="E2314" t="inlineStr">
        <is>
          <t>SOLLEFTEÅ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51106-2023</t>
        </is>
      </c>
      <c r="B2315" s="1" t="n">
        <v>45219</v>
      </c>
      <c r="C2315" s="1" t="n">
        <v>45356</v>
      </c>
      <c r="D2315" t="inlineStr">
        <is>
          <t>VÄSTERNORRLANDS LÄN</t>
        </is>
      </c>
      <c r="E2315" t="inlineStr">
        <is>
          <t>SOLLEFTEÅ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51800-2023</t>
        </is>
      </c>
      <c r="B2316" s="1" t="n">
        <v>45222</v>
      </c>
      <c r="C2316" s="1" t="n">
        <v>45356</v>
      </c>
      <c r="D2316" t="inlineStr">
        <is>
          <t>VÄSTERNORRLANDS LÄN</t>
        </is>
      </c>
      <c r="E2316" t="inlineStr">
        <is>
          <t>SOLLEFTEÅ</t>
        </is>
      </c>
      <c r="F2316" t="inlineStr">
        <is>
          <t>SCA</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51801-2023</t>
        </is>
      </c>
      <c r="B2317" s="1" t="n">
        <v>45222</v>
      </c>
      <c r="C2317" s="1" t="n">
        <v>45356</v>
      </c>
      <c r="D2317" t="inlineStr">
        <is>
          <t>VÄSTERNORRLANDS LÄN</t>
        </is>
      </c>
      <c r="E2317" t="inlineStr">
        <is>
          <t>SOLLEFTEÅ</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53375-2023</t>
        </is>
      </c>
      <c r="B2318" s="1" t="n">
        <v>45222</v>
      </c>
      <c r="C2318" s="1" t="n">
        <v>45356</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53224-2023</t>
        </is>
      </c>
      <c r="B2319" s="1" t="n">
        <v>45222</v>
      </c>
      <c r="C2319" s="1" t="n">
        <v>45356</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53231-2023</t>
        </is>
      </c>
      <c r="B2320" s="1" t="n">
        <v>45222</v>
      </c>
      <c r="C2320" s="1" t="n">
        <v>45356</v>
      </c>
      <c r="D2320" t="inlineStr">
        <is>
          <t>VÄSTERNORRLANDS LÄN</t>
        </is>
      </c>
      <c r="E2320" t="inlineStr">
        <is>
          <t>SOLLEFTEÅ</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53379-2023</t>
        </is>
      </c>
      <c r="B2321" s="1" t="n">
        <v>45222</v>
      </c>
      <c r="C2321" s="1" t="n">
        <v>45356</v>
      </c>
      <c r="D2321" t="inlineStr">
        <is>
          <t>VÄSTERNORRLANDS LÄN</t>
        </is>
      </c>
      <c r="E2321" t="inlineStr">
        <is>
          <t>SOLLEFTEÅ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51802-2023</t>
        </is>
      </c>
      <c r="B2322" s="1" t="n">
        <v>45223</v>
      </c>
      <c r="C2322" s="1" t="n">
        <v>45356</v>
      </c>
      <c r="D2322" t="inlineStr">
        <is>
          <t>VÄSTERNORRLANDS LÄN</t>
        </is>
      </c>
      <c r="E2322" t="inlineStr">
        <is>
          <t>SOLLEFTEÅ</t>
        </is>
      </c>
      <c r="F2322" t="inlineStr">
        <is>
          <t>SCA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53394-2023</t>
        </is>
      </c>
      <c r="B2323" s="1" t="n">
        <v>45222</v>
      </c>
      <c r="C2323" s="1" t="n">
        <v>45356</v>
      </c>
      <c r="D2323" t="inlineStr">
        <is>
          <t>VÄSTERNORRLANDS LÄN</t>
        </is>
      </c>
      <c r="E2323" t="inlineStr">
        <is>
          <t>SOLLEFTEÅ</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52136-2023</t>
        </is>
      </c>
      <c r="B2324" s="1" t="n">
        <v>45224</v>
      </c>
      <c r="C2324" s="1" t="n">
        <v>45356</v>
      </c>
      <c r="D2324" t="inlineStr">
        <is>
          <t>VÄSTERNORRLANDS LÄN</t>
        </is>
      </c>
      <c r="E2324" t="inlineStr">
        <is>
          <t>SOLLEFTEÅ</t>
        </is>
      </c>
      <c r="F2324" t="inlineStr">
        <is>
          <t>SCA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52087-2023</t>
        </is>
      </c>
      <c r="B2325" s="1" t="n">
        <v>45223</v>
      </c>
      <c r="C2325" s="1" t="n">
        <v>45356</v>
      </c>
      <c r="D2325" t="inlineStr">
        <is>
          <t>VÄSTERNORRLANDS LÄN</t>
        </is>
      </c>
      <c r="E2325" t="inlineStr">
        <is>
          <t>SOLLEFTEÅ</t>
        </is>
      </c>
      <c r="G2325" t="n">
        <v>10.7</v>
      </c>
      <c r="H2325" t="n">
        <v>0</v>
      </c>
      <c r="I2325" t="n">
        <v>0</v>
      </c>
      <c r="J2325" t="n">
        <v>0</v>
      </c>
      <c r="K2325" t="n">
        <v>0</v>
      </c>
      <c r="L2325" t="n">
        <v>0</v>
      </c>
      <c r="M2325" t="n">
        <v>0</v>
      </c>
      <c r="N2325" t="n">
        <v>0</v>
      </c>
      <c r="O2325" t="n">
        <v>0</v>
      </c>
      <c r="P2325" t="n">
        <v>0</v>
      </c>
      <c r="Q2325" t="n">
        <v>0</v>
      </c>
      <c r="R2325" s="2" t="inlineStr"/>
    </row>
    <row r="2326" ht="15" customHeight="1">
      <c r="A2326" t="inlineStr">
        <is>
          <t>A 53550-2023</t>
        </is>
      </c>
      <c r="B2326" s="1" t="n">
        <v>45223</v>
      </c>
      <c r="C2326" s="1" t="n">
        <v>45356</v>
      </c>
      <c r="D2326" t="inlineStr">
        <is>
          <t>VÄSTERNORRLANDS LÄN</t>
        </is>
      </c>
      <c r="E2326" t="inlineStr">
        <is>
          <t>SOLLEFTEÅ</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53855-2023</t>
        </is>
      </c>
      <c r="B2327" s="1" t="n">
        <v>45224</v>
      </c>
      <c r="C2327" s="1" t="n">
        <v>45356</v>
      </c>
      <c r="D2327" t="inlineStr">
        <is>
          <t>VÄSTERNORRLANDS LÄN</t>
        </is>
      </c>
      <c r="E2327" t="inlineStr">
        <is>
          <t>SOLLEFTEÅ</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53850-2023</t>
        </is>
      </c>
      <c r="B2328" s="1" t="n">
        <v>45224</v>
      </c>
      <c r="C2328" s="1" t="n">
        <v>45356</v>
      </c>
      <c r="D2328" t="inlineStr">
        <is>
          <t>VÄSTERNORRLANDS LÄN</t>
        </is>
      </c>
      <c r="E2328" t="inlineStr">
        <is>
          <t>SOLLEFTEÅ</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53939-2023</t>
        </is>
      </c>
      <c r="B2329" s="1" t="n">
        <v>45224</v>
      </c>
      <c r="C2329" s="1" t="n">
        <v>45356</v>
      </c>
      <c r="D2329" t="inlineStr">
        <is>
          <t>VÄSTERNORRLANDS LÄN</t>
        </is>
      </c>
      <c r="E2329" t="inlineStr">
        <is>
          <t>SOLLEFTEÅ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52445-2023</t>
        </is>
      </c>
      <c r="B2330" s="1" t="n">
        <v>45225</v>
      </c>
      <c r="C2330" s="1" t="n">
        <v>45356</v>
      </c>
      <c r="D2330" t="inlineStr">
        <is>
          <t>VÄSTERNORRLANDS LÄN</t>
        </is>
      </c>
      <c r="E2330" t="inlineStr">
        <is>
          <t>SOLLEFTEÅ</t>
        </is>
      </c>
      <c r="F2330" t="inlineStr">
        <is>
          <t>Holmen skog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54307-2023</t>
        </is>
      </c>
      <c r="B2331" s="1" t="n">
        <v>45225</v>
      </c>
      <c r="C2331" s="1" t="n">
        <v>45356</v>
      </c>
      <c r="D2331" t="inlineStr">
        <is>
          <t>VÄSTERNORRLANDS LÄN</t>
        </is>
      </c>
      <c r="E2331" t="inlineStr">
        <is>
          <t>SOLLEFTEÅ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53040-2023</t>
        </is>
      </c>
      <c r="B2332" s="1" t="n">
        <v>45226</v>
      </c>
      <c r="C2332" s="1" t="n">
        <v>45356</v>
      </c>
      <c r="D2332" t="inlineStr">
        <is>
          <t>VÄSTERNORRLANDS LÄN</t>
        </is>
      </c>
      <c r="E2332" t="inlineStr">
        <is>
          <t>SOLLEFTEÅ</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54526-2023</t>
        </is>
      </c>
      <c r="B2333" s="1" t="n">
        <v>45226</v>
      </c>
      <c r="C2333" s="1" t="n">
        <v>45356</v>
      </c>
      <c r="D2333" t="inlineStr">
        <is>
          <t>VÄSTERNORRLANDS LÄN</t>
        </is>
      </c>
      <c r="E2333" t="inlineStr">
        <is>
          <t>SOLLEFTEÅ</t>
        </is>
      </c>
      <c r="G2333" t="n">
        <v>23.8</v>
      </c>
      <c r="H2333" t="n">
        <v>0</v>
      </c>
      <c r="I2333" t="n">
        <v>0</v>
      </c>
      <c r="J2333" t="n">
        <v>0</v>
      </c>
      <c r="K2333" t="n">
        <v>0</v>
      </c>
      <c r="L2333" t="n">
        <v>0</v>
      </c>
      <c r="M2333" t="n">
        <v>0</v>
      </c>
      <c r="N2333" t="n">
        <v>0</v>
      </c>
      <c r="O2333" t="n">
        <v>0</v>
      </c>
      <c r="P2333" t="n">
        <v>0</v>
      </c>
      <c r="Q2333" t="n">
        <v>0</v>
      </c>
      <c r="R2333" s="2" t="inlineStr"/>
    </row>
    <row r="2334" ht="15" customHeight="1">
      <c r="A2334" t="inlineStr">
        <is>
          <t>A 53057-2023</t>
        </is>
      </c>
      <c r="B2334" s="1" t="n">
        <v>45226</v>
      </c>
      <c r="C2334" s="1" t="n">
        <v>45356</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53049-2023</t>
        </is>
      </c>
      <c r="B2335" s="1" t="n">
        <v>45226</v>
      </c>
      <c r="C2335" s="1" t="n">
        <v>45356</v>
      </c>
      <c r="D2335" t="inlineStr">
        <is>
          <t>VÄSTERNORRLANDS LÄN</t>
        </is>
      </c>
      <c r="E2335" t="inlineStr">
        <is>
          <t>SOLLEFTEÅ</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53041-2023</t>
        </is>
      </c>
      <c r="B2336" s="1" t="n">
        <v>45226</v>
      </c>
      <c r="C2336" s="1" t="n">
        <v>45356</v>
      </c>
      <c r="D2336" t="inlineStr">
        <is>
          <t>VÄSTERNORRLANDS LÄN</t>
        </is>
      </c>
      <c r="E2336" t="inlineStr">
        <is>
          <t>SOLLEFTEÅ</t>
        </is>
      </c>
      <c r="F2336" t="inlineStr">
        <is>
          <t>SCA</t>
        </is>
      </c>
      <c r="G2336" t="n">
        <v>50.2</v>
      </c>
      <c r="H2336" t="n">
        <v>0</v>
      </c>
      <c r="I2336" t="n">
        <v>0</v>
      </c>
      <c r="J2336" t="n">
        <v>0</v>
      </c>
      <c r="K2336" t="n">
        <v>0</v>
      </c>
      <c r="L2336" t="n">
        <v>0</v>
      </c>
      <c r="M2336" t="n">
        <v>0</v>
      </c>
      <c r="N2336" t="n">
        <v>0</v>
      </c>
      <c r="O2336" t="n">
        <v>0</v>
      </c>
      <c r="P2336" t="n">
        <v>0</v>
      </c>
      <c r="Q2336" t="n">
        <v>0</v>
      </c>
      <c r="R2336" s="2" t="inlineStr"/>
    </row>
    <row r="2337" ht="15" customHeight="1">
      <c r="A2337" t="inlineStr">
        <is>
          <t>A 53048-2023</t>
        </is>
      </c>
      <c r="B2337" s="1" t="n">
        <v>45226</v>
      </c>
      <c r="C2337" s="1" t="n">
        <v>45356</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53452-2023</t>
        </is>
      </c>
      <c r="B2338" s="1" t="n">
        <v>45229</v>
      </c>
      <c r="C2338" s="1" t="n">
        <v>45356</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53453-2023</t>
        </is>
      </c>
      <c r="B2339" s="1" t="n">
        <v>45230</v>
      </c>
      <c r="C2339" s="1" t="n">
        <v>45356</v>
      </c>
      <c r="D2339" t="inlineStr">
        <is>
          <t>VÄSTERNORRLANDS LÄN</t>
        </is>
      </c>
      <c r="E2339" t="inlineStr">
        <is>
          <t>SOLLEFTEÅ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53669-2023</t>
        </is>
      </c>
      <c r="B2340" s="1" t="n">
        <v>45230</v>
      </c>
      <c r="C2340" s="1" t="n">
        <v>45356</v>
      </c>
      <c r="D2340" t="inlineStr">
        <is>
          <t>VÄSTERNORRLANDS LÄN</t>
        </is>
      </c>
      <c r="E2340" t="inlineStr">
        <is>
          <t>SOLLEFTEÅ</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54016-2023</t>
        </is>
      </c>
      <c r="B2341" s="1" t="n">
        <v>45231</v>
      </c>
      <c r="C2341" s="1" t="n">
        <v>45356</v>
      </c>
      <c r="D2341" t="inlineStr">
        <is>
          <t>VÄSTERNORRLANDS LÄN</t>
        </is>
      </c>
      <c r="E2341" t="inlineStr">
        <is>
          <t>SOLLEFTEÅ</t>
        </is>
      </c>
      <c r="F2341" t="inlineStr">
        <is>
          <t>Holmen skog AB</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54020-2023</t>
        </is>
      </c>
      <c r="B2342" s="1" t="n">
        <v>45231</v>
      </c>
      <c r="C2342" s="1" t="n">
        <v>45356</v>
      </c>
      <c r="D2342" t="inlineStr">
        <is>
          <t>VÄSTERNORRLANDS LÄN</t>
        </is>
      </c>
      <c r="E2342" t="inlineStr">
        <is>
          <t>SOLLEFTEÅ</t>
        </is>
      </c>
      <c r="F2342" t="inlineStr">
        <is>
          <t>Holmen skog AB</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54034-2023</t>
        </is>
      </c>
      <c r="B2343" s="1" t="n">
        <v>45231</v>
      </c>
      <c r="C2343" s="1" t="n">
        <v>45356</v>
      </c>
      <c r="D2343" t="inlineStr">
        <is>
          <t>VÄSTERNORRLANDS LÄN</t>
        </is>
      </c>
      <c r="E2343" t="inlineStr">
        <is>
          <t>SOLLEFTEÅ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54033-2023</t>
        </is>
      </c>
      <c r="B2344" s="1" t="n">
        <v>45231</v>
      </c>
      <c r="C2344" s="1" t="n">
        <v>45356</v>
      </c>
      <c r="D2344" t="inlineStr">
        <is>
          <t>VÄSTERNORRLANDS LÄN</t>
        </is>
      </c>
      <c r="E2344" t="inlineStr">
        <is>
          <t>SOLLEFTEÅ</t>
        </is>
      </c>
      <c r="G2344" t="n">
        <v>13.2</v>
      </c>
      <c r="H2344" t="n">
        <v>0</v>
      </c>
      <c r="I2344" t="n">
        <v>0</v>
      </c>
      <c r="J2344" t="n">
        <v>0</v>
      </c>
      <c r="K2344" t="n">
        <v>0</v>
      </c>
      <c r="L2344" t="n">
        <v>0</v>
      </c>
      <c r="M2344" t="n">
        <v>0</v>
      </c>
      <c r="N2344" t="n">
        <v>0</v>
      </c>
      <c r="O2344" t="n">
        <v>0</v>
      </c>
      <c r="P2344" t="n">
        <v>0</v>
      </c>
      <c r="Q2344" t="n">
        <v>0</v>
      </c>
      <c r="R2344" s="2" t="inlineStr"/>
    </row>
    <row r="2345" ht="15" customHeight="1">
      <c r="A2345" t="inlineStr">
        <is>
          <t>A 54035-2023</t>
        </is>
      </c>
      <c r="B2345" s="1" t="n">
        <v>45231</v>
      </c>
      <c r="C2345" s="1" t="n">
        <v>45356</v>
      </c>
      <c r="D2345" t="inlineStr">
        <is>
          <t>VÄSTERNORRLANDS LÄN</t>
        </is>
      </c>
      <c r="E2345" t="inlineStr">
        <is>
          <t>SOLLEFTEÅ</t>
        </is>
      </c>
      <c r="G2345" t="n">
        <v>12.7</v>
      </c>
      <c r="H2345" t="n">
        <v>0</v>
      </c>
      <c r="I2345" t="n">
        <v>0</v>
      </c>
      <c r="J2345" t="n">
        <v>0</v>
      </c>
      <c r="K2345" t="n">
        <v>0</v>
      </c>
      <c r="L2345" t="n">
        <v>0</v>
      </c>
      <c r="M2345" t="n">
        <v>0</v>
      </c>
      <c r="N2345" t="n">
        <v>0</v>
      </c>
      <c r="O2345" t="n">
        <v>0</v>
      </c>
      <c r="P2345" t="n">
        <v>0</v>
      </c>
      <c r="Q2345" t="n">
        <v>0</v>
      </c>
      <c r="R2345" s="2" t="inlineStr"/>
    </row>
    <row r="2346" ht="15" customHeight="1">
      <c r="A2346" t="inlineStr">
        <is>
          <t>A 54048-2023</t>
        </is>
      </c>
      <c r="B2346" s="1" t="n">
        <v>45232</v>
      </c>
      <c r="C2346" s="1" t="n">
        <v>45356</v>
      </c>
      <c r="D2346" t="inlineStr">
        <is>
          <t>VÄSTERNORRLANDS LÄN</t>
        </is>
      </c>
      <c r="E2346" t="inlineStr">
        <is>
          <t>SOLLEFTEÅ</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54036-2023</t>
        </is>
      </c>
      <c r="B2347" s="1" t="n">
        <v>45231</v>
      </c>
      <c r="C2347" s="1" t="n">
        <v>45356</v>
      </c>
      <c r="D2347" t="inlineStr">
        <is>
          <t>VÄSTERNORRLANDS LÄN</t>
        </is>
      </c>
      <c r="E2347" t="inlineStr">
        <is>
          <t>SOLLEFTEÅ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54045-2023</t>
        </is>
      </c>
      <c r="B2348" s="1" t="n">
        <v>45232</v>
      </c>
      <c r="C2348" s="1" t="n">
        <v>45356</v>
      </c>
      <c r="D2348" t="inlineStr">
        <is>
          <t>VÄSTERNORRLANDS LÄN</t>
        </is>
      </c>
      <c r="E2348" t="inlineStr">
        <is>
          <t>SOLLEFTEÅ</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54049-2023</t>
        </is>
      </c>
      <c r="B2349" s="1" t="n">
        <v>45231</v>
      </c>
      <c r="C2349" s="1" t="n">
        <v>45356</v>
      </c>
      <c r="D2349" t="inlineStr">
        <is>
          <t>VÄSTERNORRLANDS LÄN</t>
        </is>
      </c>
      <c r="E2349" t="inlineStr">
        <is>
          <t>SOLLEFTEÅ</t>
        </is>
      </c>
      <c r="F2349" t="inlineStr">
        <is>
          <t>SCA</t>
        </is>
      </c>
      <c r="G2349" t="n">
        <v>9.800000000000001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54092-2023</t>
        </is>
      </c>
      <c r="B2350" s="1" t="n">
        <v>45232</v>
      </c>
      <c r="C2350" s="1" t="n">
        <v>45356</v>
      </c>
      <c r="D2350" t="inlineStr">
        <is>
          <t>VÄSTERNORRLANDS LÄN</t>
        </is>
      </c>
      <c r="E2350" t="inlineStr">
        <is>
          <t>SOLLEFTEÅ</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54088-2023</t>
        </is>
      </c>
      <c r="B2351" s="1" t="n">
        <v>45232</v>
      </c>
      <c r="C2351" s="1" t="n">
        <v>45356</v>
      </c>
      <c r="D2351" t="inlineStr">
        <is>
          <t>VÄSTERNORRLANDS LÄN</t>
        </is>
      </c>
      <c r="E2351" t="inlineStr">
        <is>
          <t>SOLLEFTEÅ</t>
        </is>
      </c>
      <c r="F2351" t="inlineStr">
        <is>
          <t>Holmen skog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54198-2023</t>
        </is>
      </c>
      <c r="B2352" s="1" t="n">
        <v>45232</v>
      </c>
      <c r="C2352" s="1" t="n">
        <v>45356</v>
      </c>
      <c r="D2352" t="inlineStr">
        <is>
          <t>VÄSTERNORRLANDS LÄN</t>
        </is>
      </c>
      <c r="E2352" t="inlineStr">
        <is>
          <t>SOLLEFTEÅ</t>
        </is>
      </c>
      <c r="G2352" t="n">
        <v>7.9</v>
      </c>
      <c r="H2352" t="n">
        <v>0</v>
      </c>
      <c r="I2352" t="n">
        <v>0</v>
      </c>
      <c r="J2352" t="n">
        <v>0</v>
      </c>
      <c r="K2352" t="n">
        <v>0</v>
      </c>
      <c r="L2352" t="n">
        <v>0</v>
      </c>
      <c r="M2352" t="n">
        <v>0</v>
      </c>
      <c r="N2352" t="n">
        <v>0</v>
      </c>
      <c r="O2352" t="n">
        <v>0</v>
      </c>
      <c r="P2352" t="n">
        <v>0</v>
      </c>
      <c r="Q2352" t="n">
        <v>0</v>
      </c>
      <c r="R2352" s="2" t="inlineStr"/>
    </row>
    <row r="2353" ht="15" customHeight="1">
      <c r="A2353" t="inlineStr">
        <is>
          <t>A 54330-2023</t>
        </is>
      </c>
      <c r="B2353" s="1" t="n">
        <v>45232</v>
      </c>
      <c r="C2353" s="1" t="n">
        <v>45356</v>
      </c>
      <c r="D2353" t="inlineStr">
        <is>
          <t>VÄSTERNORRLANDS LÄN</t>
        </is>
      </c>
      <c r="E2353" t="inlineStr">
        <is>
          <t>SOLLEFTEÅ</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54351-2023</t>
        </is>
      </c>
      <c r="B2354" s="1" t="n">
        <v>45232</v>
      </c>
      <c r="C2354" s="1" t="n">
        <v>45356</v>
      </c>
      <c r="D2354" t="inlineStr">
        <is>
          <t>VÄSTERNORRLANDS LÄN</t>
        </is>
      </c>
      <c r="E2354" t="inlineStr">
        <is>
          <t>SOLLEFTEÅ</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54195-2023</t>
        </is>
      </c>
      <c r="B2355" s="1" t="n">
        <v>45232</v>
      </c>
      <c r="C2355" s="1" t="n">
        <v>45356</v>
      </c>
      <c r="D2355" t="inlineStr">
        <is>
          <t>VÄSTERNORRLANDS LÄN</t>
        </is>
      </c>
      <c r="E2355" t="inlineStr">
        <is>
          <t>SOLLEFTEÅ</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54620-2023</t>
        </is>
      </c>
      <c r="B2356" s="1" t="n">
        <v>45233</v>
      </c>
      <c r="C2356" s="1" t="n">
        <v>45356</v>
      </c>
      <c r="D2356" t="inlineStr">
        <is>
          <t>VÄSTERNORRLANDS LÄN</t>
        </is>
      </c>
      <c r="E2356" t="inlineStr">
        <is>
          <t>SOLLEFTEÅ</t>
        </is>
      </c>
      <c r="F2356" t="inlineStr">
        <is>
          <t>SCA</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54617-2023</t>
        </is>
      </c>
      <c r="B2357" s="1" t="n">
        <v>45234</v>
      </c>
      <c r="C2357" s="1" t="n">
        <v>45356</v>
      </c>
      <c r="D2357" t="inlineStr">
        <is>
          <t>VÄSTERNORRLANDS LÄN</t>
        </is>
      </c>
      <c r="E2357" t="inlineStr">
        <is>
          <t>SOLLEFTEÅ</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54607-2023</t>
        </is>
      </c>
      <c r="B2358" s="1" t="n">
        <v>45233</v>
      </c>
      <c r="C2358" s="1" t="n">
        <v>45356</v>
      </c>
      <c r="D2358" t="inlineStr">
        <is>
          <t>VÄSTERNORRLANDS LÄN</t>
        </is>
      </c>
      <c r="E2358" t="inlineStr">
        <is>
          <t>SOLLEFTEÅ</t>
        </is>
      </c>
      <c r="F2358" t="inlineStr">
        <is>
          <t>SCA</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54622-2023</t>
        </is>
      </c>
      <c r="B2359" s="1" t="n">
        <v>45233</v>
      </c>
      <c r="C2359" s="1" t="n">
        <v>45356</v>
      </c>
      <c r="D2359" t="inlineStr">
        <is>
          <t>VÄSTERNORRLANDS LÄN</t>
        </is>
      </c>
      <c r="E2359" t="inlineStr">
        <is>
          <t>SOLLEFTEÅ</t>
        </is>
      </c>
      <c r="F2359" t="inlineStr">
        <is>
          <t>SCA</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54618-2023</t>
        </is>
      </c>
      <c r="B2360" s="1" t="n">
        <v>45233</v>
      </c>
      <c r="C2360" s="1" t="n">
        <v>45356</v>
      </c>
      <c r="D2360" t="inlineStr">
        <is>
          <t>VÄSTERNORRLANDS LÄN</t>
        </is>
      </c>
      <c r="E2360" t="inlineStr">
        <is>
          <t>SOLLEFTEÅ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54642-2023</t>
        </is>
      </c>
      <c r="B2361" s="1" t="n">
        <v>45234</v>
      </c>
      <c r="C2361" s="1" t="n">
        <v>45356</v>
      </c>
      <c r="D2361" t="inlineStr">
        <is>
          <t>VÄSTERNORRLANDS LÄN</t>
        </is>
      </c>
      <c r="E2361" t="inlineStr">
        <is>
          <t>SOLLEFTEÅ</t>
        </is>
      </c>
      <c r="F2361" t="inlineStr">
        <is>
          <t>SCA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54641-2023</t>
        </is>
      </c>
      <c r="B2362" s="1" t="n">
        <v>45234</v>
      </c>
      <c r="C2362" s="1" t="n">
        <v>45356</v>
      </c>
      <c r="D2362" t="inlineStr">
        <is>
          <t>VÄSTERNORRLANDS LÄN</t>
        </is>
      </c>
      <c r="E2362" t="inlineStr">
        <is>
          <t>SOLLEFTEÅ</t>
        </is>
      </c>
      <c r="F2362" t="inlineStr">
        <is>
          <t>SCA</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54979-2023</t>
        </is>
      </c>
      <c r="B2363" s="1" t="n">
        <v>45236</v>
      </c>
      <c r="C2363" s="1" t="n">
        <v>45356</v>
      </c>
      <c r="D2363" t="inlineStr">
        <is>
          <t>VÄSTERNORRLANDS LÄN</t>
        </is>
      </c>
      <c r="E2363" t="inlineStr">
        <is>
          <t>SOLLEFTEÅ</t>
        </is>
      </c>
      <c r="F2363" t="inlineStr">
        <is>
          <t>SCA</t>
        </is>
      </c>
      <c r="G2363" t="n">
        <v>11.8</v>
      </c>
      <c r="H2363" t="n">
        <v>0</v>
      </c>
      <c r="I2363" t="n">
        <v>0</v>
      </c>
      <c r="J2363" t="n">
        <v>0</v>
      </c>
      <c r="K2363" t="n">
        <v>0</v>
      </c>
      <c r="L2363" t="n">
        <v>0</v>
      </c>
      <c r="M2363" t="n">
        <v>0</v>
      </c>
      <c r="N2363" t="n">
        <v>0</v>
      </c>
      <c r="O2363" t="n">
        <v>0</v>
      </c>
      <c r="P2363" t="n">
        <v>0</v>
      </c>
      <c r="Q2363" t="n">
        <v>0</v>
      </c>
      <c r="R2363" s="2" t="inlineStr"/>
    </row>
    <row r="2364" ht="15" customHeight="1">
      <c r="A2364" t="inlineStr">
        <is>
          <t>A 56148-2023</t>
        </is>
      </c>
      <c r="B2364" s="1" t="n">
        <v>45236</v>
      </c>
      <c r="C2364" s="1" t="n">
        <v>45356</v>
      </c>
      <c r="D2364" t="inlineStr">
        <is>
          <t>VÄSTERNORRLANDS LÄN</t>
        </is>
      </c>
      <c r="E2364" t="inlineStr">
        <is>
          <t>SOLLEFTEÅ</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54978-2023</t>
        </is>
      </c>
      <c r="B2365" s="1" t="n">
        <v>45237</v>
      </c>
      <c r="C2365" s="1" t="n">
        <v>45356</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55005-2023</t>
        </is>
      </c>
      <c r="B2366" s="1" t="n">
        <v>45236</v>
      </c>
      <c r="C2366" s="1" t="n">
        <v>45356</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56356-2023</t>
        </is>
      </c>
      <c r="B2367" s="1" t="n">
        <v>45236</v>
      </c>
      <c r="C2367" s="1" t="n">
        <v>45356</v>
      </c>
      <c r="D2367" t="inlineStr">
        <is>
          <t>VÄSTERNORRLANDS LÄN</t>
        </is>
      </c>
      <c r="E2367" t="inlineStr">
        <is>
          <t>SOLLEFTEÅ</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56416-2023</t>
        </is>
      </c>
      <c r="B2368" s="1" t="n">
        <v>45237</v>
      </c>
      <c r="C2368" s="1" t="n">
        <v>45356</v>
      </c>
      <c r="D2368" t="inlineStr">
        <is>
          <t>VÄSTERNORRLANDS LÄN</t>
        </is>
      </c>
      <c r="E2368" t="inlineStr">
        <is>
          <t>SOLLEFTEÅ</t>
        </is>
      </c>
      <c r="G2368" t="n">
        <v>11.2</v>
      </c>
      <c r="H2368" t="n">
        <v>0</v>
      </c>
      <c r="I2368" t="n">
        <v>0</v>
      </c>
      <c r="J2368" t="n">
        <v>0</v>
      </c>
      <c r="K2368" t="n">
        <v>0</v>
      </c>
      <c r="L2368" t="n">
        <v>0</v>
      </c>
      <c r="M2368" t="n">
        <v>0</v>
      </c>
      <c r="N2368" t="n">
        <v>0</v>
      </c>
      <c r="O2368" t="n">
        <v>0</v>
      </c>
      <c r="P2368" t="n">
        <v>0</v>
      </c>
      <c r="Q2368" t="n">
        <v>0</v>
      </c>
      <c r="R2368" s="2" t="inlineStr"/>
    </row>
    <row r="2369" ht="15" customHeight="1">
      <c r="A2369" t="inlineStr">
        <is>
          <t>A 56431-2023</t>
        </is>
      </c>
      <c r="B2369" s="1" t="n">
        <v>45237</v>
      </c>
      <c r="C2369" s="1" t="n">
        <v>45356</v>
      </c>
      <c r="D2369" t="inlineStr">
        <is>
          <t>VÄSTERNORRLANDS LÄN</t>
        </is>
      </c>
      <c r="E2369" t="inlineStr">
        <is>
          <t>SOLLEFTEÅ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55338-2023</t>
        </is>
      </c>
      <c r="B2370" s="1" t="n">
        <v>45238</v>
      </c>
      <c r="C2370" s="1" t="n">
        <v>45356</v>
      </c>
      <c r="D2370" t="inlineStr">
        <is>
          <t>VÄSTERNORRLANDS LÄN</t>
        </is>
      </c>
      <c r="E2370" t="inlineStr">
        <is>
          <t>SOLLEFTEÅ</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56424-2023</t>
        </is>
      </c>
      <c r="B2371" s="1" t="n">
        <v>45237</v>
      </c>
      <c r="C2371" s="1" t="n">
        <v>45356</v>
      </c>
      <c r="D2371" t="inlineStr">
        <is>
          <t>VÄSTERNORRLANDS LÄN</t>
        </is>
      </c>
      <c r="E2371" t="inlineStr">
        <is>
          <t>SOLLEFTEÅ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55637-2023</t>
        </is>
      </c>
      <c r="B2372" s="1" t="n">
        <v>45238</v>
      </c>
      <c r="C2372" s="1" t="n">
        <v>45356</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55653-2023</t>
        </is>
      </c>
      <c r="B2373" s="1" t="n">
        <v>45239</v>
      </c>
      <c r="C2373" s="1" t="n">
        <v>45356</v>
      </c>
      <c r="D2373" t="inlineStr">
        <is>
          <t>VÄSTERNORRLANDS LÄN</t>
        </is>
      </c>
      <c r="E2373" t="inlineStr">
        <is>
          <t>SOLLEFTEÅ</t>
        </is>
      </c>
      <c r="F2373" t="inlineStr">
        <is>
          <t>SCA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55622-2023</t>
        </is>
      </c>
      <c r="B2374" s="1" t="n">
        <v>45238</v>
      </c>
      <c r="C2374" s="1" t="n">
        <v>45356</v>
      </c>
      <c r="D2374" t="inlineStr">
        <is>
          <t>VÄSTERNORRLANDS LÄN</t>
        </is>
      </c>
      <c r="E2374" t="inlineStr">
        <is>
          <t>SOLLEFTEÅ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55638-2023</t>
        </is>
      </c>
      <c r="B2375" s="1" t="n">
        <v>45238</v>
      </c>
      <c r="C2375" s="1" t="n">
        <v>45356</v>
      </c>
      <c r="D2375" t="inlineStr">
        <is>
          <t>VÄSTERNORRLANDS LÄN</t>
        </is>
      </c>
      <c r="E2375" t="inlineStr">
        <is>
          <t>SOLLEFTEÅ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55650-2023</t>
        </is>
      </c>
      <c r="B2376" s="1" t="n">
        <v>45239</v>
      </c>
      <c r="C2376" s="1" t="n">
        <v>45356</v>
      </c>
      <c r="D2376" t="inlineStr">
        <is>
          <t>VÄSTERNORRLANDS LÄN</t>
        </is>
      </c>
      <c r="E2376" t="inlineStr">
        <is>
          <t>SOLLEFTEÅ</t>
        </is>
      </c>
      <c r="F2376" t="inlineStr">
        <is>
          <t>SCA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55654-2023</t>
        </is>
      </c>
      <c r="B2377" s="1" t="n">
        <v>45239</v>
      </c>
      <c r="C2377" s="1" t="n">
        <v>45356</v>
      </c>
      <c r="D2377" t="inlineStr">
        <is>
          <t>VÄSTERNORRLANDS LÄN</t>
        </is>
      </c>
      <c r="E2377" t="inlineStr">
        <is>
          <t>SOLLEFTEÅ</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55652-2023</t>
        </is>
      </c>
      <c r="B2378" s="1" t="n">
        <v>45238</v>
      </c>
      <c r="C2378" s="1" t="n">
        <v>45356</v>
      </c>
      <c r="D2378" t="inlineStr">
        <is>
          <t>VÄSTERNORRLANDS LÄN</t>
        </is>
      </c>
      <c r="E2378" t="inlineStr">
        <is>
          <t>SOLLEFTEÅ</t>
        </is>
      </c>
      <c r="F2378" t="inlineStr">
        <is>
          <t>SCA</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55651-2023</t>
        </is>
      </c>
      <c r="B2379" s="1" t="n">
        <v>45238</v>
      </c>
      <c r="C2379" s="1" t="n">
        <v>45356</v>
      </c>
      <c r="D2379" t="inlineStr">
        <is>
          <t>VÄSTERNORRLANDS LÄN</t>
        </is>
      </c>
      <c r="E2379" t="inlineStr">
        <is>
          <t>SOLLEFTEÅ</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55687-2023</t>
        </is>
      </c>
      <c r="B2380" s="1" t="n">
        <v>45239</v>
      </c>
      <c r="C2380" s="1" t="n">
        <v>45356</v>
      </c>
      <c r="D2380" t="inlineStr">
        <is>
          <t>VÄSTERNORRLANDS LÄN</t>
        </is>
      </c>
      <c r="E2380" t="inlineStr">
        <is>
          <t>SOLLEFTEÅ</t>
        </is>
      </c>
      <c r="F2380" t="inlineStr">
        <is>
          <t>Holmen skog AB</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55859-2023</t>
        </is>
      </c>
      <c r="B2381" s="1" t="n">
        <v>45239</v>
      </c>
      <c r="C2381" s="1" t="n">
        <v>45356</v>
      </c>
      <c r="D2381" t="inlineStr">
        <is>
          <t>VÄSTERNORRLANDS LÄN</t>
        </is>
      </c>
      <c r="E2381" t="inlineStr">
        <is>
          <t>SOLLEFTEÅ</t>
        </is>
      </c>
      <c r="F2381" t="inlineStr">
        <is>
          <t>Kommuner</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55910-2023</t>
        </is>
      </c>
      <c r="B2382" s="1" t="n">
        <v>45239</v>
      </c>
      <c r="C2382" s="1" t="n">
        <v>45356</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55912-2023</t>
        </is>
      </c>
      <c r="B2383" s="1" t="n">
        <v>45239</v>
      </c>
      <c r="C2383" s="1" t="n">
        <v>45356</v>
      </c>
      <c r="D2383" t="inlineStr">
        <is>
          <t>VÄSTERNORRLANDS LÄN</t>
        </is>
      </c>
      <c r="E2383" t="inlineStr">
        <is>
          <t>SOLLEFTEÅ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55929-2023</t>
        </is>
      </c>
      <c r="B2384" s="1" t="n">
        <v>45239</v>
      </c>
      <c r="C2384" s="1" t="n">
        <v>45356</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57010-2023</t>
        </is>
      </c>
      <c r="B2385" s="1" t="n">
        <v>45239</v>
      </c>
      <c r="C2385" s="1" t="n">
        <v>45356</v>
      </c>
      <c r="D2385" t="inlineStr">
        <is>
          <t>VÄSTERNORRLANDS LÄN</t>
        </is>
      </c>
      <c r="E2385" t="inlineStr">
        <is>
          <t>SOLLEFTEÅ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56261-2023</t>
        </is>
      </c>
      <c r="B2386" s="1" t="n">
        <v>45240</v>
      </c>
      <c r="C2386" s="1" t="n">
        <v>45356</v>
      </c>
      <c r="D2386" t="inlineStr">
        <is>
          <t>VÄSTERNORRLANDS LÄN</t>
        </is>
      </c>
      <c r="E2386" t="inlineStr">
        <is>
          <t>SOLLEFTEÅ</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56249-2023</t>
        </is>
      </c>
      <c r="B2387" s="1" t="n">
        <v>45240</v>
      </c>
      <c r="C2387" s="1" t="n">
        <v>45356</v>
      </c>
      <c r="D2387" t="inlineStr">
        <is>
          <t>VÄSTERNORRLANDS LÄN</t>
        </is>
      </c>
      <c r="E2387" t="inlineStr">
        <is>
          <t>SOLLEFTEÅ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56201-2023</t>
        </is>
      </c>
      <c r="B2388" s="1" t="n">
        <v>45240</v>
      </c>
      <c r="C2388" s="1" t="n">
        <v>45356</v>
      </c>
      <c r="D2388" t="inlineStr">
        <is>
          <t>VÄSTERNORRLANDS LÄN</t>
        </is>
      </c>
      <c r="E2388" t="inlineStr">
        <is>
          <t>SOLLEFTEÅ</t>
        </is>
      </c>
      <c r="G2388" t="n">
        <v>43.3</v>
      </c>
      <c r="H2388" t="n">
        <v>0</v>
      </c>
      <c r="I2388" t="n">
        <v>0</v>
      </c>
      <c r="J2388" t="n">
        <v>0</v>
      </c>
      <c r="K2388" t="n">
        <v>0</v>
      </c>
      <c r="L2388" t="n">
        <v>0</v>
      </c>
      <c r="M2388" t="n">
        <v>0</v>
      </c>
      <c r="N2388" t="n">
        <v>0</v>
      </c>
      <c r="O2388" t="n">
        <v>0</v>
      </c>
      <c r="P2388" t="n">
        <v>0</v>
      </c>
      <c r="Q2388" t="n">
        <v>0</v>
      </c>
      <c r="R2388" s="2" t="inlineStr"/>
    </row>
    <row r="2389" ht="15" customHeight="1">
      <c r="A2389" t="inlineStr">
        <is>
          <t>A 56262-2023</t>
        </is>
      </c>
      <c r="B2389" s="1" t="n">
        <v>45240</v>
      </c>
      <c r="C2389" s="1" t="n">
        <v>45356</v>
      </c>
      <c r="D2389" t="inlineStr">
        <is>
          <t>VÄSTERNORRLANDS LÄN</t>
        </is>
      </c>
      <c r="E2389" t="inlineStr">
        <is>
          <t>SOLLEFTEÅ</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56234-2023</t>
        </is>
      </c>
      <c r="B2390" s="1" t="n">
        <v>45240</v>
      </c>
      <c r="C2390" s="1" t="n">
        <v>45356</v>
      </c>
      <c r="D2390" t="inlineStr">
        <is>
          <t>VÄSTERNORRLANDS LÄN</t>
        </is>
      </c>
      <c r="E2390" t="inlineStr">
        <is>
          <t>SOLLEFTEÅ</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56260-2023</t>
        </is>
      </c>
      <c r="B2391" s="1" t="n">
        <v>45240</v>
      </c>
      <c r="C2391" s="1" t="n">
        <v>45356</v>
      </c>
      <c r="D2391" t="inlineStr">
        <is>
          <t>VÄSTERNORRLANDS LÄN</t>
        </is>
      </c>
      <c r="E2391" t="inlineStr">
        <is>
          <t>SOLLEFTEÅ</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56256-2023</t>
        </is>
      </c>
      <c r="B2392" s="1" t="n">
        <v>45240</v>
      </c>
      <c r="C2392" s="1" t="n">
        <v>45356</v>
      </c>
      <c r="D2392" t="inlineStr">
        <is>
          <t>VÄSTERNORRLANDS LÄN</t>
        </is>
      </c>
      <c r="E2392" t="inlineStr">
        <is>
          <t>SOLLEFTEÅ</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56244-2023</t>
        </is>
      </c>
      <c r="B2393" s="1" t="n">
        <v>45240</v>
      </c>
      <c r="C2393" s="1" t="n">
        <v>45356</v>
      </c>
      <c r="D2393" t="inlineStr">
        <is>
          <t>VÄSTERNORRLANDS LÄN</t>
        </is>
      </c>
      <c r="E2393" t="inlineStr">
        <is>
          <t>SOLLEFTEÅ</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56134-2023</t>
        </is>
      </c>
      <c r="B2394" s="1" t="n">
        <v>45240</v>
      </c>
      <c r="C2394" s="1" t="n">
        <v>45356</v>
      </c>
      <c r="D2394" t="inlineStr">
        <is>
          <t>VÄSTERNORRLANDS LÄN</t>
        </is>
      </c>
      <c r="E2394" t="inlineStr">
        <is>
          <t>SOLLEFTEÅ</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56137-2023</t>
        </is>
      </c>
      <c r="B2395" s="1" t="n">
        <v>45240</v>
      </c>
      <c r="C2395" s="1" t="n">
        <v>45356</v>
      </c>
      <c r="D2395" t="inlineStr">
        <is>
          <t>VÄSTERNORRLANDS LÄN</t>
        </is>
      </c>
      <c r="E2395" t="inlineStr">
        <is>
          <t>SOLLEFTEÅ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56139-2023</t>
        </is>
      </c>
      <c r="B2396" s="1" t="n">
        <v>45240</v>
      </c>
      <c r="C2396" s="1" t="n">
        <v>45356</v>
      </c>
      <c r="D2396" t="inlineStr">
        <is>
          <t>VÄSTERNORRLANDS LÄN</t>
        </is>
      </c>
      <c r="E2396" t="inlineStr">
        <is>
          <t>SOLLEFTEÅ</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56310-2023</t>
        </is>
      </c>
      <c r="B2397" s="1" t="n">
        <v>45242</v>
      </c>
      <c r="C2397" s="1" t="n">
        <v>45356</v>
      </c>
      <c r="D2397" t="inlineStr">
        <is>
          <t>VÄSTERNORRLANDS LÄN</t>
        </is>
      </c>
      <c r="E2397" t="inlineStr">
        <is>
          <t>SOLLEFTEÅ</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57518-2023</t>
        </is>
      </c>
      <c r="B2398" s="1" t="n">
        <v>45242</v>
      </c>
      <c r="C2398" s="1" t="n">
        <v>45356</v>
      </c>
      <c r="D2398" t="inlineStr">
        <is>
          <t>VÄSTERNORRLANDS LÄN</t>
        </is>
      </c>
      <c r="E2398" t="inlineStr">
        <is>
          <t>SOLLEFTEÅ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56311-2023</t>
        </is>
      </c>
      <c r="B2399" s="1" t="n">
        <v>45242</v>
      </c>
      <c r="C2399" s="1" t="n">
        <v>45356</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56684-2023</t>
        </is>
      </c>
      <c r="B2400" s="1" t="n">
        <v>45244</v>
      </c>
      <c r="C2400" s="1" t="n">
        <v>45356</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56685-2023</t>
        </is>
      </c>
      <c r="B2401" s="1" t="n">
        <v>45244</v>
      </c>
      <c r="C2401" s="1" t="n">
        <v>45356</v>
      </c>
      <c r="D2401" t="inlineStr">
        <is>
          <t>VÄSTERNORRLANDS LÄN</t>
        </is>
      </c>
      <c r="E2401" t="inlineStr">
        <is>
          <t>SOLLEFTEÅ</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56697-2023</t>
        </is>
      </c>
      <c r="B2402" s="1" t="n">
        <v>45243</v>
      </c>
      <c r="C2402" s="1" t="n">
        <v>45356</v>
      </c>
      <c r="D2402" t="inlineStr">
        <is>
          <t>VÄSTERNORRLANDS LÄN</t>
        </is>
      </c>
      <c r="E2402" t="inlineStr">
        <is>
          <t>SOLLEFTEÅ</t>
        </is>
      </c>
      <c r="F2402" t="inlineStr">
        <is>
          <t>SCA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57080-2023</t>
        </is>
      </c>
      <c r="B2403" s="1" t="n">
        <v>45244</v>
      </c>
      <c r="C2403" s="1" t="n">
        <v>45356</v>
      </c>
      <c r="D2403" t="inlineStr">
        <is>
          <t>VÄSTERNORRLANDS LÄN</t>
        </is>
      </c>
      <c r="E2403" t="inlineStr">
        <is>
          <t>SOLLEFTEÅ</t>
        </is>
      </c>
      <c r="F2403" t="inlineStr">
        <is>
          <t>SCA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57066-2023</t>
        </is>
      </c>
      <c r="B2404" s="1" t="n">
        <v>45245</v>
      </c>
      <c r="C2404" s="1" t="n">
        <v>45356</v>
      </c>
      <c r="D2404" t="inlineStr">
        <is>
          <t>VÄSTERNORRLANDS LÄN</t>
        </is>
      </c>
      <c r="E2404" t="inlineStr">
        <is>
          <t>SOLLEFTEÅ</t>
        </is>
      </c>
      <c r="F2404" t="inlineStr">
        <is>
          <t>SCA</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57837-2023</t>
        </is>
      </c>
      <c r="B2405" s="1" t="n">
        <v>45244</v>
      </c>
      <c r="C2405" s="1" t="n">
        <v>45356</v>
      </c>
      <c r="D2405" t="inlineStr">
        <is>
          <t>VÄSTERNORRLANDS LÄN</t>
        </is>
      </c>
      <c r="E2405" t="inlineStr">
        <is>
          <t>SOLLEFTEÅ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57384-2023</t>
        </is>
      </c>
      <c r="B2406" s="1" t="n">
        <v>45245</v>
      </c>
      <c r="C2406" s="1" t="n">
        <v>45356</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57394-2023</t>
        </is>
      </c>
      <c r="B2407" s="1" t="n">
        <v>45246</v>
      </c>
      <c r="C2407" s="1" t="n">
        <v>45356</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57395-2023</t>
        </is>
      </c>
      <c r="B2408" s="1" t="n">
        <v>45246</v>
      </c>
      <c r="C2408" s="1" t="n">
        <v>45356</v>
      </c>
      <c r="D2408" t="inlineStr">
        <is>
          <t>VÄSTERNORRLANDS LÄN</t>
        </is>
      </c>
      <c r="E2408" t="inlineStr">
        <is>
          <t>SOLLEFTEÅ</t>
        </is>
      </c>
      <c r="F2408" t="inlineStr">
        <is>
          <t>SCA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57411-2023</t>
        </is>
      </c>
      <c r="B2409" s="1" t="n">
        <v>45245</v>
      </c>
      <c r="C2409" s="1" t="n">
        <v>45356</v>
      </c>
      <c r="D2409" t="inlineStr">
        <is>
          <t>VÄSTERNORRLANDS LÄN</t>
        </is>
      </c>
      <c r="E2409" t="inlineStr">
        <is>
          <t>SOLLEFTEÅ</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58298-2023</t>
        </is>
      </c>
      <c r="B2410" s="1" t="n">
        <v>45245</v>
      </c>
      <c r="C2410" s="1" t="n">
        <v>45356</v>
      </c>
      <c r="D2410" t="inlineStr">
        <is>
          <t>VÄSTERNORRLANDS LÄN</t>
        </is>
      </c>
      <c r="E2410" t="inlineStr">
        <is>
          <t>SOLLEFTEÅ</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57655-2023</t>
        </is>
      </c>
      <c r="B2411" s="1" t="n">
        <v>45246</v>
      </c>
      <c r="C2411" s="1" t="n">
        <v>45356</v>
      </c>
      <c r="D2411" t="inlineStr">
        <is>
          <t>VÄSTERNORRLANDS LÄN</t>
        </is>
      </c>
      <c r="E2411" t="inlineStr">
        <is>
          <t>SOLLEFTEÅ</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58085-2023</t>
        </is>
      </c>
      <c r="B2412" s="1" t="n">
        <v>45247</v>
      </c>
      <c r="C2412" s="1" t="n">
        <v>45356</v>
      </c>
      <c r="D2412" t="inlineStr">
        <is>
          <t>VÄSTERNORRLANDS LÄN</t>
        </is>
      </c>
      <c r="E2412" t="inlineStr">
        <is>
          <t>SOLLEFTEÅ</t>
        </is>
      </c>
      <c r="F2412" t="inlineStr">
        <is>
          <t>SCA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58155-2023</t>
        </is>
      </c>
      <c r="B2413" s="1" t="n">
        <v>45250</v>
      </c>
      <c r="C2413" s="1" t="n">
        <v>45356</v>
      </c>
      <c r="D2413" t="inlineStr">
        <is>
          <t>VÄSTERNORRLANDS LÄN</t>
        </is>
      </c>
      <c r="E2413" t="inlineStr">
        <is>
          <t>SOLLEFTEÅ</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58923-2023</t>
        </is>
      </c>
      <c r="B2414" s="1" t="n">
        <v>45250</v>
      </c>
      <c r="C2414" s="1" t="n">
        <v>45356</v>
      </c>
      <c r="D2414" t="inlineStr">
        <is>
          <t>VÄSTERNORRLANDS LÄN</t>
        </is>
      </c>
      <c r="E2414" t="inlineStr">
        <is>
          <t>SOLLEFTEÅ</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58938-2023</t>
        </is>
      </c>
      <c r="B2415" s="1" t="n">
        <v>45250</v>
      </c>
      <c r="C2415" s="1" t="n">
        <v>45356</v>
      </c>
      <c r="D2415" t="inlineStr">
        <is>
          <t>VÄSTERNORRLANDS LÄN</t>
        </is>
      </c>
      <c r="E2415" t="inlineStr">
        <is>
          <t>SOLLEFTEÅ</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58427-2023</t>
        </is>
      </c>
      <c r="B2416" s="1" t="n">
        <v>45250</v>
      </c>
      <c r="C2416" s="1" t="n">
        <v>45356</v>
      </c>
      <c r="D2416" t="inlineStr">
        <is>
          <t>VÄSTERNORRLANDS LÄN</t>
        </is>
      </c>
      <c r="E2416" t="inlineStr">
        <is>
          <t>SOLLEFTEÅ</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58891-2023</t>
        </is>
      </c>
      <c r="B2417" s="1" t="n">
        <v>45250</v>
      </c>
      <c r="C2417" s="1" t="n">
        <v>45356</v>
      </c>
      <c r="D2417" t="inlineStr">
        <is>
          <t>VÄSTERNORRLANDS LÄN</t>
        </is>
      </c>
      <c r="E2417" t="inlineStr">
        <is>
          <t>SOLLEFTEÅ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58933-2023</t>
        </is>
      </c>
      <c r="B2418" s="1" t="n">
        <v>45250</v>
      </c>
      <c r="C2418" s="1" t="n">
        <v>45356</v>
      </c>
      <c r="D2418" t="inlineStr">
        <is>
          <t>VÄSTERNORRLANDS LÄN</t>
        </is>
      </c>
      <c r="E2418" t="inlineStr">
        <is>
          <t>SOLLEFTEÅ</t>
        </is>
      </c>
      <c r="G2418" t="n">
        <v>9.5</v>
      </c>
      <c r="H2418" t="n">
        <v>0</v>
      </c>
      <c r="I2418" t="n">
        <v>0</v>
      </c>
      <c r="J2418" t="n">
        <v>0</v>
      </c>
      <c r="K2418" t="n">
        <v>0</v>
      </c>
      <c r="L2418" t="n">
        <v>0</v>
      </c>
      <c r="M2418" t="n">
        <v>0</v>
      </c>
      <c r="N2418" t="n">
        <v>0</v>
      </c>
      <c r="O2418" t="n">
        <v>0</v>
      </c>
      <c r="P2418" t="n">
        <v>0</v>
      </c>
      <c r="Q2418" t="n">
        <v>0</v>
      </c>
      <c r="R2418" s="2" t="inlineStr"/>
    </row>
    <row r="2419" ht="15" customHeight="1">
      <c r="A2419" t="inlineStr">
        <is>
          <t>A 59098-2023</t>
        </is>
      </c>
      <c r="B2419" s="1" t="n">
        <v>45253</v>
      </c>
      <c r="C2419" s="1" t="n">
        <v>45356</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59339-2023</t>
        </is>
      </c>
      <c r="B2420" s="1" t="n">
        <v>45253</v>
      </c>
      <c r="C2420" s="1" t="n">
        <v>45356</v>
      </c>
      <c r="D2420" t="inlineStr">
        <is>
          <t>VÄSTERNORRLANDS LÄN</t>
        </is>
      </c>
      <c r="E2420" t="inlineStr">
        <is>
          <t>SOLLEFTEÅ</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59346-2023</t>
        </is>
      </c>
      <c r="B2421" s="1" t="n">
        <v>45253</v>
      </c>
      <c r="C2421" s="1" t="n">
        <v>45356</v>
      </c>
      <c r="D2421" t="inlineStr">
        <is>
          <t>VÄSTERNORRLANDS LÄN</t>
        </is>
      </c>
      <c r="E2421" t="inlineStr">
        <is>
          <t>SOLLEFTEÅ</t>
        </is>
      </c>
      <c r="F2421" t="inlineStr">
        <is>
          <t>Holmen skog AB</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59461-2023</t>
        </is>
      </c>
      <c r="B2422" s="1" t="n">
        <v>45253</v>
      </c>
      <c r="C2422" s="1" t="n">
        <v>45356</v>
      </c>
      <c r="D2422" t="inlineStr">
        <is>
          <t>VÄSTERNORRLANDS LÄN</t>
        </is>
      </c>
      <c r="E2422" t="inlineStr">
        <is>
          <t>SOLLEFTEÅ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59579-2023</t>
        </is>
      </c>
      <c r="B2423" s="1" t="n">
        <v>45253</v>
      </c>
      <c r="C2423" s="1" t="n">
        <v>45356</v>
      </c>
      <c r="D2423" t="inlineStr">
        <is>
          <t>VÄSTERNORRLANDS LÄN</t>
        </is>
      </c>
      <c r="E2423" t="inlineStr">
        <is>
          <t>SOLLEFTEÅ</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59501-2023</t>
        </is>
      </c>
      <c r="B2424" s="1" t="n">
        <v>45254</v>
      </c>
      <c r="C2424" s="1" t="n">
        <v>45356</v>
      </c>
      <c r="D2424" t="inlineStr">
        <is>
          <t>VÄSTERNORRLANDS LÄN</t>
        </is>
      </c>
      <c r="E2424" t="inlineStr">
        <is>
          <t>SOLLEFTEÅ</t>
        </is>
      </c>
      <c r="F2424" t="inlineStr">
        <is>
          <t>Holmen skog AB</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59583-2023</t>
        </is>
      </c>
      <c r="B2425" s="1" t="n">
        <v>45254</v>
      </c>
      <c r="C2425" s="1" t="n">
        <v>45356</v>
      </c>
      <c r="D2425" t="inlineStr">
        <is>
          <t>VÄSTERNORRLANDS LÄN</t>
        </is>
      </c>
      <c r="E2425" t="inlineStr">
        <is>
          <t>SOLLEFTEÅ</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59657-2023</t>
        </is>
      </c>
      <c r="B2426" s="1" t="n">
        <v>45255</v>
      </c>
      <c r="C2426" s="1" t="n">
        <v>45356</v>
      </c>
      <c r="D2426" t="inlineStr">
        <is>
          <t>VÄSTERNORRLANDS LÄN</t>
        </is>
      </c>
      <c r="E2426" t="inlineStr">
        <is>
          <t>SOLLEFTEÅ</t>
        </is>
      </c>
      <c r="F2426" t="inlineStr">
        <is>
          <t>SCA</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59593-2023</t>
        </is>
      </c>
      <c r="B2427" s="1" t="n">
        <v>45254</v>
      </c>
      <c r="C2427" s="1" t="n">
        <v>45356</v>
      </c>
      <c r="D2427" t="inlineStr">
        <is>
          <t>VÄSTERNORRLANDS LÄN</t>
        </is>
      </c>
      <c r="E2427" t="inlineStr">
        <is>
          <t>SOLLEFTEÅ</t>
        </is>
      </c>
      <c r="F2427" t="inlineStr">
        <is>
          <t>Holmen skog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59662-2023</t>
        </is>
      </c>
      <c r="B2428" s="1" t="n">
        <v>45255</v>
      </c>
      <c r="C2428" s="1" t="n">
        <v>45356</v>
      </c>
      <c r="D2428" t="inlineStr">
        <is>
          <t>VÄSTERNORRLANDS LÄN</t>
        </is>
      </c>
      <c r="E2428" t="inlineStr">
        <is>
          <t>SOLLEFTEÅ</t>
        </is>
      </c>
      <c r="F2428" t="inlineStr">
        <is>
          <t>SCA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59879-2023</t>
        </is>
      </c>
      <c r="B2429" s="1" t="n">
        <v>45254</v>
      </c>
      <c r="C2429" s="1" t="n">
        <v>45356</v>
      </c>
      <c r="D2429" t="inlineStr">
        <is>
          <t>VÄSTERNORRLANDS LÄN</t>
        </is>
      </c>
      <c r="E2429" t="inlineStr">
        <is>
          <t>SOLLEFTEÅ</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60039-2023</t>
        </is>
      </c>
      <c r="B2430" s="1" t="n">
        <v>45254</v>
      </c>
      <c r="C2430" s="1" t="n">
        <v>45356</v>
      </c>
      <c r="D2430" t="inlineStr">
        <is>
          <t>VÄSTERNORRLANDS LÄN</t>
        </is>
      </c>
      <c r="E2430" t="inlineStr">
        <is>
          <t>SOLLEFTEÅ</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59794-2023</t>
        </is>
      </c>
      <c r="B2431" s="1" t="n">
        <v>45257</v>
      </c>
      <c r="C2431" s="1" t="n">
        <v>45356</v>
      </c>
      <c r="D2431" t="inlineStr">
        <is>
          <t>VÄSTERNORRLANDS LÄN</t>
        </is>
      </c>
      <c r="E2431" t="inlineStr">
        <is>
          <t>SOLLEFTEÅ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60099-2023</t>
        </is>
      </c>
      <c r="B2432" s="1" t="n">
        <v>45257</v>
      </c>
      <c r="C2432" s="1" t="n">
        <v>45356</v>
      </c>
      <c r="D2432" t="inlineStr">
        <is>
          <t>VÄSTERNORRLANDS LÄN</t>
        </is>
      </c>
      <c r="E2432" t="inlineStr">
        <is>
          <t>SOLLEFTEÅ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60329-2023</t>
        </is>
      </c>
      <c r="B2433" s="1" t="n">
        <v>45258</v>
      </c>
      <c r="C2433" s="1" t="n">
        <v>45356</v>
      </c>
      <c r="D2433" t="inlineStr">
        <is>
          <t>VÄSTERNORRLANDS LÄN</t>
        </is>
      </c>
      <c r="E2433" t="inlineStr">
        <is>
          <t>SOLLEFTEÅ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60462-2023</t>
        </is>
      </c>
      <c r="B2434" s="1" t="n">
        <v>45258</v>
      </c>
      <c r="C2434" s="1" t="n">
        <v>45356</v>
      </c>
      <c r="D2434" t="inlineStr">
        <is>
          <t>VÄSTERNORRLANDS LÄN</t>
        </is>
      </c>
      <c r="E2434" t="inlineStr">
        <is>
          <t>SOLLEFTEÅ</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60328-2023</t>
        </is>
      </c>
      <c r="B2435" s="1" t="n">
        <v>45258</v>
      </c>
      <c r="C2435" s="1" t="n">
        <v>45356</v>
      </c>
      <c r="D2435" t="inlineStr">
        <is>
          <t>VÄSTERNORRLANDS LÄN</t>
        </is>
      </c>
      <c r="E2435" t="inlineStr">
        <is>
          <t>SOLLEFTEÅ</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60480-2023</t>
        </is>
      </c>
      <c r="B2436" s="1" t="n">
        <v>45258</v>
      </c>
      <c r="C2436" s="1" t="n">
        <v>45356</v>
      </c>
      <c r="D2436" t="inlineStr">
        <is>
          <t>VÄSTERNORRLANDS LÄN</t>
        </is>
      </c>
      <c r="E2436" t="inlineStr">
        <is>
          <t>SOLLEFTEÅ</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61034-2023</t>
        </is>
      </c>
      <c r="B2437" s="1" t="n">
        <v>45259</v>
      </c>
      <c r="C2437" s="1" t="n">
        <v>45356</v>
      </c>
      <c r="D2437" t="inlineStr">
        <is>
          <t>VÄSTERNORRLANDS LÄN</t>
        </is>
      </c>
      <c r="E2437" t="inlineStr">
        <is>
          <t>SOLLEFTEÅ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61028-2023</t>
        </is>
      </c>
      <c r="B2438" s="1" t="n">
        <v>45259</v>
      </c>
      <c r="C2438" s="1" t="n">
        <v>45356</v>
      </c>
      <c r="D2438" t="inlineStr">
        <is>
          <t>VÄSTERNORRLANDS LÄN</t>
        </is>
      </c>
      <c r="E2438" t="inlineStr">
        <is>
          <t>SOLLEFTEÅ</t>
        </is>
      </c>
      <c r="G2438" t="n">
        <v>10.6</v>
      </c>
      <c r="H2438" t="n">
        <v>0</v>
      </c>
      <c r="I2438" t="n">
        <v>0</v>
      </c>
      <c r="J2438" t="n">
        <v>0</v>
      </c>
      <c r="K2438" t="n">
        <v>0</v>
      </c>
      <c r="L2438" t="n">
        <v>0</v>
      </c>
      <c r="M2438" t="n">
        <v>0</v>
      </c>
      <c r="N2438" t="n">
        <v>0</v>
      </c>
      <c r="O2438" t="n">
        <v>0</v>
      </c>
      <c r="P2438" t="n">
        <v>0</v>
      </c>
      <c r="Q2438" t="n">
        <v>0</v>
      </c>
      <c r="R2438" s="2" t="inlineStr"/>
    </row>
    <row r="2439" ht="15" customHeight="1">
      <c r="A2439" t="inlineStr">
        <is>
          <t>A 60883-2023</t>
        </is>
      </c>
      <c r="B2439" s="1" t="n">
        <v>45259</v>
      </c>
      <c r="C2439" s="1" t="n">
        <v>45356</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60861-2023</t>
        </is>
      </c>
      <c r="B2440" s="1" t="n">
        <v>45260</v>
      </c>
      <c r="C2440" s="1" t="n">
        <v>45356</v>
      </c>
      <c r="D2440" t="inlineStr">
        <is>
          <t>VÄSTERNORRLANDS LÄN</t>
        </is>
      </c>
      <c r="E2440" t="inlineStr">
        <is>
          <t>SOLLEFTEÅ</t>
        </is>
      </c>
      <c r="F2440" t="inlineStr">
        <is>
          <t>SCA</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61213-2023</t>
        </is>
      </c>
      <c r="B2441" s="1" t="n">
        <v>45260</v>
      </c>
      <c r="C2441" s="1" t="n">
        <v>45356</v>
      </c>
      <c r="D2441" t="inlineStr">
        <is>
          <t>VÄSTERNORRLANDS LÄN</t>
        </is>
      </c>
      <c r="E2441" t="inlineStr">
        <is>
          <t>SOLLEFTEÅ</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61137-2023</t>
        </is>
      </c>
      <c r="B2442" s="1" t="n">
        <v>45261</v>
      </c>
      <c r="C2442" s="1" t="n">
        <v>45356</v>
      </c>
      <c r="D2442" t="inlineStr">
        <is>
          <t>VÄSTERNORRLANDS LÄN</t>
        </is>
      </c>
      <c r="E2442" t="inlineStr">
        <is>
          <t>SOLLEFTEÅ</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61138-2023</t>
        </is>
      </c>
      <c r="B2443" s="1" t="n">
        <v>45261</v>
      </c>
      <c r="C2443" s="1" t="n">
        <v>45356</v>
      </c>
      <c r="D2443" t="inlineStr">
        <is>
          <t>VÄSTERNORRLANDS LÄN</t>
        </is>
      </c>
      <c r="E2443" t="inlineStr">
        <is>
          <t>SOLLEFTEÅ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61081-2023</t>
        </is>
      </c>
      <c r="B2444" s="1" t="n">
        <v>45261</v>
      </c>
      <c r="C2444" s="1" t="n">
        <v>45356</v>
      </c>
      <c r="D2444" t="inlineStr">
        <is>
          <t>VÄSTERNORRLANDS LÄN</t>
        </is>
      </c>
      <c r="E2444" t="inlineStr">
        <is>
          <t>SOLLEFTEÅ</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61469-2023</t>
        </is>
      </c>
      <c r="B2445" s="1" t="n">
        <v>45264</v>
      </c>
      <c r="C2445" s="1" t="n">
        <v>45356</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61473-2023</t>
        </is>
      </c>
      <c r="B2446" s="1" t="n">
        <v>45264</v>
      </c>
      <c r="C2446" s="1" t="n">
        <v>45356</v>
      </c>
      <c r="D2446" t="inlineStr">
        <is>
          <t>VÄSTERNORRLANDS LÄN</t>
        </is>
      </c>
      <c r="E2446" t="inlineStr">
        <is>
          <t>SOLLEFTEÅ</t>
        </is>
      </c>
      <c r="G2446" t="n">
        <v>18.8</v>
      </c>
      <c r="H2446" t="n">
        <v>0</v>
      </c>
      <c r="I2446" t="n">
        <v>0</v>
      </c>
      <c r="J2446" t="n">
        <v>0</v>
      </c>
      <c r="K2446" t="n">
        <v>0</v>
      </c>
      <c r="L2446" t="n">
        <v>0</v>
      </c>
      <c r="M2446" t="n">
        <v>0</v>
      </c>
      <c r="N2446" t="n">
        <v>0</v>
      </c>
      <c r="O2446" t="n">
        <v>0</v>
      </c>
      <c r="P2446" t="n">
        <v>0</v>
      </c>
      <c r="Q2446" t="n">
        <v>0</v>
      </c>
      <c r="R2446" s="2" t="inlineStr"/>
    </row>
    <row r="2447" ht="15" customHeight="1">
      <c r="A2447" t="inlineStr">
        <is>
          <t>A 61485-2023</t>
        </is>
      </c>
      <c r="B2447" s="1" t="n">
        <v>45264</v>
      </c>
      <c r="C2447" s="1" t="n">
        <v>45356</v>
      </c>
      <c r="D2447" t="inlineStr">
        <is>
          <t>VÄSTERNORRLANDS LÄN</t>
        </is>
      </c>
      <c r="E2447" t="inlineStr">
        <is>
          <t>SOLLEFTEÅ</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61462-2023</t>
        </is>
      </c>
      <c r="B2448" s="1" t="n">
        <v>45264</v>
      </c>
      <c r="C2448" s="1" t="n">
        <v>45356</v>
      </c>
      <c r="D2448" t="inlineStr">
        <is>
          <t>VÄSTERNORRLANDS LÄN</t>
        </is>
      </c>
      <c r="E2448" t="inlineStr">
        <is>
          <t>SOLLEFTEÅ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61470-2023</t>
        </is>
      </c>
      <c r="B2449" s="1" t="n">
        <v>45264</v>
      </c>
      <c r="C2449" s="1" t="n">
        <v>45356</v>
      </c>
      <c r="D2449" t="inlineStr">
        <is>
          <t>VÄSTERNORRLANDS LÄN</t>
        </is>
      </c>
      <c r="E2449" t="inlineStr">
        <is>
          <t>SOLLEFTEÅ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61809-2023</t>
        </is>
      </c>
      <c r="B2450" s="1" t="n">
        <v>45264</v>
      </c>
      <c r="C2450" s="1" t="n">
        <v>45356</v>
      </c>
      <c r="D2450" t="inlineStr">
        <is>
          <t>VÄSTERNORRLANDS LÄN</t>
        </is>
      </c>
      <c r="E2450" t="inlineStr">
        <is>
          <t>SOLLEFTEÅ</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61805-2023</t>
        </is>
      </c>
      <c r="B2451" s="1" t="n">
        <v>45264</v>
      </c>
      <c r="C2451" s="1" t="n">
        <v>45356</v>
      </c>
      <c r="D2451" t="inlineStr">
        <is>
          <t>VÄSTERNORRLANDS LÄN</t>
        </is>
      </c>
      <c r="E2451" t="inlineStr">
        <is>
          <t>SOLLEFTEÅ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61784-2023</t>
        </is>
      </c>
      <c r="B2452" s="1" t="n">
        <v>45265</v>
      </c>
      <c r="C2452" s="1" t="n">
        <v>45356</v>
      </c>
      <c r="D2452" t="inlineStr">
        <is>
          <t>VÄSTERNORRLANDS LÄN</t>
        </is>
      </c>
      <c r="E2452" t="inlineStr">
        <is>
          <t>SOLLEFTEÅ</t>
        </is>
      </c>
      <c r="F2452" t="inlineStr">
        <is>
          <t>SCA</t>
        </is>
      </c>
      <c r="G2452" t="n">
        <v>9.1</v>
      </c>
      <c r="H2452" t="n">
        <v>0</v>
      </c>
      <c r="I2452" t="n">
        <v>0</v>
      </c>
      <c r="J2452" t="n">
        <v>0</v>
      </c>
      <c r="K2452" t="n">
        <v>0</v>
      </c>
      <c r="L2452" t="n">
        <v>0</v>
      </c>
      <c r="M2452" t="n">
        <v>0</v>
      </c>
      <c r="N2452" t="n">
        <v>0</v>
      </c>
      <c r="O2452" t="n">
        <v>0</v>
      </c>
      <c r="P2452" t="n">
        <v>0</v>
      </c>
      <c r="Q2452" t="n">
        <v>0</v>
      </c>
      <c r="R2452" s="2" t="inlineStr"/>
    </row>
    <row r="2453" ht="15" customHeight="1">
      <c r="A2453" t="inlineStr">
        <is>
          <t>A 62098-2023</t>
        </is>
      </c>
      <c r="B2453" s="1" t="n">
        <v>45266</v>
      </c>
      <c r="C2453" s="1" t="n">
        <v>45356</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62099-2023</t>
        </is>
      </c>
      <c r="B2454" s="1" t="n">
        <v>45266</v>
      </c>
      <c r="C2454" s="1" t="n">
        <v>45356</v>
      </c>
      <c r="D2454" t="inlineStr">
        <is>
          <t>VÄSTERNORRLANDS LÄN</t>
        </is>
      </c>
      <c r="E2454" t="inlineStr">
        <is>
          <t>SOLLEFTEÅ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62115-2023</t>
        </is>
      </c>
      <c r="B2455" s="1" t="n">
        <v>45266</v>
      </c>
      <c r="C2455" s="1" t="n">
        <v>45356</v>
      </c>
      <c r="D2455" t="inlineStr">
        <is>
          <t>VÄSTERNORRLANDS LÄN</t>
        </is>
      </c>
      <c r="E2455" t="inlineStr">
        <is>
          <t>SOLLEFTEÅ</t>
        </is>
      </c>
      <c r="F2455" t="inlineStr">
        <is>
          <t>SCA</t>
        </is>
      </c>
      <c r="G2455" t="n">
        <v>43.1</v>
      </c>
      <c r="H2455" t="n">
        <v>0</v>
      </c>
      <c r="I2455" t="n">
        <v>0</v>
      </c>
      <c r="J2455" t="n">
        <v>0</v>
      </c>
      <c r="K2455" t="n">
        <v>0</v>
      </c>
      <c r="L2455" t="n">
        <v>0</v>
      </c>
      <c r="M2455" t="n">
        <v>0</v>
      </c>
      <c r="N2455" t="n">
        <v>0</v>
      </c>
      <c r="O2455" t="n">
        <v>0</v>
      </c>
      <c r="P2455" t="n">
        <v>0</v>
      </c>
      <c r="Q2455" t="n">
        <v>0</v>
      </c>
      <c r="R2455" s="2" t="inlineStr"/>
    </row>
    <row r="2456" ht="15" customHeight="1">
      <c r="A2456" t="inlineStr">
        <is>
          <t>A 62096-2023</t>
        </is>
      </c>
      <c r="B2456" s="1" t="n">
        <v>45266</v>
      </c>
      <c r="C2456" s="1" t="n">
        <v>45356</v>
      </c>
      <c r="D2456" t="inlineStr">
        <is>
          <t>VÄSTERNORRLANDS LÄN</t>
        </is>
      </c>
      <c r="E2456" t="inlineStr">
        <is>
          <t>SOLLEFTEÅ</t>
        </is>
      </c>
      <c r="F2456" t="inlineStr">
        <is>
          <t>Kyrkan</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62100-2023</t>
        </is>
      </c>
      <c r="B2457" s="1" t="n">
        <v>45266</v>
      </c>
      <c r="C2457" s="1" t="n">
        <v>45356</v>
      </c>
      <c r="D2457" t="inlineStr">
        <is>
          <t>VÄSTERNORRLANDS LÄN</t>
        </is>
      </c>
      <c r="E2457" t="inlineStr">
        <is>
          <t>SOLLEFTEÅ</t>
        </is>
      </c>
      <c r="G2457" t="n">
        <v>16.6</v>
      </c>
      <c r="H2457" t="n">
        <v>0</v>
      </c>
      <c r="I2457" t="n">
        <v>0</v>
      </c>
      <c r="J2457" t="n">
        <v>0</v>
      </c>
      <c r="K2457" t="n">
        <v>0</v>
      </c>
      <c r="L2457" t="n">
        <v>0</v>
      </c>
      <c r="M2457" t="n">
        <v>0</v>
      </c>
      <c r="N2457" t="n">
        <v>0</v>
      </c>
      <c r="O2457" t="n">
        <v>0</v>
      </c>
      <c r="P2457" t="n">
        <v>0</v>
      </c>
      <c r="Q2457" t="n">
        <v>0</v>
      </c>
      <c r="R2457" s="2" t="inlineStr"/>
    </row>
    <row r="2458" ht="15" customHeight="1">
      <c r="A2458" t="inlineStr">
        <is>
          <t>A 62093-2023</t>
        </is>
      </c>
      <c r="B2458" s="1" t="n">
        <v>45266</v>
      </c>
      <c r="C2458" s="1" t="n">
        <v>45356</v>
      </c>
      <c r="D2458" t="inlineStr">
        <is>
          <t>VÄSTERNORRLANDS LÄN</t>
        </is>
      </c>
      <c r="E2458" t="inlineStr">
        <is>
          <t>SOLLEFTEÅ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62097-2023</t>
        </is>
      </c>
      <c r="B2459" s="1" t="n">
        <v>45266</v>
      </c>
      <c r="C2459" s="1" t="n">
        <v>45356</v>
      </c>
      <c r="D2459" t="inlineStr">
        <is>
          <t>VÄSTERNORRLANDS LÄN</t>
        </is>
      </c>
      <c r="E2459" t="inlineStr">
        <is>
          <t>SOLLEFTEÅ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62363-2023</t>
        </is>
      </c>
      <c r="B2460" s="1" t="n">
        <v>45267</v>
      </c>
      <c r="C2460" s="1" t="n">
        <v>45356</v>
      </c>
      <c r="D2460" t="inlineStr">
        <is>
          <t>VÄSTERNORRLANDS LÄN</t>
        </is>
      </c>
      <c r="E2460" t="inlineStr">
        <is>
          <t>SOLLEFTEÅ</t>
        </is>
      </c>
      <c r="F2460" t="inlineStr">
        <is>
          <t>SCA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62357-2023</t>
        </is>
      </c>
      <c r="B2461" s="1" t="n">
        <v>45267</v>
      </c>
      <c r="C2461" s="1" t="n">
        <v>45356</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62343-2023</t>
        </is>
      </c>
      <c r="B2462" s="1" t="n">
        <v>45267</v>
      </c>
      <c r="C2462" s="1" t="n">
        <v>45356</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62364-2023</t>
        </is>
      </c>
      <c r="B2463" s="1" t="n">
        <v>45267</v>
      </c>
      <c r="C2463" s="1" t="n">
        <v>45356</v>
      </c>
      <c r="D2463" t="inlineStr">
        <is>
          <t>VÄSTERNORRLANDS LÄN</t>
        </is>
      </c>
      <c r="E2463" t="inlineStr">
        <is>
          <t>SOLLEFTEÅ</t>
        </is>
      </c>
      <c r="F2463" t="inlineStr">
        <is>
          <t>SCA</t>
        </is>
      </c>
      <c r="G2463" t="n">
        <v>22.1</v>
      </c>
      <c r="H2463" t="n">
        <v>0</v>
      </c>
      <c r="I2463" t="n">
        <v>0</v>
      </c>
      <c r="J2463" t="n">
        <v>0</v>
      </c>
      <c r="K2463" t="n">
        <v>0</v>
      </c>
      <c r="L2463" t="n">
        <v>0</v>
      </c>
      <c r="M2463" t="n">
        <v>0</v>
      </c>
      <c r="N2463" t="n">
        <v>0</v>
      </c>
      <c r="O2463" t="n">
        <v>0</v>
      </c>
      <c r="P2463" t="n">
        <v>0</v>
      </c>
      <c r="Q2463" t="n">
        <v>0</v>
      </c>
      <c r="R2463" s="2" t="inlineStr"/>
    </row>
    <row r="2464" ht="15" customHeight="1">
      <c r="A2464" t="inlineStr">
        <is>
          <t>A 62523-2023</t>
        </is>
      </c>
      <c r="B2464" s="1" t="n">
        <v>45267</v>
      </c>
      <c r="C2464" s="1" t="n">
        <v>45356</v>
      </c>
      <c r="D2464" t="inlineStr">
        <is>
          <t>VÄSTERNORRLANDS LÄN</t>
        </is>
      </c>
      <c r="E2464" t="inlineStr">
        <is>
          <t>SOLLEFTEÅ</t>
        </is>
      </c>
      <c r="G2464" t="n">
        <v>33.6</v>
      </c>
      <c r="H2464" t="n">
        <v>0</v>
      </c>
      <c r="I2464" t="n">
        <v>0</v>
      </c>
      <c r="J2464" t="n">
        <v>0</v>
      </c>
      <c r="K2464" t="n">
        <v>0</v>
      </c>
      <c r="L2464" t="n">
        <v>0</v>
      </c>
      <c r="M2464" t="n">
        <v>0</v>
      </c>
      <c r="N2464" t="n">
        <v>0</v>
      </c>
      <c r="O2464" t="n">
        <v>0</v>
      </c>
      <c r="P2464" t="n">
        <v>0</v>
      </c>
      <c r="Q2464" t="n">
        <v>0</v>
      </c>
      <c r="R2464" s="2" t="inlineStr"/>
    </row>
    <row r="2465" ht="15" customHeight="1">
      <c r="A2465" t="inlineStr">
        <is>
          <t>A 62527-2023</t>
        </is>
      </c>
      <c r="B2465" s="1" t="n">
        <v>45267</v>
      </c>
      <c r="C2465" s="1" t="n">
        <v>45356</v>
      </c>
      <c r="D2465" t="inlineStr">
        <is>
          <t>VÄSTERNORRLANDS LÄN</t>
        </is>
      </c>
      <c r="E2465" t="inlineStr">
        <is>
          <t>SOLLEFTEÅ</t>
        </is>
      </c>
      <c r="G2465" t="n">
        <v>10.7</v>
      </c>
      <c r="H2465" t="n">
        <v>0</v>
      </c>
      <c r="I2465" t="n">
        <v>0</v>
      </c>
      <c r="J2465" t="n">
        <v>0</v>
      </c>
      <c r="K2465" t="n">
        <v>0</v>
      </c>
      <c r="L2465" t="n">
        <v>0</v>
      </c>
      <c r="M2465" t="n">
        <v>0</v>
      </c>
      <c r="N2465" t="n">
        <v>0</v>
      </c>
      <c r="O2465" t="n">
        <v>0</v>
      </c>
      <c r="P2465" t="n">
        <v>0</v>
      </c>
      <c r="Q2465" t="n">
        <v>0</v>
      </c>
      <c r="R2465" s="2" t="inlineStr"/>
    </row>
    <row r="2466" ht="15" customHeight="1">
      <c r="A2466" t="inlineStr">
        <is>
          <t>A 62827-2023</t>
        </is>
      </c>
      <c r="B2466" s="1" t="n">
        <v>45271</v>
      </c>
      <c r="C2466" s="1" t="n">
        <v>45356</v>
      </c>
      <c r="D2466" t="inlineStr">
        <is>
          <t>VÄSTERNORRLANDS LÄN</t>
        </is>
      </c>
      <c r="E2466" t="inlineStr">
        <is>
          <t>SOLLEFTEÅ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63144-2023</t>
        </is>
      </c>
      <c r="B2467" s="1" t="n">
        <v>45272</v>
      </c>
      <c r="C2467" s="1" t="n">
        <v>45356</v>
      </c>
      <c r="D2467" t="inlineStr">
        <is>
          <t>VÄSTERNORRLANDS LÄN</t>
        </is>
      </c>
      <c r="E2467" t="inlineStr">
        <is>
          <t>SOLLEFTEÅ</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63138-2023</t>
        </is>
      </c>
      <c r="B2468" s="1" t="n">
        <v>45272</v>
      </c>
      <c r="C2468" s="1" t="n">
        <v>45356</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63261-2023</t>
        </is>
      </c>
      <c r="B2469" s="1" t="n">
        <v>45273</v>
      </c>
      <c r="C2469" s="1" t="n">
        <v>45356</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63259-2023</t>
        </is>
      </c>
      <c r="B2470" s="1" t="n">
        <v>45273</v>
      </c>
      <c r="C2470" s="1" t="n">
        <v>45356</v>
      </c>
      <c r="D2470" t="inlineStr">
        <is>
          <t>VÄSTERNORRLANDS LÄN</t>
        </is>
      </c>
      <c r="E2470" t="inlineStr">
        <is>
          <t>SOLLEFTEÅ</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63413-2023</t>
        </is>
      </c>
      <c r="B2471" s="1" t="n">
        <v>45274</v>
      </c>
      <c r="C2471" s="1" t="n">
        <v>45356</v>
      </c>
      <c r="D2471" t="inlineStr">
        <is>
          <t>VÄSTERNORRLANDS LÄN</t>
        </is>
      </c>
      <c r="E2471" t="inlineStr">
        <is>
          <t>SOLLEFTEÅ</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63462-2023</t>
        </is>
      </c>
      <c r="B2472" s="1" t="n">
        <v>45274</v>
      </c>
      <c r="C2472" s="1" t="n">
        <v>45356</v>
      </c>
      <c r="D2472" t="inlineStr">
        <is>
          <t>VÄSTERNORRLANDS LÄN</t>
        </is>
      </c>
      <c r="E2472" t="inlineStr">
        <is>
          <t>SOLLEFTEÅ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63422-2023</t>
        </is>
      </c>
      <c r="B2473" s="1" t="n">
        <v>45274</v>
      </c>
      <c r="C2473" s="1" t="n">
        <v>45356</v>
      </c>
      <c r="D2473" t="inlineStr">
        <is>
          <t>VÄSTERNORRLANDS LÄN</t>
        </is>
      </c>
      <c r="E2473" t="inlineStr">
        <is>
          <t>SOLLEFTEÅ</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63529-2023</t>
        </is>
      </c>
      <c r="B2474" s="1" t="n">
        <v>45274</v>
      </c>
      <c r="C2474" s="1" t="n">
        <v>45356</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63547-2023</t>
        </is>
      </c>
      <c r="B2475" s="1" t="n">
        <v>45274</v>
      </c>
      <c r="C2475" s="1" t="n">
        <v>45356</v>
      </c>
      <c r="D2475" t="inlineStr">
        <is>
          <t>VÄSTERNORRLANDS LÄN</t>
        </is>
      </c>
      <c r="E2475" t="inlineStr">
        <is>
          <t>SOLLEFTEÅ</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63707-2023</t>
        </is>
      </c>
      <c r="B2476" s="1" t="n">
        <v>45275</v>
      </c>
      <c r="C2476" s="1" t="n">
        <v>45356</v>
      </c>
      <c r="D2476" t="inlineStr">
        <is>
          <t>VÄSTERNORRLANDS LÄN</t>
        </is>
      </c>
      <c r="E2476" t="inlineStr">
        <is>
          <t>SOLLEFTEÅ</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63712-2023</t>
        </is>
      </c>
      <c r="B2477" s="1" t="n">
        <v>45275</v>
      </c>
      <c r="C2477" s="1" t="n">
        <v>45356</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63652-2023</t>
        </is>
      </c>
      <c r="B2478" s="1" t="n">
        <v>45275</v>
      </c>
      <c r="C2478" s="1" t="n">
        <v>45356</v>
      </c>
      <c r="D2478" t="inlineStr">
        <is>
          <t>VÄSTERNORRLANDS LÄN</t>
        </is>
      </c>
      <c r="E2478" t="inlineStr">
        <is>
          <t>SOLLEFTEÅ</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63979-2023</t>
        </is>
      </c>
      <c r="B2479" s="1" t="n">
        <v>45278</v>
      </c>
      <c r="C2479" s="1" t="n">
        <v>45356</v>
      </c>
      <c r="D2479" t="inlineStr">
        <is>
          <t>VÄSTERNORRLANDS LÄN</t>
        </is>
      </c>
      <c r="E2479" t="inlineStr">
        <is>
          <t>SOLLEFTEÅ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64014-2023</t>
        </is>
      </c>
      <c r="B2480" s="1" t="n">
        <v>45278</v>
      </c>
      <c r="C2480" s="1" t="n">
        <v>45356</v>
      </c>
      <c r="D2480" t="inlineStr">
        <is>
          <t>VÄSTERNORRLANDS LÄN</t>
        </is>
      </c>
      <c r="E2480" t="inlineStr">
        <is>
          <t>SOLLEFTEÅ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64013-2023</t>
        </is>
      </c>
      <c r="B2481" s="1" t="n">
        <v>45278</v>
      </c>
      <c r="C2481" s="1" t="n">
        <v>45356</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64111-2023</t>
        </is>
      </c>
      <c r="B2482" s="1" t="n">
        <v>45279</v>
      </c>
      <c r="C2482" s="1" t="n">
        <v>45356</v>
      </c>
      <c r="D2482" t="inlineStr">
        <is>
          <t>VÄSTERNORRLANDS LÄN</t>
        </is>
      </c>
      <c r="E2482" t="inlineStr">
        <is>
          <t>SOLLEFTEÅ</t>
        </is>
      </c>
      <c r="G2482" t="n">
        <v>19.9</v>
      </c>
      <c r="H2482" t="n">
        <v>0</v>
      </c>
      <c r="I2482" t="n">
        <v>0</v>
      </c>
      <c r="J2482" t="n">
        <v>0</v>
      </c>
      <c r="K2482" t="n">
        <v>0</v>
      </c>
      <c r="L2482" t="n">
        <v>0</v>
      </c>
      <c r="M2482" t="n">
        <v>0</v>
      </c>
      <c r="N2482" t="n">
        <v>0</v>
      </c>
      <c r="O2482" t="n">
        <v>0</v>
      </c>
      <c r="P2482" t="n">
        <v>0</v>
      </c>
      <c r="Q2482" t="n">
        <v>0</v>
      </c>
      <c r="R2482" s="2" t="inlineStr"/>
    </row>
    <row r="2483" ht="15" customHeight="1">
      <c r="A2483" t="inlineStr">
        <is>
          <t>A 64115-2023</t>
        </is>
      </c>
      <c r="B2483" s="1" t="n">
        <v>45279</v>
      </c>
      <c r="C2483" s="1" t="n">
        <v>45356</v>
      </c>
      <c r="D2483" t="inlineStr">
        <is>
          <t>VÄSTERNORRLANDS LÄN</t>
        </is>
      </c>
      <c r="E2483" t="inlineStr">
        <is>
          <t>SOLLEFTEÅ</t>
        </is>
      </c>
      <c r="G2483" t="n">
        <v>16.1</v>
      </c>
      <c r="H2483" t="n">
        <v>0</v>
      </c>
      <c r="I2483" t="n">
        <v>0</v>
      </c>
      <c r="J2483" t="n">
        <v>0</v>
      </c>
      <c r="K2483" t="n">
        <v>0</v>
      </c>
      <c r="L2483" t="n">
        <v>0</v>
      </c>
      <c r="M2483" t="n">
        <v>0</v>
      </c>
      <c r="N2483" t="n">
        <v>0</v>
      </c>
      <c r="O2483" t="n">
        <v>0</v>
      </c>
      <c r="P2483" t="n">
        <v>0</v>
      </c>
      <c r="Q2483" t="n">
        <v>0</v>
      </c>
      <c r="R2483" s="2" t="inlineStr"/>
    </row>
    <row r="2484" ht="15" customHeight="1">
      <c r="A2484" t="inlineStr">
        <is>
          <t>A 64120-2023</t>
        </is>
      </c>
      <c r="B2484" s="1" t="n">
        <v>45279</v>
      </c>
      <c r="C2484" s="1" t="n">
        <v>45356</v>
      </c>
      <c r="D2484" t="inlineStr">
        <is>
          <t>VÄSTERNORRLANDS LÄN</t>
        </is>
      </c>
      <c r="E2484" t="inlineStr">
        <is>
          <t>SOLLEFTEÅ</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64131-2023</t>
        </is>
      </c>
      <c r="B2485" s="1" t="n">
        <v>45279</v>
      </c>
      <c r="C2485" s="1" t="n">
        <v>45356</v>
      </c>
      <c r="D2485" t="inlineStr">
        <is>
          <t>VÄSTERNORRLANDS LÄN</t>
        </is>
      </c>
      <c r="E2485" t="inlineStr">
        <is>
          <t>SOLLEFTEÅ</t>
        </is>
      </c>
      <c r="G2485" t="n">
        <v>12.9</v>
      </c>
      <c r="H2485" t="n">
        <v>0</v>
      </c>
      <c r="I2485" t="n">
        <v>0</v>
      </c>
      <c r="J2485" t="n">
        <v>0</v>
      </c>
      <c r="K2485" t="n">
        <v>0</v>
      </c>
      <c r="L2485" t="n">
        <v>0</v>
      </c>
      <c r="M2485" t="n">
        <v>0</v>
      </c>
      <c r="N2485" t="n">
        <v>0</v>
      </c>
      <c r="O2485" t="n">
        <v>0</v>
      </c>
      <c r="P2485" t="n">
        <v>0</v>
      </c>
      <c r="Q2485" t="n">
        <v>0</v>
      </c>
      <c r="R2485" s="2" t="inlineStr"/>
    </row>
    <row r="2486" ht="15" customHeight="1">
      <c r="A2486" t="inlineStr">
        <is>
          <t>A 64133-2023</t>
        </is>
      </c>
      <c r="B2486" s="1" t="n">
        <v>45279</v>
      </c>
      <c r="C2486" s="1" t="n">
        <v>45356</v>
      </c>
      <c r="D2486" t="inlineStr">
        <is>
          <t>VÄSTERNORRLANDS LÄN</t>
        </is>
      </c>
      <c r="E2486" t="inlineStr">
        <is>
          <t>SOLLEFTEÅ</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64502-2023</t>
        </is>
      </c>
      <c r="B2487" s="1" t="n">
        <v>45280</v>
      </c>
      <c r="C2487" s="1" t="n">
        <v>45356</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64617-2023</t>
        </is>
      </c>
      <c r="B2488" s="1" t="n">
        <v>45281</v>
      </c>
      <c r="C2488" s="1" t="n">
        <v>45356</v>
      </c>
      <c r="D2488" t="inlineStr">
        <is>
          <t>VÄSTERNORRLANDS LÄN</t>
        </is>
      </c>
      <c r="E2488" t="inlineStr">
        <is>
          <t>SOLLEFTEÅ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64961-2023</t>
        </is>
      </c>
      <c r="B2489" s="1" t="n">
        <v>45282</v>
      </c>
      <c r="C2489" s="1" t="n">
        <v>45356</v>
      </c>
      <c r="D2489" t="inlineStr">
        <is>
          <t>VÄSTERNORRLANDS LÄN</t>
        </is>
      </c>
      <c r="E2489" t="inlineStr">
        <is>
          <t>SOLLEFTEÅ</t>
        </is>
      </c>
      <c r="F2489" t="inlineStr">
        <is>
          <t>SCA</t>
        </is>
      </c>
      <c r="G2489" t="n">
        <v>10.9</v>
      </c>
      <c r="H2489" t="n">
        <v>0</v>
      </c>
      <c r="I2489" t="n">
        <v>0</v>
      </c>
      <c r="J2489" t="n">
        <v>0</v>
      </c>
      <c r="K2489" t="n">
        <v>0</v>
      </c>
      <c r="L2489" t="n">
        <v>0</v>
      </c>
      <c r="M2489" t="n">
        <v>0</v>
      </c>
      <c r="N2489" t="n">
        <v>0</v>
      </c>
      <c r="O2489" t="n">
        <v>0</v>
      </c>
      <c r="P2489" t="n">
        <v>0</v>
      </c>
      <c r="Q2489" t="n">
        <v>0</v>
      </c>
      <c r="R2489" s="2" t="inlineStr"/>
    </row>
    <row r="2490" ht="15" customHeight="1">
      <c r="A2490" t="inlineStr">
        <is>
          <t>A 64959-2023</t>
        </is>
      </c>
      <c r="B2490" s="1" t="n">
        <v>45282</v>
      </c>
      <c r="C2490" s="1" t="n">
        <v>45356</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64891-2023</t>
        </is>
      </c>
      <c r="B2491" s="1" t="n">
        <v>45282</v>
      </c>
      <c r="C2491" s="1" t="n">
        <v>45356</v>
      </c>
      <c r="D2491" t="inlineStr">
        <is>
          <t>VÄSTERNORRLANDS LÄN</t>
        </is>
      </c>
      <c r="E2491" t="inlineStr">
        <is>
          <t>SOLLEFTEÅ</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65148-2023</t>
        </is>
      </c>
      <c r="B2492" s="1" t="n">
        <v>45288</v>
      </c>
      <c r="C2492" s="1" t="n">
        <v>45356</v>
      </c>
      <c r="D2492" t="inlineStr">
        <is>
          <t>VÄSTERNORRLANDS LÄN</t>
        </is>
      </c>
      <c r="E2492" t="inlineStr">
        <is>
          <t>SOLLEFTEÅ</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394-2024</t>
        </is>
      </c>
      <c r="B2493" s="1" t="n">
        <v>45296</v>
      </c>
      <c r="C2493" s="1" t="n">
        <v>45356</v>
      </c>
      <c r="D2493" t="inlineStr">
        <is>
          <t>VÄSTERNORRLANDS LÄN</t>
        </is>
      </c>
      <c r="E2493" t="inlineStr">
        <is>
          <t>SOLLEFTEÅ</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388-2024</t>
        </is>
      </c>
      <c r="B2494" s="1" t="n">
        <v>45296</v>
      </c>
      <c r="C2494" s="1" t="n">
        <v>45356</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457-2024</t>
        </is>
      </c>
      <c r="B2495" s="1" t="n">
        <v>45297</v>
      </c>
      <c r="C2495" s="1" t="n">
        <v>45356</v>
      </c>
      <c r="D2495" t="inlineStr">
        <is>
          <t>VÄSTERNORRLANDS LÄN</t>
        </is>
      </c>
      <c r="E2495" t="inlineStr">
        <is>
          <t>SOLLEFTEÅ</t>
        </is>
      </c>
      <c r="F2495" t="inlineStr">
        <is>
          <t>SCA</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656-2024</t>
        </is>
      </c>
      <c r="B2496" s="1" t="n">
        <v>45299</v>
      </c>
      <c r="C2496" s="1" t="n">
        <v>45356</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858-2024</t>
        </is>
      </c>
      <c r="B2497" s="1" t="n">
        <v>45301</v>
      </c>
      <c r="C2497" s="1" t="n">
        <v>45356</v>
      </c>
      <c r="D2497" t="inlineStr">
        <is>
          <t>VÄSTERNORRLANDS LÄN</t>
        </is>
      </c>
      <c r="E2497" t="inlineStr">
        <is>
          <t>SOLLEFTEÅ</t>
        </is>
      </c>
      <c r="F2497" t="inlineStr">
        <is>
          <t>SCA</t>
        </is>
      </c>
      <c r="G2497" t="n">
        <v>56.2</v>
      </c>
      <c r="H2497" t="n">
        <v>0</v>
      </c>
      <c r="I2497" t="n">
        <v>0</v>
      </c>
      <c r="J2497" t="n">
        <v>0</v>
      </c>
      <c r="K2497" t="n">
        <v>0</v>
      </c>
      <c r="L2497" t="n">
        <v>0</v>
      </c>
      <c r="M2497" t="n">
        <v>0</v>
      </c>
      <c r="N2497" t="n">
        <v>0</v>
      </c>
      <c r="O2497" t="n">
        <v>0</v>
      </c>
      <c r="P2497" t="n">
        <v>0</v>
      </c>
      <c r="Q2497" t="n">
        <v>0</v>
      </c>
      <c r="R2497" s="2" t="inlineStr"/>
    </row>
    <row r="2498" ht="15" customHeight="1">
      <c r="A2498" t="inlineStr">
        <is>
          <t>A 1006-2024</t>
        </is>
      </c>
      <c r="B2498" s="1" t="n">
        <v>45301</v>
      </c>
      <c r="C2498" s="1" t="n">
        <v>45356</v>
      </c>
      <c r="D2498" t="inlineStr">
        <is>
          <t>VÄSTERNORRLANDS LÄN</t>
        </is>
      </c>
      <c r="E2498" t="inlineStr">
        <is>
          <t>SOLLEFTEÅ</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1047-2024</t>
        </is>
      </c>
      <c r="B2499" s="1" t="n">
        <v>45301</v>
      </c>
      <c r="C2499" s="1" t="n">
        <v>45356</v>
      </c>
      <c r="D2499" t="inlineStr">
        <is>
          <t>VÄSTERNORRLANDS LÄN</t>
        </is>
      </c>
      <c r="E2499" t="inlineStr">
        <is>
          <t>SOLLEFTEÅ</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1054-2024</t>
        </is>
      </c>
      <c r="B2500" s="1" t="n">
        <v>45302</v>
      </c>
      <c r="C2500" s="1" t="n">
        <v>45356</v>
      </c>
      <c r="D2500" t="inlineStr">
        <is>
          <t>VÄSTERNORRLANDS LÄN</t>
        </is>
      </c>
      <c r="E2500" t="inlineStr">
        <is>
          <t>SOLLEFTEÅ</t>
        </is>
      </c>
      <c r="F2500" t="inlineStr">
        <is>
          <t>SCA</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1269-2024</t>
        </is>
      </c>
      <c r="B2501" s="1" t="n">
        <v>45302</v>
      </c>
      <c r="C2501" s="1" t="n">
        <v>45356</v>
      </c>
      <c r="D2501" t="inlineStr">
        <is>
          <t>VÄSTERNORRLANDS LÄN</t>
        </is>
      </c>
      <c r="E2501" t="inlineStr">
        <is>
          <t>SOLLEFTEÅ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1268-2024</t>
        </is>
      </c>
      <c r="B2502" s="1" t="n">
        <v>45302</v>
      </c>
      <c r="C2502" s="1" t="n">
        <v>45356</v>
      </c>
      <c r="D2502" t="inlineStr">
        <is>
          <t>VÄSTERNORRLANDS LÄN</t>
        </is>
      </c>
      <c r="E2502" t="inlineStr">
        <is>
          <t>SOLLEFTEÅ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1173-2024</t>
        </is>
      </c>
      <c r="B2503" s="1" t="n">
        <v>45302</v>
      </c>
      <c r="C2503" s="1" t="n">
        <v>45356</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1459-2024</t>
        </is>
      </c>
      <c r="B2504" s="1" t="n">
        <v>45303</v>
      </c>
      <c r="C2504" s="1" t="n">
        <v>45356</v>
      </c>
      <c r="D2504" t="inlineStr">
        <is>
          <t>VÄSTERNORRLANDS LÄN</t>
        </is>
      </c>
      <c r="E2504" t="inlineStr">
        <is>
          <t>SOLLEFTEÅ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1678-2024</t>
        </is>
      </c>
      <c r="B2505" s="1" t="n">
        <v>45307</v>
      </c>
      <c r="C2505" s="1" t="n">
        <v>45356</v>
      </c>
      <c r="D2505" t="inlineStr">
        <is>
          <t>VÄSTERNORRLANDS LÄN</t>
        </is>
      </c>
      <c r="E2505" t="inlineStr">
        <is>
          <t>SOLLEFTEÅ</t>
        </is>
      </c>
      <c r="F2505" t="inlineStr">
        <is>
          <t>SCA</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1679-2024</t>
        </is>
      </c>
      <c r="B2506" s="1" t="n">
        <v>45306</v>
      </c>
      <c r="C2506" s="1" t="n">
        <v>45356</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1844-2024</t>
        </is>
      </c>
      <c r="B2507" s="1" t="n">
        <v>45307</v>
      </c>
      <c r="C2507" s="1" t="n">
        <v>45356</v>
      </c>
      <c r="D2507" t="inlineStr">
        <is>
          <t>VÄSTERNORRLANDS LÄN</t>
        </is>
      </c>
      <c r="E2507" t="inlineStr">
        <is>
          <t>SOLLEFTEÅ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1840-2024</t>
        </is>
      </c>
      <c r="B2508" s="1" t="n">
        <v>45307</v>
      </c>
      <c r="C2508" s="1" t="n">
        <v>45356</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1848-2024</t>
        </is>
      </c>
      <c r="B2509" s="1" t="n">
        <v>45307</v>
      </c>
      <c r="C2509" s="1" t="n">
        <v>45356</v>
      </c>
      <c r="D2509" t="inlineStr">
        <is>
          <t>VÄSTERNORRLANDS LÄN</t>
        </is>
      </c>
      <c r="E2509" t="inlineStr">
        <is>
          <t>SOLLEFTEÅ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1880-2024</t>
        </is>
      </c>
      <c r="B2510" s="1" t="n">
        <v>45307</v>
      </c>
      <c r="C2510" s="1" t="n">
        <v>45356</v>
      </c>
      <c r="D2510" t="inlineStr">
        <is>
          <t>VÄSTERNORRLANDS LÄN</t>
        </is>
      </c>
      <c r="E2510" t="inlineStr">
        <is>
          <t>SOLLEFTEÅ</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1878-2024</t>
        </is>
      </c>
      <c r="B2511" s="1" t="n">
        <v>45307</v>
      </c>
      <c r="C2511" s="1" t="n">
        <v>45356</v>
      </c>
      <c r="D2511" t="inlineStr">
        <is>
          <t>VÄSTERNORRLANDS LÄN</t>
        </is>
      </c>
      <c r="E2511" t="inlineStr">
        <is>
          <t>SOLLEFTEÅ</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2232-2024</t>
        </is>
      </c>
      <c r="B2512" s="1" t="n">
        <v>45309</v>
      </c>
      <c r="C2512" s="1" t="n">
        <v>45356</v>
      </c>
      <c r="D2512" t="inlineStr">
        <is>
          <t>VÄSTERNORRLANDS LÄN</t>
        </is>
      </c>
      <c r="E2512" t="inlineStr">
        <is>
          <t>SOLLEFTEÅ</t>
        </is>
      </c>
      <c r="F2512" t="inlineStr">
        <is>
          <t>SCA</t>
        </is>
      </c>
      <c r="G2512" t="n">
        <v>58.3</v>
      </c>
      <c r="H2512" t="n">
        <v>0</v>
      </c>
      <c r="I2512" t="n">
        <v>0</v>
      </c>
      <c r="J2512" t="n">
        <v>0</v>
      </c>
      <c r="K2512" t="n">
        <v>0</v>
      </c>
      <c r="L2512" t="n">
        <v>0</v>
      </c>
      <c r="M2512" t="n">
        <v>0</v>
      </c>
      <c r="N2512" t="n">
        <v>0</v>
      </c>
      <c r="O2512" t="n">
        <v>0</v>
      </c>
      <c r="P2512" t="n">
        <v>0</v>
      </c>
      <c r="Q2512" t="n">
        <v>0</v>
      </c>
      <c r="R2512" s="2" t="inlineStr"/>
    </row>
    <row r="2513" ht="15" customHeight="1">
      <c r="A2513" t="inlineStr">
        <is>
          <t>A 2223-2024</t>
        </is>
      </c>
      <c r="B2513" s="1" t="n">
        <v>45309</v>
      </c>
      <c r="C2513" s="1" t="n">
        <v>45356</v>
      </c>
      <c r="D2513" t="inlineStr">
        <is>
          <t>VÄSTERNORRLANDS LÄN</t>
        </is>
      </c>
      <c r="E2513" t="inlineStr">
        <is>
          <t>SOLLEFTEÅ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2229-2024</t>
        </is>
      </c>
      <c r="B2514" s="1" t="n">
        <v>45309</v>
      </c>
      <c r="C2514" s="1" t="n">
        <v>45356</v>
      </c>
      <c r="D2514" t="inlineStr">
        <is>
          <t>VÄSTERNORRLANDS LÄN</t>
        </is>
      </c>
      <c r="E2514" t="inlineStr">
        <is>
          <t>SOLLEFTEÅ</t>
        </is>
      </c>
      <c r="F2514" t="inlineStr">
        <is>
          <t>SCA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2233-2024</t>
        </is>
      </c>
      <c r="B2515" s="1" t="n">
        <v>45309</v>
      </c>
      <c r="C2515" s="1" t="n">
        <v>45356</v>
      </c>
      <c r="D2515" t="inlineStr">
        <is>
          <t>VÄSTERNORRLANDS LÄN</t>
        </is>
      </c>
      <c r="E2515" t="inlineStr">
        <is>
          <t>SOLLEFTEÅ</t>
        </is>
      </c>
      <c r="F2515" t="inlineStr">
        <is>
          <t>SCA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2423-2024</t>
        </is>
      </c>
      <c r="B2516" s="1" t="n">
        <v>45310</v>
      </c>
      <c r="C2516" s="1" t="n">
        <v>45356</v>
      </c>
      <c r="D2516" t="inlineStr">
        <is>
          <t>VÄSTERNORRLANDS LÄN</t>
        </is>
      </c>
      <c r="E2516" t="inlineStr">
        <is>
          <t>SOLLEFTEÅ</t>
        </is>
      </c>
      <c r="F2516" t="inlineStr">
        <is>
          <t>SCA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2425-2024</t>
        </is>
      </c>
      <c r="B2517" s="1" t="n">
        <v>45310</v>
      </c>
      <c r="C2517" s="1" t="n">
        <v>45356</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2816-2024</t>
        </is>
      </c>
      <c r="B2518" s="1" t="n">
        <v>45314</v>
      </c>
      <c r="C2518" s="1" t="n">
        <v>45356</v>
      </c>
      <c r="D2518" t="inlineStr">
        <is>
          <t>VÄSTERNORRLANDS LÄN</t>
        </is>
      </c>
      <c r="E2518" t="inlineStr">
        <is>
          <t>SOLLEFTEÅ</t>
        </is>
      </c>
      <c r="F2518" t="inlineStr">
        <is>
          <t>Holmen skog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2703-2024</t>
        </is>
      </c>
      <c r="B2519" s="1" t="n">
        <v>45314</v>
      </c>
      <c r="C2519" s="1" t="n">
        <v>45356</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2850-2024</t>
        </is>
      </c>
      <c r="B2520" s="1" t="n">
        <v>45315</v>
      </c>
      <c r="C2520" s="1" t="n">
        <v>45356</v>
      </c>
      <c r="D2520" t="inlineStr">
        <is>
          <t>VÄSTERNORRLANDS LÄN</t>
        </is>
      </c>
      <c r="E2520" t="inlineStr">
        <is>
          <t>SOLLEFTEÅ</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3234-2024</t>
        </is>
      </c>
      <c r="B2521" s="1" t="n">
        <v>45316</v>
      </c>
      <c r="C2521" s="1" t="n">
        <v>45356</v>
      </c>
      <c r="D2521" t="inlineStr">
        <is>
          <t>VÄSTERNORRLANDS LÄN</t>
        </is>
      </c>
      <c r="E2521" t="inlineStr">
        <is>
          <t>SOLLEFTEÅ</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3211-2024</t>
        </is>
      </c>
      <c r="B2522" s="1" t="n">
        <v>45316</v>
      </c>
      <c r="C2522" s="1" t="n">
        <v>45356</v>
      </c>
      <c r="D2522" t="inlineStr">
        <is>
          <t>VÄSTERNORRLANDS LÄN</t>
        </is>
      </c>
      <c r="E2522" t="inlineStr">
        <is>
          <t>SOLLEFTEÅ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3231-2024</t>
        </is>
      </c>
      <c r="B2523" s="1" t="n">
        <v>45316</v>
      </c>
      <c r="C2523" s="1" t="n">
        <v>45356</v>
      </c>
      <c r="D2523" t="inlineStr">
        <is>
          <t>VÄSTERNORRLANDS LÄN</t>
        </is>
      </c>
      <c r="E2523" t="inlineStr">
        <is>
          <t>SOLLEFTEÅ</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3241-2024</t>
        </is>
      </c>
      <c r="B2524" s="1" t="n">
        <v>45316</v>
      </c>
      <c r="C2524" s="1" t="n">
        <v>45356</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3252-2024</t>
        </is>
      </c>
      <c r="B2525" s="1" t="n">
        <v>45316</v>
      </c>
      <c r="C2525" s="1" t="n">
        <v>45356</v>
      </c>
      <c r="D2525" t="inlineStr">
        <is>
          <t>VÄSTERNORRLANDS LÄN</t>
        </is>
      </c>
      <c r="E2525" t="inlineStr">
        <is>
          <t>SOLLEFTEÅ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3388-2024</t>
        </is>
      </c>
      <c r="B2526" s="1" t="n">
        <v>45317</v>
      </c>
      <c r="C2526" s="1" t="n">
        <v>45356</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3621-2024</t>
        </is>
      </c>
      <c r="B2527" s="1" t="n">
        <v>45320</v>
      </c>
      <c r="C2527" s="1" t="n">
        <v>45356</v>
      </c>
      <c r="D2527" t="inlineStr">
        <is>
          <t>VÄSTERNORRLANDS LÄN</t>
        </is>
      </c>
      <c r="E2527" t="inlineStr">
        <is>
          <t>SOLLEFTEÅ</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3633-2024</t>
        </is>
      </c>
      <c r="B2528" s="1" t="n">
        <v>45320</v>
      </c>
      <c r="C2528" s="1" t="n">
        <v>45356</v>
      </c>
      <c r="D2528" t="inlineStr">
        <is>
          <t>VÄSTERNORRLANDS LÄN</t>
        </is>
      </c>
      <c r="E2528" t="inlineStr">
        <is>
          <t>SOLLEFTEÅ</t>
        </is>
      </c>
      <c r="F2528" t="inlineStr">
        <is>
          <t>SCA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3832-2024</t>
        </is>
      </c>
      <c r="B2529" s="1" t="n">
        <v>45321</v>
      </c>
      <c r="C2529" s="1" t="n">
        <v>45356</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3847-2024</t>
        </is>
      </c>
      <c r="B2530" s="1" t="n">
        <v>45322</v>
      </c>
      <c r="C2530" s="1" t="n">
        <v>45356</v>
      </c>
      <c r="D2530" t="inlineStr">
        <is>
          <t>VÄSTERNORRLANDS LÄN</t>
        </is>
      </c>
      <c r="E2530" t="inlineStr">
        <is>
          <t>SOLLEFTEÅ</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3990-2024</t>
        </is>
      </c>
      <c r="B2531" s="1" t="n">
        <v>45322</v>
      </c>
      <c r="C2531" s="1" t="n">
        <v>45356</v>
      </c>
      <c r="D2531" t="inlineStr">
        <is>
          <t>VÄSTERNORRLANDS LÄN</t>
        </is>
      </c>
      <c r="E2531" t="inlineStr">
        <is>
          <t>SOLLEFTEÅ</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3998-2024</t>
        </is>
      </c>
      <c r="B2532" s="1" t="n">
        <v>45322</v>
      </c>
      <c r="C2532" s="1" t="n">
        <v>45356</v>
      </c>
      <c r="D2532" t="inlineStr">
        <is>
          <t>VÄSTERNORRLANDS LÄN</t>
        </is>
      </c>
      <c r="E2532" t="inlineStr">
        <is>
          <t>SOLLEFTEÅ</t>
        </is>
      </c>
      <c r="F2532" t="inlineStr">
        <is>
          <t>SCA</t>
        </is>
      </c>
      <c r="G2532" t="n">
        <v>23.9</v>
      </c>
      <c r="H2532" t="n">
        <v>0</v>
      </c>
      <c r="I2532" t="n">
        <v>0</v>
      </c>
      <c r="J2532" t="n">
        <v>0</v>
      </c>
      <c r="K2532" t="n">
        <v>0</v>
      </c>
      <c r="L2532" t="n">
        <v>0</v>
      </c>
      <c r="M2532" t="n">
        <v>0</v>
      </c>
      <c r="N2532" t="n">
        <v>0</v>
      </c>
      <c r="O2532" t="n">
        <v>0</v>
      </c>
      <c r="P2532" t="n">
        <v>0</v>
      </c>
      <c r="Q2532" t="n">
        <v>0</v>
      </c>
      <c r="R2532" s="2" t="inlineStr"/>
    </row>
    <row r="2533" ht="15" customHeight="1">
      <c r="A2533" t="inlineStr">
        <is>
          <t>A 3991-2024</t>
        </is>
      </c>
      <c r="B2533" s="1" t="n">
        <v>45322</v>
      </c>
      <c r="C2533" s="1" t="n">
        <v>45356</v>
      </c>
      <c r="D2533" t="inlineStr">
        <is>
          <t>VÄSTERNORRLANDS LÄN</t>
        </is>
      </c>
      <c r="E2533" t="inlineStr">
        <is>
          <t>SOLLEFTEÅ</t>
        </is>
      </c>
      <c r="F2533" t="inlineStr">
        <is>
          <t>SCA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4061-2024</t>
        </is>
      </c>
      <c r="B2534" s="1" t="n">
        <v>45323</v>
      </c>
      <c r="C2534" s="1" t="n">
        <v>45356</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4064-2024</t>
        </is>
      </c>
      <c r="B2535" s="1" t="n">
        <v>45323</v>
      </c>
      <c r="C2535" s="1" t="n">
        <v>45356</v>
      </c>
      <c r="D2535" t="inlineStr">
        <is>
          <t>VÄSTERNORRLANDS LÄN</t>
        </is>
      </c>
      <c r="E2535" t="inlineStr">
        <is>
          <t>SOLLEFTEÅ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4168-2024</t>
        </is>
      </c>
      <c r="B2536" s="1" t="n">
        <v>45323</v>
      </c>
      <c r="C2536" s="1" t="n">
        <v>45356</v>
      </c>
      <c r="D2536" t="inlineStr">
        <is>
          <t>VÄSTERNORRLANDS LÄN</t>
        </is>
      </c>
      <c r="E2536" t="inlineStr">
        <is>
          <t>SOLLEFTEÅ</t>
        </is>
      </c>
      <c r="F2536" t="inlineStr">
        <is>
          <t>SCA</t>
        </is>
      </c>
      <c r="G2536" t="n">
        <v>22.1</v>
      </c>
      <c r="H2536" t="n">
        <v>0</v>
      </c>
      <c r="I2536" t="n">
        <v>0</v>
      </c>
      <c r="J2536" t="n">
        <v>0</v>
      </c>
      <c r="K2536" t="n">
        <v>0</v>
      </c>
      <c r="L2536" t="n">
        <v>0</v>
      </c>
      <c r="M2536" t="n">
        <v>0</v>
      </c>
      <c r="N2536" t="n">
        <v>0</v>
      </c>
      <c r="O2536" t="n">
        <v>0</v>
      </c>
      <c r="P2536" t="n">
        <v>0</v>
      </c>
      <c r="Q2536" t="n">
        <v>0</v>
      </c>
      <c r="R2536" s="2" t="inlineStr"/>
    </row>
    <row r="2537" ht="15" customHeight="1">
      <c r="A2537" t="inlineStr">
        <is>
          <t>A 4167-2024</t>
        </is>
      </c>
      <c r="B2537" s="1" t="n">
        <v>45323</v>
      </c>
      <c r="C2537" s="1" t="n">
        <v>45356</v>
      </c>
      <c r="D2537" t="inlineStr">
        <is>
          <t>VÄSTERNORRLANDS LÄN</t>
        </is>
      </c>
      <c r="E2537" t="inlineStr">
        <is>
          <t>SOLLEFTEÅ</t>
        </is>
      </c>
      <c r="F2537" t="inlineStr">
        <is>
          <t>SCA</t>
        </is>
      </c>
      <c r="G2537" t="n">
        <v>13.7</v>
      </c>
      <c r="H2537" t="n">
        <v>0</v>
      </c>
      <c r="I2537" t="n">
        <v>0</v>
      </c>
      <c r="J2537" t="n">
        <v>0</v>
      </c>
      <c r="K2537" t="n">
        <v>0</v>
      </c>
      <c r="L2537" t="n">
        <v>0</v>
      </c>
      <c r="M2537" t="n">
        <v>0</v>
      </c>
      <c r="N2537" t="n">
        <v>0</v>
      </c>
      <c r="O2537" t="n">
        <v>0</v>
      </c>
      <c r="P2537" t="n">
        <v>0</v>
      </c>
      <c r="Q2537" t="n">
        <v>0</v>
      </c>
      <c r="R2537" s="2" t="inlineStr"/>
    </row>
    <row r="2538" ht="15" customHeight="1">
      <c r="A2538" t="inlineStr">
        <is>
          <t>A 4348-2024</t>
        </is>
      </c>
      <c r="B2538" s="1" t="n">
        <v>45324</v>
      </c>
      <c r="C2538" s="1" t="n">
        <v>45356</v>
      </c>
      <c r="D2538" t="inlineStr">
        <is>
          <t>VÄSTERNORRLANDS LÄN</t>
        </is>
      </c>
      <c r="E2538" t="inlineStr">
        <is>
          <t>SOLLEFTEÅ</t>
        </is>
      </c>
      <c r="F2538" t="inlineStr">
        <is>
          <t>SCA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4349-2024</t>
        </is>
      </c>
      <c r="B2539" s="1" t="n">
        <v>45324</v>
      </c>
      <c r="C2539" s="1" t="n">
        <v>45356</v>
      </c>
      <c r="D2539" t="inlineStr">
        <is>
          <t>VÄSTERNORRLANDS LÄN</t>
        </is>
      </c>
      <c r="E2539" t="inlineStr">
        <is>
          <t>SOLLEFTEÅ</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45356</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4352-2024</t>
        </is>
      </c>
      <c r="B2541" s="1" t="n">
        <v>45324</v>
      </c>
      <c r="C2541" s="1" t="n">
        <v>45356</v>
      </c>
      <c r="D2541" t="inlineStr">
        <is>
          <t>VÄSTERNORRLANDS LÄN</t>
        </is>
      </c>
      <c r="E2541" t="inlineStr">
        <is>
          <t>SOLLEFTEÅ</t>
        </is>
      </c>
      <c r="F2541" t="inlineStr">
        <is>
          <t>SCA</t>
        </is>
      </c>
      <c r="G2541" t="n">
        <v>24.7</v>
      </c>
      <c r="H2541" t="n">
        <v>0</v>
      </c>
      <c r="I2541" t="n">
        <v>0</v>
      </c>
      <c r="J2541" t="n">
        <v>0</v>
      </c>
      <c r="K2541" t="n">
        <v>0</v>
      </c>
      <c r="L2541" t="n">
        <v>0</v>
      </c>
      <c r="M2541" t="n">
        <v>0</v>
      </c>
      <c r="N2541" t="n">
        <v>0</v>
      </c>
      <c r="O2541" t="n">
        <v>0</v>
      </c>
      <c r="P2541" t="n">
        <v>0</v>
      </c>
      <c r="Q2541" t="n">
        <v>0</v>
      </c>
      <c r="R2541" s="2" t="inlineStr"/>
    </row>
    <row r="2542" ht="15" customHeight="1">
      <c r="A2542" t="inlineStr">
        <is>
          <t>A 4546-2024</t>
        </is>
      </c>
      <c r="B2542" s="1" t="n">
        <v>45327</v>
      </c>
      <c r="C2542" s="1" t="n">
        <v>45356</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4595-2024</t>
        </is>
      </c>
      <c r="B2543" s="1" t="n">
        <v>45327</v>
      </c>
      <c r="C2543" s="1" t="n">
        <v>45356</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45356</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45356</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4808-2024</t>
        </is>
      </c>
      <c r="B2546" s="1" t="n">
        <v>45328</v>
      </c>
      <c r="C2546" s="1" t="n">
        <v>45356</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4812-2024</t>
        </is>
      </c>
      <c r="B2547" s="1" t="n">
        <v>45328</v>
      </c>
      <c r="C2547" s="1" t="n">
        <v>45356</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5036-2024</t>
        </is>
      </c>
      <c r="B2548" s="1" t="n">
        <v>45329</v>
      </c>
      <c r="C2548" s="1" t="n">
        <v>45356</v>
      </c>
      <c r="D2548" t="inlineStr">
        <is>
          <t>VÄSTERNORRLANDS LÄN</t>
        </is>
      </c>
      <c r="E2548" t="inlineStr">
        <is>
          <t>SOLLEFTEÅ</t>
        </is>
      </c>
      <c r="F2548" t="inlineStr">
        <is>
          <t>Övriga Aktiebolag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5040-2024</t>
        </is>
      </c>
      <c r="B2549" s="1" t="n">
        <v>45329</v>
      </c>
      <c r="C2549" s="1" t="n">
        <v>45356</v>
      </c>
      <c r="D2549" t="inlineStr">
        <is>
          <t>VÄSTERNORRLANDS LÄN</t>
        </is>
      </c>
      <c r="E2549" t="inlineStr">
        <is>
          <t>SOLLEFTEÅ</t>
        </is>
      </c>
      <c r="F2549" t="inlineStr">
        <is>
          <t>Övriga Aktiebolag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4857-2024</t>
        </is>
      </c>
      <c r="B2550" s="1" t="n">
        <v>45329</v>
      </c>
      <c r="C2550" s="1" t="n">
        <v>45356</v>
      </c>
      <c r="D2550" t="inlineStr">
        <is>
          <t>VÄSTERNORRLANDS LÄN</t>
        </is>
      </c>
      <c r="E2550" t="inlineStr">
        <is>
          <t>SOLLEFTEÅ</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5035-2024</t>
        </is>
      </c>
      <c r="B2551" s="1" t="n">
        <v>45329</v>
      </c>
      <c r="C2551" s="1" t="n">
        <v>45356</v>
      </c>
      <c r="D2551" t="inlineStr">
        <is>
          <t>VÄSTERNORRLANDS LÄN</t>
        </is>
      </c>
      <c r="E2551" t="inlineStr">
        <is>
          <t>SOLLEFTEÅ</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5059-2024</t>
        </is>
      </c>
      <c r="B2552" s="1" t="n">
        <v>45329</v>
      </c>
      <c r="C2552" s="1" t="n">
        <v>45356</v>
      </c>
      <c r="D2552" t="inlineStr">
        <is>
          <t>VÄSTERNORRLANDS LÄN</t>
        </is>
      </c>
      <c r="E2552" t="inlineStr">
        <is>
          <t>SOLLEFTEÅ</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5057-2024</t>
        </is>
      </c>
      <c r="B2553" s="1" t="n">
        <v>45329</v>
      </c>
      <c r="C2553" s="1" t="n">
        <v>45356</v>
      </c>
      <c r="D2553" t="inlineStr">
        <is>
          <t>VÄSTERNORRLANDS LÄN</t>
        </is>
      </c>
      <c r="E2553" t="inlineStr">
        <is>
          <t>SOLLEFTEÅ</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5034-2024</t>
        </is>
      </c>
      <c r="B2554" s="1" t="n">
        <v>45329</v>
      </c>
      <c r="C2554" s="1" t="n">
        <v>45356</v>
      </c>
      <c r="D2554" t="inlineStr">
        <is>
          <t>VÄSTERNORRLANDS LÄN</t>
        </is>
      </c>
      <c r="E2554" t="inlineStr">
        <is>
          <t>SOLLEFTEÅ</t>
        </is>
      </c>
      <c r="F2554" t="inlineStr">
        <is>
          <t>Övriga Aktiebolag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5038-2024</t>
        </is>
      </c>
      <c r="B2555" s="1" t="n">
        <v>45329</v>
      </c>
      <c r="C2555" s="1" t="n">
        <v>45356</v>
      </c>
      <c r="D2555" t="inlineStr">
        <is>
          <t>VÄSTERNORRLANDS LÄN</t>
        </is>
      </c>
      <c r="E2555" t="inlineStr">
        <is>
          <t>SOLLEFTEÅ</t>
        </is>
      </c>
      <c r="F2555" t="inlineStr">
        <is>
          <t>Övriga Aktiebolag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5058-2024</t>
        </is>
      </c>
      <c r="B2556" s="1" t="n">
        <v>45329</v>
      </c>
      <c r="C2556" s="1" t="n">
        <v>45356</v>
      </c>
      <c r="D2556" t="inlineStr">
        <is>
          <t>VÄSTERNORRLANDS LÄN</t>
        </is>
      </c>
      <c r="E2556" t="inlineStr">
        <is>
          <t>SOLLEFTEÅ</t>
        </is>
      </c>
      <c r="F2556" t="inlineStr">
        <is>
          <t>SCA</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5064-2024</t>
        </is>
      </c>
      <c r="B2557" s="1" t="n">
        <v>45329</v>
      </c>
      <c r="C2557" s="1" t="n">
        <v>45356</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5072-2024</t>
        </is>
      </c>
      <c r="B2558" s="1" t="n">
        <v>45330</v>
      </c>
      <c r="C2558" s="1" t="n">
        <v>45356</v>
      </c>
      <c r="D2558" t="inlineStr">
        <is>
          <t>VÄSTERNORRLANDS LÄN</t>
        </is>
      </c>
      <c r="E2558" t="inlineStr">
        <is>
          <t>SOLLEFTEÅ</t>
        </is>
      </c>
      <c r="F2558" t="inlineStr">
        <is>
          <t>Övriga Aktiebolag</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5061-2024</t>
        </is>
      </c>
      <c r="B2559" s="1" t="n">
        <v>45329</v>
      </c>
      <c r="C2559" s="1" t="n">
        <v>45356</v>
      </c>
      <c r="D2559" t="inlineStr">
        <is>
          <t>VÄSTERNORRLANDS LÄN</t>
        </is>
      </c>
      <c r="E2559" t="inlineStr">
        <is>
          <t>SOLLEFTEÅ</t>
        </is>
      </c>
      <c r="F2559" t="inlineStr">
        <is>
          <t>SCA</t>
        </is>
      </c>
      <c r="G2559" t="n">
        <v>34.1</v>
      </c>
      <c r="H2559" t="n">
        <v>0</v>
      </c>
      <c r="I2559" t="n">
        <v>0</v>
      </c>
      <c r="J2559" t="n">
        <v>0</v>
      </c>
      <c r="K2559" t="n">
        <v>0</v>
      </c>
      <c r="L2559" t="n">
        <v>0</v>
      </c>
      <c r="M2559" t="n">
        <v>0</v>
      </c>
      <c r="N2559" t="n">
        <v>0</v>
      </c>
      <c r="O2559" t="n">
        <v>0</v>
      </c>
      <c r="P2559" t="n">
        <v>0</v>
      </c>
      <c r="Q2559" t="n">
        <v>0</v>
      </c>
      <c r="R2559" s="2" t="inlineStr"/>
    </row>
    <row r="2560" ht="15" customHeight="1">
      <c r="A2560" t="inlineStr">
        <is>
          <t>A 5073-2024</t>
        </is>
      </c>
      <c r="B2560" s="1" t="n">
        <v>45330</v>
      </c>
      <c r="C2560" s="1" t="n">
        <v>45356</v>
      </c>
      <c r="D2560" t="inlineStr">
        <is>
          <t>VÄSTERNORRLANDS LÄN</t>
        </is>
      </c>
      <c r="E2560" t="inlineStr">
        <is>
          <t>SOLLEFTEÅ</t>
        </is>
      </c>
      <c r="F2560" t="inlineStr">
        <is>
          <t>Övriga Aktiebolag</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5063-2024</t>
        </is>
      </c>
      <c r="B2561" s="1" t="n">
        <v>45329</v>
      </c>
      <c r="C2561" s="1" t="n">
        <v>45356</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5075-2024</t>
        </is>
      </c>
      <c r="B2562" s="1" t="n">
        <v>45329</v>
      </c>
      <c r="C2562" s="1" t="n">
        <v>45356</v>
      </c>
      <c r="D2562" t="inlineStr">
        <is>
          <t>VÄSTERNORRLANDS LÄN</t>
        </is>
      </c>
      <c r="E2562" t="inlineStr">
        <is>
          <t>SOLLEFTEÅ</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5062-2024</t>
        </is>
      </c>
      <c r="B2563" s="1" t="n">
        <v>45329</v>
      </c>
      <c r="C2563" s="1" t="n">
        <v>45356</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5074-2024</t>
        </is>
      </c>
      <c r="B2564" s="1" t="n">
        <v>45330</v>
      </c>
      <c r="C2564" s="1" t="n">
        <v>45356</v>
      </c>
      <c r="D2564" t="inlineStr">
        <is>
          <t>VÄSTERNORRLANDS LÄN</t>
        </is>
      </c>
      <c r="E2564" t="inlineStr">
        <is>
          <t>SOLLEFTEÅ</t>
        </is>
      </c>
      <c r="F2564" t="inlineStr">
        <is>
          <t>Övriga Aktiebolag</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5254-2024</t>
        </is>
      </c>
      <c r="B2565" s="1" t="n">
        <v>45330</v>
      </c>
      <c r="C2565" s="1" t="n">
        <v>45356</v>
      </c>
      <c r="D2565" t="inlineStr">
        <is>
          <t>VÄSTERNORRLANDS LÄN</t>
        </is>
      </c>
      <c r="E2565" t="inlineStr">
        <is>
          <t>SOLLEFTEÅ</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45356</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5256-2024</t>
        </is>
      </c>
      <c r="B2567" s="1" t="n">
        <v>45330</v>
      </c>
      <c r="C2567" s="1" t="n">
        <v>45356</v>
      </c>
      <c r="D2567" t="inlineStr">
        <is>
          <t>VÄSTERNORRLANDS LÄN</t>
        </is>
      </c>
      <c r="E2567" t="inlineStr">
        <is>
          <t>SOLLEFTEÅ</t>
        </is>
      </c>
      <c r="F2567" t="inlineStr">
        <is>
          <t>SCA</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5253-2024</t>
        </is>
      </c>
      <c r="B2568" s="1" t="n">
        <v>45330</v>
      </c>
      <c r="C2568" s="1" t="n">
        <v>45356</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5446-2024</t>
        </is>
      </c>
      <c r="B2569" s="1" t="n">
        <v>45331</v>
      </c>
      <c r="C2569" s="1" t="n">
        <v>45356</v>
      </c>
      <c r="D2569" t="inlineStr">
        <is>
          <t>VÄSTERNORRLANDS LÄN</t>
        </is>
      </c>
      <c r="E2569" t="inlineStr">
        <is>
          <t>SOLLEFTEÅ</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5452-2024</t>
        </is>
      </c>
      <c r="B2570" s="1" t="n">
        <v>45331</v>
      </c>
      <c r="C2570" s="1" t="n">
        <v>45356</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5734-2024</t>
        </is>
      </c>
      <c r="B2571" s="1" t="n">
        <v>45334</v>
      </c>
      <c r="C2571" s="1" t="n">
        <v>45356</v>
      </c>
      <c r="D2571" t="inlineStr">
        <is>
          <t>VÄSTERNORRLANDS LÄN</t>
        </is>
      </c>
      <c r="E2571" t="inlineStr">
        <is>
          <t>SOLLEFTEÅ</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5854-2024</t>
        </is>
      </c>
      <c r="B2572" s="1" t="n">
        <v>45335</v>
      </c>
      <c r="C2572" s="1" t="n">
        <v>45356</v>
      </c>
      <c r="D2572" t="inlineStr">
        <is>
          <t>VÄSTERNORRLANDS LÄN</t>
        </is>
      </c>
      <c r="E2572" t="inlineStr">
        <is>
          <t>SOLLEFTEÅ</t>
        </is>
      </c>
      <c r="F2572" t="inlineStr">
        <is>
          <t>Övriga Aktiebolag</t>
        </is>
      </c>
      <c r="G2572" t="n">
        <v>24.9</v>
      </c>
      <c r="H2572" t="n">
        <v>0</v>
      </c>
      <c r="I2572" t="n">
        <v>0</v>
      </c>
      <c r="J2572" t="n">
        <v>0</v>
      </c>
      <c r="K2572" t="n">
        <v>0</v>
      </c>
      <c r="L2572" t="n">
        <v>0</v>
      </c>
      <c r="M2572" t="n">
        <v>0</v>
      </c>
      <c r="N2572" t="n">
        <v>0</v>
      </c>
      <c r="O2572" t="n">
        <v>0</v>
      </c>
      <c r="P2572" t="n">
        <v>0</v>
      </c>
      <c r="Q2572" t="n">
        <v>0</v>
      </c>
      <c r="R2572" s="2" t="inlineStr"/>
    </row>
    <row r="2573" ht="15" customHeight="1">
      <c r="A2573" t="inlineStr">
        <is>
          <t>A 5874-2024</t>
        </is>
      </c>
      <c r="B2573" s="1" t="n">
        <v>45335</v>
      </c>
      <c r="C2573" s="1" t="n">
        <v>45356</v>
      </c>
      <c r="D2573" t="inlineStr">
        <is>
          <t>VÄSTERNORRLANDS LÄN</t>
        </is>
      </c>
      <c r="E2573" t="inlineStr">
        <is>
          <t>SOLLEFTEÅ</t>
        </is>
      </c>
      <c r="F2573" t="inlineStr">
        <is>
          <t>Övriga Aktiebolag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5882-2024</t>
        </is>
      </c>
      <c r="B2574" s="1" t="n">
        <v>45335</v>
      </c>
      <c r="C2574" s="1" t="n">
        <v>45356</v>
      </c>
      <c r="D2574" t="inlineStr">
        <is>
          <t>VÄSTERNORRLANDS LÄN</t>
        </is>
      </c>
      <c r="E2574" t="inlineStr">
        <is>
          <t>SOLLEFTEÅ</t>
        </is>
      </c>
      <c r="F2574" t="inlineStr">
        <is>
          <t>Övriga Aktiebolag</t>
        </is>
      </c>
      <c r="G2574" t="n">
        <v>13.2</v>
      </c>
      <c r="H2574" t="n">
        <v>0</v>
      </c>
      <c r="I2574" t="n">
        <v>0</v>
      </c>
      <c r="J2574" t="n">
        <v>0</v>
      </c>
      <c r="K2574" t="n">
        <v>0</v>
      </c>
      <c r="L2574" t="n">
        <v>0</v>
      </c>
      <c r="M2574" t="n">
        <v>0</v>
      </c>
      <c r="N2574" t="n">
        <v>0</v>
      </c>
      <c r="O2574" t="n">
        <v>0</v>
      </c>
      <c r="P2574" t="n">
        <v>0</v>
      </c>
      <c r="Q2574" t="n">
        <v>0</v>
      </c>
      <c r="R2574" s="2" t="inlineStr"/>
    </row>
    <row r="2575" ht="15" customHeight="1">
      <c r="A2575" t="inlineStr">
        <is>
          <t>A 5877-2024</t>
        </is>
      </c>
      <c r="B2575" s="1" t="n">
        <v>45335</v>
      </c>
      <c r="C2575" s="1" t="n">
        <v>45356</v>
      </c>
      <c r="D2575" t="inlineStr">
        <is>
          <t>VÄSTERNORRLANDS LÄN</t>
        </is>
      </c>
      <c r="E2575" t="inlineStr">
        <is>
          <t>SOLLEFTEÅ</t>
        </is>
      </c>
      <c r="F2575" t="inlineStr">
        <is>
          <t>Övriga Aktiebolag</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5909-2024</t>
        </is>
      </c>
      <c r="B2576" s="1" t="n">
        <v>45335</v>
      </c>
      <c r="C2576" s="1" t="n">
        <v>45356</v>
      </c>
      <c r="D2576" t="inlineStr">
        <is>
          <t>VÄSTERNORRLANDS LÄN</t>
        </is>
      </c>
      <c r="E2576" t="inlineStr">
        <is>
          <t>SOLLEFTEÅ</t>
        </is>
      </c>
      <c r="F2576" t="inlineStr">
        <is>
          <t>SCA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5917-2024</t>
        </is>
      </c>
      <c r="B2577" s="1" t="n">
        <v>45335</v>
      </c>
      <c r="C2577" s="1" t="n">
        <v>45356</v>
      </c>
      <c r="D2577" t="inlineStr">
        <is>
          <t>VÄSTERNORRLANDS LÄN</t>
        </is>
      </c>
      <c r="E2577" t="inlineStr">
        <is>
          <t>SOLLEFTEÅ</t>
        </is>
      </c>
      <c r="F2577" t="inlineStr">
        <is>
          <t>SCA</t>
        </is>
      </c>
      <c r="G2577" t="n">
        <v>21.2</v>
      </c>
      <c r="H2577" t="n">
        <v>0</v>
      </c>
      <c r="I2577" t="n">
        <v>0</v>
      </c>
      <c r="J2577" t="n">
        <v>0</v>
      </c>
      <c r="K2577" t="n">
        <v>0</v>
      </c>
      <c r="L2577" t="n">
        <v>0</v>
      </c>
      <c r="M2577" t="n">
        <v>0</v>
      </c>
      <c r="N2577" t="n">
        <v>0</v>
      </c>
      <c r="O2577" t="n">
        <v>0</v>
      </c>
      <c r="P2577" t="n">
        <v>0</v>
      </c>
      <c r="Q2577" t="n">
        <v>0</v>
      </c>
      <c r="R2577" s="2" t="inlineStr"/>
    </row>
    <row r="2578" ht="15" customHeight="1">
      <c r="A2578" t="inlineStr">
        <is>
          <t>A 5867-2024</t>
        </is>
      </c>
      <c r="B2578" s="1" t="n">
        <v>45335</v>
      </c>
      <c r="C2578" s="1" t="n">
        <v>45356</v>
      </c>
      <c r="D2578" t="inlineStr">
        <is>
          <t>VÄSTERNORRLANDS LÄN</t>
        </is>
      </c>
      <c r="E2578" t="inlineStr">
        <is>
          <t>SOLLEFTEÅ</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5871-2024</t>
        </is>
      </c>
      <c r="B2579" s="1" t="n">
        <v>45335</v>
      </c>
      <c r="C2579" s="1" t="n">
        <v>45356</v>
      </c>
      <c r="D2579" t="inlineStr">
        <is>
          <t>VÄSTERNORRLANDS LÄN</t>
        </is>
      </c>
      <c r="E2579" t="inlineStr">
        <is>
          <t>SOLLEFTEÅ</t>
        </is>
      </c>
      <c r="F2579" t="inlineStr">
        <is>
          <t>Övriga Aktiebolag</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5919-2024</t>
        </is>
      </c>
      <c r="B2580" s="1" t="n">
        <v>45335</v>
      </c>
      <c r="C2580" s="1" t="n">
        <v>45356</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5934-2024</t>
        </is>
      </c>
      <c r="B2581" s="1" t="n">
        <v>45336</v>
      </c>
      <c r="C2581" s="1" t="n">
        <v>45356</v>
      </c>
      <c r="D2581" t="inlineStr">
        <is>
          <t>VÄSTERNORRLANDS LÄN</t>
        </is>
      </c>
      <c r="E2581" t="inlineStr">
        <is>
          <t>SOLLEFTEÅ</t>
        </is>
      </c>
      <c r="F2581" t="inlineStr">
        <is>
          <t>Holmen skog AB</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6058-2024</t>
        </is>
      </c>
      <c r="B2582" s="1" t="n">
        <v>45336</v>
      </c>
      <c r="C2582" s="1" t="n">
        <v>45356</v>
      </c>
      <c r="D2582" t="inlineStr">
        <is>
          <t>VÄSTERNORRLANDS LÄN</t>
        </is>
      </c>
      <c r="E2582" t="inlineStr">
        <is>
          <t>SOLLEFTEÅ</t>
        </is>
      </c>
      <c r="F2582" t="inlineStr">
        <is>
          <t>Övriga Aktiebolag</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6066-2024</t>
        </is>
      </c>
      <c r="B2583" s="1" t="n">
        <v>45336</v>
      </c>
      <c r="C2583" s="1" t="n">
        <v>45356</v>
      </c>
      <c r="D2583" t="inlineStr">
        <is>
          <t>VÄSTERNORRLANDS LÄN</t>
        </is>
      </c>
      <c r="E2583" t="inlineStr">
        <is>
          <t>SOLLEFTEÅ</t>
        </is>
      </c>
      <c r="F2583" t="inlineStr">
        <is>
          <t>Övriga Aktiebolag</t>
        </is>
      </c>
      <c r="G2583" t="n">
        <v>14.8</v>
      </c>
      <c r="H2583" t="n">
        <v>0</v>
      </c>
      <c r="I2583" t="n">
        <v>0</v>
      </c>
      <c r="J2583" t="n">
        <v>0</v>
      </c>
      <c r="K2583" t="n">
        <v>0</v>
      </c>
      <c r="L2583" t="n">
        <v>0</v>
      </c>
      <c r="M2583" t="n">
        <v>0</v>
      </c>
      <c r="N2583" t="n">
        <v>0</v>
      </c>
      <c r="O2583" t="n">
        <v>0</v>
      </c>
      <c r="P2583" t="n">
        <v>0</v>
      </c>
      <c r="Q2583" t="n">
        <v>0</v>
      </c>
      <c r="R2583" s="2" t="inlineStr"/>
    </row>
    <row r="2584" ht="15" customHeight="1">
      <c r="A2584" t="inlineStr">
        <is>
          <t>A 6057-2024</t>
        </is>
      </c>
      <c r="B2584" s="1" t="n">
        <v>45336</v>
      </c>
      <c r="C2584" s="1" t="n">
        <v>45356</v>
      </c>
      <c r="D2584" t="inlineStr">
        <is>
          <t>VÄSTERNORRLANDS LÄN</t>
        </is>
      </c>
      <c r="E2584" t="inlineStr">
        <is>
          <t>SOLLEFTEÅ</t>
        </is>
      </c>
      <c r="F2584" t="inlineStr">
        <is>
          <t>Övriga Aktiebolag</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6065-2024</t>
        </is>
      </c>
      <c r="B2585" s="1" t="n">
        <v>45336</v>
      </c>
      <c r="C2585" s="1" t="n">
        <v>45356</v>
      </c>
      <c r="D2585" t="inlineStr">
        <is>
          <t>VÄSTERNORRLANDS LÄN</t>
        </is>
      </c>
      <c r="E2585" t="inlineStr">
        <is>
          <t>SOLLEFTEÅ</t>
        </is>
      </c>
      <c r="F2585" t="inlineStr">
        <is>
          <t>Övriga Aktiebolag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6064-2024</t>
        </is>
      </c>
      <c r="B2586" s="1" t="n">
        <v>45336</v>
      </c>
      <c r="C2586" s="1" t="n">
        <v>45356</v>
      </c>
      <c r="D2586" t="inlineStr">
        <is>
          <t>VÄSTERNORRLANDS LÄN</t>
        </is>
      </c>
      <c r="E2586" t="inlineStr">
        <is>
          <t>SOLLEFTEÅ</t>
        </is>
      </c>
      <c r="F2586" t="inlineStr">
        <is>
          <t>Övriga Aktiebolag</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6068-2024</t>
        </is>
      </c>
      <c r="B2587" s="1" t="n">
        <v>45336</v>
      </c>
      <c r="C2587" s="1" t="n">
        <v>45356</v>
      </c>
      <c r="D2587" t="inlineStr">
        <is>
          <t>VÄSTERNORRLANDS LÄN</t>
        </is>
      </c>
      <c r="E2587" t="inlineStr">
        <is>
          <t>SOLLEFTEÅ</t>
        </is>
      </c>
      <c r="F2587" t="inlineStr">
        <is>
          <t>Övriga Aktiebolag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6059-2024</t>
        </is>
      </c>
      <c r="B2588" s="1" t="n">
        <v>45336</v>
      </c>
      <c r="C2588" s="1" t="n">
        <v>45356</v>
      </c>
      <c r="D2588" t="inlineStr">
        <is>
          <t>VÄSTERNORRLANDS LÄN</t>
        </is>
      </c>
      <c r="E2588" t="inlineStr">
        <is>
          <t>SOLLEFTEÅ</t>
        </is>
      </c>
      <c r="F2588" t="inlineStr">
        <is>
          <t>Övriga Aktiebolag</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6063-2024</t>
        </is>
      </c>
      <c r="B2589" s="1" t="n">
        <v>45336</v>
      </c>
      <c r="C2589" s="1" t="n">
        <v>45356</v>
      </c>
      <c r="D2589" t="inlineStr">
        <is>
          <t>VÄSTERNORRLANDS LÄN</t>
        </is>
      </c>
      <c r="E2589" t="inlineStr">
        <is>
          <t>SOLLEFTEÅ</t>
        </is>
      </c>
      <c r="F2589" t="inlineStr">
        <is>
          <t>Övriga Aktiebolag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6067-2024</t>
        </is>
      </c>
      <c r="B2590" s="1" t="n">
        <v>45336</v>
      </c>
      <c r="C2590" s="1" t="n">
        <v>45356</v>
      </c>
      <c r="D2590" t="inlineStr">
        <is>
          <t>VÄSTERNORRLANDS LÄN</t>
        </is>
      </c>
      <c r="E2590" t="inlineStr">
        <is>
          <t>SOLLEFTEÅ</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6125-2024</t>
        </is>
      </c>
      <c r="B2591" s="1" t="n">
        <v>45337</v>
      </c>
      <c r="C2591" s="1" t="n">
        <v>45356</v>
      </c>
      <c r="D2591" t="inlineStr">
        <is>
          <t>VÄSTERNORRLANDS LÄN</t>
        </is>
      </c>
      <c r="E2591" t="inlineStr">
        <is>
          <t>SOLLEFTEÅ</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45356</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6279-2024</t>
        </is>
      </c>
      <c r="B2593" s="1" t="n">
        <v>45337</v>
      </c>
      <c r="C2593" s="1" t="n">
        <v>45356</v>
      </c>
      <c r="D2593" t="inlineStr">
        <is>
          <t>VÄSTERNORRLANDS LÄN</t>
        </is>
      </c>
      <c r="E2593" t="inlineStr">
        <is>
          <t>SOLLEFTEÅ</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6139-2024</t>
        </is>
      </c>
      <c r="B2594" s="1" t="n">
        <v>45337</v>
      </c>
      <c r="C2594" s="1" t="n">
        <v>45356</v>
      </c>
      <c r="D2594" t="inlineStr">
        <is>
          <t>VÄSTERNORRLANDS LÄN</t>
        </is>
      </c>
      <c r="E2594" t="inlineStr">
        <is>
          <t>SOLLEFTEÅ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45356</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6352-2024</t>
        </is>
      </c>
      <c r="B2596" s="1" t="n">
        <v>45338</v>
      </c>
      <c r="C2596" s="1" t="n">
        <v>45356</v>
      </c>
      <c r="D2596" t="inlineStr">
        <is>
          <t>VÄSTERNORRLANDS LÄN</t>
        </is>
      </c>
      <c r="E2596" t="inlineStr">
        <is>
          <t>SOLLEFTEÅ</t>
        </is>
      </c>
      <c r="F2596" t="inlineStr">
        <is>
          <t>Holmen skog AB</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6633-2024</t>
        </is>
      </c>
      <c r="B2597" s="1" t="n">
        <v>45341</v>
      </c>
      <c r="C2597" s="1" t="n">
        <v>45356</v>
      </c>
      <c r="D2597" t="inlineStr">
        <is>
          <t>VÄSTERNORRLANDS LÄN</t>
        </is>
      </c>
      <c r="E2597" t="inlineStr">
        <is>
          <t>SOLLEFTEÅ</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6692-2024</t>
        </is>
      </c>
      <c r="B2598" s="1" t="n">
        <v>45341</v>
      </c>
      <c r="C2598" s="1" t="n">
        <v>45356</v>
      </c>
      <c r="D2598" t="inlineStr">
        <is>
          <t>VÄSTERNORRLANDS LÄN</t>
        </is>
      </c>
      <c r="E2598" t="inlineStr">
        <is>
          <t>SOLLEFTEÅ</t>
        </is>
      </c>
      <c r="F2598" t="inlineStr">
        <is>
          <t>SCA</t>
        </is>
      </c>
      <c r="G2598" t="n">
        <v>15.4</v>
      </c>
      <c r="H2598" t="n">
        <v>0</v>
      </c>
      <c r="I2598" t="n">
        <v>0</v>
      </c>
      <c r="J2598" t="n">
        <v>0</v>
      </c>
      <c r="K2598" t="n">
        <v>0</v>
      </c>
      <c r="L2598" t="n">
        <v>0</v>
      </c>
      <c r="M2598" t="n">
        <v>0</v>
      </c>
      <c r="N2598" t="n">
        <v>0</v>
      </c>
      <c r="O2598" t="n">
        <v>0</v>
      </c>
      <c r="P2598" t="n">
        <v>0</v>
      </c>
      <c r="Q2598" t="n">
        <v>0</v>
      </c>
      <c r="R2598" s="2" t="inlineStr"/>
    </row>
    <row r="2599" ht="15" customHeight="1">
      <c r="A2599" t="inlineStr">
        <is>
          <t>A 6697-2024</t>
        </is>
      </c>
      <c r="B2599" s="1" t="n">
        <v>45341</v>
      </c>
      <c r="C2599" s="1" t="n">
        <v>45356</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6700-2024</t>
        </is>
      </c>
      <c r="B2600" s="1" t="n">
        <v>45341</v>
      </c>
      <c r="C2600" s="1" t="n">
        <v>45356</v>
      </c>
      <c r="D2600" t="inlineStr">
        <is>
          <t>VÄSTERNORRLANDS LÄN</t>
        </is>
      </c>
      <c r="E2600" t="inlineStr">
        <is>
          <t>SOLLEFTEÅ</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6816-2024</t>
        </is>
      </c>
      <c r="B2601" s="1" t="n">
        <v>45342</v>
      </c>
      <c r="C2601" s="1" t="n">
        <v>45356</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6891-2024</t>
        </is>
      </c>
      <c r="B2602" s="1" t="n">
        <v>45342</v>
      </c>
      <c r="C2602" s="1" t="n">
        <v>45356</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6799-2024</t>
        </is>
      </c>
      <c r="B2603" s="1" t="n">
        <v>45342</v>
      </c>
      <c r="C2603" s="1" t="n">
        <v>45356</v>
      </c>
      <c r="D2603" t="inlineStr">
        <is>
          <t>VÄSTERNORRLANDS LÄN</t>
        </is>
      </c>
      <c r="E2603" t="inlineStr">
        <is>
          <t>SOLLEFTEÅ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6909-2024</t>
        </is>
      </c>
      <c r="B2604" s="1" t="n">
        <v>45342</v>
      </c>
      <c r="C2604" s="1" t="n">
        <v>45356</v>
      </c>
      <c r="D2604" t="inlineStr">
        <is>
          <t>VÄSTERNORRLANDS LÄN</t>
        </is>
      </c>
      <c r="E2604" t="inlineStr">
        <is>
          <t>SOLLEFTEÅ</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6857-2024</t>
        </is>
      </c>
      <c r="B2605" s="1" t="n">
        <v>45342</v>
      </c>
      <c r="C2605" s="1" t="n">
        <v>45356</v>
      </c>
      <c r="D2605" t="inlineStr">
        <is>
          <t>VÄSTERNORRLANDS LÄN</t>
        </is>
      </c>
      <c r="E2605" t="inlineStr">
        <is>
          <t>SOLLEFTEÅ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6934-2024</t>
        </is>
      </c>
      <c r="B2606" s="1" t="n">
        <v>45343</v>
      </c>
      <c r="C2606" s="1" t="n">
        <v>45356</v>
      </c>
      <c r="D2606" t="inlineStr">
        <is>
          <t>VÄSTERNORRLANDS LÄN</t>
        </is>
      </c>
      <c r="E2606" t="inlineStr">
        <is>
          <t>SOLLEFTEÅ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7107-2024</t>
        </is>
      </c>
      <c r="B2607" s="1" t="n">
        <v>45343</v>
      </c>
      <c r="C2607" s="1" t="n">
        <v>45356</v>
      </c>
      <c r="D2607" t="inlineStr">
        <is>
          <t>VÄSTERNORRLANDS LÄN</t>
        </is>
      </c>
      <c r="E2607" t="inlineStr">
        <is>
          <t>SOLLEFTEÅ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45356</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7001-2024</t>
        </is>
      </c>
      <c r="B2609" s="1" t="n">
        <v>45343</v>
      </c>
      <c r="C2609" s="1" t="n">
        <v>45356</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6932-2024</t>
        </is>
      </c>
      <c r="B2610" s="1" t="n">
        <v>45343</v>
      </c>
      <c r="C2610" s="1" t="n">
        <v>45356</v>
      </c>
      <c r="D2610" t="inlineStr">
        <is>
          <t>VÄSTERNORRLANDS LÄN</t>
        </is>
      </c>
      <c r="E2610" t="inlineStr">
        <is>
          <t>SOLLEFTEÅ</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7109-2024</t>
        </is>
      </c>
      <c r="B2611" s="1" t="n">
        <v>45343</v>
      </c>
      <c r="C2611" s="1" t="n">
        <v>45356</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7113-2024</t>
        </is>
      </c>
      <c r="B2612" s="1" t="n">
        <v>45343</v>
      </c>
      <c r="C2612" s="1" t="n">
        <v>45356</v>
      </c>
      <c r="D2612" t="inlineStr">
        <is>
          <t>VÄSTERNORRLANDS LÄN</t>
        </is>
      </c>
      <c r="E2612" t="inlineStr">
        <is>
          <t>SOLLEFTEÅ</t>
        </is>
      </c>
      <c r="F2612" t="inlineStr">
        <is>
          <t>SCA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7234-2024</t>
        </is>
      </c>
      <c r="B2613" s="1" t="n">
        <v>45344</v>
      </c>
      <c r="C2613" s="1" t="n">
        <v>45356</v>
      </c>
      <c r="D2613" t="inlineStr">
        <is>
          <t>VÄSTERNORRLANDS LÄN</t>
        </is>
      </c>
      <c r="E2613" t="inlineStr">
        <is>
          <t>SOLLEFTEÅ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7258-2024</t>
        </is>
      </c>
      <c r="B2614" s="1" t="n">
        <v>45344</v>
      </c>
      <c r="C2614" s="1" t="n">
        <v>45356</v>
      </c>
      <c r="D2614" t="inlineStr">
        <is>
          <t>VÄSTERNORRLANDS LÄN</t>
        </is>
      </c>
      <c r="E2614" t="inlineStr">
        <is>
          <t>SOLLEFTEÅ</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7257-2024</t>
        </is>
      </c>
      <c r="B2615" s="1" t="n">
        <v>45344</v>
      </c>
      <c r="C2615" s="1" t="n">
        <v>45356</v>
      </c>
      <c r="D2615" t="inlineStr">
        <is>
          <t>VÄSTERNORRLANDS LÄN</t>
        </is>
      </c>
      <c r="E2615" t="inlineStr">
        <is>
          <t>SOLLEFTEÅ</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7261-2024</t>
        </is>
      </c>
      <c r="B2616" s="1" t="n">
        <v>45344</v>
      </c>
      <c r="C2616" s="1" t="n">
        <v>45356</v>
      </c>
      <c r="D2616" t="inlineStr">
        <is>
          <t>VÄSTERNORRLANDS LÄN</t>
        </is>
      </c>
      <c r="E2616" t="inlineStr">
        <is>
          <t>SOLLEFTEÅ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7295-2024</t>
        </is>
      </c>
      <c r="B2617" s="1" t="n">
        <v>45344</v>
      </c>
      <c r="C2617" s="1" t="n">
        <v>45356</v>
      </c>
      <c r="D2617" t="inlineStr">
        <is>
          <t>VÄSTERNORRLANDS LÄN</t>
        </is>
      </c>
      <c r="E2617" t="inlineStr">
        <is>
          <t>SOLLEFTEÅ</t>
        </is>
      </c>
      <c r="F2617" t="inlineStr">
        <is>
          <t>SCA</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7294-2024</t>
        </is>
      </c>
      <c r="B2618" s="1" t="n">
        <v>45344</v>
      </c>
      <c r="C2618" s="1" t="n">
        <v>45356</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7464-2024</t>
        </is>
      </c>
      <c r="B2619" s="1" t="n">
        <v>45345</v>
      </c>
      <c r="C2619" s="1" t="n">
        <v>45356</v>
      </c>
      <c r="D2619" t="inlineStr">
        <is>
          <t>VÄSTERNORRLANDS LÄN</t>
        </is>
      </c>
      <c r="E2619" t="inlineStr">
        <is>
          <t>SOLLEFTEÅ</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7463-2024</t>
        </is>
      </c>
      <c r="B2620" s="1" t="n">
        <v>45345</v>
      </c>
      <c r="C2620" s="1" t="n">
        <v>45356</v>
      </c>
      <c r="D2620" t="inlineStr">
        <is>
          <t>VÄSTERNORRLANDS LÄN</t>
        </is>
      </c>
      <c r="E2620" t="inlineStr">
        <is>
          <t>SOLLEFTEÅ</t>
        </is>
      </c>
      <c r="F2620" t="inlineStr">
        <is>
          <t>SCA</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7467-2024</t>
        </is>
      </c>
      <c r="B2621" s="1" t="n">
        <v>45345</v>
      </c>
      <c r="C2621" s="1" t="n">
        <v>45356</v>
      </c>
      <c r="D2621" t="inlineStr">
        <is>
          <t>VÄSTERNORRLANDS LÄN</t>
        </is>
      </c>
      <c r="E2621" t="inlineStr">
        <is>
          <t>SOLLEFTEÅ</t>
        </is>
      </c>
      <c r="F2621" t="inlineStr">
        <is>
          <t>SCA</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7462-2024</t>
        </is>
      </c>
      <c r="B2622" s="1" t="n">
        <v>45345</v>
      </c>
      <c r="C2622" s="1" t="n">
        <v>45356</v>
      </c>
      <c r="D2622" t="inlineStr">
        <is>
          <t>VÄSTERNORRLANDS LÄN</t>
        </is>
      </c>
      <c r="E2622" t="inlineStr">
        <is>
          <t>SOLLEFTEÅ</t>
        </is>
      </c>
      <c r="F2622" t="inlineStr">
        <is>
          <t>SCA</t>
        </is>
      </c>
      <c r="G2622" t="n">
        <v>42.1</v>
      </c>
      <c r="H2622" t="n">
        <v>0</v>
      </c>
      <c r="I2622" t="n">
        <v>0</v>
      </c>
      <c r="J2622" t="n">
        <v>0</v>
      </c>
      <c r="K2622" t="n">
        <v>0</v>
      </c>
      <c r="L2622" t="n">
        <v>0</v>
      </c>
      <c r="M2622" t="n">
        <v>0</v>
      </c>
      <c r="N2622" t="n">
        <v>0</v>
      </c>
      <c r="O2622" t="n">
        <v>0</v>
      </c>
      <c r="P2622" t="n">
        <v>0</v>
      </c>
      <c r="Q2622" t="n">
        <v>0</v>
      </c>
      <c r="R2622" s="2" t="inlineStr"/>
    </row>
    <row r="2623" ht="15" customHeight="1">
      <c r="A2623" t="inlineStr">
        <is>
          <t>A 7475-2024</t>
        </is>
      </c>
      <c r="B2623" s="1" t="n">
        <v>45345</v>
      </c>
      <c r="C2623" s="1" t="n">
        <v>45356</v>
      </c>
      <c r="D2623" t="inlineStr">
        <is>
          <t>VÄSTERNORRLANDS LÄN</t>
        </is>
      </c>
      <c r="E2623" t="inlineStr">
        <is>
          <t>SOLLEFTEÅ</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7585-2024</t>
        </is>
      </c>
      <c r="B2624" s="1" t="n">
        <v>45348</v>
      </c>
      <c r="C2624" s="1" t="n">
        <v>45356</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7810-2024</t>
        </is>
      </c>
      <c r="B2625" s="1" t="n">
        <v>45349</v>
      </c>
      <c r="C2625" s="1" t="n">
        <v>45356</v>
      </c>
      <c r="D2625" t="inlineStr">
        <is>
          <t>VÄSTERNORRLANDS LÄN</t>
        </is>
      </c>
      <c r="E2625" t="inlineStr">
        <is>
          <t>SOLLEFTEÅ</t>
        </is>
      </c>
      <c r="F2625" t="inlineStr">
        <is>
          <t>Övriga Aktiebolag</t>
        </is>
      </c>
      <c r="G2625" t="n">
        <v>23.6</v>
      </c>
      <c r="H2625" t="n">
        <v>0</v>
      </c>
      <c r="I2625" t="n">
        <v>0</v>
      </c>
      <c r="J2625" t="n">
        <v>0</v>
      </c>
      <c r="K2625" t="n">
        <v>0</v>
      </c>
      <c r="L2625" t="n">
        <v>0</v>
      </c>
      <c r="M2625" t="n">
        <v>0</v>
      </c>
      <c r="N2625" t="n">
        <v>0</v>
      </c>
      <c r="O2625" t="n">
        <v>0</v>
      </c>
      <c r="P2625" t="n">
        <v>0</v>
      </c>
      <c r="Q2625" t="n">
        <v>0</v>
      </c>
      <c r="R2625" s="2" t="inlineStr"/>
    </row>
    <row r="2626" ht="15" customHeight="1">
      <c r="A2626" t="inlineStr">
        <is>
          <t>A 7704-2024</t>
        </is>
      </c>
      <c r="B2626" s="1" t="n">
        <v>45349</v>
      </c>
      <c r="C2626" s="1" t="n">
        <v>45356</v>
      </c>
      <c r="D2626" t="inlineStr">
        <is>
          <t>VÄSTERNORRLANDS LÄN</t>
        </is>
      </c>
      <c r="E2626" t="inlineStr">
        <is>
          <t>SOLLEFTEÅ</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7809-2024</t>
        </is>
      </c>
      <c r="B2627" s="1" t="n">
        <v>45349</v>
      </c>
      <c r="C2627" s="1" t="n">
        <v>45356</v>
      </c>
      <c r="D2627" t="inlineStr">
        <is>
          <t>VÄSTERNORRLANDS LÄN</t>
        </is>
      </c>
      <c r="E2627" t="inlineStr">
        <is>
          <t>SOLLEFTEÅ</t>
        </is>
      </c>
      <c r="G2627" t="n">
        <v>23.2</v>
      </c>
      <c r="H2627" t="n">
        <v>0</v>
      </c>
      <c r="I2627" t="n">
        <v>0</v>
      </c>
      <c r="J2627" t="n">
        <v>0</v>
      </c>
      <c r="K2627" t="n">
        <v>0</v>
      </c>
      <c r="L2627" t="n">
        <v>0</v>
      </c>
      <c r="M2627" t="n">
        <v>0</v>
      </c>
      <c r="N2627" t="n">
        <v>0</v>
      </c>
      <c r="O2627" t="n">
        <v>0</v>
      </c>
      <c r="P2627" t="n">
        <v>0</v>
      </c>
      <c r="Q2627" t="n">
        <v>0</v>
      </c>
      <c r="R2627" s="2" t="inlineStr"/>
    </row>
    <row r="2628" ht="15" customHeight="1">
      <c r="A2628" t="inlineStr">
        <is>
          <t>A 7825-2024</t>
        </is>
      </c>
      <c r="B2628" s="1" t="n">
        <v>45349</v>
      </c>
      <c r="C2628" s="1" t="n">
        <v>45356</v>
      </c>
      <c r="D2628" t="inlineStr">
        <is>
          <t>VÄSTERNORRLANDS LÄN</t>
        </is>
      </c>
      <c r="E2628" t="inlineStr">
        <is>
          <t>SOLLEFTEÅ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7858-2024</t>
        </is>
      </c>
      <c r="B2629" s="1" t="n">
        <v>45350</v>
      </c>
      <c r="C2629" s="1" t="n">
        <v>45356</v>
      </c>
      <c r="D2629" t="inlineStr">
        <is>
          <t>VÄSTERNORRLANDS LÄN</t>
        </is>
      </c>
      <c r="E2629" t="inlineStr">
        <is>
          <t>SOLLEFTEÅ</t>
        </is>
      </c>
      <c r="F2629" t="inlineStr">
        <is>
          <t>SCA</t>
        </is>
      </c>
      <c r="G2629" t="n">
        <v>38.8</v>
      </c>
      <c r="H2629" t="n">
        <v>0</v>
      </c>
      <c r="I2629" t="n">
        <v>0</v>
      </c>
      <c r="J2629" t="n">
        <v>0</v>
      </c>
      <c r="K2629" t="n">
        <v>0</v>
      </c>
      <c r="L2629" t="n">
        <v>0</v>
      </c>
      <c r="M2629" t="n">
        <v>0</v>
      </c>
      <c r="N2629" t="n">
        <v>0</v>
      </c>
      <c r="O2629" t="n">
        <v>0</v>
      </c>
      <c r="P2629" t="n">
        <v>0</v>
      </c>
      <c r="Q2629" t="n">
        <v>0</v>
      </c>
      <c r="R2629" s="2" t="inlineStr"/>
    </row>
    <row r="2630" ht="15" customHeight="1">
      <c r="A2630" t="inlineStr">
        <is>
          <t>A 8033-2024</t>
        </is>
      </c>
      <c r="B2630" s="1" t="n">
        <v>45350</v>
      </c>
      <c r="C2630" s="1" t="n">
        <v>45356</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8038-2024</t>
        </is>
      </c>
      <c r="B2631" s="1" t="n">
        <v>45350</v>
      </c>
      <c r="C2631" s="1" t="n">
        <v>45356</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8039-2024</t>
        </is>
      </c>
      <c r="B2632" s="1" t="n">
        <v>45350</v>
      </c>
      <c r="C2632" s="1" t="n">
        <v>45356</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8234-2024</t>
        </is>
      </c>
      <c r="B2633" s="1" t="n">
        <v>45352</v>
      </c>
      <c r="C2633" s="1" t="n">
        <v>45356</v>
      </c>
      <c r="D2633" t="inlineStr">
        <is>
          <t>VÄSTERNORRLANDS LÄN</t>
        </is>
      </c>
      <c r="E2633" t="inlineStr">
        <is>
          <t>SOLLEFTEÅ</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8235-2024</t>
        </is>
      </c>
      <c r="B2634" s="1" t="n">
        <v>45352</v>
      </c>
      <c r="C2634" s="1" t="n">
        <v>45356</v>
      </c>
      <c r="D2634" t="inlineStr">
        <is>
          <t>VÄSTERNORRLANDS LÄN</t>
        </is>
      </c>
      <c r="E2634" t="inlineStr">
        <is>
          <t>SOLLEFTEÅ</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8236-2024</t>
        </is>
      </c>
      <c r="B2635" s="1" t="n">
        <v>45352</v>
      </c>
      <c r="C2635" s="1" t="n">
        <v>45356</v>
      </c>
      <c r="D2635" t="inlineStr">
        <is>
          <t>VÄSTERNORRLANDS LÄN</t>
        </is>
      </c>
      <c r="E2635" t="inlineStr">
        <is>
          <t>SOLLEFTEÅ</t>
        </is>
      </c>
      <c r="F2635" t="inlineStr">
        <is>
          <t>SCA</t>
        </is>
      </c>
      <c r="G2635" t="n">
        <v>13.6</v>
      </c>
      <c r="H2635" t="n">
        <v>0</v>
      </c>
      <c r="I2635" t="n">
        <v>0</v>
      </c>
      <c r="J2635" t="n">
        <v>0</v>
      </c>
      <c r="K2635" t="n">
        <v>0</v>
      </c>
      <c r="L2635" t="n">
        <v>0</v>
      </c>
      <c r="M2635" t="n">
        <v>0</v>
      </c>
      <c r="N2635" t="n">
        <v>0</v>
      </c>
      <c r="O2635" t="n">
        <v>0</v>
      </c>
      <c r="P2635" t="n">
        <v>0</v>
      </c>
      <c r="Q2635" t="n">
        <v>0</v>
      </c>
      <c r="R2635" s="2" t="inlineStr"/>
    </row>
    <row r="2636" ht="15" customHeight="1">
      <c r="A2636" t="inlineStr">
        <is>
          <t>A 8244-2024</t>
        </is>
      </c>
      <c r="B2636" s="1" t="n">
        <v>45352</v>
      </c>
      <c r="C2636" s="1" t="n">
        <v>45356</v>
      </c>
      <c r="D2636" t="inlineStr">
        <is>
          <t>VÄSTERNORRLANDS LÄN</t>
        </is>
      </c>
      <c r="E2636" t="inlineStr">
        <is>
          <t>SOLLEFTEÅ</t>
        </is>
      </c>
      <c r="F2636" t="inlineStr">
        <is>
          <t>SCA</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8414-2024</t>
        </is>
      </c>
      <c r="B2637" s="1" t="n">
        <v>45353</v>
      </c>
      <c r="C2637" s="1" t="n">
        <v>45356</v>
      </c>
      <c r="D2637" t="inlineStr">
        <is>
          <t>VÄSTERNORRLANDS LÄN</t>
        </is>
      </c>
      <c r="E2637" t="inlineStr">
        <is>
          <t>SOLLEFTEÅ</t>
        </is>
      </c>
      <c r="F2637" t="inlineStr">
        <is>
          <t>SCA</t>
        </is>
      </c>
      <c r="G2637" t="n">
        <v>5.2</v>
      </c>
      <c r="H2637" t="n">
        <v>0</v>
      </c>
      <c r="I2637" t="n">
        <v>0</v>
      </c>
      <c r="J2637" t="n">
        <v>0</v>
      </c>
      <c r="K2637" t="n">
        <v>0</v>
      </c>
      <c r="L2637" t="n">
        <v>0</v>
      </c>
      <c r="M2637" t="n">
        <v>0</v>
      </c>
      <c r="N2637" t="n">
        <v>0</v>
      </c>
      <c r="O2637" t="n">
        <v>0</v>
      </c>
      <c r="P2637" t="n">
        <v>0</v>
      </c>
      <c r="Q2637" t="n">
        <v>0</v>
      </c>
      <c r="R2637" s="2" t="inlineStr"/>
    </row>
    <row r="2638">
      <c r="A2638" t="inlineStr">
        <is>
          <t>A 8608-2024</t>
        </is>
      </c>
      <c r="B2638" s="1" t="n">
        <v>45355</v>
      </c>
      <c r="C2638" s="1" t="n">
        <v>45356</v>
      </c>
      <c r="D2638" t="inlineStr">
        <is>
          <t>VÄSTERNORRLANDS LÄN</t>
        </is>
      </c>
      <c r="E2638" t="inlineStr">
        <is>
          <t>SOLLEFTEÅ</t>
        </is>
      </c>
      <c r="G2638" t="n">
        <v>6.1</v>
      </c>
      <c r="H2638" t="n">
        <v>0</v>
      </c>
      <c r="I2638" t="n">
        <v>0</v>
      </c>
      <c r="J2638" t="n">
        <v>0</v>
      </c>
      <c r="K2638" t="n">
        <v>0</v>
      </c>
      <c r="L2638" t="n">
        <v>0</v>
      </c>
      <c r="M2638" t="n">
        <v>0</v>
      </c>
      <c r="N2638" t="n">
        <v>0</v>
      </c>
      <c r="O2638" t="n">
        <v>0</v>
      </c>
      <c r="P2638" t="n">
        <v>0</v>
      </c>
      <c r="Q2638" t="n">
        <v>0</v>
      </c>
      <c r="R26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2024-03-05T13:16:39Z</dcterms:created>
  <dcterms:modified xmlns:dcterms="http://purl.org/dc/terms/" xmlns:xsi="http://www.w3.org/2001/XMLSchema-instance" xsi:type="dcterms:W3CDTF">2024-03-05T13:16:42Z</dcterms:modified>
</cp:coreProperties>
</file>