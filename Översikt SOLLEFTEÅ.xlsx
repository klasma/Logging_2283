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46048</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46048</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20828-2024</t>
        </is>
      </c>
      <c r="B4" s="1" t="n">
        <v>45439</v>
      </c>
      <c r="C4" s="1" t="n">
        <v>46048</v>
      </c>
      <c r="D4" t="inlineStr">
        <is>
          <t>VÄSTERNORRLANDS LÄN</t>
        </is>
      </c>
      <c r="E4" t="inlineStr">
        <is>
          <t>SOLLEFTEÅ</t>
        </is>
      </c>
      <c r="G4" t="n">
        <v>4.7</v>
      </c>
      <c r="H4" t="n">
        <v>4</v>
      </c>
      <c r="I4" t="n">
        <v>7</v>
      </c>
      <c r="J4" t="n">
        <v>16</v>
      </c>
      <c r="K4" t="n">
        <v>4</v>
      </c>
      <c r="L4" t="n">
        <v>0</v>
      </c>
      <c r="M4" t="n">
        <v>0</v>
      </c>
      <c r="N4" t="n">
        <v>0</v>
      </c>
      <c r="O4" t="n">
        <v>20</v>
      </c>
      <c r="P4" t="n">
        <v>4</v>
      </c>
      <c r="Q4" t="n">
        <v>27</v>
      </c>
      <c r="R4"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4">
        <f>HYPERLINK("https://klasma.github.io/Logging_2283/artfynd/A 20828-2024 artfynd.xlsx", "A 20828-2024")</f>
        <v/>
      </c>
      <c r="T4">
        <f>HYPERLINK("https://klasma.github.io/Logging_2283/kartor/A 20828-2024 karta.png", "A 20828-2024")</f>
        <v/>
      </c>
      <c r="U4">
        <f>HYPERLINK("https://klasma.github.io/Logging_2283/knärot/A 20828-2024 karta knärot.png", "A 20828-2024")</f>
        <v/>
      </c>
      <c r="V4">
        <f>HYPERLINK("https://klasma.github.io/Logging_2283/klagomål/A 20828-2024 FSC-klagomål.docx", "A 20828-2024")</f>
        <v/>
      </c>
      <c r="W4">
        <f>HYPERLINK("https://klasma.github.io/Logging_2283/klagomålsmail/A 20828-2024 FSC-klagomål mail.docx", "A 20828-2024")</f>
        <v/>
      </c>
      <c r="X4">
        <f>HYPERLINK("https://klasma.github.io/Logging_2283/tillsyn/A 20828-2024 tillsynsbegäran.docx", "A 20828-2024")</f>
        <v/>
      </c>
      <c r="Y4">
        <f>HYPERLINK("https://klasma.github.io/Logging_2283/tillsynsmail/A 20828-2024 tillsynsbegäran mail.docx", "A 20828-2024")</f>
        <v/>
      </c>
      <c r="Z4">
        <f>HYPERLINK("https://klasma.github.io/Logging_2283/fåglar/A 20828-2024 prioriterade fågelarter.docx", "A 20828-2024")</f>
        <v/>
      </c>
    </row>
    <row r="5" ht="15" customHeight="1">
      <c r="A5" t="inlineStr">
        <is>
          <t>A 42099-2024</t>
        </is>
      </c>
      <c r="B5" s="1" t="n">
        <v>45562</v>
      </c>
      <c r="C5" s="1" t="n">
        <v>46048</v>
      </c>
      <c r="D5" t="inlineStr">
        <is>
          <t>VÄSTERNORRLANDS LÄN</t>
        </is>
      </c>
      <c r="E5" t="inlineStr">
        <is>
          <t>SOLLEFTEÅ</t>
        </is>
      </c>
      <c r="F5" t="inlineStr">
        <is>
          <t>SCA</t>
        </is>
      </c>
      <c r="G5" t="n">
        <v>23.8</v>
      </c>
      <c r="H5" t="n">
        <v>8</v>
      </c>
      <c r="I5" t="n">
        <v>7</v>
      </c>
      <c r="J5" t="n">
        <v>12</v>
      </c>
      <c r="K5" t="n">
        <v>5</v>
      </c>
      <c r="L5" t="n">
        <v>0</v>
      </c>
      <c r="M5" t="n">
        <v>0</v>
      </c>
      <c r="N5" t="n">
        <v>0</v>
      </c>
      <c r="O5" t="n">
        <v>17</v>
      </c>
      <c r="P5" t="n">
        <v>5</v>
      </c>
      <c r="Q5" t="n">
        <v>27</v>
      </c>
      <c r="R5"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5">
        <f>HYPERLINK("https://klasma.github.io/Logging_2283/artfynd/A 42099-2024 artfynd.xlsx", "A 42099-2024")</f>
        <v/>
      </c>
      <c r="T5">
        <f>HYPERLINK("https://klasma.github.io/Logging_2283/kartor/A 42099-2024 karta.png", "A 42099-2024")</f>
        <v/>
      </c>
      <c r="U5">
        <f>HYPERLINK("https://klasma.github.io/Logging_2283/knärot/A 42099-2024 karta knärot.png", "A 42099-2024")</f>
        <v/>
      </c>
      <c r="V5">
        <f>HYPERLINK("https://klasma.github.io/Logging_2283/klagomål/A 42099-2024 FSC-klagomål.docx", "A 42099-2024")</f>
        <v/>
      </c>
      <c r="W5">
        <f>HYPERLINK("https://klasma.github.io/Logging_2283/klagomålsmail/A 42099-2024 FSC-klagomål mail.docx", "A 42099-2024")</f>
        <v/>
      </c>
      <c r="X5">
        <f>HYPERLINK("https://klasma.github.io/Logging_2283/tillsyn/A 42099-2024 tillsynsbegäran.docx", "A 42099-2024")</f>
        <v/>
      </c>
      <c r="Y5">
        <f>HYPERLINK("https://klasma.github.io/Logging_2283/tillsynsmail/A 42099-2024 tillsynsbegäran mail.docx", "A 42099-2024")</f>
        <v/>
      </c>
      <c r="Z5">
        <f>HYPERLINK("https://klasma.github.io/Logging_2283/fåglar/A 42099-2024 prioriterade fågelarter.docx", "A 42099-2024")</f>
        <v/>
      </c>
    </row>
    <row r="6" ht="15" customHeight="1">
      <c r="A6" t="inlineStr">
        <is>
          <t>A 44652-2025</t>
        </is>
      </c>
      <c r="B6" s="1" t="n">
        <v>45917</v>
      </c>
      <c r="C6" s="1" t="n">
        <v>46048</v>
      </c>
      <c r="D6" t="inlineStr">
        <is>
          <t>VÄSTERNORRLANDS LÄN</t>
        </is>
      </c>
      <c r="E6" t="inlineStr">
        <is>
          <t>SOLLEFTEÅ</t>
        </is>
      </c>
      <c r="G6" t="n">
        <v>8.1</v>
      </c>
      <c r="H6" t="n">
        <v>4</v>
      </c>
      <c r="I6" t="n">
        <v>8</v>
      </c>
      <c r="J6" t="n">
        <v>13</v>
      </c>
      <c r="K6" t="n">
        <v>4</v>
      </c>
      <c r="L6" t="n">
        <v>0</v>
      </c>
      <c r="M6" t="n">
        <v>0</v>
      </c>
      <c r="N6" t="n">
        <v>0</v>
      </c>
      <c r="O6" t="n">
        <v>17</v>
      </c>
      <c r="P6" t="n">
        <v>4</v>
      </c>
      <c r="Q6" t="n">
        <v>26</v>
      </c>
      <c r="R6"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6">
        <f>HYPERLINK("https://klasma.github.io/Logging_2283/artfynd/A 44652-2025 artfynd.xlsx", "A 44652-2025")</f>
        <v/>
      </c>
      <c r="T6">
        <f>HYPERLINK("https://klasma.github.io/Logging_2283/kartor/A 44652-2025 karta.png", "A 44652-2025")</f>
        <v/>
      </c>
      <c r="U6">
        <f>HYPERLINK("https://klasma.github.io/Logging_2283/knärot/A 44652-2025 karta knärot.png", "A 44652-2025")</f>
        <v/>
      </c>
      <c r="V6">
        <f>HYPERLINK("https://klasma.github.io/Logging_2283/klagomål/A 44652-2025 FSC-klagomål.docx", "A 44652-2025")</f>
        <v/>
      </c>
      <c r="W6">
        <f>HYPERLINK("https://klasma.github.io/Logging_2283/klagomålsmail/A 44652-2025 FSC-klagomål mail.docx", "A 44652-2025")</f>
        <v/>
      </c>
      <c r="X6">
        <f>HYPERLINK("https://klasma.github.io/Logging_2283/tillsyn/A 44652-2025 tillsynsbegäran.docx", "A 44652-2025")</f>
        <v/>
      </c>
      <c r="Y6">
        <f>HYPERLINK("https://klasma.github.io/Logging_2283/tillsynsmail/A 44652-2025 tillsynsbegäran mail.docx", "A 44652-2025")</f>
        <v/>
      </c>
      <c r="Z6">
        <f>HYPERLINK("https://klasma.github.io/Logging_2283/fåglar/A 44652-2025 prioriterade fågelarter.docx", "A 44652-2025")</f>
        <v/>
      </c>
    </row>
    <row r="7" ht="15" customHeight="1">
      <c r="A7" t="inlineStr">
        <is>
          <t>A 29100-2024</t>
        </is>
      </c>
      <c r="B7" s="1" t="n">
        <v>45481</v>
      </c>
      <c r="C7" s="1" t="n">
        <v>46048</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31322-2024</t>
        </is>
      </c>
      <c r="B8" s="1" t="n">
        <v>45504</v>
      </c>
      <c r="C8" s="1" t="n">
        <v>46048</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29339-2023</t>
        </is>
      </c>
      <c r="B9" s="1" t="n">
        <v>45105</v>
      </c>
      <c r="C9" s="1" t="n">
        <v>46048</v>
      </c>
      <c r="D9" t="inlineStr">
        <is>
          <t>VÄSTERNORRLANDS LÄN</t>
        </is>
      </c>
      <c r="E9" t="inlineStr">
        <is>
          <t>SOLLEFTEÅ</t>
        </is>
      </c>
      <c r="F9" t="inlineStr">
        <is>
          <t>SCA</t>
        </is>
      </c>
      <c r="G9" t="n">
        <v>10.4</v>
      </c>
      <c r="H9" t="n">
        <v>4</v>
      </c>
      <c r="I9" t="n">
        <v>5</v>
      </c>
      <c r="J9" t="n">
        <v>12</v>
      </c>
      <c r="K9" t="n">
        <v>5</v>
      </c>
      <c r="L9" t="n">
        <v>0</v>
      </c>
      <c r="M9" t="n">
        <v>0</v>
      </c>
      <c r="N9" t="n">
        <v>0</v>
      </c>
      <c r="O9" t="n">
        <v>17</v>
      </c>
      <c r="P9" t="n">
        <v>5</v>
      </c>
      <c r="Q9" t="n">
        <v>22</v>
      </c>
      <c r="R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9">
        <f>HYPERLINK("https://klasma.github.io/Logging_2283/artfynd/A 29339-2023 artfynd.xlsx", "A 29339-2023")</f>
        <v/>
      </c>
      <c r="T9">
        <f>HYPERLINK("https://klasma.github.io/Logging_2283/kartor/A 29339-2023 karta.png", "A 29339-2023")</f>
        <v/>
      </c>
      <c r="U9">
        <f>HYPERLINK("https://klasma.github.io/Logging_2283/knärot/A 29339-2023 karta knärot.png", "A 29339-2023")</f>
        <v/>
      </c>
      <c r="V9">
        <f>HYPERLINK("https://klasma.github.io/Logging_2283/klagomål/A 29339-2023 FSC-klagomål.docx", "A 29339-2023")</f>
        <v/>
      </c>
      <c r="W9">
        <f>HYPERLINK("https://klasma.github.io/Logging_2283/klagomålsmail/A 29339-2023 FSC-klagomål mail.docx", "A 29339-2023")</f>
        <v/>
      </c>
      <c r="X9">
        <f>HYPERLINK("https://klasma.github.io/Logging_2283/tillsyn/A 29339-2023 tillsynsbegäran.docx", "A 29339-2023")</f>
        <v/>
      </c>
      <c r="Y9">
        <f>HYPERLINK("https://klasma.github.io/Logging_2283/tillsynsmail/A 29339-2023 tillsynsbegäran mail.docx", "A 29339-2023")</f>
        <v/>
      </c>
      <c r="Z9">
        <f>HYPERLINK("https://klasma.github.io/Logging_2283/fåglar/A 29339-2023 prioriterade fågelarter.docx", "A 29339-2023")</f>
        <v/>
      </c>
    </row>
    <row r="10" ht="15" customHeight="1">
      <c r="A10" t="inlineStr">
        <is>
          <t>A 11492-2022</t>
        </is>
      </c>
      <c r="B10" s="1" t="n">
        <v>44630</v>
      </c>
      <c r="C10" s="1" t="n">
        <v>46048</v>
      </c>
      <c r="D10" t="inlineStr">
        <is>
          <t>VÄSTERNORRLANDS LÄN</t>
        </is>
      </c>
      <c r="E10" t="inlineStr">
        <is>
          <t>SOLLEFTEÅ</t>
        </is>
      </c>
      <c r="F10" t="inlineStr">
        <is>
          <t>SCA</t>
        </is>
      </c>
      <c r="G10" t="n">
        <v>9.300000000000001</v>
      </c>
      <c r="H10" t="n">
        <v>4</v>
      </c>
      <c r="I10" t="n">
        <v>4</v>
      </c>
      <c r="J10" t="n">
        <v>14</v>
      </c>
      <c r="K10" t="n">
        <v>3</v>
      </c>
      <c r="L10" t="n">
        <v>0</v>
      </c>
      <c r="M10" t="n">
        <v>0</v>
      </c>
      <c r="N10" t="n">
        <v>0</v>
      </c>
      <c r="O10" t="n">
        <v>17</v>
      </c>
      <c r="P10" t="n">
        <v>3</v>
      </c>
      <c r="Q10" t="n">
        <v>22</v>
      </c>
      <c r="R10"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0">
        <f>HYPERLINK("https://klasma.github.io/Logging_2283/artfynd/A 11492-2022 artfynd.xlsx", "A 11492-2022")</f>
        <v/>
      </c>
      <c r="T10">
        <f>HYPERLINK("https://klasma.github.io/Logging_2283/kartor/A 11492-2022 karta.png", "A 11492-2022")</f>
        <v/>
      </c>
      <c r="U10">
        <f>HYPERLINK("https://klasma.github.io/Logging_2283/knärot/A 11492-2022 karta knärot.png", "A 11492-2022")</f>
        <v/>
      </c>
      <c r="V10">
        <f>HYPERLINK("https://klasma.github.io/Logging_2283/klagomål/A 11492-2022 FSC-klagomål.docx", "A 11492-2022")</f>
        <v/>
      </c>
      <c r="W10">
        <f>HYPERLINK("https://klasma.github.io/Logging_2283/klagomålsmail/A 11492-2022 FSC-klagomål mail.docx", "A 11492-2022")</f>
        <v/>
      </c>
      <c r="X10">
        <f>HYPERLINK("https://klasma.github.io/Logging_2283/tillsyn/A 11492-2022 tillsynsbegäran.docx", "A 11492-2022")</f>
        <v/>
      </c>
      <c r="Y10">
        <f>HYPERLINK("https://klasma.github.io/Logging_2283/tillsynsmail/A 11492-2022 tillsynsbegäran mail.docx", "A 11492-2022")</f>
        <v/>
      </c>
      <c r="Z10">
        <f>HYPERLINK("https://klasma.github.io/Logging_2283/fåglar/A 11492-2022 prioriterade fågelarter.docx", "A 11492-2022")</f>
        <v/>
      </c>
    </row>
    <row r="11" ht="15" customHeight="1">
      <c r="A11" t="inlineStr">
        <is>
          <t>A 47366-2024</t>
        </is>
      </c>
      <c r="B11" s="1" t="n">
        <v>45587</v>
      </c>
      <c r="C11" s="1" t="n">
        <v>46048</v>
      </c>
      <c r="D11" t="inlineStr">
        <is>
          <t>VÄSTERNORRLANDS LÄN</t>
        </is>
      </c>
      <c r="E11" t="inlineStr">
        <is>
          <t>SOLLEFTEÅ</t>
        </is>
      </c>
      <c r="F11" t="inlineStr">
        <is>
          <t>SCA</t>
        </is>
      </c>
      <c r="G11" t="n">
        <v>4.3</v>
      </c>
      <c r="H11" t="n">
        <v>9</v>
      </c>
      <c r="I11" t="n">
        <v>6</v>
      </c>
      <c r="J11" t="n">
        <v>10</v>
      </c>
      <c r="K11" t="n">
        <v>2</v>
      </c>
      <c r="L11" t="n">
        <v>0</v>
      </c>
      <c r="M11" t="n">
        <v>0</v>
      </c>
      <c r="N11" t="n">
        <v>0</v>
      </c>
      <c r="O11" t="n">
        <v>12</v>
      </c>
      <c r="P11" t="n">
        <v>2</v>
      </c>
      <c r="Q11" t="n">
        <v>20</v>
      </c>
      <c r="R11" s="2" t="inlineStr">
        <is>
          <t>Knärot
Rynkskinn
Gammelgransskål
Garnlav
Granticka
Järpe
Lunglav
Rosenticka
Spillkråka
Talltita
Tretåig hackspett
Ullticka
Bollvitmossa
Lappranunkel
Spindelblomster
Stuplav
Trådticka
Vedticka
Lavskrika
Fläcknycklar</t>
        </is>
      </c>
      <c r="S11">
        <f>HYPERLINK("https://klasma.github.io/Logging_2283/artfynd/A 47366-2024 artfynd.xlsx", "A 47366-2024")</f>
        <v/>
      </c>
      <c r="T11">
        <f>HYPERLINK("https://klasma.github.io/Logging_2283/kartor/A 47366-2024 karta.png", "A 47366-2024")</f>
        <v/>
      </c>
      <c r="U11">
        <f>HYPERLINK("https://klasma.github.io/Logging_2283/knärot/A 47366-2024 karta knärot.png", "A 47366-2024")</f>
        <v/>
      </c>
      <c r="V11">
        <f>HYPERLINK("https://klasma.github.io/Logging_2283/klagomål/A 47366-2024 FSC-klagomål.docx", "A 47366-2024")</f>
        <v/>
      </c>
      <c r="W11">
        <f>HYPERLINK("https://klasma.github.io/Logging_2283/klagomålsmail/A 47366-2024 FSC-klagomål mail.docx", "A 47366-2024")</f>
        <v/>
      </c>
      <c r="X11">
        <f>HYPERLINK("https://klasma.github.io/Logging_2283/tillsyn/A 47366-2024 tillsynsbegäran.docx", "A 47366-2024")</f>
        <v/>
      </c>
      <c r="Y11">
        <f>HYPERLINK("https://klasma.github.io/Logging_2283/tillsynsmail/A 47366-2024 tillsynsbegäran mail.docx", "A 47366-2024")</f>
        <v/>
      </c>
      <c r="Z11">
        <f>HYPERLINK("https://klasma.github.io/Logging_2283/fåglar/A 47366-2024 prioriterade fågelarter.docx", "A 47366-2024")</f>
        <v/>
      </c>
    </row>
    <row r="12" ht="15" customHeight="1">
      <c r="A12" t="inlineStr">
        <is>
          <t>A 37489-2025</t>
        </is>
      </c>
      <c r="B12" s="1" t="n">
        <v>45877</v>
      </c>
      <c r="C12" s="1" t="n">
        <v>46048</v>
      </c>
      <c r="D12" t="inlineStr">
        <is>
          <t>VÄSTERNORRLANDS LÄN</t>
        </is>
      </c>
      <c r="E12" t="inlineStr">
        <is>
          <t>SOLLEFTEÅ</t>
        </is>
      </c>
      <c r="F12" t="inlineStr">
        <is>
          <t>SCA</t>
        </is>
      </c>
      <c r="G12" t="n">
        <v>2.2</v>
      </c>
      <c r="H12" t="n">
        <v>5</v>
      </c>
      <c r="I12" t="n">
        <v>1</v>
      </c>
      <c r="J12" t="n">
        <v>15</v>
      </c>
      <c r="K12" t="n">
        <v>3</v>
      </c>
      <c r="L12" t="n">
        <v>0</v>
      </c>
      <c r="M12" t="n">
        <v>0</v>
      </c>
      <c r="N12" t="n">
        <v>0</v>
      </c>
      <c r="O12" t="n">
        <v>18</v>
      </c>
      <c r="P12" t="n">
        <v>3</v>
      </c>
      <c r="Q12" t="n">
        <v>19</v>
      </c>
      <c r="R12" s="2" t="inlineStr">
        <is>
          <t>Doftticka
Gräddporing
Knärot
Aspbarkgnagare
Brunpudrad nållav
Doftskinn
Dvärgbägarlav
Gammelgransskål
Garnlav
Granticka
Kolflarnlav
Lunglav
Nordtagging
Spillkråka
Talltita
Tretåig hackspett
Ullticka
Vitgrynig nållav
Vedticka</t>
        </is>
      </c>
      <c r="S12">
        <f>HYPERLINK("https://klasma.github.io/Logging_2283/artfynd/A 37489-2025 artfynd.xlsx", "A 37489-2025")</f>
        <v/>
      </c>
      <c r="T12">
        <f>HYPERLINK("https://klasma.github.io/Logging_2283/kartor/A 37489-2025 karta.png", "A 37489-2025")</f>
        <v/>
      </c>
      <c r="U12">
        <f>HYPERLINK("https://klasma.github.io/Logging_2283/knärot/A 37489-2025 karta knärot.png", "A 37489-2025")</f>
        <v/>
      </c>
      <c r="V12">
        <f>HYPERLINK("https://klasma.github.io/Logging_2283/klagomål/A 37489-2025 FSC-klagomål.docx", "A 37489-2025")</f>
        <v/>
      </c>
      <c r="W12">
        <f>HYPERLINK("https://klasma.github.io/Logging_2283/klagomålsmail/A 37489-2025 FSC-klagomål mail.docx", "A 37489-2025")</f>
        <v/>
      </c>
      <c r="X12">
        <f>HYPERLINK("https://klasma.github.io/Logging_2283/tillsyn/A 37489-2025 tillsynsbegäran.docx", "A 37489-2025")</f>
        <v/>
      </c>
      <c r="Y12">
        <f>HYPERLINK("https://klasma.github.io/Logging_2283/tillsynsmail/A 37489-2025 tillsynsbegäran mail.docx", "A 37489-2025")</f>
        <v/>
      </c>
      <c r="Z12">
        <f>HYPERLINK("https://klasma.github.io/Logging_2283/fåglar/A 37489-2025 prioriterade fågelarter.docx", "A 37489-2025")</f>
        <v/>
      </c>
    </row>
    <row r="13" ht="15" customHeight="1">
      <c r="A13" t="inlineStr">
        <is>
          <t>A 13896-2023</t>
        </is>
      </c>
      <c r="B13" s="1" t="n">
        <v>45008</v>
      </c>
      <c r="C13" s="1" t="n">
        <v>46048</v>
      </c>
      <c r="D13" t="inlineStr">
        <is>
          <t>VÄSTERNORRLANDS LÄN</t>
        </is>
      </c>
      <c r="E13" t="inlineStr">
        <is>
          <t>SOLLEFTEÅ</t>
        </is>
      </c>
      <c r="F13" t="inlineStr">
        <is>
          <t>SCA</t>
        </is>
      </c>
      <c r="G13" t="n">
        <v>20.3</v>
      </c>
      <c r="H13" t="n">
        <v>5</v>
      </c>
      <c r="I13" t="n">
        <v>5</v>
      </c>
      <c r="J13" t="n">
        <v>11</v>
      </c>
      <c r="K13" t="n">
        <v>2</v>
      </c>
      <c r="L13" t="n">
        <v>0</v>
      </c>
      <c r="M13" t="n">
        <v>0</v>
      </c>
      <c r="N13" t="n">
        <v>0</v>
      </c>
      <c r="O13" t="n">
        <v>13</v>
      </c>
      <c r="P13" t="n">
        <v>2</v>
      </c>
      <c r="Q13" t="n">
        <v>19</v>
      </c>
      <c r="R13" s="2" t="inlineStr">
        <is>
          <t>Knärot
Ulltickeporing
Doftskinn
Garnlav
Granticka
Lunglav
Rosenticka
Skrovellav
Spillkråka
Stjärntagging
Talltita
Tretåig hackspett
Ullticka
Bårdlav
Norrlandslav
Stor aspticka
Stuplav
Vedticka
Fläcknycklar</t>
        </is>
      </c>
      <c r="S13">
        <f>HYPERLINK("https://klasma.github.io/Logging_2283/artfynd/A 13896-2023 artfynd.xlsx", "A 13896-2023")</f>
        <v/>
      </c>
      <c r="T13">
        <f>HYPERLINK("https://klasma.github.io/Logging_2283/kartor/A 13896-2023 karta.png", "A 13896-2023")</f>
        <v/>
      </c>
      <c r="U13">
        <f>HYPERLINK("https://klasma.github.io/Logging_2283/knärot/A 13896-2023 karta knärot.png", "A 13896-2023")</f>
        <v/>
      </c>
      <c r="V13">
        <f>HYPERLINK("https://klasma.github.io/Logging_2283/klagomål/A 13896-2023 FSC-klagomål.docx", "A 13896-2023")</f>
        <v/>
      </c>
      <c r="W13">
        <f>HYPERLINK("https://klasma.github.io/Logging_2283/klagomålsmail/A 13896-2023 FSC-klagomål mail.docx", "A 13896-2023")</f>
        <v/>
      </c>
      <c r="X13">
        <f>HYPERLINK("https://klasma.github.io/Logging_2283/tillsyn/A 13896-2023 tillsynsbegäran.docx", "A 13896-2023")</f>
        <v/>
      </c>
      <c r="Y13">
        <f>HYPERLINK("https://klasma.github.io/Logging_2283/tillsynsmail/A 13896-2023 tillsynsbegäran mail.docx", "A 13896-2023")</f>
        <v/>
      </c>
      <c r="Z13">
        <f>HYPERLINK("https://klasma.github.io/Logging_2283/fåglar/A 13896-2023 prioriterade fågelarter.docx", "A 13896-2023")</f>
        <v/>
      </c>
    </row>
    <row r="14" ht="15" customHeight="1">
      <c r="A14" t="inlineStr">
        <is>
          <t>A 57942-2021</t>
        </is>
      </c>
      <c r="B14" s="1" t="n">
        <v>44487</v>
      </c>
      <c r="C14" s="1" t="n">
        <v>46048</v>
      </c>
      <c r="D14" t="inlineStr">
        <is>
          <t>VÄSTERNORRLANDS LÄN</t>
        </is>
      </c>
      <c r="E14" t="inlineStr">
        <is>
          <t>SOLLEFTEÅ</t>
        </is>
      </c>
      <c r="F14" t="inlineStr">
        <is>
          <t>Holmen skog AB</t>
        </is>
      </c>
      <c r="G14" t="n">
        <v>14.2</v>
      </c>
      <c r="H14" t="n">
        <v>5</v>
      </c>
      <c r="I14" t="n">
        <v>4</v>
      </c>
      <c r="J14" t="n">
        <v>11</v>
      </c>
      <c r="K14" t="n">
        <v>4</v>
      </c>
      <c r="L14" t="n">
        <v>0</v>
      </c>
      <c r="M14" t="n">
        <v>0</v>
      </c>
      <c r="N14" t="n">
        <v>0</v>
      </c>
      <c r="O14" t="n">
        <v>15</v>
      </c>
      <c r="P14" t="n">
        <v>4</v>
      </c>
      <c r="Q14" t="n">
        <v>19</v>
      </c>
      <c r="R14" s="2" t="inlineStr">
        <is>
          <t>Blackticka
Doftticka
Knärot
Ulltickeporing
Garnlav
Granticka
Kolflarnlav
Lunglav
Rosenticka
Tallticka
Talltita
Tretåig hackspett
Ullticka
Vedflikmossa
Vedtrappmossa
Luddlav
Plattlummer
Stuplav
Vedticka</t>
        </is>
      </c>
      <c r="S14">
        <f>HYPERLINK("https://klasma.github.io/Logging_2283/artfynd/A 57942-2021 artfynd.xlsx", "A 57942-2021")</f>
        <v/>
      </c>
      <c r="T14">
        <f>HYPERLINK("https://klasma.github.io/Logging_2283/kartor/A 57942-2021 karta.png", "A 57942-2021")</f>
        <v/>
      </c>
      <c r="U14">
        <f>HYPERLINK("https://klasma.github.io/Logging_2283/knärot/A 57942-2021 karta knärot.png", "A 57942-2021")</f>
        <v/>
      </c>
      <c r="V14">
        <f>HYPERLINK("https://klasma.github.io/Logging_2283/klagomål/A 57942-2021 FSC-klagomål.docx", "A 57942-2021")</f>
        <v/>
      </c>
      <c r="W14">
        <f>HYPERLINK("https://klasma.github.io/Logging_2283/klagomålsmail/A 57942-2021 FSC-klagomål mail.docx", "A 57942-2021")</f>
        <v/>
      </c>
      <c r="X14">
        <f>HYPERLINK("https://klasma.github.io/Logging_2283/tillsyn/A 57942-2021 tillsynsbegäran.docx", "A 57942-2021")</f>
        <v/>
      </c>
      <c r="Y14">
        <f>HYPERLINK("https://klasma.github.io/Logging_2283/tillsynsmail/A 57942-2021 tillsynsbegäran mail.docx", "A 57942-2021")</f>
        <v/>
      </c>
      <c r="Z14">
        <f>HYPERLINK("https://klasma.github.io/Logging_2283/fåglar/A 57942-2021 prioriterade fågelarter.docx", "A 57942-2021")</f>
        <v/>
      </c>
    </row>
    <row r="15" ht="15" customHeight="1">
      <c r="A15" t="inlineStr">
        <is>
          <t>A 29232-2025</t>
        </is>
      </c>
      <c r="B15" s="1" t="n">
        <v>45824.34453703704</v>
      </c>
      <c r="C15" s="1" t="n">
        <v>46048</v>
      </c>
      <c r="D15" t="inlineStr">
        <is>
          <t>VÄSTERNORRLANDS LÄN</t>
        </is>
      </c>
      <c r="E15" t="inlineStr">
        <is>
          <t>SOLLEFTEÅ</t>
        </is>
      </c>
      <c r="F15" t="inlineStr">
        <is>
          <t>SCA</t>
        </is>
      </c>
      <c r="G15" t="n">
        <v>6.5</v>
      </c>
      <c r="H15" t="n">
        <v>5</v>
      </c>
      <c r="I15" t="n">
        <v>4</v>
      </c>
      <c r="J15" t="n">
        <v>12</v>
      </c>
      <c r="K15" t="n">
        <v>1</v>
      </c>
      <c r="L15" t="n">
        <v>0</v>
      </c>
      <c r="M15" t="n">
        <v>0</v>
      </c>
      <c r="N15" t="n">
        <v>0</v>
      </c>
      <c r="O15" t="n">
        <v>13</v>
      </c>
      <c r="P15" t="n">
        <v>1</v>
      </c>
      <c r="Q15" t="n">
        <v>19</v>
      </c>
      <c r="R15" s="2" t="inlineStr">
        <is>
          <t>Rynkskinn
Gammelgransskål
Garnlav
Granticka
Järpe
Luddfingersvamp
Lunglav
Rosenticka
Talltita
Tretåig hackspett
Ullticka
Vedskivlav
Vitgrynig nållav
Bårdlav
Luddlav
Stuplav
Vedticka
Kungsfågel
Lavskrika</t>
        </is>
      </c>
      <c r="S15">
        <f>HYPERLINK("https://klasma.github.io/Logging_2283/artfynd/A 29232-2025 artfynd.xlsx", "A 29232-2025")</f>
        <v/>
      </c>
      <c r="T15">
        <f>HYPERLINK("https://klasma.github.io/Logging_2283/kartor/A 29232-2025 karta.png", "A 29232-2025")</f>
        <v/>
      </c>
      <c r="V15">
        <f>HYPERLINK("https://klasma.github.io/Logging_2283/klagomål/A 29232-2025 FSC-klagomål.docx", "A 29232-2025")</f>
        <v/>
      </c>
      <c r="W15">
        <f>HYPERLINK("https://klasma.github.io/Logging_2283/klagomålsmail/A 29232-2025 FSC-klagomål mail.docx", "A 29232-2025")</f>
        <v/>
      </c>
      <c r="X15">
        <f>HYPERLINK("https://klasma.github.io/Logging_2283/tillsyn/A 29232-2025 tillsynsbegäran.docx", "A 29232-2025")</f>
        <v/>
      </c>
      <c r="Y15">
        <f>HYPERLINK("https://klasma.github.io/Logging_2283/tillsynsmail/A 29232-2025 tillsynsbegäran mail.docx", "A 29232-2025")</f>
        <v/>
      </c>
      <c r="Z15">
        <f>HYPERLINK("https://klasma.github.io/Logging_2283/fåglar/A 29232-2025 prioriterade fågelarter.docx", "A 29232-2025")</f>
        <v/>
      </c>
    </row>
    <row r="16" ht="15" customHeight="1">
      <c r="A16" t="inlineStr">
        <is>
          <t>A 38270-2025</t>
        </is>
      </c>
      <c r="B16" s="1" t="n">
        <v>45883.40696759259</v>
      </c>
      <c r="C16" s="1" t="n">
        <v>46048</v>
      </c>
      <c r="D16" t="inlineStr">
        <is>
          <t>VÄSTERNORRLANDS LÄN</t>
        </is>
      </c>
      <c r="E16" t="inlineStr">
        <is>
          <t>SOLLEFTEÅ</t>
        </is>
      </c>
      <c r="F16" t="inlineStr">
        <is>
          <t>SCA</t>
        </is>
      </c>
      <c r="G16" t="n">
        <v>16</v>
      </c>
      <c r="H16" t="n">
        <v>0</v>
      </c>
      <c r="I16" t="n">
        <v>5</v>
      </c>
      <c r="J16" t="n">
        <v>11</v>
      </c>
      <c r="K16" t="n">
        <v>2</v>
      </c>
      <c r="L16" t="n">
        <v>0</v>
      </c>
      <c r="M16" t="n">
        <v>0</v>
      </c>
      <c r="N16" t="n">
        <v>0</v>
      </c>
      <c r="O16" t="n">
        <v>13</v>
      </c>
      <c r="P16" t="n">
        <v>2</v>
      </c>
      <c r="Q16" t="n">
        <v>18</v>
      </c>
      <c r="R16" s="2" t="inlineStr">
        <is>
          <t>Gräddporing
Smalfotad taggsvamp
Blå taggsvamp
Blågrå svartspik
Dvärgbägarlav
Garnlav
Kolflarnlav
Lunglav
Reliktbock
Svart taggsvamp
Tallticka
Vedflamlav
Vedskivlav
Dropptaggsvamp
Norrlandslav
Skarp dropptaggsvamp
Stuplav
Vedticka</t>
        </is>
      </c>
      <c r="S16">
        <f>HYPERLINK("https://klasma.github.io/Logging_2283/artfynd/A 38270-2025 artfynd.xlsx", "A 38270-2025")</f>
        <v/>
      </c>
      <c r="T16">
        <f>HYPERLINK("https://klasma.github.io/Logging_2283/kartor/A 38270-2025 karta.png", "A 38270-2025")</f>
        <v/>
      </c>
      <c r="V16">
        <f>HYPERLINK("https://klasma.github.io/Logging_2283/klagomål/A 38270-2025 FSC-klagomål.docx", "A 38270-2025")</f>
        <v/>
      </c>
      <c r="W16">
        <f>HYPERLINK("https://klasma.github.io/Logging_2283/klagomålsmail/A 38270-2025 FSC-klagomål mail.docx", "A 38270-2025")</f>
        <v/>
      </c>
      <c r="X16">
        <f>HYPERLINK("https://klasma.github.io/Logging_2283/tillsyn/A 38270-2025 tillsynsbegäran.docx", "A 38270-2025")</f>
        <v/>
      </c>
      <c r="Y16">
        <f>HYPERLINK("https://klasma.github.io/Logging_2283/tillsynsmail/A 38270-2025 tillsynsbegäran mail.docx", "A 38270-2025")</f>
        <v/>
      </c>
    </row>
    <row r="17" ht="15" customHeight="1">
      <c r="A17" t="inlineStr">
        <is>
          <t>A 38268-2025</t>
        </is>
      </c>
      <c r="B17" s="1" t="n">
        <v>45883.40679398148</v>
      </c>
      <c r="C17" s="1" t="n">
        <v>46048</v>
      </c>
      <c r="D17" t="inlineStr">
        <is>
          <t>VÄSTERNORRLANDS LÄN</t>
        </is>
      </c>
      <c r="E17" t="inlineStr">
        <is>
          <t>SOLLEFTEÅ</t>
        </is>
      </c>
      <c r="F17" t="inlineStr">
        <is>
          <t>SCA</t>
        </is>
      </c>
      <c r="G17" t="n">
        <v>5.1</v>
      </c>
      <c r="H17" t="n">
        <v>0</v>
      </c>
      <c r="I17" t="n">
        <v>5</v>
      </c>
      <c r="J17" t="n">
        <v>10</v>
      </c>
      <c r="K17" t="n">
        <v>3</v>
      </c>
      <c r="L17" t="n">
        <v>0</v>
      </c>
      <c r="M17" t="n">
        <v>0</v>
      </c>
      <c r="N17" t="n">
        <v>0</v>
      </c>
      <c r="O17" t="n">
        <v>13</v>
      </c>
      <c r="P17" t="n">
        <v>3</v>
      </c>
      <c r="Q17" t="n">
        <v>18</v>
      </c>
      <c r="R17" s="2" t="inlineStr">
        <is>
          <t>Fläckporing
Gräddporing
Smalfotad taggsvamp
Blågrå svartspik
Dvärgbägarlav
Garnlav
Kolflarnlav
Lunglav
Nordtagging
Skrovlig taggsvamp
Svartvit taggsvamp
Vaddporing
Vedskivlav
Dropptaggsvamp
Luddlav
Skarp dropptaggsvamp
Stuplav
Vedticka</t>
        </is>
      </c>
      <c r="S17">
        <f>HYPERLINK("https://klasma.github.io/Logging_2283/artfynd/A 38268-2025 artfynd.xlsx", "A 38268-2025")</f>
        <v/>
      </c>
      <c r="T17">
        <f>HYPERLINK("https://klasma.github.io/Logging_2283/kartor/A 38268-2025 karta.png", "A 38268-2025")</f>
        <v/>
      </c>
      <c r="V17">
        <f>HYPERLINK("https://klasma.github.io/Logging_2283/klagomål/A 38268-2025 FSC-klagomål.docx", "A 38268-2025")</f>
        <v/>
      </c>
      <c r="W17">
        <f>HYPERLINK("https://klasma.github.io/Logging_2283/klagomålsmail/A 38268-2025 FSC-klagomål mail.docx", "A 38268-2025")</f>
        <v/>
      </c>
      <c r="X17">
        <f>HYPERLINK("https://klasma.github.io/Logging_2283/tillsyn/A 38268-2025 tillsynsbegäran.docx", "A 38268-2025")</f>
        <v/>
      </c>
      <c r="Y17">
        <f>HYPERLINK("https://klasma.github.io/Logging_2283/tillsynsmail/A 38268-2025 tillsynsbegäran mail.docx", "A 38268-2025")</f>
        <v/>
      </c>
    </row>
    <row r="18" ht="15" customHeight="1">
      <c r="A18" t="inlineStr">
        <is>
          <t>A 48369-2025</t>
        </is>
      </c>
      <c r="B18" s="1" t="n">
        <v>45933.67747685185</v>
      </c>
      <c r="C18" s="1" t="n">
        <v>46048</v>
      </c>
      <c r="D18" t="inlineStr">
        <is>
          <t>VÄSTERNORRLANDS LÄN</t>
        </is>
      </c>
      <c r="E18" t="inlineStr">
        <is>
          <t>SOLLEFTEÅ</t>
        </is>
      </c>
      <c r="F18" t="inlineStr">
        <is>
          <t>SCA</t>
        </is>
      </c>
      <c r="G18" t="n">
        <v>12.6</v>
      </c>
      <c r="H18" t="n">
        <v>2</v>
      </c>
      <c r="I18" t="n">
        <v>5</v>
      </c>
      <c r="J18" t="n">
        <v>10</v>
      </c>
      <c r="K18" t="n">
        <v>1</v>
      </c>
      <c r="L18" t="n">
        <v>0</v>
      </c>
      <c r="M18" t="n">
        <v>0</v>
      </c>
      <c r="N18" t="n">
        <v>0</v>
      </c>
      <c r="O18" t="n">
        <v>11</v>
      </c>
      <c r="P18" t="n">
        <v>1</v>
      </c>
      <c r="Q18" t="n">
        <v>17</v>
      </c>
      <c r="R18" s="2" t="inlineStr">
        <is>
          <t>Rynkskinn
Brunpudrad nållav
Gammelgransskål
Garnlav
Granticka
Harticka
Leptoporus mollis
Lunglav
Tretåig hackspett
Ullticka
Vitgrynig nållav
Gulnål
Luddlav
Stuplav
Trådticka
Vedticka
Revlummer</t>
        </is>
      </c>
      <c r="S18">
        <f>HYPERLINK("https://klasma.github.io/Logging_2283/artfynd/A 48369-2025 artfynd.xlsx", "A 48369-2025")</f>
        <v/>
      </c>
      <c r="T18">
        <f>HYPERLINK("https://klasma.github.io/Logging_2283/kartor/A 48369-2025 karta.png", "A 48369-2025")</f>
        <v/>
      </c>
      <c r="U18">
        <f>HYPERLINK("https://klasma.github.io/Logging_2283/knärot/A 48369-2025 karta knärot.png", "A 48369-2025")</f>
        <v/>
      </c>
      <c r="V18">
        <f>HYPERLINK("https://klasma.github.io/Logging_2283/klagomål/A 48369-2025 FSC-klagomål.docx", "A 48369-2025")</f>
        <v/>
      </c>
      <c r="W18">
        <f>HYPERLINK("https://klasma.github.io/Logging_2283/klagomålsmail/A 48369-2025 FSC-klagomål mail.docx", "A 48369-2025")</f>
        <v/>
      </c>
      <c r="X18">
        <f>HYPERLINK("https://klasma.github.io/Logging_2283/tillsyn/A 48369-2025 tillsynsbegäran.docx", "A 48369-2025")</f>
        <v/>
      </c>
      <c r="Y18">
        <f>HYPERLINK("https://klasma.github.io/Logging_2283/tillsynsmail/A 48369-2025 tillsynsbegäran mail.docx", "A 48369-2025")</f>
        <v/>
      </c>
      <c r="Z18">
        <f>HYPERLINK("https://klasma.github.io/Logging_2283/fåglar/A 48369-2025 prioriterade fågelarter.docx", "A 48369-2025")</f>
        <v/>
      </c>
    </row>
    <row r="19" ht="15" customHeight="1">
      <c r="A19" t="inlineStr">
        <is>
          <t>A 28059-2025</t>
        </is>
      </c>
      <c r="B19" s="1" t="n">
        <v>45817</v>
      </c>
      <c r="C19" s="1" t="n">
        <v>46048</v>
      </c>
      <c r="D19" t="inlineStr">
        <is>
          <t>VÄSTERNORRLANDS LÄN</t>
        </is>
      </c>
      <c r="E19" t="inlineStr">
        <is>
          <t>SOLLEFTEÅ</t>
        </is>
      </c>
      <c r="G19" t="n">
        <v>7.3</v>
      </c>
      <c r="H19" t="n">
        <v>4</v>
      </c>
      <c r="I19" t="n">
        <v>6</v>
      </c>
      <c r="J19" t="n">
        <v>7</v>
      </c>
      <c r="K19" t="n">
        <v>3</v>
      </c>
      <c r="L19" t="n">
        <v>0</v>
      </c>
      <c r="M19" t="n">
        <v>0</v>
      </c>
      <c r="N19" t="n">
        <v>0</v>
      </c>
      <c r="O19" t="n">
        <v>10</v>
      </c>
      <c r="P19" t="n">
        <v>3</v>
      </c>
      <c r="Q19" t="n">
        <v>17</v>
      </c>
      <c r="R19" s="2" t="inlineStr">
        <is>
          <t>Knärot
Lappticka
Rynkskinn
Hornvaxskinn
Järpe
Lunglav
Rosenticka
Spillkråka
Spinnfingersvamp
Ullticka
Bronshjon
Luddlav
Norrlandslav
Stuplav
Vedticka
Vågbandad barkbock
Revlummer</t>
        </is>
      </c>
      <c r="S19">
        <f>HYPERLINK("https://klasma.github.io/Logging_2283/artfynd/A 28059-2025 artfynd.xlsx", "A 28059-2025")</f>
        <v/>
      </c>
      <c r="T19">
        <f>HYPERLINK("https://klasma.github.io/Logging_2283/kartor/A 28059-2025 karta.png", "A 28059-2025")</f>
        <v/>
      </c>
      <c r="U19">
        <f>HYPERLINK("https://klasma.github.io/Logging_2283/knärot/A 28059-2025 karta knärot.png", "A 28059-2025")</f>
        <v/>
      </c>
      <c r="V19">
        <f>HYPERLINK("https://klasma.github.io/Logging_2283/klagomål/A 28059-2025 FSC-klagomål.docx", "A 28059-2025")</f>
        <v/>
      </c>
      <c r="W19">
        <f>HYPERLINK("https://klasma.github.io/Logging_2283/klagomålsmail/A 28059-2025 FSC-klagomål mail.docx", "A 28059-2025")</f>
        <v/>
      </c>
      <c r="X19">
        <f>HYPERLINK("https://klasma.github.io/Logging_2283/tillsyn/A 28059-2025 tillsynsbegäran.docx", "A 28059-2025")</f>
        <v/>
      </c>
      <c r="Y19">
        <f>HYPERLINK("https://klasma.github.io/Logging_2283/tillsynsmail/A 28059-2025 tillsynsbegäran mail.docx", "A 28059-2025")</f>
        <v/>
      </c>
      <c r="Z19">
        <f>HYPERLINK("https://klasma.github.io/Logging_2283/fåglar/A 28059-2025 prioriterade fågelarter.docx", "A 28059-2025")</f>
        <v/>
      </c>
    </row>
    <row r="20" ht="15" customHeight="1">
      <c r="A20" t="inlineStr">
        <is>
          <t>A 19347-2024</t>
        </is>
      </c>
      <c r="B20" s="1" t="n">
        <v>45428</v>
      </c>
      <c r="C20" s="1" t="n">
        <v>46048</v>
      </c>
      <c r="D20" t="inlineStr">
        <is>
          <t>VÄSTERNORRLANDS LÄN</t>
        </is>
      </c>
      <c r="E20" t="inlineStr">
        <is>
          <t>SOLLEFTEÅ</t>
        </is>
      </c>
      <c r="G20" t="n">
        <v>14.5</v>
      </c>
      <c r="H20" t="n">
        <v>6</v>
      </c>
      <c r="I20" t="n">
        <v>2</v>
      </c>
      <c r="J20" t="n">
        <v>12</v>
      </c>
      <c r="K20" t="n">
        <v>1</v>
      </c>
      <c r="L20" t="n">
        <v>0</v>
      </c>
      <c r="M20" t="n">
        <v>0</v>
      </c>
      <c r="N20" t="n">
        <v>0</v>
      </c>
      <c r="O20" t="n">
        <v>13</v>
      </c>
      <c r="P20" t="n">
        <v>1</v>
      </c>
      <c r="Q20" t="n">
        <v>17</v>
      </c>
      <c r="R20" s="2" t="inlineStr">
        <is>
          <t>Knärot
Blanksvart spiklav
Dvärgbägarlav
Gammelgransskål
Garnlav
Kolflarnlav
Lunglav
Skrovellav
Spillkråka
Tallticka
Talltita
Tretåig hackspett
Ullticka
Dropptaggsvamp
Vedticka
Lavskrika
Tjäder</t>
        </is>
      </c>
      <c r="S20">
        <f>HYPERLINK("https://klasma.github.io/Logging_2283/artfynd/A 19347-2024 artfynd.xlsx", "A 19347-2024")</f>
        <v/>
      </c>
      <c r="T20">
        <f>HYPERLINK("https://klasma.github.io/Logging_2283/kartor/A 19347-2024 karta.png", "A 19347-2024")</f>
        <v/>
      </c>
      <c r="U20">
        <f>HYPERLINK("https://klasma.github.io/Logging_2283/knärot/A 19347-2024 karta knärot.png", "A 19347-2024")</f>
        <v/>
      </c>
      <c r="V20">
        <f>HYPERLINK("https://klasma.github.io/Logging_2283/klagomål/A 19347-2024 FSC-klagomål.docx", "A 19347-2024")</f>
        <v/>
      </c>
      <c r="W20">
        <f>HYPERLINK("https://klasma.github.io/Logging_2283/klagomålsmail/A 19347-2024 FSC-klagomål mail.docx", "A 19347-2024")</f>
        <v/>
      </c>
      <c r="X20">
        <f>HYPERLINK("https://klasma.github.io/Logging_2283/tillsyn/A 19347-2024 tillsynsbegäran.docx", "A 19347-2024")</f>
        <v/>
      </c>
      <c r="Y20">
        <f>HYPERLINK("https://klasma.github.io/Logging_2283/tillsynsmail/A 19347-2024 tillsynsbegäran mail.docx", "A 19347-2024")</f>
        <v/>
      </c>
      <c r="Z20">
        <f>HYPERLINK("https://klasma.github.io/Logging_2283/fåglar/A 19347-2024 prioriterade fågelarter.docx", "A 19347-2024")</f>
        <v/>
      </c>
    </row>
    <row r="21" ht="15" customHeight="1">
      <c r="A21" t="inlineStr">
        <is>
          <t>A 49938-2021</t>
        </is>
      </c>
      <c r="B21" s="1" t="n">
        <v>44455.93498842593</v>
      </c>
      <c r="C21" s="1" t="n">
        <v>46048</v>
      </c>
      <c r="D21" t="inlineStr">
        <is>
          <t>VÄSTERNORRLANDS LÄN</t>
        </is>
      </c>
      <c r="E21" t="inlineStr">
        <is>
          <t>SOLLEFTEÅ</t>
        </is>
      </c>
      <c r="F21" t="inlineStr">
        <is>
          <t>SCA</t>
        </is>
      </c>
      <c r="G21" t="n">
        <v>6.4</v>
      </c>
      <c r="H21" t="n">
        <v>2</v>
      </c>
      <c r="I21" t="n">
        <v>1</v>
      </c>
      <c r="J21" t="n">
        <v>10</v>
      </c>
      <c r="K21" t="n">
        <v>5</v>
      </c>
      <c r="L21" t="n">
        <v>0</v>
      </c>
      <c r="M21" t="n">
        <v>0</v>
      </c>
      <c r="N21" t="n">
        <v>0</v>
      </c>
      <c r="O21" t="n">
        <v>15</v>
      </c>
      <c r="P21" t="n">
        <v>5</v>
      </c>
      <c r="Q21" t="n">
        <v>16</v>
      </c>
      <c r="R21" s="2" t="inlineStr">
        <is>
          <t>Doftticka
Grantickeporing
Gräddticka
Knärot
Rynkskinn
Doftskinn
Gammelgransskål
Granticka
Kådvaxskinn
Lunglav
Nordlig nållav
Rosenticka
Ullticka
Vedtrappmossa
Vitgrynig nållav
Mörk husmossa</t>
        </is>
      </c>
      <c r="S21">
        <f>HYPERLINK("https://klasma.github.io/Logging_2283/artfynd/A 49938-2021 artfynd.xlsx", "A 49938-2021")</f>
        <v/>
      </c>
      <c r="T21">
        <f>HYPERLINK("https://klasma.github.io/Logging_2283/kartor/A 49938-2021 karta.png", "A 49938-2021")</f>
        <v/>
      </c>
      <c r="U21">
        <f>HYPERLINK("https://klasma.github.io/Logging_2283/knärot/A 49938-2021 karta knärot.png", "A 49938-2021")</f>
        <v/>
      </c>
      <c r="V21">
        <f>HYPERLINK("https://klasma.github.io/Logging_2283/klagomål/A 49938-2021 FSC-klagomål.docx", "A 49938-2021")</f>
        <v/>
      </c>
      <c r="W21">
        <f>HYPERLINK("https://klasma.github.io/Logging_2283/klagomålsmail/A 49938-2021 FSC-klagomål mail.docx", "A 49938-2021")</f>
        <v/>
      </c>
      <c r="X21">
        <f>HYPERLINK("https://klasma.github.io/Logging_2283/tillsyn/A 49938-2021 tillsynsbegäran.docx", "A 49938-2021")</f>
        <v/>
      </c>
      <c r="Y21">
        <f>HYPERLINK("https://klasma.github.io/Logging_2283/tillsynsmail/A 49938-2021 tillsynsbegäran mail.docx", "A 49938-2021")</f>
        <v/>
      </c>
    </row>
    <row r="22" ht="15" customHeight="1">
      <c r="A22" t="inlineStr">
        <is>
          <t>A 20312-2022</t>
        </is>
      </c>
      <c r="B22" s="1" t="n">
        <v>44698</v>
      </c>
      <c r="C22" s="1" t="n">
        <v>46048</v>
      </c>
      <c r="D22" t="inlineStr">
        <is>
          <t>VÄSTERNORRLANDS LÄN</t>
        </is>
      </c>
      <c r="E22" t="inlineStr">
        <is>
          <t>SOLLEFTEÅ</t>
        </is>
      </c>
      <c r="F22" t="inlineStr">
        <is>
          <t>SCA</t>
        </is>
      </c>
      <c r="G22" t="n">
        <v>5</v>
      </c>
      <c r="H22" t="n">
        <v>9</v>
      </c>
      <c r="I22" t="n">
        <v>2</v>
      </c>
      <c r="J22" t="n">
        <v>11</v>
      </c>
      <c r="K22" t="n">
        <v>1</v>
      </c>
      <c r="L22" t="n">
        <v>0</v>
      </c>
      <c r="M22" t="n">
        <v>0</v>
      </c>
      <c r="N22" t="n">
        <v>0</v>
      </c>
      <c r="O22" t="n">
        <v>12</v>
      </c>
      <c r="P22" t="n">
        <v>1</v>
      </c>
      <c r="Q22" t="n">
        <v>16</v>
      </c>
      <c r="R22" s="2" t="inlineStr">
        <is>
          <t>Knärot
Garnlav
Granticka
Gränsticka
Järpe
Kungsörn
Lunglav
Rosenticka
Spillkråka
Talltita
Tretåig hackspett
Ullticka
Blodticka
Spindelblomster
Lavskrika
Fläcknycklar</t>
        </is>
      </c>
      <c r="S22">
        <f>HYPERLINK("https://klasma.github.io/Logging_2283/artfynd/A 20312-2022 artfynd.xlsx", "A 20312-2022")</f>
        <v/>
      </c>
      <c r="T22">
        <f>HYPERLINK("https://klasma.github.io/Logging_2283/kartor/A 20312-2022 karta.png", "A 20312-2022")</f>
        <v/>
      </c>
      <c r="U22">
        <f>HYPERLINK("https://klasma.github.io/Logging_2283/knärot/A 20312-2022 karta knärot.png", "A 20312-2022")</f>
        <v/>
      </c>
      <c r="V22">
        <f>HYPERLINK("https://klasma.github.io/Logging_2283/klagomål/A 20312-2022 FSC-klagomål.docx", "A 20312-2022")</f>
        <v/>
      </c>
      <c r="W22">
        <f>HYPERLINK("https://klasma.github.io/Logging_2283/klagomålsmail/A 20312-2022 FSC-klagomål mail.docx", "A 20312-2022")</f>
        <v/>
      </c>
      <c r="X22">
        <f>HYPERLINK("https://klasma.github.io/Logging_2283/tillsyn/A 20312-2022 tillsynsbegäran.docx", "A 20312-2022")</f>
        <v/>
      </c>
      <c r="Y22">
        <f>HYPERLINK("https://klasma.github.io/Logging_2283/tillsynsmail/A 20312-2022 tillsynsbegäran mail.docx", "A 20312-2022")</f>
        <v/>
      </c>
      <c r="Z22">
        <f>HYPERLINK("https://klasma.github.io/Logging_2283/fåglar/A 20312-2022 prioriterade fågelarter.docx", "A 20312-2022")</f>
        <v/>
      </c>
    </row>
    <row r="23" ht="15" customHeight="1">
      <c r="A23" t="inlineStr">
        <is>
          <t>A 6059-2024</t>
        </is>
      </c>
      <c r="B23" s="1" t="n">
        <v>45336</v>
      </c>
      <c r="C23" s="1" t="n">
        <v>46048</v>
      </c>
      <c r="D23" t="inlineStr">
        <is>
          <t>VÄSTERNORRLANDS LÄN</t>
        </is>
      </c>
      <c r="E23" t="inlineStr">
        <is>
          <t>SOLLEFTEÅ</t>
        </is>
      </c>
      <c r="F23" t="inlineStr">
        <is>
          <t>Övriga Aktiebolag</t>
        </is>
      </c>
      <c r="G23" t="n">
        <v>10.3</v>
      </c>
      <c r="H23" t="n">
        <v>5</v>
      </c>
      <c r="I23" t="n">
        <v>4</v>
      </c>
      <c r="J23" t="n">
        <v>9</v>
      </c>
      <c r="K23" t="n">
        <v>2</v>
      </c>
      <c r="L23" t="n">
        <v>0</v>
      </c>
      <c r="M23" t="n">
        <v>0</v>
      </c>
      <c r="N23" t="n">
        <v>0</v>
      </c>
      <c r="O23" t="n">
        <v>11</v>
      </c>
      <c r="P23" t="n">
        <v>2</v>
      </c>
      <c r="Q23" t="n">
        <v>16</v>
      </c>
      <c r="R23" s="2" t="inlineStr">
        <is>
          <t>Knärot
Rynkskinn
Gammelgransskål
Garnlav
Lunglav
Rosenticka
Spillkråka
Talltita
Tretåig hackspett
Ullticka
Vitgrynig nållav
Luddlav
Skinnlav
Trådticka
Vedticka
Kungsfågel</t>
        </is>
      </c>
      <c r="S23">
        <f>HYPERLINK("https://klasma.github.io/Logging_2283/artfynd/A 6059-2024 artfynd.xlsx", "A 6059-2024")</f>
        <v/>
      </c>
      <c r="T23">
        <f>HYPERLINK("https://klasma.github.io/Logging_2283/kartor/A 6059-2024 karta.png", "A 6059-2024")</f>
        <v/>
      </c>
      <c r="U23">
        <f>HYPERLINK("https://klasma.github.io/Logging_2283/knärot/A 6059-2024 karta knärot.png", "A 6059-2024")</f>
        <v/>
      </c>
      <c r="V23">
        <f>HYPERLINK("https://klasma.github.io/Logging_2283/klagomål/A 6059-2024 FSC-klagomål.docx", "A 6059-2024")</f>
        <v/>
      </c>
      <c r="W23">
        <f>HYPERLINK("https://klasma.github.io/Logging_2283/klagomålsmail/A 6059-2024 FSC-klagomål mail.docx", "A 6059-2024")</f>
        <v/>
      </c>
      <c r="X23">
        <f>HYPERLINK("https://klasma.github.io/Logging_2283/tillsyn/A 6059-2024 tillsynsbegäran.docx", "A 6059-2024")</f>
        <v/>
      </c>
      <c r="Y23">
        <f>HYPERLINK("https://klasma.github.io/Logging_2283/tillsynsmail/A 6059-2024 tillsynsbegäran mail.docx", "A 6059-2024")</f>
        <v/>
      </c>
      <c r="Z23">
        <f>HYPERLINK("https://klasma.github.io/Logging_2283/fåglar/A 6059-2024 prioriterade fågelarter.docx", "A 6059-2024")</f>
        <v/>
      </c>
    </row>
    <row r="24" ht="15" customHeight="1">
      <c r="A24" t="inlineStr">
        <is>
          <t>A 8658-2024</t>
        </is>
      </c>
      <c r="B24" s="1" t="n">
        <v>45356</v>
      </c>
      <c r="C24" s="1" t="n">
        <v>46048</v>
      </c>
      <c r="D24" t="inlineStr">
        <is>
          <t>VÄSTERNORRLANDS LÄN</t>
        </is>
      </c>
      <c r="E24" t="inlineStr">
        <is>
          <t>SOLLEFTEÅ</t>
        </is>
      </c>
      <c r="G24" t="n">
        <v>4.2</v>
      </c>
      <c r="H24" t="n">
        <v>6</v>
      </c>
      <c r="I24" t="n">
        <v>3</v>
      </c>
      <c r="J24" t="n">
        <v>9</v>
      </c>
      <c r="K24" t="n">
        <v>2</v>
      </c>
      <c r="L24" t="n">
        <v>0</v>
      </c>
      <c r="M24" t="n">
        <v>0</v>
      </c>
      <c r="N24" t="n">
        <v>0</v>
      </c>
      <c r="O24" t="n">
        <v>11</v>
      </c>
      <c r="P24" t="n">
        <v>2</v>
      </c>
      <c r="Q24" t="n">
        <v>16</v>
      </c>
      <c r="R24" s="2" t="inlineStr">
        <is>
          <t>Knärot
Rynkskinn
Gränsticka
Järpe
Leptoporus mollis
Lunglav
Rosenticka
Spillkråka
Tallticka
Tretåig hackspett
Ullticka
Bårdlav
Stuplav
Vedticka
Tjäder
Revlummer</t>
        </is>
      </c>
      <c r="S24">
        <f>HYPERLINK("https://klasma.github.io/Logging_2283/artfynd/A 8658-2024 artfynd.xlsx", "A 8658-2024")</f>
        <v/>
      </c>
      <c r="T24">
        <f>HYPERLINK("https://klasma.github.io/Logging_2283/kartor/A 8658-2024 karta.png", "A 8658-2024")</f>
        <v/>
      </c>
      <c r="U24">
        <f>HYPERLINK("https://klasma.github.io/Logging_2283/knärot/A 8658-2024 karta knärot.png", "A 8658-2024")</f>
        <v/>
      </c>
      <c r="V24">
        <f>HYPERLINK("https://klasma.github.io/Logging_2283/klagomål/A 8658-2024 FSC-klagomål.docx", "A 8658-2024")</f>
        <v/>
      </c>
      <c r="W24">
        <f>HYPERLINK("https://klasma.github.io/Logging_2283/klagomålsmail/A 8658-2024 FSC-klagomål mail.docx", "A 8658-2024")</f>
        <v/>
      </c>
      <c r="X24">
        <f>HYPERLINK("https://klasma.github.io/Logging_2283/tillsyn/A 8658-2024 tillsynsbegäran.docx", "A 8658-2024")</f>
        <v/>
      </c>
      <c r="Y24">
        <f>HYPERLINK("https://klasma.github.io/Logging_2283/tillsynsmail/A 8658-2024 tillsynsbegäran mail.docx", "A 8658-2024")</f>
        <v/>
      </c>
      <c r="Z24">
        <f>HYPERLINK("https://klasma.github.io/Logging_2283/fåglar/A 8658-2024 prioriterade fågelarter.docx", "A 8658-2024")</f>
        <v/>
      </c>
    </row>
    <row r="25" ht="15" customHeight="1">
      <c r="A25" t="inlineStr">
        <is>
          <t>A 26657-2022</t>
        </is>
      </c>
      <c r="B25" s="1" t="n">
        <v>44739</v>
      </c>
      <c r="C25" s="1" t="n">
        <v>46048</v>
      </c>
      <c r="D25" t="inlineStr">
        <is>
          <t>VÄSTERNORRLANDS LÄN</t>
        </is>
      </c>
      <c r="E25" t="inlineStr">
        <is>
          <t>SOLLEFTEÅ</t>
        </is>
      </c>
      <c r="F25" t="inlineStr">
        <is>
          <t>Holmen skog AB</t>
        </is>
      </c>
      <c r="G25" t="n">
        <v>4.6</v>
      </c>
      <c r="H25" t="n">
        <v>5</v>
      </c>
      <c r="I25" t="n">
        <v>5</v>
      </c>
      <c r="J25" t="n">
        <v>6</v>
      </c>
      <c r="K25" t="n">
        <v>3</v>
      </c>
      <c r="L25" t="n">
        <v>0</v>
      </c>
      <c r="M25" t="n">
        <v>0</v>
      </c>
      <c r="N25" t="n">
        <v>0</v>
      </c>
      <c r="O25" t="n">
        <v>9</v>
      </c>
      <c r="P25" t="n">
        <v>3</v>
      </c>
      <c r="Q25" t="n">
        <v>16</v>
      </c>
      <c r="R25" s="2" t="inlineStr">
        <is>
          <t>Knärot
Rynkskinn
Ulltickeporing
Garnlav
Granticka
Lunglav
Rosenticka
Talltita
Ullticka
Bollvitmossa
Luddlav
Spindelblomster
Stuplav
Vedticka
Fläcknycklar
Revlummer</t>
        </is>
      </c>
      <c r="S25">
        <f>HYPERLINK("https://klasma.github.io/Logging_2283/artfynd/A 26657-2022 artfynd.xlsx", "A 26657-2022")</f>
        <v/>
      </c>
      <c r="T25">
        <f>HYPERLINK("https://klasma.github.io/Logging_2283/kartor/A 26657-2022 karta.png", "A 26657-2022")</f>
        <v/>
      </c>
      <c r="U25">
        <f>HYPERLINK("https://klasma.github.io/Logging_2283/knärot/A 26657-2022 karta knärot.png", "A 26657-2022")</f>
        <v/>
      </c>
      <c r="V25">
        <f>HYPERLINK("https://klasma.github.io/Logging_2283/klagomål/A 26657-2022 FSC-klagomål.docx", "A 26657-2022")</f>
        <v/>
      </c>
      <c r="W25">
        <f>HYPERLINK("https://klasma.github.io/Logging_2283/klagomålsmail/A 26657-2022 FSC-klagomål mail.docx", "A 26657-2022")</f>
        <v/>
      </c>
      <c r="X25">
        <f>HYPERLINK("https://klasma.github.io/Logging_2283/tillsyn/A 26657-2022 tillsynsbegäran.docx", "A 26657-2022")</f>
        <v/>
      </c>
      <c r="Y25">
        <f>HYPERLINK("https://klasma.github.io/Logging_2283/tillsynsmail/A 26657-2022 tillsynsbegäran mail.docx", "A 26657-2022")</f>
        <v/>
      </c>
      <c r="Z25">
        <f>HYPERLINK("https://klasma.github.io/Logging_2283/fåglar/A 26657-2022 prioriterade fågelarter.docx", "A 26657-2022")</f>
        <v/>
      </c>
    </row>
    <row r="26" ht="15" customHeight="1">
      <c r="A26" t="inlineStr">
        <is>
          <t>A 34269-2022</t>
        </is>
      </c>
      <c r="B26" s="1" t="n">
        <v>44791</v>
      </c>
      <c r="C26" s="1" t="n">
        <v>46048</v>
      </c>
      <c r="D26" t="inlineStr">
        <is>
          <t>VÄSTERNORRLANDS LÄN</t>
        </is>
      </c>
      <c r="E26" t="inlineStr">
        <is>
          <t>SOLLEFTEÅ</t>
        </is>
      </c>
      <c r="F26" t="inlineStr">
        <is>
          <t>SCA</t>
        </is>
      </c>
      <c r="G26" t="n">
        <v>5.9</v>
      </c>
      <c r="H26" t="n">
        <v>3</v>
      </c>
      <c r="I26" t="n">
        <v>2</v>
      </c>
      <c r="J26" t="n">
        <v>11</v>
      </c>
      <c r="K26" t="n">
        <v>2</v>
      </c>
      <c r="L26" t="n">
        <v>0</v>
      </c>
      <c r="M26" t="n">
        <v>0</v>
      </c>
      <c r="N26" t="n">
        <v>0</v>
      </c>
      <c r="O26" t="n">
        <v>13</v>
      </c>
      <c r="P26" t="n">
        <v>2</v>
      </c>
      <c r="Q26" t="n">
        <v>15</v>
      </c>
      <c r="R26" s="2" t="inlineStr">
        <is>
          <t>Knärot
Smalfotad taggsvamp
Gammelgransskål
Garnlav
Granticka
Gränsticka
Kolflarnlav
Rosenticka
Tallticka
Talltita
Tretåig hackspett
Vaddporing
Vedskivlav
Norrlandslav
Vedticka</t>
        </is>
      </c>
      <c r="S26">
        <f>HYPERLINK("https://klasma.github.io/Logging_2283/artfynd/A 34269-2022 artfynd.xlsx", "A 34269-2022")</f>
        <v/>
      </c>
      <c r="T26">
        <f>HYPERLINK("https://klasma.github.io/Logging_2283/kartor/A 34269-2022 karta.png", "A 34269-2022")</f>
        <v/>
      </c>
      <c r="U26">
        <f>HYPERLINK("https://klasma.github.io/Logging_2283/knärot/A 34269-2022 karta knärot.png", "A 34269-2022")</f>
        <v/>
      </c>
      <c r="V26">
        <f>HYPERLINK("https://klasma.github.io/Logging_2283/klagomål/A 34269-2022 FSC-klagomål.docx", "A 34269-2022")</f>
        <v/>
      </c>
      <c r="W26">
        <f>HYPERLINK("https://klasma.github.io/Logging_2283/klagomålsmail/A 34269-2022 FSC-klagomål mail.docx", "A 34269-2022")</f>
        <v/>
      </c>
      <c r="X26">
        <f>HYPERLINK("https://klasma.github.io/Logging_2283/tillsyn/A 34269-2022 tillsynsbegäran.docx", "A 34269-2022")</f>
        <v/>
      </c>
      <c r="Y26">
        <f>HYPERLINK("https://klasma.github.io/Logging_2283/tillsynsmail/A 34269-2022 tillsynsbegäran mail.docx", "A 34269-2022")</f>
        <v/>
      </c>
      <c r="Z26">
        <f>HYPERLINK("https://klasma.github.io/Logging_2283/fåglar/A 34269-2022 prioriterade fågelarter.docx", "A 34269-2022")</f>
        <v/>
      </c>
    </row>
    <row r="27" ht="15" customHeight="1">
      <c r="A27" t="inlineStr">
        <is>
          <t>A 49356-2025</t>
        </is>
      </c>
      <c r="B27" s="1" t="n">
        <v>45938</v>
      </c>
      <c r="C27" s="1" t="n">
        <v>46048</v>
      </c>
      <c r="D27" t="inlineStr">
        <is>
          <t>VÄSTERNORRLANDS LÄN</t>
        </is>
      </c>
      <c r="E27" t="inlineStr">
        <is>
          <t>SOLLEFTEÅ</t>
        </is>
      </c>
      <c r="F27" t="inlineStr">
        <is>
          <t>SCA</t>
        </is>
      </c>
      <c r="G27" t="n">
        <v>10.2</v>
      </c>
      <c r="H27" t="n">
        <v>6</v>
      </c>
      <c r="I27" t="n">
        <v>6</v>
      </c>
      <c r="J27" t="n">
        <v>7</v>
      </c>
      <c r="K27" t="n">
        <v>1</v>
      </c>
      <c r="L27" t="n">
        <v>0</v>
      </c>
      <c r="M27" t="n">
        <v>0</v>
      </c>
      <c r="N27" t="n">
        <v>0</v>
      </c>
      <c r="O27" t="n">
        <v>8</v>
      </c>
      <c r="P27" t="n">
        <v>1</v>
      </c>
      <c r="Q27" t="n">
        <v>15</v>
      </c>
      <c r="R27" s="2" t="inlineStr">
        <is>
          <t>Knärot
Garnlav
Granticka
Harticka
Lunglav
Spillkråka
Talltita
Tretåig hackspett
Bollvitmossa
Fjällig taggsvamp s.str.
Lappranunkel
Norrlandslav
Vedticka
Vågbandad barkbock
Revlummer</t>
        </is>
      </c>
      <c r="S27">
        <f>HYPERLINK("https://klasma.github.io/Logging_2283/artfynd/A 49356-2025 artfynd.xlsx", "A 49356-2025")</f>
        <v/>
      </c>
      <c r="T27">
        <f>HYPERLINK("https://klasma.github.io/Logging_2283/kartor/A 49356-2025 karta.png", "A 49356-2025")</f>
        <v/>
      </c>
      <c r="U27">
        <f>HYPERLINK("https://klasma.github.io/Logging_2283/knärot/A 49356-2025 karta knärot.png", "A 49356-2025")</f>
        <v/>
      </c>
      <c r="V27">
        <f>HYPERLINK("https://klasma.github.io/Logging_2283/klagomål/A 49356-2025 FSC-klagomål.docx", "A 49356-2025")</f>
        <v/>
      </c>
      <c r="W27">
        <f>HYPERLINK("https://klasma.github.io/Logging_2283/klagomålsmail/A 49356-2025 FSC-klagomål mail.docx", "A 49356-2025")</f>
        <v/>
      </c>
      <c r="X27">
        <f>HYPERLINK("https://klasma.github.io/Logging_2283/tillsyn/A 49356-2025 tillsynsbegäran.docx", "A 49356-2025")</f>
        <v/>
      </c>
      <c r="Y27">
        <f>HYPERLINK("https://klasma.github.io/Logging_2283/tillsynsmail/A 49356-2025 tillsynsbegäran mail.docx", "A 49356-2025")</f>
        <v/>
      </c>
      <c r="Z27">
        <f>HYPERLINK("https://klasma.github.io/Logging_2283/fåglar/A 49356-2025 prioriterade fågelarter.docx", "A 49356-2025")</f>
        <v/>
      </c>
    </row>
    <row r="28" ht="15" customHeight="1">
      <c r="A28" t="inlineStr">
        <is>
          <t>A 40262-2024</t>
        </is>
      </c>
      <c r="B28" s="1" t="n">
        <v>45554</v>
      </c>
      <c r="C28" s="1" t="n">
        <v>46048</v>
      </c>
      <c r="D28" t="inlineStr">
        <is>
          <t>VÄSTERNORRLANDS LÄN</t>
        </is>
      </c>
      <c r="E28" t="inlineStr">
        <is>
          <t>SOLLEFTEÅ</t>
        </is>
      </c>
      <c r="F28" t="inlineStr">
        <is>
          <t>SCA</t>
        </is>
      </c>
      <c r="G28" t="n">
        <v>17.9</v>
      </c>
      <c r="H28" t="n">
        <v>4</v>
      </c>
      <c r="I28" t="n">
        <v>2</v>
      </c>
      <c r="J28" t="n">
        <v>11</v>
      </c>
      <c r="K28" t="n">
        <v>1</v>
      </c>
      <c r="L28" t="n">
        <v>0</v>
      </c>
      <c r="M28" t="n">
        <v>0</v>
      </c>
      <c r="N28" t="n">
        <v>0</v>
      </c>
      <c r="O28" t="n">
        <v>12</v>
      </c>
      <c r="P28" t="n">
        <v>1</v>
      </c>
      <c r="Q28" t="n">
        <v>14</v>
      </c>
      <c r="R28" s="2" t="inlineStr">
        <is>
          <t>Knärot
Garnlav
Järpe
Kolflarnlav
Leptoporus mollis
Motaggsvamp
Rosenticka
Spillkråka
Stjärntagging
Tallticka
Tretåig hackspett
Ullticka
Bollvitmossa
Vedticka</t>
        </is>
      </c>
      <c r="S28">
        <f>HYPERLINK("https://klasma.github.io/Logging_2283/artfynd/A 40262-2024 artfynd.xlsx", "A 40262-2024")</f>
        <v/>
      </c>
      <c r="T28">
        <f>HYPERLINK("https://klasma.github.io/Logging_2283/kartor/A 40262-2024 karta.png", "A 40262-2024")</f>
        <v/>
      </c>
      <c r="U28">
        <f>HYPERLINK("https://klasma.github.io/Logging_2283/knärot/A 40262-2024 karta knärot.png", "A 40262-2024")</f>
        <v/>
      </c>
      <c r="V28">
        <f>HYPERLINK("https://klasma.github.io/Logging_2283/klagomål/A 40262-2024 FSC-klagomål.docx", "A 40262-2024")</f>
        <v/>
      </c>
      <c r="W28">
        <f>HYPERLINK("https://klasma.github.io/Logging_2283/klagomålsmail/A 40262-2024 FSC-klagomål mail.docx", "A 40262-2024")</f>
        <v/>
      </c>
      <c r="X28">
        <f>HYPERLINK("https://klasma.github.io/Logging_2283/tillsyn/A 40262-2024 tillsynsbegäran.docx", "A 40262-2024")</f>
        <v/>
      </c>
      <c r="Y28">
        <f>HYPERLINK("https://klasma.github.io/Logging_2283/tillsynsmail/A 40262-2024 tillsynsbegäran mail.docx", "A 40262-2024")</f>
        <v/>
      </c>
      <c r="Z28">
        <f>HYPERLINK("https://klasma.github.io/Logging_2283/fåglar/A 40262-2024 prioriterade fågelarter.docx", "A 40262-2024")</f>
        <v/>
      </c>
    </row>
    <row r="29" ht="15" customHeight="1">
      <c r="A29" t="inlineStr">
        <is>
          <t>A 33964-2023</t>
        </is>
      </c>
      <c r="B29" s="1" t="n">
        <v>45124</v>
      </c>
      <c r="C29" s="1" t="n">
        <v>46048</v>
      </c>
      <c r="D29" t="inlineStr">
        <is>
          <t>VÄSTERNORRLANDS LÄN</t>
        </is>
      </c>
      <c r="E29" t="inlineStr">
        <is>
          <t>SOLLEFTEÅ</t>
        </is>
      </c>
      <c r="F29" t="inlineStr">
        <is>
          <t>SCA</t>
        </is>
      </c>
      <c r="G29" t="n">
        <v>4.9</v>
      </c>
      <c r="H29" t="n">
        <v>1</v>
      </c>
      <c r="I29" t="n">
        <v>3</v>
      </c>
      <c r="J29" t="n">
        <v>11</v>
      </c>
      <c r="K29" t="n">
        <v>0</v>
      </c>
      <c r="L29" t="n">
        <v>0</v>
      </c>
      <c r="M29" t="n">
        <v>0</v>
      </c>
      <c r="N29" t="n">
        <v>0</v>
      </c>
      <c r="O29" t="n">
        <v>11</v>
      </c>
      <c r="P29" t="n">
        <v>0</v>
      </c>
      <c r="Q29" t="n">
        <v>14</v>
      </c>
      <c r="R29" s="2" t="inlineStr">
        <is>
          <t>Dvärgbägarlav
Gammelgransskål
Garnlav
Granticka
Kolflarnlav
Lunglav
Mörk kolflarnlav
Nordtagging
Spillkråka
Ullticka
Vitgrynig nållav
Dropptaggsvamp
Norrlandslav
Stuplav</t>
        </is>
      </c>
      <c r="S29">
        <f>HYPERLINK("https://klasma.github.io/Logging_2283/artfynd/A 33964-2023 artfynd.xlsx", "A 33964-2023")</f>
        <v/>
      </c>
      <c r="T29">
        <f>HYPERLINK("https://klasma.github.io/Logging_2283/kartor/A 33964-2023 karta.png", "A 33964-2023")</f>
        <v/>
      </c>
      <c r="V29">
        <f>HYPERLINK("https://klasma.github.io/Logging_2283/klagomål/A 33964-2023 FSC-klagomål.docx", "A 33964-2023")</f>
        <v/>
      </c>
      <c r="W29">
        <f>HYPERLINK("https://klasma.github.io/Logging_2283/klagomålsmail/A 33964-2023 FSC-klagomål mail.docx", "A 33964-2023")</f>
        <v/>
      </c>
      <c r="X29">
        <f>HYPERLINK("https://klasma.github.io/Logging_2283/tillsyn/A 33964-2023 tillsynsbegäran.docx", "A 33964-2023")</f>
        <v/>
      </c>
      <c r="Y29">
        <f>HYPERLINK("https://klasma.github.io/Logging_2283/tillsynsmail/A 33964-2023 tillsynsbegäran mail.docx", "A 33964-2023")</f>
        <v/>
      </c>
      <c r="Z29">
        <f>HYPERLINK("https://klasma.github.io/Logging_2283/fåglar/A 33964-2023 prioriterade fågelarter.docx", "A 33964-2023")</f>
        <v/>
      </c>
    </row>
    <row r="30" ht="15" customHeight="1">
      <c r="A30" t="inlineStr">
        <is>
          <t>A 12277-2021</t>
        </is>
      </c>
      <c r="B30" s="1" t="n">
        <v>44266</v>
      </c>
      <c r="C30" s="1" t="n">
        <v>46048</v>
      </c>
      <c r="D30" t="inlineStr">
        <is>
          <t>VÄSTERNORRLANDS LÄN</t>
        </is>
      </c>
      <c r="E30" t="inlineStr">
        <is>
          <t>SOLLEFTEÅ</t>
        </is>
      </c>
      <c r="F30" t="inlineStr">
        <is>
          <t>SCA</t>
        </is>
      </c>
      <c r="G30" t="n">
        <v>4.5</v>
      </c>
      <c r="H30" t="n">
        <v>2</v>
      </c>
      <c r="I30" t="n">
        <v>1</v>
      </c>
      <c r="J30" t="n">
        <v>7</v>
      </c>
      <c r="K30" t="n">
        <v>3</v>
      </c>
      <c r="L30" t="n">
        <v>0</v>
      </c>
      <c r="M30" t="n">
        <v>1</v>
      </c>
      <c r="N30" t="n">
        <v>0</v>
      </c>
      <c r="O30" t="n">
        <v>11</v>
      </c>
      <c r="P30" t="n">
        <v>4</v>
      </c>
      <c r="Q30" t="n">
        <v>13</v>
      </c>
      <c r="R30" s="2" t="inlineStr">
        <is>
          <t>Citronporing
Gräddporing
Knärot
Rynkskinn
Gammelgransskål
Garnlav
Lunglav
Rosenticka
Ullticka
Vaddporing
Violettgrå tagellav
Vedticka
Lavskrika</t>
        </is>
      </c>
      <c r="S30">
        <f>HYPERLINK("https://klasma.github.io/Logging_2283/artfynd/A 12277-2021 artfynd.xlsx", "A 12277-2021")</f>
        <v/>
      </c>
      <c r="T30">
        <f>HYPERLINK("https://klasma.github.io/Logging_2283/kartor/A 12277-2021 karta.png", "A 12277-2021")</f>
        <v/>
      </c>
      <c r="U30">
        <f>HYPERLINK("https://klasma.github.io/Logging_2283/knärot/A 12277-2021 karta knärot.png", "A 12277-2021")</f>
        <v/>
      </c>
      <c r="V30">
        <f>HYPERLINK("https://klasma.github.io/Logging_2283/klagomål/A 12277-2021 FSC-klagomål.docx", "A 12277-2021")</f>
        <v/>
      </c>
      <c r="W30">
        <f>HYPERLINK("https://klasma.github.io/Logging_2283/klagomålsmail/A 12277-2021 FSC-klagomål mail.docx", "A 12277-2021")</f>
        <v/>
      </c>
      <c r="X30">
        <f>HYPERLINK("https://klasma.github.io/Logging_2283/tillsyn/A 12277-2021 tillsynsbegäran.docx", "A 12277-2021")</f>
        <v/>
      </c>
      <c r="Y30">
        <f>HYPERLINK("https://klasma.github.io/Logging_2283/tillsynsmail/A 12277-2021 tillsynsbegäran mail.docx", "A 12277-2021")</f>
        <v/>
      </c>
      <c r="Z30">
        <f>HYPERLINK("https://klasma.github.io/Logging_2283/fåglar/A 12277-2021 prioriterade fågelarter.docx", "A 12277-2021")</f>
        <v/>
      </c>
    </row>
    <row r="31" ht="15" customHeight="1">
      <c r="A31" t="inlineStr">
        <is>
          <t>A 17415-2022</t>
        </is>
      </c>
      <c r="B31" s="1" t="n">
        <v>44678</v>
      </c>
      <c r="C31" s="1" t="n">
        <v>46048</v>
      </c>
      <c r="D31" t="inlineStr">
        <is>
          <t>VÄSTERNORRLANDS LÄN</t>
        </is>
      </c>
      <c r="E31" t="inlineStr">
        <is>
          <t>SOLLEFTEÅ</t>
        </is>
      </c>
      <c r="G31" t="n">
        <v>9.1</v>
      </c>
      <c r="H31" t="n">
        <v>3</v>
      </c>
      <c r="I31" t="n">
        <v>3</v>
      </c>
      <c r="J31" t="n">
        <v>6</v>
      </c>
      <c r="K31" t="n">
        <v>3</v>
      </c>
      <c r="L31" t="n">
        <v>0</v>
      </c>
      <c r="M31" t="n">
        <v>0</v>
      </c>
      <c r="N31" t="n">
        <v>0</v>
      </c>
      <c r="O31" t="n">
        <v>9</v>
      </c>
      <c r="P31" t="n">
        <v>3</v>
      </c>
      <c r="Q31" t="n">
        <v>13</v>
      </c>
      <c r="R31" s="2" t="inlineStr">
        <is>
          <t>Blackticka
Knärot
Rynkskinn
Gammelgransskål
Harticka
Rosenticka
Tretåig hackspett
Ullticka
Vitgrynig nållav
Skinnlav
Stor aspticka
Vedticka
Blåsippa</t>
        </is>
      </c>
      <c r="S31">
        <f>HYPERLINK("https://klasma.github.io/Logging_2283/artfynd/A 17415-2022 artfynd.xlsx", "A 17415-2022")</f>
        <v/>
      </c>
      <c r="T31">
        <f>HYPERLINK("https://klasma.github.io/Logging_2283/kartor/A 17415-2022 karta.png", "A 17415-2022")</f>
        <v/>
      </c>
      <c r="U31">
        <f>HYPERLINK("https://klasma.github.io/Logging_2283/knärot/A 17415-2022 karta knärot.png", "A 17415-2022")</f>
        <v/>
      </c>
      <c r="V31">
        <f>HYPERLINK("https://klasma.github.io/Logging_2283/klagomål/A 17415-2022 FSC-klagomål.docx", "A 17415-2022")</f>
        <v/>
      </c>
      <c r="W31">
        <f>HYPERLINK("https://klasma.github.io/Logging_2283/klagomålsmail/A 17415-2022 FSC-klagomål mail.docx", "A 17415-2022")</f>
        <v/>
      </c>
      <c r="X31">
        <f>HYPERLINK("https://klasma.github.io/Logging_2283/tillsyn/A 17415-2022 tillsynsbegäran.docx", "A 17415-2022")</f>
        <v/>
      </c>
      <c r="Y31">
        <f>HYPERLINK("https://klasma.github.io/Logging_2283/tillsynsmail/A 17415-2022 tillsynsbegäran mail.docx", "A 17415-2022")</f>
        <v/>
      </c>
      <c r="Z31">
        <f>HYPERLINK("https://klasma.github.io/Logging_2283/fåglar/A 17415-2022 prioriterade fågelarter.docx", "A 17415-2022")</f>
        <v/>
      </c>
    </row>
    <row r="32" ht="15" customHeight="1">
      <c r="A32" t="inlineStr">
        <is>
          <t>A 22209-2025</t>
        </is>
      </c>
      <c r="B32" s="1" t="n">
        <v>45785.65732638889</v>
      </c>
      <c r="C32" s="1" t="n">
        <v>46048</v>
      </c>
      <c r="D32" t="inlineStr">
        <is>
          <t>VÄSTERNORRLANDS LÄN</t>
        </is>
      </c>
      <c r="E32" t="inlineStr">
        <is>
          <t>SOLLEFTEÅ</t>
        </is>
      </c>
      <c r="F32" t="inlineStr">
        <is>
          <t>SCA</t>
        </is>
      </c>
      <c r="G32" t="n">
        <v>10.1</v>
      </c>
      <c r="H32" t="n">
        <v>2</v>
      </c>
      <c r="I32" t="n">
        <v>6</v>
      </c>
      <c r="J32" t="n">
        <v>6</v>
      </c>
      <c r="K32" t="n">
        <v>1</v>
      </c>
      <c r="L32" t="n">
        <v>0</v>
      </c>
      <c r="M32" t="n">
        <v>0</v>
      </c>
      <c r="N32" t="n">
        <v>0</v>
      </c>
      <c r="O32" t="n">
        <v>7</v>
      </c>
      <c r="P32" t="n">
        <v>1</v>
      </c>
      <c r="Q32" t="n">
        <v>13</v>
      </c>
      <c r="R32" s="2" t="inlineStr">
        <is>
          <t>Knärot
Garnlav
Granticka
Harticka
Lunglav
Rosenticka
Ullticka
Bronshjon
Spindelblomster
Stor aspticka
Thomsons trägnagare
Vedticka
Vågbandad barkbock</t>
        </is>
      </c>
      <c r="S32">
        <f>HYPERLINK("https://klasma.github.io/Logging_2283/artfynd/A 22209-2025 artfynd.xlsx", "A 22209-2025")</f>
        <v/>
      </c>
      <c r="T32">
        <f>HYPERLINK("https://klasma.github.io/Logging_2283/kartor/A 22209-2025 karta.png", "A 22209-2025")</f>
        <v/>
      </c>
      <c r="U32">
        <f>HYPERLINK("https://klasma.github.io/Logging_2283/knärot/A 22209-2025 karta knärot.png", "A 22209-2025")</f>
        <v/>
      </c>
      <c r="V32">
        <f>HYPERLINK("https://klasma.github.io/Logging_2283/klagomål/A 22209-2025 FSC-klagomål.docx", "A 22209-2025")</f>
        <v/>
      </c>
      <c r="W32">
        <f>HYPERLINK("https://klasma.github.io/Logging_2283/klagomålsmail/A 22209-2025 FSC-klagomål mail.docx", "A 22209-2025")</f>
        <v/>
      </c>
      <c r="X32">
        <f>HYPERLINK("https://klasma.github.io/Logging_2283/tillsyn/A 22209-2025 tillsynsbegäran.docx", "A 22209-2025")</f>
        <v/>
      </c>
      <c r="Y32">
        <f>HYPERLINK("https://klasma.github.io/Logging_2283/tillsynsmail/A 22209-2025 tillsynsbegäran mail.docx", "A 22209-2025")</f>
        <v/>
      </c>
    </row>
    <row r="33" ht="15" customHeight="1">
      <c r="A33" t="inlineStr">
        <is>
          <t>A 32199-2023</t>
        </is>
      </c>
      <c r="B33" s="1" t="n">
        <v>45119</v>
      </c>
      <c r="C33" s="1" t="n">
        <v>46048</v>
      </c>
      <c r="D33" t="inlineStr">
        <is>
          <t>VÄSTERNORRLANDS LÄN</t>
        </is>
      </c>
      <c r="E33" t="inlineStr">
        <is>
          <t>SOLLEFTEÅ</t>
        </is>
      </c>
      <c r="G33" t="n">
        <v>7.2</v>
      </c>
      <c r="H33" t="n">
        <v>4</v>
      </c>
      <c r="I33" t="n">
        <v>1</v>
      </c>
      <c r="J33" t="n">
        <v>9</v>
      </c>
      <c r="K33" t="n">
        <v>3</v>
      </c>
      <c r="L33" t="n">
        <v>0</v>
      </c>
      <c r="M33" t="n">
        <v>0</v>
      </c>
      <c r="N33" t="n">
        <v>0</v>
      </c>
      <c r="O33" t="n">
        <v>12</v>
      </c>
      <c r="P33" t="n">
        <v>3</v>
      </c>
      <c r="Q33" t="n">
        <v>13</v>
      </c>
      <c r="R33" s="2" t="inlineStr">
        <is>
          <t>Knärot
Lappticka
Rynkskinn
Garnlav
Granticka
Järpe
Lunglav
Rosenticka
Talltita
Tretåig hackspett
Ullticka
Vitgrynig nållav
Vedticka</t>
        </is>
      </c>
      <c r="S33">
        <f>HYPERLINK("https://klasma.github.io/Logging_2283/artfynd/A 32199-2023 artfynd.xlsx", "A 32199-2023")</f>
        <v/>
      </c>
      <c r="T33">
        <f>HYPERLINK("https://klasma.github.io/Logging_2283/kartor/A 32199-2023 karta.png", "A 32199-2023")</f>
        <v/>
      </c>
      <c r="U33">
        <f>HYPERLINK("https://klasma.github.io/Logging_2283/knärot/A 32199-2023 karta knärot.png", "A 32199-2023")</f>
        <v/>
      </c>
      <c r="V33">
        <f>HYPERLINK("https://klasma.github.io/Logging_2283/klagomål/A 32199-2023 FSC-klagomål.docx", "A 32199-2023")</f>
        <v/>
      </c>
      <c r="W33">
        <f>HYPERLINK("https://klasma.github.io/Logging_2283/klagomålsmail/A 32199-2023 FSC-klagomål mail.docx", "A 32199-2023")</f>
        <v/>
      </c>
      <c r="X33">
        <f>HYPERLINK("https://klasma.github.io/Logging_2283/tillsyn/A 32199-2023 tillsynsbegäran.docx", "A 32199-2023")</f>
        <v/>
      </c>
      <c r="Y33">
        <f>HYPERLINK("https://klasma.github.io/Logging_2283/tillsynsmail/A 32199-2023 tillsynsbegäran mail.docx", "A 32199-2023")</f>
        <v/>
      </c>
      <c r="Z33">
        <f>HYPERLINK("https://klasma.github.io/Logging_2283/fåglar/A 32199-2023 prioriterade fågelarter.docx", "A 32199-2023")</f>
        <v/>
      </c>
    </row>
    <row r="34" ht="15" customHeight="1">
      <c r="A34" t="inlineStr">
        <is>
          <t>A 28663-2023</t>
        </is>
      </c>
      <c r="B34" s="1" t="n">
        <v>45096</v>
      </c>
      <c r="C34" s="1" t="n">
        <v>46048</v>
      </c>
      <c r="D34" t="inlineStr">
        <is>
          <t>VÄSTERNORRLANDS LÄN</t>
        </is>
      </c>
      <c r="E34" t="inlineStr">
        <is>
          <t>SOLLEFTEÅ</t>
        </is>
      </c>
      <c r="G34" t="n">
        <v>15.4</v>
      </c>
      <c r="H34" t="n">
        <v>4</v>
      </c>
      <c r="I34" t="n">
        <v>3</v>
      </c>
      <c r="J34" t="n">
        <v>7</v>
      </c>
      <c r="K34" t="n">
        <v>2</v>
      </c>
      <c r="L34" t="n">
        <v>0</v>
      </c>
      <c r="M34" t="n">
        <v>0</v>
      </c>
      <c r="N34" t="n">
        <v>0</v>
      </c>
      <c r="O34" t="n">
        <v>9</v>
      </c>
      <c r="P34" t="n">
        <v>2</v>
      </c>
      <c r="Q34" t="n">
        <v>13</v>
      </c>
      <c r="R34" s="2" t="inlineStr">
        <is>
          <t>Knärot
Rynkskinn
Garnlav
Lunglav
Mörk kolflarnlav
Rosenticka
Spillkråka
Tretåig hackspett
Ullticka
Dropptaggsvamp
Vanlig flatbagge
Vedticka
Fläcknycklar</t>
        </is>
      </c>
      <c r="S34">
        <f>HYPERLINK("https://klasma.github.io/Logging_2283/artfynd/A 28663-2023 artfynd.xlsx", "A 28663-2023")</f>
        <v/>
      </c>
      <c r="T34">
        <f>HYPERLINK("https://klasma.github.io/Logging_2283/kartor/A 28663-2023 karta.png", "A 28663-2023")</f>
        <v/>
      </c>
      <c r="U34">
        <f>HYPERLINK("https://klasma.github.io/Logging_2283/knärot/A 28663-2023 karta knärot.png", "A 28663-2023")</f>
        <v/>
      </c>
      <c r="V34">
        <f>HYPERLINK("https://klasma.github.io/Logging_2283/klagomål/A 28663-2023 FSC-klagomål.docx", "A 28663-2023")</f>
        <v/>
      </c>
      <c r="W34">
        <f>HYPERLINK("https://klasma.github.io/Logging_2283/klagomålsmail/A 28663-2023 FSC-klagomål mail.docx", "A 28663-2023")</f>
        <v/>
      </c>
      <c r="X34">
        <f>HYPERLINK("https://klasma.github.io/Logging_2283/tillsyn/A 28663-2023 tillsynsbegäran.docx", "A 28663-2023")</f>
        <v/>
      </c>
      <c r="Y34">
        <f>HYPERLINK("https://klasma.github.io/Logging_2283/tillsynsmail/A 28663-2023 tillsynsbegäran mail.docx", "A 28663-2023")</f>
        <v/>
      </c>
      <c r="Z34">
        <f>HYPERLINK("https://klasma.github.io/Logging_2283/fåglar/A 28663-2023 prioriterade fågelarter.docx", "A 28663-2023")</f>
        <v/>
      </c>
    </row>
    <row r="35" ht="15" customHeight="1">
      <c r="A35" t="inlineStr">
        <is>
          <t>A 1963-2025</t>
        </is>
      </c>
      <c r="B35" s="1" t="n">
        <v>45672</v>
      </c>
      <c r="C35" s="1" t="n">
        <v>46048</v>
      </c>
      <c r="D35" t="inlineStr">
        <is>
          <t>VÄSTERNORRLANDS LÄN</t>
        </is>
      </c>
      <c r="E35" t="inlineStr">
        <is>
          <t>SOLLEFTEÅ</t>
        </is>
      </c>
      <c r="G35" t="n">
        <v>3.1</v>
      </c>
      <c r="H35" t="n">
        <v>4</v>
      </c>
      <c r="I35" t="n">
        <v>1</v>
      </c>
      <c r="J35" t="n">
        <v>9</v>
      </c>
      <c r="K35" t="n">
        <v>2</v>
      </c>
      <c r="L35" t="n">
        <v>0</v>
      </c>
      <c r="M35" t="n">
        <v>0</v>
      </c>
      <c r="N35" t="n">
        <v>0</v>
      </c>
      <c r="O35" t="n">
        <v>11</v>
      </c>
      <c r="P35" t="n">
        <v>2</v>
      </c>
      <c r="Q35" t="n">
        <v>13</v>
      </c>
      <c r="R35" s="2" t="inlineStr">
        <is>
          <t>Knärot
Rynkskinn
Granticka
Gränsticka
Harticka
Leptoporus mollis
Lunglav
Rosenticka
Talltita
Tretåig hackspett
Ullticka
Vågbandad barkbock
Revlummer</t>
        </is>
      </c>
      <c r="S35">
        <f>HYPERLINK("https://klasma.github.io/Logging_2283/artfynd/A 1963-2025 artfynd.xlsx", "A 1963-2025")</f>
        <v/>
      </c>
      <c r="T35">
        <f>HYPERLINK("https://klasma.github.io/Logging_2283/kartor/A 1963-2025 karta.png", "A 1963-2025")</f>
        <v/>
      </c>
      <c r="U35">
        <f>HYPERLINK("https://klasma.github.io/Logging_2283/knärot/A 1963-2025 karta knärot.png", "A 1963-2025")</f>
        <v/>
      </c>
      <c r="V35">
        <f>HYPERLINK("https://klasma.github.io/Logging_2283/klagomål/A 1963-2025 FSC-klagomål.docx", "A 1963-2025")</f>
        <v/>
      </c>
      <c r="W35">
        <f>HYPERLINK("https://klasma.github.io/Logging_2283/klagomålsmail/A 1963-2025 FSC-klagomål mail.docx", "A 1963-2025")</f>
        <v/>
      </c>
      <c r="X35">
        <f>HYPERLINK("https://klasma.github.io/Logging_2283/tillsyn/A 1963-2025 tillsynsbegäran.docx", "A 1963-2025")</f>
        <v/>
      </c>
      <c r="Y35">
        <f>HYPERLINK("https://klasma.github.io/Logging_2283/tillsynsmail/A 1963-2025 tillsynsbegäran mail.docx", "A 1963-2025")</f>
        <v/>
      </c>
      <c r="Z35">
        <f>HYPERLINK("https://klasma.github.io/Logging_2283/fåglar/A 1963-2025 prioriterade fågelarter.docx", "A 1963-2025")</f>
        <v/>
      </c>
    </row>
    <row r="36" ht="15" customHeight="1">
      <c r="A36" t="inlineStr">
        <is>
          <t>A 25521-2025</t>
        </is>
      </c>
      <c r="B36" s="1" t="n">
        <v>45803</v>
      </c>
      <c r="C36" s="1" t="n">
        <v>46048</v>
      </c>
      <c r="D36" t="inlineStr">
        <is>
          <t>VÄSTERNORRLANDS LÄN</t>
        </is>
      </c>
      <c r="E36" t="inlineStr">
        <is>
          <t>SOLLEFTEÅ</t>
        </is>
      </c>
      <c r="F36" t="inlineStr">
        <is>
          <t>SCA</t>
        </is>
      </c>
      <c r="G36" t="n">
        <v>7.8</v>
      </c>
      <c r="H36" t="n">
        <v>3</v>
      </c>
      <c r="I36" t="n">
        <v>3</v>
      </c>
      <c r="J36" t="n">
        <v>9</v>
      </c>
      <c r="K36" t="n">
        <v>0</v>
      </c>
      <c r="L36" t="n">
        <v>0</v>
      </c>
      <c r="M36" t="n">
        <v>0</v>
      </c>
      <c r="N36" t="n">
        <v>0</v>
      </c>
      <c r="O36" t="n">
        <v>9</v>
      </c>
      <c r="P36" t="n">
        <v>0</v>
      </c>
      <c r="Q36" t="n">
        <v>13</v>
      </c>
      <c r="R36" s="2" t="inlineStr">
        <is>
          <t>Brunpudrad nållav
Gammelgransskål
Garnlav
Granticka
Harticka
Rödbrun blekspik
Tretåig hackspett
Ullticka
Vitgrynig nållav
Gulnål
Korallrot
Trådticka
Revlummer</t>
        </is>
      </c>
      <c r="S36">
        <f>HYPERLINK("https://klasma.github.io/Logging_2283/artfynd/A 25521-2025 artfynd.xlsx", "A 25521-2025")</f>
        <v/>
      </c>
      <c r="T36">
        <f>HYPERLINK("https://klasma.github.io/Logging_2283/kartor/A 25521-2025 karta.png", "A 25521-2025")</f>
        <v/>
      </c>
      <c r="V36">
        <f>HYPERLINK("https://klasma.github.io/Logging_2283/klagomål/A 25521-2025 FSC-klagomål.docx", "A 25521-2025")</f>
        <v/>
      </c>
      <c r="W36">
        <f>HYPERLINK("https://klasma.github.io/Logging_2283/klagomålsmail/A 25521-2025 FSC-klagomål mail.docx", "A 25521-2025")</f>
        <v/>
      </c>
      <c r="X36">
        <f>HYPERLINK("https://klasma.github.io/Logging_2283/tillsyn/A 25521-2025 tillsynsbegäran.docx", "A 25521-2025")</f>
        <v/>
      </c>
      <c r="Y36">
        <f>HYPERLINK("https://klasma.github.io/Logging_2283/tillsynsmail/A 25521-2025 tillsynsbegäran mail.docx", "A 25521-2025")</f>
        <v/>
      </c>
      <c r="Z36">
        <f>HYPERLINK("https://klasma.github.io/Logging_2283/fåglar/A 25521-2025 prioriterade fågelarter.docx", "A 25521-2025")</f>
        <v/>
      </c>
    </row>
    <row r="37" ht="15" customHeight="1">
      <c r="A37" t="inlineStr">
        <is>
          <t>A 39172-2022</t>
        </is>
      </c>
      <c r="B37" s="1" t="n">
        <v>44817</v>
      </c>
      <c r="C37" s="1" t="n">
        <v>46048</v>
      </c>
      <c r="D37" t="inlineStr">
        <is>
          <t>VÄSTERNORRLANDS LÄN</t>
        </is>
      </c>
      <c r="E37" t="inlineStr">
        <is>
          <t>SOLLEFTEÅ</t>
        </is>
      </c>
      <c r="G37" t="n">
        <v>69.2</v>
      </c>
      <c r="H37" t="n">
        <v>0</v>
      </c>
      <c r="I37" t="n">
        <v>4</v>
      </c>
      <c r="J37" t="n">
        <v>7</v>
      </c>
      <c r="K37" t="n">
        <v>2</v>
      </c>
      <c r="L37" t="n">
        <v>0</v>
      </c>
      <c r="M37" t="n">
        <v>0</v>
      </c>
      <c r="N37" t="n">
        <v>0</v>
      </c>
      <c r="O37" t="n">
        <v>9</v>
      </c>
      <c r="P37" t="n">
        <v>2</v>
      </c>
      <c r="Q37" t="n">
        <v>13</v>
      </c>
      <c r="R37" s="2" t="inlineStr">
        <is>
          <t>Gräddporing
Gräddticka
Dvärgbägarlav
Garnlav
Lunglav
Rosenticka
Skrovellav
Stjärntagging
Ullticka
Korallblylav
Skarp dropptaggsvamp
Skinnlav
Stor aspticka</t>
        </is>
      </c>
      <c r="S37">
        <f>HYPERLINK("https://klasma.github.io/Logging_2283/artfynd/A 39172-2022 artfynd.xlsx", "A 39172-2022")</f>
        <v/>
      </c>
      <c r="T37">
        <f>HYPERLINK("https://klasma.github.io/Logging_2283/kartor/A 39172-2022 karta.png", "A 39172-2022")</f>
        <v/>
      </c>
      <c r="V37">
        <f>HYPERLINK("https://klasma.github.io/Logging_2283/klagomål/A 39172-2022 FSC-klagomål.docx", "A 39172-2022")</f>
        <v/>
      </c>
      <c r="W37">
        <f>HYPERLINK("https://klasma.github.io/Logging_2283/klagomålsmail/A 39172-2022 FSC-klagomål mail.docx", "A 39172-2022")</f>
        <v/>
      </c>
      <c r="X37">
        <f>HYPERLINK("https://klasma.github.io/Logging_2283/tillsyn/A 39172-2022 tillsynsbegäran.docx", "A 39172-2022")</f>
        <v/>
      </c>
      <c r="Y37">
        <f>HYPERLINK("https://klasma.github.io/Logging_2283/tillsynsmail/A 39172-2022 tillsynsbegäran mail.docx", "A 39172-2022")</f>
        <v/>
      </c>
    </row>
    <row r="38" ht="15" customHeight="1">
      <c r="A38" t="inlineStr">
        <is>
          <t>A 29918-2024</t>
        </is>
      </c>
      <c r="B38" s="1" t="n">
        <v>45487.92841435185</v>
      </c>
      <c r="C38" s="1" t="n">
        <v>46048</v>
      </c>
      <c r="D38" t="inlineStr">
        <is>
          <t>VÄSTERNORRLANDS LÄN</t>
        </is>
      </c>
      <c r="E38" t="inlineStr">
        <is>
          <t>SOLLEFTEÅ</t>
        </is>
      </c>
      <c r="G38" t="n">
        <v>3.1</v>
      </c>
      <c r="H38" t="n">
        <v>4</v>
      </c>
      <c r="I38" t="n">
        <v>6</v>
      </c>
      <c r="J38" t="n">
        <v>6</v>
      </c>
      <c r="K38" t="n">
        <v>1</v>
      </c>
      <c r="L38" t="n">
        <v>0</v>
      </c>
      <c r="M38" t="n">
        <v>0</v>
      </c>
      <c r="N38" t="n">
        <v>0</v>
      </c>
      <c r="O38" t="n">
        <v>7</v>
      </c>
      <c r="P38" t="n">
        <v>1</v>
      </c>
      <c r="Q38" t="n">
        <v>13</v>
      </c>
      <c r="R38" s="2" t="inlineStr">
        <is>
          <t>Knärot
Gammelgransskål
Garnlav
Järpe
Lunglav
Spillkråka
Talltita
Kattfotslav
Korallblylav
Mörk husmossa
Skinnlav
Stor aspticka
Stuplav</t>
        </is>
      </c>
      <c r="S38">
        <f>HYPERLINK("https://klasma.github.io/Logging_2283/artfynd/A 29918-2024 artfynd.xlsx", "A 29918-2024")</f>
        <v/>
      </c>
      <c r="T38">
        <f>HYPERLINK("https://klasma.github.io/Logging_2283/kartor/A 29918-2024 karta.png", "A 29918-2024")</f>
        <v/>
      </c>
      <c r="U38">
        <f>HYPERLINK("https://klasma.github.io/Logging_2283/knärot/A 29918-2024 karta knärot.png", "A 29918-2024")</f>
        <v/>
      </c>
      <c r="V38">
        <f>HYPERLINK("https://klasma.github.io/Logging_2283/klagomål/A 29918-2024 FSC-klagomål.docx", "A 29918-2024")</f>
        <v/>
      </c>
      <c r="W38">
        <f>HYPERLINK("https://klasma.github.io/Logging_2283/klagomålsmail/A 29918-2024 FSC-klagomål mail.docx", "A 29918-2024")</f>
        <v/>
      </c>
      <c r="X38">
        <f>HYPERLINK("https://klasma.github.io/Logging_2283/tillsyn/A 29918-2024 tillsynsbegäran.docx", "A 29918-2024")</f>
        <v/>
      </c>
      <c r="Y38">
        <f>HYPERLINK("https://klasma.github.io/Logging_2283/tillsynsmail/A 29918-2024 tillsynsbegäran mail.docx", "A 29918-2024")</f>
        <v/>
      </c>
      <c r="Z38">
        <f>HYPERLINK("https://klasma.github.io/Logging_2283/fåglar/A 29918-2024 prioriterade fågelarter.docx", "A 29918-2024")</f>
        <v/>
      </c>
    </row>
    <row r="39" ht="15" customHeight="1">
      <c r="A39" t="inlineStr">
        <is>
          <t>A 27590-2025</t>
        </is>
      </c>
      <c r="B39" s="1" t="n">
        <v>45813</v>
      </c>
      <c r="C39" s="1" t="n">
        <v>46048</v>
      </c>
      <c r="D39" t="inlineStr">
        <is>
          <t>VÄSTERNORRLANDS LÄN</t>
        </is>
      </c>
      <c r="E39" t="inlineStr">
        <is>
          <t>SOLLEFTEÅ</t>
        </is>
      </c>
      <c r="G39" t="n">
        <v>53.5</v>
      </c>
      <c r="H39" t="n">
        <v>5</v>
      </c>
      <c r="I39" t="n">
        <v>5</v>
      </c>
      <c r="J39" t="n">
        <v>7</v>
      </c>
      <c r="K39" t="n">
        <v>1</v>
      </c>
      <c r="L39" t="n">
        <v>0</v>
      </c>
      <c r="M39" t="n">
        <v>0</v>
      </c>
      <c r="N39" t="n">
        <v>0</v>
      </c>
      <c r="O39" t="n">
        <v>8</v>
      </c>
      <c r="P39" t="n">
        <v>1</v>
      </c>
      <c r="Q39" t="n">
        <v>13</v>
      </c>
      <c r="R39" s="2" t="inlineStr">
        <is>
          <t>Knärot
Gammelgransskål
Garnlav
Lunglav
Rosenticka
Spillkråka
Tretåig hackspett
Ullticka
Bollvitmossa
Bronshjon
Dropptaggsvamp
Lappranunkel
Spindelblomster</t>
        </is>
      </c>
      <c r="S39">
        <f>HYPERLINK("https://klasma.github.io/Logging_2283/artfynd/A 27590-2025 artfynd.xlsx", "A 27590-2025")</f>
        <v/>
      </c>
      <c r="T39">
        <f>HYPERLINK("https://klasma.github.io/Logging_2283/kartor/A 27590-2025 karta.png", "A 27590-2025")</f>
        <v/>
      </c>
      <c r="U39">
        <f>HYPERLINK("https://klasma.github.io/Logging_2283/knärot/A 27590-2025 karta knärot.png", "A 27590-2025")</f>
        <v/>
      </c>
      <c r="V39">
        <f>HYPERLINK("https://klasma.github.io/Logging_2283/klagomål/A 27590-2025 FSC-klagomål.docx", "A 27590-2025")</f>
        <v/>
      </c>
      <c r="W39">
        <f>HYPERLINK("https://klasma.github.io/Logging_2283/klagomålsmail/A 27590-2025 FSC-klagomål mail.docx", "A 27590-2025")</f>
        <v/>
      </c>
      <c r="X39">
        <f>HYPERLINK("https://klasma.github.io/Logging_2283/tillsyn/A 27590-2025 tillsynsbegäran.docx", "A 27590-2025")</f>
        <v/>
      </c>
      <c r="Y39">
        <f>HYPERLINK("https://klasma.github.io/Logging_2283/tillsynsmail/A 27590-2025 tillsynsbegäran mail.docx", "A 27590-2025")</f>
        <v/>
      </c>
      <c r="Z39">
        <f>HYPERLINK("https://klasma.github.io/Logging_2283/fåglar/A 27590-2025 prioriterade fågelarter.docx", "A 27590-2025")</f>
        <v/>
      </c>
    </row>
    <row r="40" ht="15" customHeight="1">
      <c r="A40" t="inlineStr">
        <is>
          <t>A 27635-2024</t>
        </is>
      </c>
      <c r="B40" s="1" t="n">
        <v>45474</v>
      </c>
      <c r="C40" s="1" t="n">
        <v>46048</v>
      </c>
      <c r="D40" t="inlineStr">
        <is>
          <t>VÄSTERNORRLANDS LÄN</t>
        </is>
      </c>
      <c r="E40" t="inlineStr">
        <is>
          <t>SOLLEFTEÅ</t>
        </is>
      </c>
      <c r="F40" t="inlineStr">
        <is>
          <t>SCA</t>
        </is>
      </c>
      <c r="G40" t="n">
        <v>5.4</v>
      </c>
      <c r="H40" t="n">
        <v>3</v>
      </c>
      <c r="I40" t="n">
        <v>3</v>
      </c>
      <c r="J40" t="n">
        <v>8</v>
      </c>
      <c r="K40" t="n">
        <v>1</v>
      </c>
      <c r="L40" t="n">
        <v>0</v>
      </c>
      <c r="M40" t="n">
        <v>0</v>
      </c>
      <c r="N40" t="n">
        <v>0</v>
      </c>
      <c r="O40" t="n">
        <v>9</v>
      </c>
      <c r="P40" t="n">
        <v>1</v>
      </c>
      <c r="Q40" t="n">
        <v>13</v>
      </c>
      <c r="R40" s="2" t="inlineStr">
        <is>
          <t>Gräddporing
Gammelgransskål
Garnlav
Kolflarnlav
Kortskaftad ärgspik
Lunglav
Mörk kolflarnlav
Talltita
Tretåig hackspett
Bårdlav
Dropptaggsvamp
Luddlav
Vanlig padda</t>
        </is>
      </c>
      <c r="S40">
        <f>HYPERLINK("https://klasma.github.io/Logging_2283/artfynd/A 27635-2024 artfynd.xlsx", "A 27635-2024")</f>
        <v/>
      </c>
      <c r="T40">
        <f>HYPERLINK("https://klasma.github.io/Logging_2283/kartor/A 27635-2024 karta.png", "A 27635-2024")</f>
        <v/>
      </c>
      <c r="V40">
        <f>HYPERLINK("https://klasma.github.io/Logging_2283/klagomål/A 27635-2024 FSC-klagomål.docx", "A 27635-2024")</f>
        <v/>
      </c>
      <c r="W40">
        <f>HYPERLINK("https://klasma.github.io/Logging_2283/klagomålsmail/A 27635-2024 FSC-klagomål mail.docx", "A 27635-2024")</f>
        <v/>
      </c>
      <c r="X40">
        <f>HYPERLINK("https://klasma.github.io/Logging_2283/tillsyn/A 27635-2024 tillsynsbegäran.docx", "A 27635-2024")</f>
        <v/>
      </c>
      <c r="Y40">
        <f>HYPERLINK("https://klasma.github.io/Logging_2283/tillsynsmail/A 27635-2024 tillsynsbegäran mail.docx", "A 27635-2024")</f>
        <v/>
      </c>
      <c r="Z40">
        <f>HYPERLINK("https://klasma.github.io/Logging_2283/fåglar/A 27635-2024 prioriterade fågelarter.docx", "A 27635-2024")</f>
        <v/>
      </c>
    </row>
    <row r="41" ht="15" customHeight="1">
      <c r="A41" t="inlineStr">
        <is>
          <t>A 28161-2024</t>
        </is>
      </c>
      <c r="B41" s="1" t="n">
        <v>45476</v>
      </c>
      <c r="C41" s="1" t="n">
        <v>46048</v>
      </c>
      <c r="D41" t="inlineStr">
        <is>
          <t>VÄSTERNORRLANDS LÄN</t>
        </is>
      </c>
      <c r="E41" t="inlineStr">
        <is>
          <t>SOLLEFTEÅ</t>
        </is>
      </c>
      <c r="F41" t="inlineStr">
        <is>
          <t>SCA</t>
        </is>
      </c>
      <c r="G41" t="n">
        <v>1.5</v>
      </c>
      <c r="H41" t="n">
        <v>4</v>
      </c>
      <c r="I41" t="n">
        <v>5</v>
      </c>
      <c r="J41" t="n">
        <v>4</v>
      </c>
      <c r="K41" t="n">
        <v>3</v>
      </c>
      <c r="L41" t="n">
        <v>0</v>
      </c>
      <c r="M41" t="n">
        <v>0</v>
      </c>
      <c r="N41" t="n">
        <v>0</v>
      </c>
      <c r="O41" t="n">
        <v>7</v>
      </c>
      <c r="P41" t="n">
        <v>3</v>
      </c>
      <c r="Q41" t="n">
        <v>13</v>
      </c>
      <c r="R41" s="2" t="inlineStr">
        <is>
          <t>Doftticka
Knärot
Rynkskinn
Lunglav
Rosenticka
Spillkråka
Ullticka
Bårdlav
Luddlav
Norrlandslav
Stuplav
Vedticka
Revlummer</t>
        </is>
      </c>
      <c r="S41">
        <f>HYPERLINK("https://klasma.github.io/Logging_2283/artfynd/A 28161-2024 artfynd.xlsx", "A 28161-2024")</f>
        <v/>
      </c>
      <c r="T41">
        <f>HYPERLINK("https://klasma.github.io/Logging_2283/kartor/A 28161-2024 karta.png", "A 28161-2024")</f>
        <v/>
      </c>
      <c r="U41">
        <f>HYPERLINK("https://klasma.github.io/Logging_2283/knärot/A 28161-2024 karta knärot.png", "A 28161-2024")</f>
        <v/>
      </c>
      <c r="V41">
        <f>HYPERLINK("https://klasma.github.io/Logging_2283/klagomål/A 28161-2024 FSC-klagomål.docx", "A 28161-2024")</f>
        <v/>
      </c>
      <c r="W41">
        <f>HYPERLINK("https://klasma.github.io/Logging_2283/klagomålsmail/A 28161-2024 FSC-klagomål mail.docx", "A 28161-2024")</f>
        <v/>
      </c>
      <c r="X41">
        <f>HYPERLINK("https://klasma.github.io/Logging_2283/tillsyn/A 28161-2024 tillsynsbegäran.docx", "A 28161-2024")</f>
        <v/>
      </c>
      <c r="Y41">
        <f>HYPERLINK("https://klasma.github.io/Logging_2283/tillsynsmail/A 28161-2024 tillsynsbegäran mail.docx", "A 28161-2024")</f>
        <v/>
      </c>
      <c r="Z41">
        <f>HYPERLINK("https://klasma.github.io/Logging_2283/fåglar/A 28161-2024 prioriterade fågelarter.docx", "A 28161-2024")</f>
        <v/>
      </c>
    </row>
    <row r="42" ht="15" customHeight="1">
      <c r="A42" t="inlineStr">
        <is>
          <t>A 29309-2022</t>
        </is>
      </c>
      <c r="B42" s="1" t="n">
        <v>44750</v>
      </c>
      <c r="C42" s="1" t="n">
        <v>46048</v>
      </c>
      <c r="D42" t="inlineStr">
        <is>
          <t>VÄSTERNORRLANDS LÄN</t>
        </is>
      </c>
      <c r="E42" t="inlineStr">
        <is>
          <t>SOLLEFTEÅ</t>
        </is>
      </c>
      <c r="F42" t="inlineStr">
        <is>
          <t>SCA</t>
        </is>
      </c>
      <c r="G42" t="n">
        <v>7.3</v>
      </c>
      <c r="H42" t="n">
        <v>1</v>
      </c>
      <c r="I42" t="n">
        <v>0</v>
      </c>
      <c r="J42" t="n">
        <v>12</v>
      </c>
      <c r="K42" t="n">
        <v>1</v>
      </c>
      <c r="L42" t="n">
        <v>0</v>
      </c>
      <c r="M42" t="n">
        <v>0</v>
      </c>
      <c r="N42" t="n">
        <v>0</v>
      </c>
      <c r="O42" t="n">
        <v>13</v>
      </c>
      <c r="P42" t="n">
        <v>1</v>
      </c>
      <c r="Q42" t="n">
        <v>13</v>
      </c>
      <c r="R42" s="2" t="inlineStr">
        <is>
          <t>Rynkskinn
Blå taggsvamp
Dvärgbägarlav
Garnlav
Koralltaggsvamp
Kortskaftad ärgspik
Lunglav
Motaggsvamp
Mörk kolflarnlav
Nordtagging
Tretåig hackspett
Vedskivlav
Vitplätt</t>
        </is>
      </c>
      <c r="S42">
        <f>HYPERLINK("https://klasma.github.io/Logging_2283/artfynd/A 29309-2022 artfynd.xlsx", "A 29309-2022")</f>
        <v/>
      </c>
      <c r="T42">
        <f>HYPERLINK("https://klasma.github.io/Logging_2283/kartor/A 29309-2022 karta.png", "A 29309-2022")</f>
        <v/>
      </c>
      <c r="U42">
        <f>HYPERLINK("https://klasma.github.io/Logging_2283/knärot/A 29309-2022 karta knärot.png", "A 29309-2022")</f>
        <v/>
      </c>
      <c r="V42">
        <f>HYPERLINK("https://klasma.github.io/Logging_2283/klagomål/A 29309-2022 FSC-klagomål.docx", "A 29309-2022")</f>
        <v/>
      </c>
      <c r="W42">
        <f>HYPERLINK("https://klasma.github.io/Logging_2283/klagomålsmail/A 29309-2022 FSC-klagomål mail.docx", "A 29309-2022")</f>
        <v/>
      </c>
      <c r="X42">
        <f>HYPERLINK("https://klasma.github.io/Logging_2283/tillsyn/A 29309-2022 tillsynsbegäran.docx", "A 29309-2022")</f>
        <v/>
      </c>
      <c r="Y42">
        <f>HYPERLINK("https://klasma.github.io/Logging_2283/tillsynsmail/A 29309-2022 tillsynsbegäran mail.docx", "A 29309-2022")</f>
        <v/>
      </c>
      <c r="Z42">
        <f>HYPERLINK("https://klasma.github.io/Logging_2283/fåglar/A 29309-2022 prioriterade fågelarter.docx", "A 29309-2022")</f>
        <v/>
      </c>
    </row>
    <row r="43" ht="15" customHeight="1">
      <c r="A43" t="inlineStr">
        <is>
          <t>A 44372-2024</t>
        </is>
      </c>
      <c r="B43" s="1" t="n">
        <v>45573</v>
      </c>
      <c r="C43" s="1" t="n">
        <v>46048</v>
      </c>
      <c r="D43" t="inlineStr">
        <is>
          <t>VÄSTERNORRLANDS LÄN</t>
        </is>
      </c>
      <c r="E43" t="inlineStr">
        <is>
          <t>SOLLEFTEÅ</t>
        </is>
      </c>
      <c r="F43" t="inlineStr">
        <is>
          <t>SCA</t>
        </is>
      </c>
      <c r="G43" t="n">
        <v>3.3</v>
      </c>
      <c r="H43" t="n">
        <v>4</v>
      </c>
      <c r="I43" t="n">
        <v>3</v>
      </c>
      <c r="J43" t="n">
        <v>7</v>
      </c>
      <c r="K43" t="n">
        <v>3</v>
      </c>
      <c r="L43" t="n">
        <v>0</v>
      </c>
      <c r="M43" t="n">
        <v>0</v>
      </c>
      <c r="N43" t="n">
        <v>0</v>
      </c>
      <c r="O43" t="n">
        <v>10</v>
      </c>
      <c r="P43" t="n">
        <v>3</v>
      </c>
      <c r="Q43" t="n">
        <v>13</v>
      </c>
      <c r="R43" s="2" t="inlineStr">
        <is>
          <t>Knärot
Lappticka
Ulltickeporing
Gammelgransskål
Garnlav
Granticka
Rosenticka
Talltita
Tretåig hackspett
Ullticka
Bollvitmossa
Fjällig taggsvamp s.str.
Spindelblomster</t>
        </is>
      </c>
      <c r="S43">
        <f>HYPERLINK("https://klasma.github.io/Logging_2283/artfynd/A 44372-2024 artfynd.xlsx", "A 44372-2024")</f>
        <v/>
      </c>
      <c r="T43">
        <f>HYPERLINK("https://klasma.github.io/Logging_2283/kartor/A 44372-2024 karta.png", "A 44372-2024")</f>
        <v/>
      </c>
      <c r="U43">
        <f>HYPERLINK("https://klasma.github.io/Logging_2283/knärot/A 44372-2024 karta knärot.png", "A 44372-2024")</f>
        <v/>
      </c>
      <c r="V43">
        <f>HYPERLINK("https://klasma.github.io/Logging_2283/klagomål/A 44372-2024 FSC-klagomål.docx", "A 44372-2024")</f>
        <v/>
      </c>
      <c r="W43">
        <f>HYPERLINK("https://klasma.github.io/Logging_2283/klagomålsmail/A 44372-2024 FSC-klagomål mail.docx", "A 44372-2024")</f>
        <v/>
      </c>
      <c r="X43">
        <f>HYPERLINK("https://klasma.github.io/Logging_2283/tillsyn/A 44372-2024 tillsynsbegäran.docx", "A 44372-2024")</f>
        <v/>
      </c>
      <c r="Y43">
        <f>HYPERLINK("https://klasma.github.io/Logging_2283/tillsynsmail/A 44372-2024 tillsynsbegäran mail.docx", "A 44372-2024")</f>
        <v/>
      </c>
      <c r="Z43">
        <f>HYPERLINK("https://klasma.github.io/Logging_2283/fåglar/A 44372-2024 prioriterade fågelarter.docx", "A 44372-2024")</f>
        <v/>
      </c>
    </row>
    <row r="44" ht="15" customHeight="1">
      <c r="A44" t="inlineStr">
        <is>
          <t>A 3325-2025</t>
        </is>
      </c>
      <c r="B44" s="1" t="n">
        <v>45679</v>
      </c>
      <c r="C44" s="1" t="n">
        <v>46048</v>
      </c>
      <c r="D44" t="inlineStr">
        <is>
          <t>VÄSTERNORRLANDS LÄN</t>
        </is>
      </c>
      <c r="E44" t="inlineStr">
        <is>
          <t>SOLLEFTEÅ</t>
        </is>
      </c>
      <c r="F44" t="inlineStr">
        <is>
          <t>SCA</t>
        </is>
      </c>
      <c r="G44" t="n">
        <v>9.300000000000001</v>
      </c>
      <c r="H44" t="n">
        <v>1</v>
      </c>
      <c r="I44" t="n">
        <v>4</v>
      </c>
      <c r="J44" t="n">
        <v>6</v>
      </c>
      <c r="K44" t="n">
        <v>2</v>
      </c>
      <c r="L44" t="n">
        <v>0</v>
      </c>
      <c r="M44" t="n">
        <v>0</v>
      </c>
      <c r="N44" t="n">
        <v>0</v>
      </c>
      <c r="O44" t="n">
        <v>8</v>
      </c>
      <c r="P44" t="n">
        <v>2</v>
      </c>
      <c r="Q44" t="n">
        <v>12</v>
      </c>
      <c r="R44" s="2" t="inlineStr">
        <is>
          <t>Blackticka
Rynkskinn
Harticka
Leptoporus mollis
Lunglav
Rosenticka
Talltita
Ullticka
Bårdlav
Stuplav
Svart trolldruva
Vedticka</t>
        </is>
      </c>
      <c r="S44">
        <f>HYPERLINK("https://klasma.github.io/Logging_2283/artfynd/A 3325-2025 artfynd.xlsx", "A 3325-2025")</f>
        <v/>
      </c>
      <c r="T44">
        <f>HYPERLINK("https://klasma.github.io/Logging_2283/kartor/A 3325-2025 karta.png", "A 3325-2025")</f>
        <v/>
      </c>
      <c r="V44">
        <f>HYPERLINK("https://klasma.github.io/Logging_2283/klagomål/A 3325-2025 FSC-klagomål.docx", "A 3325-2025")</f>
        <v/>
      </c>
      <c r="W44">
        <f>HYPERLINK("https://klasma.github.io/Logging_2283/klagomålsmail/A 3325-2025 FSC-klagomål mail.docx", "A 3325-2025")</f>
        <v/>
      </c>
      <c r="X44">
        <f>HYPERLINK("https://klasma.github.io/Logging_2283/tillsyn/A 3325-2025 tillsynsbegäran.docx", "A 3325-2025")</f>
        <v/>
      </c>
      <c r="Y44">
        <f>HYPERLINK("https://klasma.github.io/Logging_2283/tillsynsmail/A 3325-2025 tillsynsbegäran mail.docx", "A 3325-2025")</f>
        <v/>
      </c>
      <c r="Z44">
        <f>HYPERLINK("https://klasma.github.io/Logging_2283/fåglar/A 3325-2025 prioriterade fågelarter.docx", "A 3325-2025")</f>
        <v/>
      </c>
    </row>
    <row r="45" ht="15" customHeight="1">
      <c r="A45" t="inlineStr">
        <is>
          <t>A 4839-2025</t>
        </is>
      </c>
      <c r="B45" s="1" t="n">
        <v>45688</v>
      </c>
      <c r="C45" s="1" t="n">
        <v>46048</v>
      </c>
      <c r="D45" t="inlineStr">
        <is>
          <t>VÄSTERNORRLANDS LÄN</t>
        </is>
      </c>
      <c r="E45" t="inlineStr">
        <is>
          <t>SOLLEFTEÅ</t>
        </is>
      </c>
      <c r="F45" t="inlineStr">
        <is>
          <t>SCA</t>
        </is>
      </c>
      <c r="G45" t="n">
        <v>7.9</v>
      </c>
      <c r="H45" t="n">
        <v>5</v>
      </c>
      <c r="I45" t="n">
        <v>1</v>
      </c>
      <c r="J45" t="n">
        <v>10</v>
      </c>
      <c r="K45" t="n">
        <v>1</v>
      </c>
      <c r="L45" t="n">
        <v>0</v>
      </c>
      <c r="M45" t="n">
        <v>0</v>
      </c>
      <c r="N45" t="n">
        <v>0</v>
      </c>
      <c r="O45" t="n">
        <v>11</v>
      </c>
      <c r="P45" t="n">
        <v>1</v>
      </c>
      <c r="Q45" t="n">
        <v>12</v>
      </c>
      <c r="R45" s="2" t="inlineStr">
        <is>
          <t>Knärot
Garnlav
Granticka
Harticka
Järpe
Kolflarnlav
Mörk kolflarnlav
Spillkråka
Talltita
Tretåig hackspett
Ullticka
Dropptaggsvamp</t>
        </is>
      </c>
      <c r="S45">
        <f>HYPERLINK("https://klasma.github.io/Logging_2283/artfynd/A 4839-2025 artfynd.xlsx", "A 4839-2025")</f>
        <v/>
      </c>
      <c r="T45">
        <f>HYPERLINK("https://klasma.github.io/Logging_2283/kartor/A 4839-2025 karta.png", "A 4839-2025")</f>
        <v/>
      </c>
      <c r="U45">
        <f>HYPERLINK("https://klasma.github.io/Logging_2283/knärot/A 4839-2025 karta knärot.png", "A 4839-2025")</f>
        <v/>
      </c>
      <c r="V45">
        <f>HYPERLINK("https://klasma.github.io/Logging_2283/klagomål/A 4839-2025 FSC-klagomål.docx", "A 4839-2025")</f>
        <v/>
      </c>
      <c r="W45">
        <f>HYPERLINK("https://klasma.github.io/Logging_2283/klagomålsmail/A 4839-2025 FSC-klagomål mail.docx", "A 4839-2025")</f>
        <v/>
      </c>
      <c r="X45">
        <f>HYPERLINK("https://klasma.github.io/Logging_2283/tillsyn/A 4839-2025 tillsynsbegäran.docx", "A 4839-2025")</f>
        <v/>
      </c>
      <c r="Y45">
        <f>HYPERLINK("https://klasma.github.io/Logging_2283/tillsynsmail/A 4839-2025 tillsynsbegäran mail.docx", "A 4839-2025")</f>
        <v/>
      </c>
      <c r="Z45">
        <f>HYPERLINK("https://klasma.github.io/Logging_2283/fåglar/A 4839-2025 prioriterade fågelarter.docx", "A 4839-2025")</f>
        <v/>
      </c>
    </row>
    <row r="46" ht="15" customHeight="1">
      <c r="A46" t="inlineStr">
        <is>
          <t>A 30571-2024</t>
        </is>
      </c>
      <c r="B46" s="1" t="n">
        <v>45492</v>
      </c>
      <c r="C46" s="1" t="n">
        <v>46048</v>
      </c>
      <c r="D46" t="inlineStr">
        <is>
          <t>VÄSTERNORRLANDS LÄN</t>
        </is>
      </c>
      <c r="E46" t="inlineStr">
        <is>
          <t>SOLLEFTEÅ</t>
        </is>
      </c>
      <c r="F46" t="inlineStr">
        <is>
          <t>SCA</t>
        </is>
      </c>
      <c r="G46" t="n">
        <v>3.1</v>
      </c>
      <c r="H46" t="n">
        <v>3</v>
      </c>
      <c r="I46" t="n">
        <v>2</v>
      </c>
      <c r="J46" t="n">
        <v>8</v>
      </c>
      <c r="K46" t="n">
        <v>2</v>
      </c>
      <c r="L46" t="n">
        <v>0</v>
      </c>
      <c r="M46" t="n">
        <v>0</v>
      </c>
      <c r="N46" t="n">
        <v>0</v>
      </c>
      <c r="O46" t="n">
        <v>10</v>
      </c>
      <c r="P46" t="n">
        <v>2</v>
      </c>
      <c r="Q46" t="n">
        <v>12</v>
      </c>
      <c r="R46" s="2" t="inlineStr">
        <is>
          <t>Gräddporing
Knärot
Dvärgbägarlav
Gammelgransskål
Garnlav
Kolflarnlav
Lunglav
Spillkråka
Tretåig hackspett
Ullticka
Dropptaggsvamp
Stuplav</t>
        </is>
      </c>
      <c r="S46">
        <f>HYPERLINK("https://klasma.github.io/Logging_2283/artfynd/A 30571-2024 artfynd.xlsx", "A 30571-2024")</f>
        <v/>
      </c>
      <c r="T46">
        <f>HYPERLINK("https://klasma.github.io/Logging_2283/kartor/A 30571-2024 karta.png", "A 30571-2024")</f>
        <v/>
      </c>
      <c r="U46">
        <f>HYPERLINK("https://klasma.github.io/Logging_2283/knärot/A 30571-2024 karta knärot.png", "A 30571-2024")</f>
        <v/>
      </c>
      <c r="V46">
        <f>HYPERLINK("https://klasma.github.io/Logging_2283/klagomål/A 30571-2024 FSC-klagomål.docx", "A 30571-2024")</f>
        <v/>
      </c>
      <c r="W46">
        <f>HYPERLINK("https://klasma.github.io/Logging_2283/klagomålsmail/A 30571-2024 FSC-klagomål mail.docx", "A 30571-2024")</f>
        <v/>
      </c>
      <c r="X46">
        <f>HYPERLINK("https://klasma.github.io/Logging_2283/tillsyn/A 30571-2024 tillsynsbegäran.docx", "A 30571-2024")</f>
        <v/>
      </c>
      <c r="Y46">
        <f>HYPERLINK("https://klasma.github.io/Logging_2283/tillsynsmail/A 30571-2024 tillsynsbegäran mail.docx", "A 30571-2024")</f>
        <v/>
      </c>
      <c r="Z46">
        <f>HYPERLINK("https://klasma.github.io/Logging_2283/fåglar/A 30571-2024 prioriterade fågelarter.docx", "A 30571-2024")</f>
        <v/>
      </c>
    </row>
    <row r="47" ht="15" customHeight="1">
      <c r="A47" t="inlineStr">
        <is>
          <t>A 39198-2025</t>
        </is>
      </c>
      <c r="B47" s="1" t="n">
        <v>45888</v>
      </c>
      <c r="C47" s="1" t="n">
        <v>46048</v>
      </c>
      <c r="D47" t="inlineStr">
        <is>
          <t>VÄSTERNORRLANDS LÄN</t>
        </is>
      </c>
      <c r="E47" t="inlineStr">
        <is>
          <t>SOLLEFTEÅ</t>
        </is>
      </c>
      <c r="G47" t="n">
        <v>5.6</v>
      </c>
      <c r="H47" t="n">
        <v>4</v>
      </c>
      <c r="I47" t="n">
        <v>3</v>
      </c>
      <c r="J47" t="n">
        <v>6</v>
      </c>
      <c r="K47" t="n">
        <v>3</v>
      </c>
      <c r="L47" t="n">
        <v>0</v>
      </c>
      <c r="M47" t="n">
        <v>0</v>
      </c>
      <c r="N47" t="n">
        <v>0</v>
      </c>
      <c r="O47" t="n">
        <v>9</v>
      </c>
      <c r="P47" t="n">
        <v>3</v>
      </c>
      <c r="Q47" t="n">
        <v>12</v>
      </c>
      <c r="R47" s="2" t="inlineStr">
        <is>
          <t>Doftticka
Knärot
Rynkskinn
Garnlav
Lunglav
Mörk kolflarnlav
Talltita
Tretåig hackspett
Ullticka
Bårdlav
Dropptaggsvamp
Stuplav</t>
        </is>
      </c>
      <c r="S47">
        <f>HYPERLINK("https://klasma.github.io/Logging_2283/artfynd/A 39198-2025 artfynd.xlsx", "A 39198-2025")</f>
        <v/>
      </c>
      <c r="T47">
        <f>HYPERLINK("https://klasma.github.io/Logging_2283/kartor/A 39198-2025 karta.png", "A 39198-2025")</f>
        <v/>
      </c>
      <c r="U47">
        <f>HYPERLINK("https://klasma.github.io/Logging_2283/knärot/A 39198-2025 karta knärot.png", "A 39198-2025")</f>
        <v/>
      </c>
      <c r="V47">
        <f>HYPERLINK("https://klasma.github.io/Logging_2283/klagomål/A 39198-2025 FSC-klagomål.docx", "A 39198-2025")</f>
        <v/>
      </c>
      <c r="W47">
        <f>HYPERLINK("https://klasma.github.io/Logging_2283/klagomålsmail/A 39198-2025 FSC-klagomål mail.docx", "A 39198-2025")</f>
        <v/>
      </c>
      <c r="X47">
        <f>HYPERLINK("https://klasma.github.io/Logging_2283/tillsyn/A 39198-2025 tillsynsbegäran.docx", "A 39198-2025")</f>
        <v/>
      </c>
      <c r="Y47">
        <f>HYPERLINK("https://klasma.github.io/Logging_2283/tillsynsmail/A 39198-2025 tillsynsbegäran mail.docx", "A 39198-2025")</f>
        <v/>
      </c>
      <c r="Z47">
        <f>HYPERLINK("https://klasma.github.io/Logging_2283/fåglar/A 39198-2025 prioriterade fågelarter.docx", "A 39198-2025")</f>
        <v/>
      </c>
    </row>
    <row r="48" ht="15" customHeight="1">
      <c r="A48" t="inlineStr">
        <is>
          <t>A 48181-2025</t>
        </is>
      </c>
      <c r="B48" s="1" t="n">
        <v>45933.45269675926</v>
      </c>
      <c r="C48" s="1" t="n">
        <v>46048</v>
      </c>
      <c r="D48" t="inlineStr">
        <is>
          <t>VÄSTERNORRLANDS LÄN</t>
        </is>
      </c>
      <c r="E48" t="inlineStr">
        <is>
          <t>SOLLEFTEÅ</t>
        </is>
      </c>
      <c r="G48" t="n">
        <v>10.7</v>
      </c>
      <c r="H48" t="n">
        <v>5</v>
      </c>
      <c r="I48" t="n">
        <v>5</v>
      </c>
      <c r="J48" t="n">
        <v>5</v>
      </c>
      <c r="K48" t="n">
        <v>1</v>
      </c>
      <c r="L48" t="n">
        <v>0</v>
      </c>
      <c r="M48" t="n">
        <v>0</v>
      </c>
      <c r="N48" t="n">
        <v>0</v>
      </c>
      <c r="O48" t="n">
        <v>6</v>
      </c>
      <c r="P48" t="n">
        <v>1</v>
      </c>
      <c r="Q48" t="n">
        <v>12</v>
      </c>
      <c r="R48" s="2" t="inlineStr">
        <is>
          <t>Knärot
Garnlav
Lunglav
Talltita
Tretåig hackspett
Ullticka
Bollvitmossa
Kattfotslav
Lappranunkel
Trådticka
Vedticka
Revlummer</t>
        </is>
      </c>
      <c r="S48">
        <f>HYPERLINK("https://klasma.github.io/Logging_2283/artfynd/A 48181-2025 artfynd.xlsx", "A 48181-2025")</f>
        <v/>
      </c>
      <c r="T48">
        <f>HYPERLINK("https://klasma.github.io/Logging_2283/kartor/A 48181-2025 karta.png", "A 48181-2025")</f>
        <v/>
      </c>
      <c r="U48">
        <f>HYPERLINK("https://klasma.github.io/Logging_2283/knärot/A 48181-2025 karta knärot.png", "A 48181-2025")</f>
        <v/>
      </c>
      <c r="V48">
        <f>HYPERLINK("https://klasma.github.io/Logging_2283/klagomål/A 48181-2025 FSC-klagomål.docx", "A 48181-2025")</f>
        <v/>
      </c>
      <c r="W48">
        <f>HYPERLINK("https://klasma.github.io/Logging_2283/klagomålsmail/A 48181-2025 FSC-klagomål mail.docx", "A 48181-2025")</f>
        <v/>
      </c>
      <c r="X48">
        <f>HYPERLINK("https://klasma.github.io/Logging_2283/tillsyn/A 48181-2025 tillsynsbegäran.docx", "A 48181-2025")</f>
        <v/>
      </c>
      <c r="Y48">
        <f>HYPERLINK("https://klasma.github.io/Logging_2283/tillsynsmail/A 48181-2025 tillsynsbegäran mail.docx", "A 48181-2025")</f>
        <v/>
      </c>
      <c r="Z48">
        <f>HYPERLINK("https://klasma.github.io/Logging_2283/fåglar/A 48181-2025 prioriterade fågelarter.docx", "A 48181-2025")</f>
        <v/>
      </c>
    </row>
    <row r="49" ht="15" customHeight="1">
      <c r="A49" t="inlineStr">
        <is>
          <t>A 44735-2025</t>
        </is>
      </c>
      <c r="B49" s="1" t="n">
        <v>45917</v>
      </c>
      <c r="C49" s="1" t="n">
        <v>46048</v>
      </c>
      <c r="D49" t="inlineStr">
        <is>
          <t>VÄSTERNORRLANDS LÄN</t>
        </is>
      </c>
      <c r="E49" t="inlineStr">
        <is>
          <t>SOLLEFTEÅ</t>
        </is>
      </c>
      <c r="F49" t="inlineStr">
        <is>
          <t>SCA</t>
        </is>
      </c>
      <c r="G49" t="n">
        <v>3.5</v>
      </c>
      <c r="H49" t="n">
        <v>5</v>
      </c>
      <c r="I49" t="n">
        <v>3</v>
      </c>
      <c r="J49" t="n">
        <v>7</v>
      </c>
      <c r="K49" t="n">
        <v>2</v>
      </c>
      <c r="L49" t="n">
        <v>0</v>
      </c>
      <c r="M49" t="n">
        <v>0</v>
      </c>
      <c r="N49" t="n">
        <v>0</v>
      </c>
      <c r="O49" t="n">
        <v>9</v>
      </c>
      <c r="P49" t="n">
        <v>2</v>
      </c>
      <c r="Q49" t="n">
        <v>12</v>
      </c>
      <c r="R49" s="2" t="inlineStr">
        <is>
          <t>Knärot
Lappticka
Harticka
Järpe
Rosenticka
Skogsfru
Talltita
Tretåig hackspett
Ullticka
Svavelriska
Trådticka
Vedticka</t>
        </is>
      </c>
      <c r="S49">
        <f>HYPERLINK("https://klasma.github.io/Logging_2283/artfynd/A 44735-2025 artfynd.xlsx", "A 44735-2025")</f>
        <v/>
      </c>
      <c r="T49">
        <f>HYPERLINK("https://klasma.github.io/Logging_2283/kartor/A 44735-2025 karta.png", "A 44735-2025")</f>
        <v/>
      </c>
      <c r="U49">
        <f>HYPERLINK("https://klasma.github.io/Logging_2283/knärot/A 44735-2025 karta knärot.png", "A 44735-2025")</f>
        <v/>
      </c>
      <c r="V49">
        <f>HYPERLINK("https://klasma.github.io/Logging_2283/klagomål/A 44735-2025 FSC-klagomål.docx", "A 44735-2025")</f>
        <v/>
      </c>
      <c r="W49">
        <f>HYPERLINK("https://klasma.github.io/Logging_2283/klagomålsmail/A 44735-2025 FSC-klagomål mail.docx", "A 44735-2025")</f>
        <v/>
      </c>
      <c r="X49">
        <f>HYPERLINK("https://klasma.github.io/Logging_2283/tillsyn/A 44735-2025 tillsynsbegäran.docx", "A 44735-2025")</f>
        <v/>
      </c>
      <c r="Y49">
        <f>HYPERLINK("https://klasma.github.io/Logging_2283/tillsynsmail/A 44735-2025 tillsynsbegäran mail.docx", "A 44735-2025")</f>
        <v/>
      </c>
      <c r="Z49">
        <f>HYPERLINK("https://klasma.github.io/Logging_2283/fåglar/A 44735-2025 prioriterade fågelarter.docx", "A 44735-2025")</f>
        <v/>
      </c>
    </row>
    <row r="50" ht="15" customHeight="1">
      <c r="A50" t="inlineStr">
        <is>
          <t>A 26948-2024</t>
        </is>
      </c>
      <c r="B50" s="1" t="n">
        <v>45470</v>
      </c>
      <c r="C50" s="1" t="n">
        <v>46048</v>
      </c>
      <c r="D50" t="inlineStr">
        <is>
          <t>VÄSTERNORRLANDS LÄN</t>
        </is>
      </c>
      <c r="E50" t="inlineStr">
        <is>
          <t>SOLLEFTEÅ</t>
        </is>
      </c>
      <c r="F50" t="inlineStr">
        <is>
          <t>SCA</t>
        </is>
      </c>
      <c r="G50" t="n">
        <v>8.1</v>
      </c>
      <c r="H50" t="n">
        <v>3</v>
      </c>
      <c r="I50" t="n">
        <v>2</v>
      </c>
      <c r="J50" t="n">
        <v>7</v>
      </c>
      <c r="K50" t="n">
        <v>2</v>
      </c>
      <c r="L50" t="n">
        <v>0</v>
      </c>
      <c r="M50" t="n">
        <v>0</v>
      </c>
      <c r="N50" t="n">
        <v>0</v>
      </c>
      <c r="O50" t="n">
        <v>9</v>
      </c>
      <c r="P50" t="n">
        <v>2</v>
      </c>
      <c r="Q50" t="n">
        <v>12</v>
      </c>
      <c r="R50" s="2" t="inlineStr">
        <is>
          <t>Goliatmusseron
Smalfotad taggsvamp
Garnlav
Kolflarnlav
Mörk kolflarnlav
Spillkråka
Tretåig hackspett
Vedskivlav
Violettgrå tagellav
Dropptaggsvamp
Luddlav
Vanlig groda</t>
        </is>
      </c>
      <c r="S50">
        <f>HYPERLINK("https://klasma.github.io/Logging_2283/artfynd/A 26948-2024 artfynd.xlsx", "A 26948-2024")</f>
        <v/>
      </c>
      <c r="T50">
        <f>HYPERLINK("https://klasma.github.io/Logging_2283/kartor/A 26948-2024 karta.png", "A 26948-2024")</f>
        <v/>
      </c>
      <c r="V50">
        <f>HYPERLINK("https://klasma.github.io/Logging_2283/klagomål/A 26948-2024 FSC-klagomål.docx", "A 26948-2024")</f>
        <v/>
      </c>
      <c r="W50">
        <f>HYPERLINK("https://klasma.github.io/Logging_2283/klagomålsmail/A 26948-2024 FSC-klagomål mail.docx", "A 26948-2024")</f>
        <v/>
      </c>
      <c r="X50">
        <f>HYPERLINK("https://klasma.github.io/Logging_2283/tillsyn/A 26948-2024 tillsynsbegäran.docx", "A 26948-2024")</f>
        <v/>
      </c>
      <c r="Y50">
        <f>HYPERLINK("https://klasma.github.io/Logging_2283/tillsynsmail/A 26948-2024 tillsynsbegäran mail.docx", "A 26948-2024")</f>
        <v/>
      </c>
      <c r="Z50">
        <f>HYPERLINK("https://klasma.github.io/Logging_2283/fåglar/A 26948-2024 prioriterade fågelarter.docx", "A 26948-2024")</f>
        <v/>
      </c>
    </row>
    <row r="51" ht="15" customHeight="1">
      <c r="A51" t="inlineStr">
        <is>
          <t>A 49704-2025</t>
        </is>
      </c>
      <c r="B51" s="1" t="n">
        <v>45939</v>
      </c>
      <c r="C51" s="1" t="n">
        <v>46048</v>
      </c>
      <c r="D51" t="inlineStr">
        <is>
          <t>VÄSTERNORRLANDS LÄN</t>
        </is>
      </c>
      <c r="E51" t="inlineStr">
        <is>
          <t>SOLLEFTEÅ</t>
        </is>
      </c>
      <c r="F51" t="inlineStr">
        <is>
          <t>SCA</t>
        </is>
      </c>
      <c r="G51" t="n">
        <v>1.8</v>
      </c>
      <c r="H51" t="n">
        <v>3</v>
      </c>
      <c r="I51" t="n">
        <v>6</v>
      </c>
      <c r="J51" t="n">
        <v>6</v>
      </c>
      <c r="K51" t="n">
        <v>0</v>
      </c>
      <c r="L51" t="n">
        <v>0</v>
      </c>
      <c r="M51" t="n">
        <v>0</v>
      </c>
      <c r="N51" t="n">
        <v>0</v>
      </c>
      <c r="O51" t="n">
        <v>6</v>
      </c>
      <c r="P51" t="n">
        <v>0</v>
      </c>
      <c r="Q51" t="n">
        <v>12</v>
      </c>
      <c r="R51" s="2" t="inlineStr">
        <is>
          <t>Gammelgransskål
Garnlav
Harticka
Järpe
Lunglav
Tretåig hackspett
Bollvitmossa
Bårdlav
Lappranunkel
Luddlav
Norrlandslav
Ögonpyrola</t>
        </is>
      </c>
      <c r="S51">
        <f>HYPERLINK("https://klasma.github.io/Logging_2283/artfynd/A 49704-2025 artfynd.xlsx", "A 49704-2025")</f>
        <v/>
      </c>
      <c r="T51">
        <f>HYPERLINK("https://klasma.github.io/Logging_2283/kartor/A 49704-2025 karta.png", "A 49704-2025")</f>
        <v/>
      </c>
      <c r="V51">
        <f>HYPERLINK("https://klasma.github.io/Logging_2283/klagomål/A 49704-2025 FSC-klagomål.docx", "A 49704-2025")</f>
        <v/>
      </c>
      <c r="W51">
        <f>HYPERLINK("https://klasma.github.io/Logging_2283/klagomålsmail/A 49704-2025 FSC-klagomål mail.docx", "A 49704-2025")</f>
        <v/>
      </c>
      <c r="X51">
        <f>HYPERLINK("https://klasma.github.io/Logging_2283/tillsyn/A 49704-2025 tillsynsbegäran.docx", "A 49704-2025")</f>
        <v/>
      </c>
      <c r="Y51">
        <f>HYPERLINK("https://klasma.github.io/Logging_2283/tillsynsmail/A 49704-2025 tillsynsbegäran mail.docx", "A 49704-2025")</f>
        <v/>
      </c>
      <c r="Z51">
        <f>HYPERLINK("https://klasma.github.io/Logging_2283/fåglar/A 49704-2025 prioriterade fågelarter.docx", "A 49704-2025")</f>
        <v/>
      </c>
    </row>
    <row r="52" ht="15" customHeight="1">
      <c r="A52" t="inlineStr">
        <is>
          <t>A 32460-2024</t>
        </is>
      </c>
      <c r="B52" s="1" t="n">
        <v>45512</v>
      </c>
      <c r="C52" s="1" t="n">
        <v>46048</v>
      </c>
      <c r="D52" t="inlineStr">
        <is>
          <t>VÄSTERNORRLANDS LÄN</t>
        </is>
      </c>
      <c r="E52" t="inlineStr">
        <is>
          <t>SOLLEFTEÅ</t>
        </is>
      </c>
      <c r="F52" t="inlineStr">
        <is>
          <t>SCA</t>
        </is>
      </c>
      <c r="G52" t="n">
        <v>6</v>
      </c>
      <c r="H52" t="n">
        <v>4</v>
      </c>
      <c r="I52" t="n">
        <v>4</v>
      </c>
      <c r="J52" t="n">
        <v>6</v>
      </c>
      <c r="K52" t="n">
        <v>1</v>
      </c>
      <c r="L52" t="n">
        <v>0</v>
      </c>
      <c r="M52" t="n">
        <v>0</v>
      </c>
      <c r="N52" t="n">
        <v>0</v>
      </c>
      <c r="O52" t="n">
        <v>7</v>
      </c>
      <c r="P52" t="n">
        <v>1</v>
      </c>
      <c r="Q52" t="n">
        <v>11</v>
      </c>
      <c r="R52" s="2" t="inlineStr">
        <is>
          <t>Knärot
Doftskinn
Garnlav
Granticka
Lunglav
Talltita
Ullticka
Bårdlav
Lappranunkel
Spindelblomster
Vedticka</t>
        </is>
      </c>
      <c r="S52">
        <f>HYPERLINK("https://klasma.github.io/Logging_2283/artfynd/A 32460-2024 artfynd.xlsx", "A 32460-2024")</f>
        <v/>
      </c>
      <c r="T52">
        <f>HYPERLINK("https://klasma.github.io/Logging_2283/kartor/A 32460-2024 karta.png", "A 32460-2024")</f>
        <v/>
      </c>
      <c r="U52">
        <f>HYPERLINK("https://klasma.github.io/Logging_2283/knärot/A 32460-2024 karta knärot.png", "A 32460-2024")</f>
        <v/>
      </c>
      <c r="V52">
        <f>HYPERLINK("https://klasma.github.io/Logging_2283/klagomål/A 32460-2024 FSC-klagomål.docx", "A 32460-2024")</f>
        <v/>
      </c>
      <c r="W52">
        <f>HYPERLINK("https://klasma.github.io/Logging_2283/klagomålsmail/A 32460-2024 FSC-klagomål mail.docx", "A 32460-2024")</f>
        <v/>
      </c>
      <c r="X52">
        <f>HYPERLINK("https://klasma.github.io/Logging_2283/tillsyn/A 32460-2024 tillsynsbegäran.docx", "A 32460-2024")</f>
        <v/>
      </c>
      <c r="Y52">
        <f>HYPERLINK("https://klasma.github.io/Logging_2283/tillsynsmail/A 32460-2024 tillsynsbegäran mail.docx", "A 32460-2024")</f>
        <v/>
      </c>
      <c r="Z52">
        <f>HYPERLINK("https://klasma.github.io/Logging_2283/fåglar/A 32460-2024 prioriterade fågelarter.docx", "A 32460-2024")</f>
        <v/>
      </c>
    </row>
    <row r="53" ht="15" customHeight="1">
      <c r="A53" t="inlineStr">
        <is>
          <t>A 61326-2024</t>
        </is>
      </c>
      <c r="B53" s="1" t="n">
        <v>45646</v>
      </c>
      <c r="C53" s="1" t="n">
        <v>46048</v>
      </c>
      <c r="D53" t="inlineStr">
        <is>
          <t>VÄSTERNORRLANDS LÄN</t>
        </is>
      </c>
      <c r="E53" t="inlineStr">
        <is>
          <t>SOLLEFTEÅ</t>
        </is>
      </c>
      <c r="F53" t="inlineStr">
        <is>
          <t>SCA</t>
        </is>
      </c>
      <c r="G53" t="n">
        <v>7.9</v>
      </c>
      <c r="H53" t="n">
        <v>1</v>
      </c>
      <c r="I53" t="n">
        <v>1</v>
      </c>
      <c r="J53" t="n">
        <v>10</v>
      </c>
      <c r="K53" t="n">
        <v>0</v>
      </c>
      <c r="L53" t="n">
        <v>0</v>
      </c>
      <c r="M53" t="n">
        <v>0</v>
      </c>
      <c r="N53" t="n">
        <v>0</v>
      </c>
      <c r="O53" t="n">
        <v>10</v>
      </c>
      <c r="P53" t="n">
        <v>0</v>
      </c>
      <c r="Q53" t="n">
        <v>11</v>
      </c>
      <c r="R53" s="2" t="inlineStr">
        <is>
          <t>Gammelgransskål
Garnlav
Granticka
Lunglav
Mörk kolflarnlav
Skrovellav
Stiftgelélav
Tretåig hackspett
Ullticka
Vitgrynig nållav
Luddlav</t>
        </is>
      </c>
      <c r="S53">
        <f>HYPERLINK("https://klasma.github.io/Logging_2283/artfynd/A 61326-2024 artfynd.xlsx", "A 61326-2024")</f>
        <v/>
      </c>
      <c r="T53">
        <f>HYPERLINK("https://klasma.github.io/Logging_2283/kartor/A 61326-2024 karta.png", "A 61326-2024")</f>
        <v/>
      </c>
      <c r="U53">
        <f>HYPERLINK("https://klasma.github.io/Logging_2283/knärot/A 61326-2024 karta knärot.png", "A 61326-2024")</f>
        <v/>
      </c>
      <c r="V53">
        <f>HYPERLINK("https://klasma.github.io/Logging_2283/klagomål/A 61326-2024 FSC-klagomål.docx", "A 61326-2024")</f>
        <v/>
      </c>
      <c r="W53">
        <f>HYPERLINK("https://klasma.github.io/Logging_2283/klagomålsmail/A 61326-2024 FSC-klagomål mail.docx", "A 61326-2024")</f>
        <v/>
      </c>
      <c r="X53">
        <f>HYPERLINK("https://klasma.github.io/Logging_2283/tillsyn/A 61326-2024 tillsynsbegäran.docx", "A 61326-2024")</f>
        <v/>
      </c>
      <c r="Y53">
        <f>HYPERLINK("https://klasma.github.io/Logging_2283/tillsynsmail/A 61326-2024 tillsynsbegäran mail.docx", "A 61326-2024")</f>
        <v/>
      </c>
      <c r="Z53">
        <f>HYPERLINK("https://klasma.github.io/Logging_2283/fåglar/A 61326-2024 prioriterade fågelarter.docx", "A 61326-2024")</f>
        <v/>
      </c>
    </row>
    <row r="54" ht="15" customHeight="1">
      <c r="A54" t="inlineStr">
        <is>
          <t>A 22449-2024</t>
        </is>
      </c>
      <c r="B54" s="1" t="n">
        <v>45446</v>
      </c>
      <c r="C54" s="1" t="n">
        <v>46048</v>
      </c>
      <c r="D54" t="inlineStr">
        <is>
          <t>VÄSTERNORRLANDS LÄN</t>
        </is>
      </c>
      <c r="E54" t="inlineStr">
        <is>
          <t>SOLLEFTEÅ</t>
        </is>
      </c>
      <c r="F54" t="inlineStr">
        <is>
          <t>SCA</t>
        </is>
      </c>
      <c r="G54" t="n">
        <v>7.2</v>
      </c>
      <c r="H54" t="n">
        <v>3</v>
      </c>
      <c r="I54" t="n">
        <v>3</v>
      </c>
      <c r="J54" t="n">
        <v>7</v>
      </c>
      <c r="K54" t="n">
        <v>0</v>
      </c>
      <c r="L54" t="n">
        <v>0</v>
      </c>
      <c r="M54" t="n">
        <v>0</v>
      </c>
      <c r="N54" t="n">
        <v>0</v>
      </c>
      <c r="O54" t="n">
        <v>7</v>
      </c>
      <c r="P54" t="n">
        <v>0</v>
      </c>
      <c r="Q54" t="n">
        <v>11</v>
      </c>
      <c r="R54" s="2" t="inlineStr">
        <is>
          <t>Blå taggsvamp
Dvärgbägarlav
Gammelgransskål
Kolflarnlav
Skrovlig taggsvamp
Tretåig hackspett
Vedskivlav
Dropptaggsvamp
Skarp dropptaggsvamp
Spindelblomster
Vanlig padda</t>
        </is>
      </c>
      <c r="S54">
        <f>HYPERLINK("https://klasma.github.io/Logging_2283/artfynd/A 22449-2024 artfynd.xlsx", "A 22449-2024")</f>
        <v/>
      </c>
      <c r="T54">
        <f>HYPERLINK("https://klasma.github.io/Logging_2283/kartor/A 22449-2024 karta.png", "A 22449-2024")</f>
        <v/>
      </c>
      <c r="U54">
        <f>HYPERLINK("https://klasma.github.io/Logging_2283/knärot/A 22449-2024 karta knärot.png", "A 22449-2024")</f>
        <v/>
      </c>
      <c r="V54">
        <f>HYPERLINK("https://klasma.github.io/Logging_2283/klagomål/A 22449-2024 FSC-klagomål.docx", "A 22449-2024")</f>
        <v/>
      </c>
      <c r="W54">
        <f>HYPERLINK("https://klasma.github.io/Logging_2283/klagomålsmail/A 22449-2024 FSC-klagomål mail.docx", "A 22449-2024")</f>
        <v/>
      </c>
      <c r="X54">
        <f>HYPERLINK("https://klasma.github.io/Logging_2283/tillsyn/A 22449-2024 tillsynsbegäran.docx", "A 22449-2024")</f>
        <v/>
      </c>
      <c r="Y54">
        <f>HYPERLINK("https://klasma.github.io/Logging_2283/tillsynsmail/A 22449-2024 tillsynsbegäran mail.docx", "A 22449-2024")</f>
        <v/>
      </c>
      <c r="Z54">
        <f>HYPERLINK("https://klasma.github.io/Logging_2283/fåglar/A 22449-2024 prioriterade fågelarter.docx", "A 22449-2024")</f>
        <v/>
      </c>
    </row>
    <row r="55" ht="15" customHeight="1">
      <c r="A55" t="inlineStr">
        <is>
          <t>A 50472-2025</t>
        </is>
      </c>
      <c r="B55" s="1" t="n">
        <v>45945.3650462963</v>
      </c>
      <c r="C55" s="1" t="n">
        <v>46048</v>
      </c>
      <c r="D55" t="inlineStr">
        <is>
          <t>VÄSTERNORRLANDS LÄN</t>
        </is>
      </c>
      <c r="E55" t="inlineStr">
        <is>
          <t>SOLLEFTEÅ</t>
        </is>
      </c>
      <c r="F55" t="inlineStr">
        <is>
          <t>SCA</t>
        </is>
      </c>
      <c r="G55" t="n">
        <v>9.199999999999999</v>
      </c>
      <c r="H55" t="n">
        <v>4</v>
      </c>
      <c r="I55" t="n">
        <v>4</v>
      </c>
      <c r="J55" t="n">
        <v>4</v>
      </c>
      <c r="K55" t="n">
        <v>1</v>
      </c>
      <c r="L55" t="n">
        <v>0</v>
      </c>
      <c r="M55" t="n">
        <v>0</v>
      </c>
      <c r="N55" t="n">
        <v>0</v>
      </c>
      <c r="O55" t="n">
        <v>5</v>
      </c>
      <c r="P55" t="n">
        <v>1</v>
      </c>
      <c r="Q55" t="n">
        <v>11</v>
      </c>
      <c r="R55" s="2" t="inlineStr">
        <is>
          <t>Knärot
Garnlav
Lunglav
Skrovellav
Spillkråka
Bårdlav
Gytterlav
Luddlav
Stuplav
Fläcknycklar
Revlummer</t>
        </is>
      </c>
      <c r="S55">
        <f>HYPERLINK("https://klasma.github.io/Logging_2283/artfynd/A 50472-2025 artfynd.xlsx", "A 50472-2025")</f>
        <v/>
      </c>
      <c r="T55">
        <f>HYPERLINK("https://klasma.github.io/Logging_2283/kartor/A 50472-2025 karta.png", "A 50472-2025")</f>
        <v/>
      </c>
      <c r="U55">
        <f>HYPERLINK("https://klasma.github.io/Logging_2283/knärot/A 50472-2025 karta knärot.png", "A 50472-2025")</f>
        <v/>
      </c>
      <c r="V55">
        <f>HYPERLINK("https://klasma.github.io/Logging_2283/klagomål/A 50472-2025 FSC-klagomål.docx", "A 50472-2025")</f>
        <v/>
      </c>
      <c r="W55">
        <f>HYPERLINK("https://klasma.github.io/Logging_2283/klagomålsmail/A 50472-2025 FSC-klagomål mail.docx", "A 50472-2025")</f>
        <v/>
      </c>
      <c r="X55">
        <f>HYPERLINK("https://klasma.github.io/Logging_2283/tillsyn/A 50472-2025 tillsynsbegäran.docx", "A 50472-2025")</f>
        <v/>
      </c>
      <c r="Y55">
        <f>HYPERLINK("https://klasma.github.io/Logging_2283/tillsynsmail/A 50472-2025 tillsynsbegäran mail.docx", "A 50472-2025")</f>
        <v/>
      </c>
      <c r="Z55">
        <f>HYPERLINK("https://klasma.github.io/Logging_2283/fåglar/A 50472-2025 prioriterade fågelarter.docx", "A 50472-2025")</f>
        <v/>
      </c>
    </row>
    <row r="56" ht="15" customHeight="1">
      <c r="A56" t="inlineStr">
        <is>
          <t>A 63420-2025</t>
        </is>
      </c>
      <c r="B56" s="1" t="n">
        <v>46013.34195601852</v>
      </c>
      <c r="C56" s="1" t="n">
        <v>46048</v>
      </c>
      <c r="D56" t="inlineStr">
        <is>
          <t>VÄSTERNORRLANDS LÄN</t>
        </is>
      </c>
      <c r="E56" t="inlineStr">
        <is>
          <t>SOLLEFTEÅ</t>
        </is>
      </c>
      <c r="G56" t="n">
        <v>8.1</v>
      </c>
      <c r="H56" t="n">
        <v>1</v>
      </c>
      <c r="I56" t="n">
        <v>1</v>
      </c>
      <c r="J56" t="n">
        <v>8</v>
      </c>
      <c r="K56" t="n">
        <v>2</v>
      </c>
      <c r="L56" t="n">
        <v>0</v>
      </c>
      <c r="M56" t="n">
        <v>0</v>
      </c>
      <c r="N56" t="n">
        <v>0</v>
      </c>
      <c r="O56" t="n">
        <v>10</v>
      </c>
      <c r="P56" t="n">
        <v>2</v>
      </c>
      <c r="Q56" t="n">
        <v>11</v>
      </c>
      <c r="R56" s="2" t="inlineStr">
        <is>
          <t>Blackticka
Rynkskinn
Gammelgransskål
Garnlav
Granticka
Kolflarnlav
Lunglav
Talltita
Ullticka
Vedskivlav
Vedticka</t>
        </is>
      </c>
      <c r="S56">
        <f>HYPERLINK("https://klasma.github.io/Logging_2283/artfynd/A 63420-2025 artfynd.xlsx", "A 63420-2025")</f>
        <v/>
      </c>
      <c r="T56">
        <f>HYPERLINK("https://klasma.github.io/Logging_2283/kartor/A 63420-2025 karta.png", "A 63420-2025")</f>
        <v/>
      </c>
      <c r="V56">
        <f>HYPERLINK("https://klasma.github.io/Logging_2283/klagomål/A 63420-2025 FSC-klagomål.docx", "A 63420-2025")</f>
        <v/>
      </c>
      <c r="W56">
        <f>HYPERLINK("https://klasma.github.io/Logging_2283/klagomålsmail/A 63420-2025 FSC-klagomål mail.docx", "A 63420-2025")</f>
        <v/>
      </c>
      <c r="X56">
        <f>HYPERLINK("https://klasma.github.io/Logging_2283/tillsyn/A 63420-2025 tillsynsbegäran.docx", "A 63420-2025")</f>
        <v/>
      </c>
      <c r="Y56">
        <f>HYPERLINK("https://klasma.github.io/Logging_2283/tillsynsmail/A 63420-2025 tillsynsbegäran mail.docx", "A 63420-2025")</f>
        <v/>
      </c>
      <c r="Z56">
        <f>HYPERLINK("https://klasma.github.io/Logging_2283/fåglar/A 63420-2025 prioriterade fågelarter.docx", "A 63420-2025")</f>
        <v/>
      </c>
    </row>
    <row r="57" ht="15" customHeight="1">
      <c r="A57" t="inlineStr">
        <is>
          <t>A 46041-2022</t>
        </is>
      </c>
      <c r="B57" s="1" t="n">
        <v>44846</v>
      </c>
      <c r="C57" s="1" t="n">
        <v>46048</v>
      </c>
      <c r="D57" t="inlineStr">
        <is>
          <t>VÄSTERNORRLANDS LÄN</t>
        </is>
      </c>
      <c r="E57" t="inlineStr">
        <is>
          <t>SOLLEFTEÅ</t>
        </is>
      </c>
      <c r="F57" t="inlineStr">
        <is>
          <t>SCA</t>
        </is>
      </c>
      <c r="G57" t="n">
        <v>21.1</v>
      </c>
      <c r="H57" t="n">
        <v>4</v>
      </c>
      <c r="I57" t="n">
        <v>0</v>
      </c>
      <c r="J57" t="n">
        <v>10</v>
      </c>
      <c r="K57" t="n">
        <v>1</v>
      </c>
      <c r="L57" t="n">
        <v>0</v>
      </c>
      <c r="M57" t="n">
        <v>0</v>
      </c>
      <c r="N57" t="n">
        <v>0</v>
      </c>
      <c r="O57" t="n">
        <v>11</v>
      </c>
      <c r="P57" t="n">
        <v>1</v>
      </c>
      <c r="Q57" t="n">
        <v>11</v>
      </c>
      <c r="R57" s="2" t="inlineStr">
        <is>
          <t>Knärot
Gammelgransskål
Garnlav
Granticka
Kolflarnlav
Lunglav
Skrovellav
Spillkråka
Talltita
Tretåig hackspett
Vitgrynig nållav</t>
        </is>
      </c>
      <c r="S57">
        <f>HYPERLINK("https://klasma.github.io/Logging_2283/artfynd/A 46041-2022 artfynd.xlsx", "A 46041-2022")</f>
        <v/>
      </c>
      <c r="T57">
        <f>HYPERLINK("https://klasma.github.io/Logging_2283/kartor/A 46041-2022 karta.png", "A 46041-2022")</f>
        <v/>
      </c>
      <c r="U57">
        <f>HYPERLINK("https://klasma.github.io/Logging_2283/knärot/A 46041-2022 karta knärot.png", "A 46041-2022")</f>
        <v/>
      </c>
      <c r="V57">
        <f>HYPERLINK("https://klasma.github.io/Logging_2283/klagomål/A 46041-2022 FSC-klagomål.docx", "A 46041-2022")</f>
        <v/>
      </c>
      <c r="W57">
        <f>HYPERLINK("https://klasma.github.io/Logging_2283/klagomålsmail/A 46041-2022 FSC-klagomål mail.docx", "A 46041-2022")</f>
        <v/>
      </c>
      <c r="X57">
        <f>HYPERLINK("https://klasma.github.io/Logging_2283/tillsyn/A 46041-2022 tillsynsbegäran.docx", "A 46041-2022")</f>
        <v/>
      </c>
      <c r="Y57">
        <f>HYPERLINK("https://klasma.github.io/Logging_2283/tillsynsmail/A 46041-2022 tillsynsbegäran mail.docx", "A 46041-2022")</f>
        <v/>
      </c>
      <c r="Z57">
        <f>HYPERLINK("https://klasma.github.io/Logging_2283/fåglar/A 46041-2022 prioriterade fågelarter.docx", "A 46041-2022")</f>
        <v/>
      </c>
    </row>
    <row r="58" ht="15" customHeight="1">
      <c r="A58" t="inlineStr">
        <is>
          <t>A 11491-2022</t>
        </is>
      </c>
      <c r="B58" s="1" t="n">
        <v>44630</v>
      </c>
      <c r="C58" s="1" t="n">
        <v>46048</v>
      </c>
      <c r="D58" t="inlineStr">
        <is>
          <t>VÄSTERNORRLANDS LÄN</t>
        </is>
      </c>
      <c r="E58" t="inlineStr">
        <is>
          <t>SOLLEFTEÅ</t>
        </is>
      </c>
      <c r="F58" t="inlineStr">
        <is>
          <t>SCA</t>
        </is>
      </c>
      <c r="G58" t="n">
        <v>6.4</v>
      </c>
      <c r="H58" t="n">
        <v>4</v>
      </c>
      <c r="I58" t="n">
        <v>0</v>
      </c>
      <c r="J58" t="n">
        <v>6</v>
      </c>
      <c r="K58" t="n">
        <v>3</v>
      </c>
      <c r="L58" t="n">
        <v>0</v>
      </c>
      <c r="M58" t="n">
        <v>0</v>
      </c>
      <c r="N58" t="n">
        <v>0</v>
      </c>
      <c r="O58" t="n">
        <v>9</v>
      </c>
      <c r="P58" t="n">
        <v>3</v>
      </c>
      <c r="Q58" t="n">
        <v>11</v>
      </c>
      <c r="R58" s="2" t="inlineStr">
        <is>
          <t>Knärot
Raggbock
Rynkskinn
Gränsticka
Lunglav
Orange taggsvamp
Rosenticka
Tretåig hackspett
Ullticka
Kungsfågel
Fläcknycklar</t>
        </is>
      </c>
      <c r="S58">
        <f>HYPERLINK("https://klasma.github.io/Logging_2283/artfynd/A 11491-2022 artfynd.xlsx", "A 11491-2022")</f>
        <v/>
      </c>
      <c r="T58">
        <f>HYPERLINK("https://klasma.github.io/Logging_2283/kartor/A 11491-2022 karta.png", "A 11491-2022")</f>
        <v/>
      </c>
      <c r="U58">
        <f>HYPERLINK("https://klasma.github.io/Logging_2283/knärot/A 11491-2022 karta knärot.png", "A 11491-2022")</f>
        <v/>
      </c>
      <c r="V58">
        <f>HYPERLINK("https://klasma.github.io/Logging_2283/klagomål/A 11491-2022 FSC-klagomål.docx", "A 11491-2022")</f>
        <v/>
      </c>
      <c r="W58">
        <f>HYPERLINK("https://klasma.github.io/Logging_2283/klagomålsmail/A 11491-2022 FSC-klagomål mail.docx", "A 11491-2022")</f>
        <v/>
      </c>
      <c r="X58">
        <f>HYPERLINK("https://klasma.github.io/Logging_2283/tillsyn/A 11491-2022 tillsynsbegäran.docx", "A 11491-2022")</f>
        <v/>
      </c>
      <c r="Y58">
        <f>HYPERLINK("https://klasma.github.io/Logging_2283/tillsynsmail/A 11491-2022 tillsynsbegäran mail.docx", "A 11491-2022")</f>
        <v/>
      </c>
      <c r="Z58">
        <f>HYPERLINK("https://klasma.github.io/Logging_2283/fåglar/A 11491-2022 prioriterade fågelarter.docx", "A 11491-2022")</f>
        <v/>
      </c>
    </row>
    <row r="59" ht="15" customHeight="1">
      <c r="A59" t="inlineStr">
        <is>
          <t>A 747-2022</t>
        </is>
      </c>
      <c r="B59" s="1" t="n">
        <v>44568</v>
      </c>
      <c r="C59" s="1" t="n">
        <v>46048</v>
      </c>
      <c r="D59" t="inlineStr">
        <is>
          <t>VÄSTERNORRLANDS LÄN</t>
        </is>
      </c>
      <c r="E59" t="inlineStr">
        <is>
          <t>SOLLEFTEÅ</t>
        </is>
      </c>
      <c r="F59" t="inlineStr">
        <is>
          <t>SCA</t>
        </is>
      </c>
      <c r="G59" t="n">
        <v>10.9</v>
      </c>
      <c r="H59" t="n">
        <v>1</v>
      </c>
      <c r="I59" t="n">
        <v>3</v>
      </c>
      <c r="J59" t="n">
        <v>6</v>
      </c>
      <c r="K59" t="n">
        <v>1</v>
      </c>
      <c r="L59" t="n">
        <v>0</v>
      </c>
      <c r="M59" t="n">
        <v>0</v>
      </c>
      <c r="N59" t="n">
        <v>0</v>
      </c>
      <c r="O59" t="n">
        <v>7</v>
      </c>
      <c r="P59" t="n">
        <v>1</v>
      </c>
      <c r="Q59" t="n">
        <v>10</v>
      </c>
      <c r="R59" s="2" t="inlineStr">
        <is>
          <t>Rynkskinn
Doftskinn
Granticka
Lunglav
Rosenticka
Tretåig hackspett
Ullticka
Norrlandslav
Stuplav
Vedticka</t>
        </is>
      </c>
      <c r="S59">
        <f>HYPERLINK("https://klasma.github.io/Logging_2283/artfynd/A 747-2022 artfynd.xlsx", "A 747-2022")</f>
        <v/>
      </c>
      <c r="T59">
        <f>HYPERLINK("https://klasma.github.io/Logging_2283/kartor/A 747-2022 karta.png", "A 747-2022")</f>
        <v/>
      </c>
      <c r="V59">
        <f>HYPERLINK("https://klasma.github.io/Logging_2283/klagomål/A 747-2022 FSC-klagomål.docx", "A 747-2022")</f>
        <v/>
      </c>
      <c r="W59">
        <f>HYPERLINK("https://klasma.github.io/Logging_2283/klagomålsmail/A 747-2022 FSC-klagomål mail.docx", "A 747-2022")</f>
        <v/>
      </c>
      <c r="X59">
        <f>HYPERLINK("https://klasma.github.io/Logging_2283/tillsyn/A 747-2022 tillsynsbegäran.docx", "A 747-2022")</f>
        <v/>
      </c>
      <c r="Y59">
        <f>HYPERLINK("https://klasma.github.io/Logging_2283/tillsynsmail/A 747-2022 tillsynsbegäran mail.docx", "A 747-2022")</f>
        <v/>
      </c>
      <c r="Z59">
        <f>HYPERLINK("https://klasma.github.io/Logging_2283/fåglar/A 747-2022 prioriterade fågelarter.docx", "A 747-2022")</f>
        <v/>
      </c>
    </row>
    <row r="60" ht="15" customHeight="1">
      <c r="A60" t="inlineStr">
        <is>
          <t>A 66171-2021</t>
        </is>
      </c>
      <c r="B60" s="1" t="n">
        <v>44517</v>
      </c>
      <c r="C60" s="1" t="n">
        <v>46048</v>
      </c>
      <c r="D60" t="inlineStr">
        <is>
          <t>VÄSTERNORRLANDS LÄN</t>
        </is>
      </c>
      <c r="E60" t="inlineStr">
        <is>
          <t>SOLLEFTEÅ</t>
        </is>
      </c>
      <c r="F60" t="inlineStr">
        <is>
          <t>SCA</t>
        </is>
      </c>
      <c r="G60" t="n">
        <v>8.5</v>
      </c>
      <c r="H60" t="n">
        <v>3</v>
      </c>
      <c r="I60" t="n">
        <v>0</v>
      </c>
      <c r="J60" t="n">
        <v>7</v>
      </c>
      <c r="K60" t="n">
        <v>3</v>
      </c>
      <c r="L60" t="n">
        <v>0</v>
      </c>
      <c r="M60" t="n">
        <v>0</v>
      </c>
      <c r="N60" t="n">
        <v>0</v>
      </c>
      <c r="O60" t="n">
        <v>10</v>
      </c>
      <c r="P60" t="n">
        <v>3</v>
      </c>
      <c r="Q60" t="n">
        <v>10</v>
      </c>
      <c r="R60" s="2" t="inlineStr">
        <is>
          <t>Knärot
Ostticka
Rynkskinn
Duvhök
Gammelgransskål
Garnlav
Lunglav
Rosenticka
Tretåig hackspett
Ullticka</t>
        </is>
      </c>
      <c r="S60">
        <f>HYPERLINK("https://klasma.github.io/Logging_2283/artfynd/A 66171-2021 artfynd.xlsx", "A 66171-2021")</f>
        <v/>
      </c>
      <c r="T60">
        <f>HYPERLINK("https://klasma.github.io/Logging_2283/kartor/A 66171-2021 karta.png", "A 66171-2021")</f>
        <v/>
      </c>
      <c r="U60">
        <f>HYPERLINK("https://klasma.github.io/Logging_2283/knärot/A 66171-2021 karta knärot.png", "A 66171-2021")</f>
        <v/>
      </c>
      <c r="V60">
        <f>HYPERLINK("https://klasma.github.io/Logging_2283/klagomål/A 66171-2021 FSC-klagomål.docx", "A 66171-2021")</f>
        <v/>
      </c>
      <c r="W60">
        <f>HYPERLINK("https://klasma.github.io/Logging_2283/klagomålsmail/A 66171-2021 FSC-klagomål mail.docx", "A 66171-2021")</f>
        <v/>
      </c>
      <c r="X60">
        <f>HYPERLINK("https://klasma.github.io/Logging_2283/tillsyn/A 66171-2021 tillsynsbegäran.docx", "A 66171-2021")</f>
        <v/>
      </c>
      <c r="Y60">
        <f>HYPERLINK("https://klasma.github.io/Logging_2283/tillsynsmail/A 66171-2021 tillsynsbegäran mail.docx", "A 66171-2021")</f>
        <v/>
      </c>
      <c r="Z60">
        <f>HYPERLINK("https://klasma.github.io/Logging_2283/fåglar/A 66171-2021 prioriterade fågelarter.docx", "A 66171-2021")</f>
        <v/>
      </c>
    </row>
    <row r="61" ht="15" customHeight="1">
      <c r="A61" t="inlineStr">
        <is>
          <t>A 19825-2023</t>
        </is>
      </c>
      <c r="B61" s="1" t="n">
        <v>45051</v>
      </c>
      <c r="C61" s="1" t="n">
        <v>46048</v>
      </c>
      <c r="D61" t="inlineStr">
        <is>
          <t>VÄSTERNORRLANDS LÄN</t>
        </is>
      </c>
      <c r="E61" t="inlineStr">
        <is>
          <t>SOLLEFTEÅ</t>
        </is>
      </c>
      <c r="F61" t="inlineStr">
        <is>
          <t>SCA</t>
        </is>
      </c>
      <c r="G61" t="n">
        <v>18</v>
      </c>
      <c r="H61" t="n">
        <v>0</v>
      </c>
      <c r="I61" t="n">
        <v>1</v>
      </c>
      <c r="J61" t="n">
        <v>8</v>
      </c>
      <c r="K61" t="n">
        <v>1</v>
      </c>
      <c r="L61" t="n">
        <v>0</v>
      </c>
      <c r="M61" t="n">
        <v>0</v>
      </c>
      <c r="N61" t="n">
        <v>0</v>
      </c>
      <c r="O61" t="n">
        <v>9</v>
      </c>
      <c r="P61" t="n">
        <v>1</v>
      </c>
      <c r="Q61" t="n">
        <v>10</v>
      </c>
      <c r="R61" s="2" t="inlineStr">
        <is>
          <t>Gräddticka
Doftskinn
Gammelgransskål
Garnlav
Granticka
Gränsticka
Lunglav
Ullticka
Vitgrynig nållav
Vedticka</t>
        </is>
      </c>
      <c r="S61">
        <f>HYPERLINK("https://klasma.github.io/Logging_2283/artfynd/A 19825-2023 artfynd.xlsx", "A 19825-2023")</f>
        <v/>
      </c>
      <c r="T61">
        <f>HYPERLINK("https://klasma.github.io/Logging_2283/kartor/A 19825-2023 karta.png", "A 19825-2023")</f>
        <v/>
      </c>
      <c r="V61">
        <f>HYPERLINK("https://klasma.github.io/Logging_2283/klagomål/A 19825-2023 FSC-klagomål.docx", "A 19825-2023")</f>
        <v/>
      </c>
      <c r="W61">
        <f>HYPERLINK("https://klasma.github.io/Logging_2283/klagomålsmail/A 19825-2023 FSC-klagomål mail.docx", "A 19825-2023")</f>
        <v/>
      </c>
      <c r="X61">
        <f>HYPERLINK("https://klasma.github.io/Logging_2283/tillsyn/A 19825-2023 tillsynsbegäran.docx", "A 19825-2023")</f>
        <v/>
      </c>
      <c r="Y61">
        <f>HYPERLINK("https://klasma.github.io/Logging_2283/tillsynsmail/A 19825-2023 tillsynsbegäran mail.docx", "A 19825-2023")</f>
        <v/>
      </c>
    </row>
    <row r="62" ht="15" customHeight="1">
      <c r="A62" t="inlineStr">
        <is>
          <t>A 18009-2022</t>
        </is>
      </c>
      <c r="B62" s="1" t="n">
        <v>44683</v>
      </c>
      <c r="C62" s="1" t="n">
        <v>46048</v>
      </c>
      <c r="D62" t="inlineStr">
        <is>
          <t>VÄSTERNORRLANDS LÄN</t>
        </is>
      </c>
      <c r="E62" t="inlineStr">
        <is>
          <t>SOLLEFTEÅ</t>
        </is>
      </c>
      <c r="F62" t="inlineStr">
        <is>
          <t>SCA</t>
        </is>
      </c>
      <c r="G62" t="n">
        <v>3.6</v>
      </c>
      <c r="H62" t="n">
        <v>5</v>
      </c>
      <c r="I62" t="n">
        <v>1</v>
      </c>
      <c r="J62" t="n">
        <v>8</v>
      </c>
      <c r="K62" t="n">
        <v>1</v>
      </c>
      <c r="L62" t="n">
        <v>0</v>
      </c>
      <c r="M62" t="n">
        <v>0</v>
      </c>
      <c r="N62" t="n">
        <v>0</v>
      </c>
      <c r="O62" t="n">
        <v>9</v>
      </c>
      <c r="P62" t="n">
        <v>1</v>
      </c>
      <c r="Q62" t="n">
        <v>10</v>
      </c>
      <c r="R62" s="2" t="inlineStr">
        <is>
          <t>Knärot
Garnlav
Granticka
Järpe
Skogshare
Spillkråka
Talltita
Tretåig hackspett
Ullticka
Bollvitmossa</t>
        </is>
      </c>
      <c r="S62">
        <f>HYPERLINK("https://klasma.github.io/Logging_2283/artfynd/A 18009-2022 artfynd.xlsx", "A 18009-2022")</f>
        <v/>
      </c>
      <c r="T62">
        <f>HYPERLINK("https://klasma.github.io/Logging_2283/kartor/A 18009-2022 karta.png", "A 18009-2022")</f>
        <v/>
      </c>
      <c r="U62">
        <f>HYPERLINK("https://klasma.github.io/Logging_2283/knärot/A 18009-2022 karta knärot.png", "A 18009-2022")</f>
        <v/>
      </c>
      <c r="V62">
        <f>HYPERLINK("https://klasma.github.io/Logging_2283/klagomål/A 18009-2022 FSC-klagomål.docx", "A 18009-2022")</f>
        <v/>
      </c>
      <c r="W62">
        <f>HYPERLINK("https://klasma.github.io/Logging_2283/klagomålsmail/A 18009-2022 FSC-klagomål mail.docx", "A 18009-2022")</f>
        <v/>
      </c>
      <c r="X62">
        <f>HYPERLINK("https://klasma.github.io/Logging_2283/tillsyn/A 18009-2022 tillsynsbegäran.docx", "A 18009-2022")</f>
        <v/>
      </c>
      <c r="Y62">
        <f>HYPERLINK("https://klasma.github.io/Logging_2283/tillsynsmail/A 18009-2022 tillsynsbegäran mail.docx", "A 18009-2022")</f>
        <v/>
      </c>
      <c r="Z62">
        <f>HYPERLINK("https://klasma.github.io/Logging_2283/fåglar/A 18009-2022 prioriterade fågelarter.docx", "A 18009-2022")</f>
        <v/>
      </c>
    </row>
    <row r="63" ht="15" customHeight="1">
      <c r="A63" t="inlineStr">
        <is>
          <t>A 51693-2024</t>
        </is>
      </c>
      <c r="B63" s="1" t="n">
        <v>45607.34570601852</v>
      </c>
      <c r="C63" s="1" t="n">
        <v>46048</v>
      </c>
      <c r="D63" t="inlineStr">
        <is>
          <t>VÄSTERNORRLANDS LÄN</t>
        </is>
      </c>
      <c r="E63" t="inlineStr">
        <is>
          <t>SOLLEFTEÅ</t>
        </is>
      </c>
      <c r="F63" t="inlineStr">
        <is>
          <t>SCA</t>
        </is>
      </c>
      <c r="G63" t="n">
        <v>5.2</v>
      </c>
      <c r="H63" t="n">
        <v>3</v>
      </c>
      <c r="I63" t="n">
        <v>2</v>
      </c>
      <c r="J63" t="n">
        <v>7</v>
      </c>
      <c r="K63" t="n">
        <v>1</v>
      </c>
      <c r="L63" t="n">
        <v>0</v>
      </c>
      <c r="M63" t="n">
        <v>0</v>
      </c>
      <c r="N63" t="n">
        <v>0</v>
      </c>
      <c r="O63" t="n">
        <v>8</v>
      </c>
      <c r="P63" t="n">
        <v>1</v>
      </c>
      <c r="Q63" t="n">
        <v>10</v>
      </c>
      <c r="R63" s="2" t="inlineStr">
        <is>
          <t>Knärot
Garnlav
Granticka
Kolflarnlav
Lunglav
Spillkråka
Tretåig hackspett
Ullticka
Dropptaggsvamp
Skuggblåslav</t>
        </is>
      </c>
      <c r="S63">
        <f>HYPERLINK("https://klasma.github.io/Logging_2283/artfynd/A 51693-2024 artfynd.xlsx", "A 51693-2024")</f>
        <v/>
      </c>
      <c r="T63">
        <f>HYPERLINK("https://klasma.github.io/Logging_2283/kartor/A 51693-2024 karta.png", "A 51693-2024")</f>
        <v/>
      </c>
      <c r="U63">
        <f>HYPERLINK("https://klasma.github.io/Logging_2283/knärot/A 51693-2024 karta knärot.png", "A 51693-2024")</f>
        <v/>
      </c>
      <c r="V63">
        <f>HYPERLINK("https://klasma.github.io/Logging_2283/klagomål/A 51693-2024 FSC-klagomål.docx", "A 51693-2024")</f>
        <v/>
      </c>
      <c r="W63">
        <f>HYPERLINK("https://klasma.github.io/Logging_2283/klagomålsmail/A 51693-2024 FSC-klagomål mail.docx", "A 51693-2024")</f>
        <v/>
      </c>
      <c r="X63">
        <f>HYPERLINK("https://klasma.github.io/Logging_2283/tillsyn/A 51693-2024 tillsynsbegäran.docx", "A 51693-2024")</f>
        <v/>
      </c>
      <c r="Y63">
        <f>HYPERLINK("https://klasma.github.io/Logging_2283/tillsynsmail/A 51693-2024 tillsynsbegäran mail.docx", "A 51693-2024")</f>
        <v/>
      </c>
      <c r="Z63">
        <f>HYPERLINK("https://klasma.github.io/Logging_2283/fåglar/A 51693-2024 prioriterade fågelarter.docx", "A 51693-2024")</f>
        <v/>
      </c>
    </row>
    <row r="64" ht="15" customHeight="1">
      <c r="A64" t="inlineStr">
        <is>
          <t>A 38665-2025</t>
        </is>
      </c>
      <c r="B64" s="1" t="n">
        <v>45884.61528935185</v>
      </c>
      <c r="C64" s="1" t="n">
        <v>46048</v>
      </c>
      <c r="D64" t="inlineStr">
        <is>
          <t>VÄSTERNORRLANDS LÄN</t>
        </is>
      </c>
      <c r="E64" t="inlineStr">
        <is>
          <t>SOLLEFTEÅ</t>
        </is>
      </c>
      <c r="F64" t="inlineStr">
        <is>
          <t>SCA</t>
        </is>
      </c>
      <c r="G64" t="n">
        <v>3.9</v>
      </c>
      <c r="H64" t="n">
        <v>0</v>
      </c>
      <c r="I64" t="n">
        <v>1</v>
      </c>
      <c r="J64" t="n">
        <v>9</v>
      </c>
      <c r="K64" t="n">
        <v>0</v>
      </c>
      <c r="L64" t="n">
        <v>0</v>
      </c>
      <c r="M64" t="n">
        <v>0</v>
      </c>
      <c r="N64" t="n">
        <v>0</v>
      </c>
      <c r="O64" t="n">
        <v>9</v>
      </c>
      <c r="P64" t="n">
        <v>0</v>
      </c>
      <c r="Q64" t="n">
        <v>10</v>
      </c>
      <c r="R64" s="2" t="inlineStr">
        <is>
          <t>Blå taggsvamp
Gammelgransskål
Kolflarnlav
Lunglav
Nordtagging
Rosenticka
Ullticka
Vaddporing
Vitgrynig nållav
Luddlav</t>
        </is>
      </c>
      <c r="S64">
        <f>HYPERLINK("https://klasma.github.io/Logging_2283/artfynd/A 38665-2025 artfynd.xlsx", "A 38665-2025")</f>
        <v/>
      </c>
      <c r="T64">
        <f>HYPERLINK("https://klasma.github.io/Logging_2283/kartor/A 38665-2025 karta.png", "A 38665-2025")</f>
        <v/>
      </c>
      <c r="V64">
        <f>HYPERLINK("https://klasma.github.io/Logging_2283/klagomål/A 38665-2025 FSC-klagomål.docx", "A 38665-2025")</f>
        <v/>
      </c>
      <c r="W64">
        <f>HYPERLINK("https://klasma.github.io/Logging_2283/klagomålsmail/A 38665-2025 FSC-klagomål mail.docx", "A 38665-2025")</f>
        <v/>
      </c>
      <c r="X64">
        <f>HYPERLINK("https://klasma.github.io/Logging_2283/tillsyn/A 38665-2025 tillsynsbegäran.docx", "A 38665-2025")</f>
        <v/>
      </c>
      <c r="Y64">
        <f>HYPERLINK("https://klasma.github.io/Logging_2283/tillsynsmail/A 38665-2025 tillsynsbegäran mail.docx", "A 38665-2025")</f>
        <v/>
      </c>
    </row>
    <row r="65" ht="15" customHeight="1">
      <c r="A65" t="inlineStr">
        <is>
          <t>A 37488-2023</t>
        </is>
      </c>
      <c r="B65" s="1" t="n">
        <v>45156</v>
      </c>
      <c r="C65" s="1" t="n">
        <v>46048</v>
      </c>
      <c r="D65" t="inlineStr">
        <is>
          <t>VÄSTERNORRLANDS LÄN</t>
        </is>
      </c>
      <c r="E65" t="inlineStr">
        <is>
          <t>SOLLEFTEÅ</t>
        </is>
      </c>
      <c r="F65" t="inlineStr">
        <is>
          <t>SCA</t>
        </is>
      </c>
      <c r="G65" t="n">
        <v>10.1</v>
      </c>
      <c r="H65" t="n">
        <v>5</v>
      </c>
      <c r="I65" t="n">
        <v>3</v>
      </c>
      <c r="J65" t="n">
        <v>4</v>
      </c>
      <c r="K65" t="n">
        <v>2</v>
      </c>
      <c r="L65" t="n">
        <v>0</v>
      </c>
      <c r="M65" t="n">
        <v>0</v>
      </c>
      <c r="N65" t="n">
        <v>0</v>
      </c>
      <c r="O65" t="n">
        <v>6</v>
      </c>
      <c r="P65" t="n">
        <v>2</v>
      </c>
      <c r="Q65" t="n">
        <v>10</v>
      </c>
      <c r="R65" s="2" t="inlineStr">
        <is>
          <t>Doftticka
Knärot
Garnlav
Lunglav
Spillkråka
Tretåig hackspett
Bårdlav
Norrlandslav
Stuplav
Revlummer</t>
        </is>
      </c>
      <c r="S65">
        <f>HYPERLINK("https://klasma.github.io/Logging_2283/artfynd/A 37488-2023 artfynd.xlsx", "A 37488-2023")</f>
        <v/>
      </c>
      <c r="T65">
        <f>HYPERLINK("https://klasma.github.io/Logging_2283/kartor/A 37488-2023 karta.png", "A 37488-2023")</f>
        <v/>
      </c>
      <c r="U65">
        <f>HYPERLINK("https://klasma.github.io/Logging_2283/knärot/A 37488-2023 karta knärot.png", "A 37488-2023")</f>
        <v/>
      </c>
      <c r="V65">
        <f>HYPERLINK("https://klasma.github.io/Logging_2283/klagomål/A 37488-2023 FSC-klagomål.docx", "A 37488-2023")</f>
        <v/>
      </c>
      <c r="W65">
        <f>HYPERLINK("https://klasma.github.io/Logging_2283/klagomålsmail/A 37488-2023 FSC-klagomål mail.docx", "A 37488-2023")</f>
        <v/>
      </c>
      <c r="X65">
        <f>HYPERLINK("https://klasma.github.io/Logging_2283/tillsyn/A 37488-2023 tillsynsbegäran.docx", "A 37488-2023")</f>
        <v/>
      </c>
      <c r="Y65">
        <f>HYPERLINK("https://klasma.github.io/Logging_2283/tillsynsmail/A 37488-2023 tillsynsbegäran mail.docx", "A 37488-2023")</f>
        <v/>
      </c>
      <c r="Z65">
        <f>HYPERLINK("https://klasma.github.io/Logging_2283/fåglar/A 37488-2023 prioriterade fågelarter.docx", "A 37488-2023")</f>
        <v/>
      </c>
    </row>
    <row r="66" ht="15" customHeight="1">
      <c r="A66" t="inlineStr">
        <is>
          <t>A 43329-2025</t>
        </is>
      </c>
      <c r="B66" s="1" t="n">
        <v>45910.6775</v>
      </c>
      <c r="C66" s="1" t="n">
        <v>46048</v>
      </c>
      <c r="D66" t="inlineStr">
        <is>
          <t>VÄSTERNORRLANDS LÄN</t>
        </is>
      </c>
      <c r="E66" t="inlineStr">
        <is>
          <t>SOLLEFTEÅ</t>
        </is>
      </c>
      <c r="F66" t="inlineStr">
        <is>
          <t>SCA</t>
        </is>
      </c>
      <c r="G66" t="n">
        <v>22.5</v>
      </c>
      <c r="H66" t="n">
        <v>1</v>
      </c>
      <c r="I66" t="n">
        <v>4</v>
      </c>
      <c r="J66" t="n">
        <v>5</v>
      </c>
      <c r="K66" t="n">
        <v>1</v>
      </c>
      <c r="L66" t="n">
        <v>0</v>
      </c>
      <c r="M66" t="n">
        <v>0</v>
      </c>
      <c r="N66" t="n">
        <v>0</v>
      </c>
      <c r="O66" t="n">
        <v>6</v>
      </c>
      <c r="P66" t="n">
        <v>1</v>
      </c>
      <c r="Q66" t="n">
        <v>10</v>
      </c>
      <c r="R66" s="2" t="inlineStr">
        <is>
          <t>Doftticka
Blå taggsvamp
Garnlav
Granticka
Lunglav
Ullticka
Bårdlav
Dropptaggsvamp
Fjällig taggsvamp s.str.
Luddlav</t>
        </is>
      </c>
      <c r="S66">
        <f>HYPERLINK("https://klasma.github.io/Logging_2283/artfynd/A 43329-2025 artfynd.xlsx", "A 43329-2025")</f>
        <v/>
      </c>
      <c r="T66">
        <f>HYPERLINK("https://klasma.github.io/Logging_2283/kartor/A 43329-2025 karta.png", "A 43329-2025")</f>
        <v/>
      </c>
      <c r="V66">
        <f>HYPERLINK("https://klasma.github.io/Logging_2283/klagomål/A 43329-2025 FSC-klagomål.docx", "A 43329-2025")</f>
        <v/>
      </c>
      <c r="W66">
        <f>HYPERLINK("https://klasma.github.io/Logging_2283/klagomålsmail/A 43329-2025 FSC-klagomål mail.docx", "A 43329-2025")</f>
        <v/>
      </c>
      <c r="X66">
        <f>HYPERLINK("https://klasma.github.io/Logging_2283/tillsyn/A 43329-2025 tillsynsbegäran.docx", "A 43329-2025")</f>
        <v/>
      </c>
      <c r="Y66">
        <f>HYPERLINK("https://klasma.github.io/Logging_2283/tillsynsmail/A 43329-2025 tillsynsbegäran mail.docx", "A 43329-2025")</f>
        <v/>
      </c>
    </row>
    <row r="67" ht="15" customHeight="1">
      <c r="A67" t="inlineStr">
        <is>
          <t>A 62975-2025</t>
        </is>
      </c>
      <c r="B67" s="1" t="n">
        <v>46009.46949074074</v>
      </c>
      <c r="C67" s="1" t="n">
        <v>46048</v>
      </c>
      <c r="D67" t="inlineStr">
        <is>
          <t>VÄSTERNORRLANDS LÄN</t>
        </is>
      </c>
      <c r="E67" t="inlineStr">
        <is>
          <t>SOLLEFTEÅ</t>
        </is>
      </c>
      <c r="G67" t="n">
        <v>3.9</v>
      </c>
      <c r="H67" t="n">
        <v>0</v>
      </c>
      <c r="I67" t="n">
        <v>4</v>
      </c>
      <c r="J67" t="n">
        <v>5</v>
      </c>
      <c r="K67" t="n">
        <v>1</v>
      </c>
      <c r="L67" t="n">
        <v>0</v>
      </c>
      <c r="M67" t="n">
        <v>0</v>
      </c>
      <c r="N67" t="n">
        <v>0</v>
      </c>
      <c r="O67" t="n">
        <v>6</v>
      </c>
      <c r="P67" t="n">
        <v>1</v>
      </c>
      <c r="Q67" t="n">
        <v>10</v>
      </c>
      <c r="R67" s="2" t="inlineStr">
        <is>
          <t>Lappticka
Gammelgransskål
Garnlav
Granticka
Lunglav
Rosenticka
Dropptaggsvamp
Luddlav
Stuplav
Vedticka</t>
        </is>
      </c>
      <c r="S67">
        <f>HYPERLINK("https://klasma.github.io/Logging_2283/artfynd/A 62975-2025 artfynd.xlsx", "A 62975-2025")</f>
        <v/>
      </c>
      <c r="T67">
        <f>HYPERLINK("https://klasma.github.io/Logging_2283/kartor/A 62975-2025 karta.png", "A 62975-2025")</f>
        <v/>
      </c>
      <c r="V67">
        <f>HYPERLINK("https://klasma.github.io/Logging_2283/klagomål/A 62975-2025 FSC-klagomål.docx", "A 62975-2025")</f>
        <v/>
      </c>
      <c r="W67">
        <f>HYPERLINK("https://klasma.github.io/Logging_2283/klagomålsmail/A 62975-2025 FSC-klagomål mail.docx", "A 62975-2025")</f>
        <v/>
      </c>
      <c r="X67">
        <f>HYPERLINK("https://klasma.github.io/Logging_2283/tillsyn/A 62975-2025 tillsynsbegäran.docx", "A 62975-2025")</f>
        <v/>
      </c>
      <c r="Y67">
        <f>HYPERLINK("https://klasma.github.io/Logging_2283/tillsynsmail/A 62975-2025 tillsynsbegäran mail.docx", "A 62975-2025")</f>
        <v/>
      </c>
    </row>
    <row r="68" ht="15" customHeight="1">
      <c r="A68" t="inlineStr">
        <is>
          <t>A 3367-2026</t>
        </is>
      </c>
      <c r="B68" s="1" t="n">
        <v>46042.34443287037</v>
      </c>
      <c r="C68" s="1" t="n">
        <v>46048</v>
      </c>
      <c r="D68" t="inlineStr">
        <is>
          <t>VÄSTERNORRLANDS LÄN</t>
        </is>
      </c>
      <c r="E68" t="inlineStr">
        <is>
          <t>SOLLEFTEÅ</t>
        </is>
      </c>
      <c r="F68" t="inlineStr">
        <is>
          <t>SCA</t>
        </is>
      </c>
      <c r="G68" t="n">
        <v>12.1</v>
      </c>
      <c r="H68" t="n">
        <v>5</v>
      </c>
      <c r="I68" t="n">
        <v>1</v>
      </c>
      <c r="J68" t="n">
        <v>8</v>
      </c>
      <c r="K68" t="n">
        <v>1</v>
      </c>
      <c r="L68" t="n">
        <v>0</v>
      </c>
      <c r="M68" t="n">
        <v>0</v>
      </c>
      <c r="N68" t="n">
        <v>0</v>
      </c>
      <c r="O68" t="n">
        <v>9</v>
      </c>
      <c r="P68" t="n">
        <v>1</v>
      </c>
      <c r="Q68" t="n">
        <v>10</v>
      </c>
      <c r="R68" s="2" t="inlineStr">
        <is>
          <t>Knärot
Gammelgransskål
Granticka
Järpe
Koralltaggsvamp
Lunglav
Svartvit flugsnappare
Tretåig hackspett
Ullticka
Lappranunkel</t>
        </is>
      </c>
      <c r="S68">
        <f>HYPERLINK("https://klasma.github.io/Logging_2283/artfynd/A 3367-2026 artfynd.xlsx", "A 3367-2026")</f>
        <v/>
      </c>
      <c r="T68">
        <f>HYPERLINK("https://klasma.github.io/Logging_2283/kartor/A 3367-2026 karta.png", "A 3367-2026")</f>
        <v/>
      </c>
      <c r="U68">
        <f>HYPERLINK("https://klasma.github.io/Logging_2283/knärot/A 3367-2026 karta knärot.png", "A 3367-2026")</f>
        <v/>
      </c>
      <c r="V68">
        <f>HYPERLINK("https://klasma.github.io/Logging_2283/klagomål/A 3367-2026 FSC-klagomål.docx", "A 3367-2026")</f>
        <v/>
      </c>
      <c r="W68">
        <f>HYPERLINK("https://klasma.github.io/Logging_2283/klagomålsmail/A 3367-2026 FSC-klagomål mail.docx", "A 3367-2026")</f>
        <v/>
      </c>
      <c r="X68">
        <f>HYPERLINK("https://klasma.github.io/Logging_2283/tillsyn/A 3367-2026 tillsynsbegäran.docx", "A 3367-2026")</f>
        <v/>
      </c>
      <c r="Y68">
        <f>HYPERLINK("https://klasma.github.io/Logging_2283/tillsynsmail/A 3367-2026 tillsynsbegäran mail.docx", "A 3367-2026")</f>
        <v/>
      </c>
      <c r="Z68">
        <f>HYPERLINK("https://klasma.github.io/Logging_2283/fåglar/A 3367-2026 prioriterade fågelarter.docx", "A 3367-2026")</f>
        <v/>
      </c>
    </row>
    <row r="69" ht="15" customHeight="1">
      <c r="A69" t="inlineStr">
        <is>
          <t>A 3223-2026</t>
        </is>
      </c>
      <c r="B69" s="1" t="n">
        <v>46041.53201388889</v>
      </c>
      <c r="C69" s="1" t="n">
        <v>46048</v>
      </c>
      <c r="D69" t="inlineStr">
        <is>
          <t>VÄSTERNORRLANDS LÄN</t>
        </is>
      </c>
      <c r="E69" t="inlineStr">
        <is>
          <t>SOLLEFTEÅ</t>
        </is>
      </c>
      <c r="F69" t="inlineStr">
        <is>
          <t>SCA</t>
        </is>
      </c>
      <c r="G69" t="n">
        <v>12.1</v>
      </c>
      <c r="H69" t="n">
        <v>5</v>
      </c>
      <c r="I69" t="n">
        <v>1</v>
      </c>
      <c r="J69" t="n">
        <v>8</v>
      </c>
      <c r="K69" t="n">
        <v>1</v>
      </c>
      <c r="L69" t="n">
        <v>0</v>
      </c>
      <c r="M69" t="n">
        <v>0</v>
      </c>
      <c r="N69" t="n">
        <v>0</v>
      </c>
      <c r="O69" t="n">
        <v>9</v>
      </c>
      <c r="P69" t="n">
        <v>1</v>
      </c>
      <c r="Q69" t="n">
        <v>10</v>
      </c>
      <c r="R69" s="2" t="inlineStr">
        <is>
          <t>Knärot
Gammelgransskål
Granticka
Järpe
Koralltaggsvamp
Lunglav
Svartvit flugsnappare
Tretåig hackspett
Ullticka
Lappranunkel</t>
        </is>
      </c>
      <c r="S69">
        <f>HYPERLINK("https://klasma.github.io/Logging_2283/artfynd/A 3223-2026 artfynd.xlsx", "A 3223-2026")</f>
        <v/>
      </c>
      <c r="T69">
        <f>HYPERLINK("https://klasma.github.io/Logging_2283/kartor/A 3223-2026 karta.png", "A 3223-2026")</f>
        <v/>
      </c>
      <c r="U69">
        <f>HYPERLINK("https://klasma.github.io/Logging_2283/knärot/A 3223-2026 karta knärot.png", "A 3223-2026")</f>
        <v/>
      </c>
      <c r="V69">
        <f>HYPERLINK("https://klasma.github.io/Logging_2283/klagomål/A 3223-2026 FSC-klagomål.docx", "A 3223-2026")</f>
        <v/>
      </c>
      <c r="W69">
        <f>HYPERLINK("https://klasma.github.io/Logging_2283/klagomålsmail/A 3223-2026 FSC-klagomål mail.docx", "A 3223-2026")</f>
        <v/>
      </c>
      <c r="X69">
        <f>HYPERLINK("https://klasma.github.io/Logging_2283/tillsyn/A 3223-2026 tillsynsbegäran.docx", "A 3223-2026")</f>
        <v/>
      </c>
      <c r="Y69">
        <f>HYPERLINK("https://klasma.github.io/Logging_2283/tillsynsmail/A 3223-2026 tillsynsbegäran mail.docx", "A 3223-2026")</f>
        <v/>
      </c>
      <c r="Z69">
        <f>HYPERLINK("https://klasma.github.io/Logging_2283/fåglar/A 3223-2026 prioriterade fågelarter.docx", "A 3223-2026")</f>
        <v/>
      </c>
    </row>
    <row r="70" ht="15" customHeight="1">
      <c r="A70" t="inlineStr">
        <is>
          <t>A 40274-2022</t>
        </is>
      </c>
      <c r="B70" s="1" t="n">
        <v>44820</v>
      </c>
      <c r="C70" s="1" t="n">
        <v>46048</v>
      </c>
      <c r="D70" t="inlineStr">
        <is>
          <t>VÄSTERNORRLANDS LÄN</t>
        </is>
      </c>
      <c r="E70" t="inlineStr">
        <is>
          <t>SOLLEFTEÅ</t>
        </is>
      </c>
      <c r="F70" t="inlineStr">
        <is>
          <t>SCA</t>
        </is>
      </c>
      <c r="G70" t="n">
        <v>2.1</v>
      </c>
      <c r="H70" t="n">
        <v>3</v>
      </c>
      <c r="I70" t="n">
        <v>0</v>
      </c>
      <c r="J70" t="n">
        <v>7</v>
      </c>
      <c r="K70" t="n">
        <v>2</v>
      </c>
      <c r="L70" t="n">
        <v>0</v>
      </c>
      <c r="M70" t="n">
        <v>0</v>
      </c>
      <c r="N70" t="n">
        <v>0</v>
      </c>
      <c r="O70" t="n">
        <v>9</v>
      </c>
      <c r="P70" t="n">
        <v>2</v>
      </c>
      <c r="Q70" t="n">
        <v>9</v>
      </c>
      <c r="R70" s="2" t="inlineStr">
        <is>
          <t>Knärot
Rynkskinn
Garnlav
Kolflarnlav
Lunglav
Rosenticka
Talltita
Tretåig hackspett
Ullticka</t>
        </is>
      </c>
      <c r="S70">
        <f>HYPERLINK("https://klasma.github.io/Logging_2283/artfynd/A 40274-2022 artfynd.xlsx", "A 40274-2022")</f>
        <v/>
      </c>
      <c r="T70">
        <f>HYPERLINK("https://klasma.github.io/Logging_2283/kartor/A 40274-2022 karta.png", "A 40274-2022")</f>
        <v/>
      </c>
      <c r="U70">
        <f>HYPERLINK("https://klasma.github.io/Logging_2283/knärot/A 40274-2022 karta knärot.png", "A 40274-2022")</f>
        <v/>
      </c>
      <c r="V70">
        <f>HYPERLINK("https://klasma.github.io/Logging_2283/klagomål/A 40274-2022 FSC-klagomål.docx", "A 40274-2022")</f>
        <v/>
      </c>
      <c r="W70">
        <f>HYPERLINK("https://klasma.github.io/Logging_2283/klagomålsmail/A 40274-2022 FSC-klagomål mail.docx", "A 40274-2022")</f>
        <v/>
      </c>
      <c r="X70">
        <f>HYPERLINK("https://klasma.github.io/Logging_2283/tillsyn/A 40274-2022 tillsynsbegäran.docx", "A 40274-2022")</f>
        <v/>
      </c>
      <c r="Y70">
        <f>HYPERLINK("https://klasma.github.io/Logging_2283/tillsynsmail/A 40274-2022 tillsynsbegäran mail.docx", "A 40274-2022")</f>
        <v/>
      </c>
      <c r="Z70">
        <f>HYPERLINK("https://klasma.github.io/Logging_2283/fåglar/A 40274-2022 prioriterade fågelarter.docx", "A 40274-2022")</f>
        <v/>
      </c>
    </row>
    <row r="71" ht="15" customHeight="1">
      <c r="A71" t="inlineStr">
        <is>
          <t>A 24755-2024</t>
        </is>
      </c>
      <c r="B71" s="1" t="n">
        <v>45460</v>
      </c>
      <c r="C71" s="1" t="n">
        <v>46048</v>
      </c>
      <c r="D71" t="inlineStr">
        <is>
          <t>VÄSTERNORRLANDS LÄN</t>
        </is>
      </c>
      <c r="E71" t="inlineStr">
        <is>
          <t>SOLLEFTEÅ</t>
        </is>
      </c>
      <c r="G71" t="n">
        <v>14</v>
      </c>
      <c r="H71" t="n">
        <v>4</v>
      </c>
      <c r="I71" t="n">
        <v>3</v>
      </c>
      <c r="J71" t="n">
        <v>4</v>
      </c>
      <c r="K71" t="n">
        <v>1</v>
      </c>
      <c r="L71" t="n">
        <v>0</v>
      </c>
      <c r="M71" t="n">
        <v>0</v>
      </c>
      <c r="N71" t="n">
        <v>0</v>
      </c>
      <c r="O71" t="n">
        <v>5</v>
      </c>
      <c r="P71" t="n">
        <v>1</v>
      </c>
      <c r="Q71" t="n">
        <v>9</v>
      </c>
      <c r="R71" s="2" t="inlineStr">
        <is>
          <t>Rynkskinn
Rosenticka
Spillkråka
Tretåig hackspett
Ullticka
Plattlummer
Tallfingersvamp
Vedticka
Revlummer</t>
        </is>
      </c>
      <c r="S71">
        <f>HYPERLINK("https://klasma.github.io/Logging_2283/artfynd/A 24755-2024 artfynd.xlsx", "A 24755-2024")</f>
        <v/>
      </c>
      <c r="T71">
        <f>HYPERLINK("https://klasma.github.io/Logging_2283/kartor/A 24755-2024 karta.png", "A 24755-2024")</f>
        <v/>
      </c>
      <c r="V71">
        <f>HYPERLINK("https://klasma.github.io/Logging_2283/klagomål/A 24755-2024 FSC-klagomål.docx", "A 24755-2024")</f>
        <v/>
      </c>
      <c r="W71">
        <f>HYPERLINK("https://klasma.github.io/Logging_2283/klagomålsmail/A 24755-2024 FSC-klagomål mail.docx", "A 24755-2024")</f>
        <v/>
      </c>
      <c r="X71">
        <f>HYPERLINK("https://klasma.github.io/Logging_2283/tillsyn/A 24755-2024 tillsynsbegäran.docx", "A 24755-2024")</f>
        <v/>
      </c>
      <c r="Y71">
        <f>HYPERLINK("https://klasma.github.io/Logging_2283/tillsynsmail/A 24755-2024 tillsynsbegäran mail.docx", "A 24755-2024")</f>
        <v/>
      </c>
      <c r="Z71">
        <f>HYPERLINK("https://klasma.github.io/Logging_2283/fåglar/A 24755-2024 prioriterade fågelarter.docx", "A 24755-2024")</f>
        <v/>
      </c>
    </row>
    <row r="72" ht="15" customHeight="1">
      <c r="A72" t="inlineStr">
        <is>
          <t>A 12865-2024</t>
        </is>
      </c>
      <c r="B72" s="1" t="n">
        <v>45384</v>
      </c>
      <c r="C72" s="1" t="n">
        <v>46048</v>
      </c>
      <c r="D72" t="inlineStr">
        <is>
          <t>VÄSTERNORRLANDS LÄN</t>
        </is>
      </c>
      <c r="E72" t="inlineStr">
        <is>
          <t>SOLLEFTEÅ</t>
        </is>
      </c>
      <c r="F72" t="inlineStr">
        <is>
          <t>SCA</t>
        </is>
      </c>
      <c r="G72" t="n">
        <v>3.2</v>
      </c>
      <c r="H72" t="n">
        <v>1</v>
      </c>
      <c r="I72" t="n">
        <v>2</v>
      </c>
      <c r="J72" t="n">
        <v>6</v>
      </c>
      <c r="K72" t="n">
        <v>1</v>
      </c>
      <c r="L72" t="n">
        <v>0</v>
      </c>
      <c r="M72" t="n">
        <v>0</v>
      </c>
      <c r="N72" t="n">
        <v>0</v>
      </c>
      <c r="O72" t="n">
        <v>7</v>
      </c>
      <c r="P72" t="n">
        <v>1</v>
      </c>
      <c r="Q72" t="n">
        <v>9</v>
      </c>
      <c r="R72" s="2" t="inlineStr">
        <is>
          <t>Knärot
Granticka
Lunglav
Myskmåra
Olisthaerus substriatus
Rosenticka
Vedtrappmossa
Blodticka
Skinnlav</t>
        </is>
      </c>
      <c r="S72">
        <f>HYPERLINK("https://klasma.github.io/Logging_2283/artfynd/A 12865-2024 artfynd.xlsx", "A 12865-2024")</f>
        <v/>
      </c>
      <c r="T72">
        <f>HYPERLINK("https://klasma.github.io/Logging_2283/kartor/A 12865-2024 karta.png", "A 12865-2024")</f>
        <v/>
      </c>
      <c r="U72">
        <f>HYPERLINK("https://klasma.github.io/Logging_2283/knärot/A 12865-2024 karta knärot.png", "A 12865-2024")</f>
        <v/>
      </c>
      <c r="V72">
        <f>HYPERLINK("https://klasma.github.io/Logging_2283/klagomål/A 12865-2024 FSC-klagomål.docx", "A 12865-2024")</f>
        <v/>
      </c>
      <c r="W72">
        <f>HYPERLINK("https://klasma.github.io/Logging_2283/klagomålsmail/A 12865-2024 FSC-klagomål mail.docx", "A 12865-2024")</f>
        <v/>
      </c>
      <c r="X72">
        <f>HYPERLINK("https://klasma.github.io/Logging_2283/tillsyn/A 12865-2024 tillsynsbegäran.docx", "A 12865-2024")</f>
        <v/>
      </c>
      <c r="Y72">
        <f>HYPERLINK("https://klasma.github.io/Logging_2283/tillsynsmail/A 12865-2024 tillsynsbegäran mail.docx", "A 12865-2024")</f>
        <v/>
      </c>
    </row>
    <row r="73" ht="15" customHeight="1">
      <c r="A73" t="inlineStr">
        <is>
          <t>A 12146-2025</t>
        </is>
      </c>
      <c r="B73" s="1" t="n">
        <v>45729</v>
      </c>
      <c r="C73" s="1" t="n">
        <v>46048</v>
      </c>
      <c r="D73" t="inlineStr">
        <is>
          <t>VÄSTERNORRLANDS LÄN</t>
        </is>
      </c>
      <c r="E73" t="inlineStr">
        <is>
          <t>SOLLEFTEÅ</t>
        </is>
      </c>
      <c r="F73" t="inlineStr">
        <is>
          <t>SCA</t>
        </is>
      </c>
      <c r="G73" t="n">
        <v>7.4</v>
      </c>
      <c r="H73" t="n">
        <v>4</v>
      </c>
      <c r="I73" t="n">
        <v>1</v>
      </c>
      <c r="J73" t="n">
        <v>7</v>
      </c>
      <c r="K73" t="n">
        <v>0</v>
      </c>
      <c r="L73" t="n">
        <v>0</v>
      </c>
      <c r="M73" t="n">
        <v>0</v>
      </c>
      <c r="N73" t="n">
        <v>0</v>
      </c>
      <c r="O73" t="n">
        <v>7</v>
      </c>
      <c r="P73" t="n">
        <v>0</v>
      </c>
      <c r="Q73" t="n">
        <v>9</v>
      </c>
      <c r="R73" s="2" t="inlineStr">
        <is>
          <t>Gammelgransskål
Garnlav
Granticka
Harticka
Lunglav
Talltita
Tretåig hackspett
Lappranunkel
Tjäder</t>
        </is>
      </c>
      <c r="S73">
        <f>HYPERLINK("https://klasma.github.io/Logging_2283/artfynd/A 12146-2025 artfynd.xlsx", "A 12146-2025")</f>
        <v/>
      </c>
      <c r="T73">
        <f>HYPERLINK("https://klasma.github.io/Logging_2283/kartor/A 12146-2025 karta.png", "A 12146-2025")</f>
        <v/>
      </c>
      <c r="V73">
        <f>HYPERLINK("https://klasma.github.io/Logging_2283/klagomål/A 12146-2025 FSC-klagomål.docx", "A 12146-2025")</f>
        <v/>
      </c>
      <c r="W73">
        <f>HYPERLINK("https://klasma.github.io/Logging_2283/klagomålsmail/A 12146-2025 FSC-klagomål mail.docx", "A 12146-2025")</f>
        <v/>
      </c>
      <c r="X73">
        <f>HYPERLINK("https://klasma.github.io/Logging_2283/tillsyn/A 12146-2025 tillsynsbegäran.docx", "A 12146-2025")</f>
        <v/>
      </c>
      <c r="Y73">
        <f>HYPERLINK("https://klasma.github.io/Logging_2283/tillsynsmail/A 12146-2025 tillsynsbegäran mail.docx", "A 12146-2025")</f>
        <v/>
      </c>
      <c r="Z73">
        <f>HYPERLINK("https://klasma.github.io/Logging_2283/fåglar/A 12146-2025 prioriterade fågelarter.docx", "A 12146-2025")</f>
        <v/>
      </c>
    </row>
    <row r="74" ht="15" customHeight="1">
      <c r="A74" t="inlineStr">
        <is>
          <t>A 57790-2024</t>
        </is>
      </c>
      <c r="B74" s="1" t="n">
        <v>45631</v>
      </c>
      <c r="C74" s="1" t="n">
        <v>46048</v>
      </c>
      <c r="D74" t="inlineStr">
        <is>
          <t>VÄSTERNORRLANDS LÄN</t>
        </is>
      </c>
      <c r="E74" t="inlineStr">
        <is>
          <t>SOLLEFTEÅ</t>
        </is>
      </c>
      <c r="G74" t="n">
        <v>4.7</v>
      </c>
      <c r="H74" t="n">
        <v>4</v>
      </c>
      <c r="I74" t="n">
        <v>2</v>
      </c>
      <c r="J74" t="n">
        <v>6</v>
      </c>
      <c r="K74" t="n">
        <v>1</v>
      </c>
      <c r="L74" t="n">
        <v>0</v>
      </c>
      <c r="M74" t="n">
        <v>0</v>
      </c>
      <c r="N74" t="n">
        <v>0</v>
      </c>
      <c r="O74" t="n">
        <v>7</v>
      </c>
      <c r="P74" t="n">
        <v>1</v>
      </c>
      <c r="Q74" t="n">
        <v>9</v>
      </c>
      <c r="R74" s="2" t="inlineStr">
        <is>
          <t>Knärot
Garnlav
Rosenticka
Spillkråka
Talltita
Tretåig hackspett
Ullticka
Norrlandslav
Vedticka</t>
        </is>
      </c>
      <c r="S74">
        <f>HYPERLINK("https://klasma.github.io/Logging_2283/artfynd/A 57790-2024 artfynd.xlsx", "A 57790-2024")</f>
        <v/>
      </c>
      <c r="T74">
        <f>HYPERLINK("https://klasma.github.io/Logging_2283/kartor/A 57790-2024 karta.png", "A 57790-2024")</f>
        <v/>
      </c>
      <c r="U74">
        <f>HYPERLINK("https://klasma.github.io/Logging_2283/knärot/A 57790-2024 karta knärot.png", "A 57790-2024")</f>
        <v/>
      </c>
      <c r="V74">
        <f>HYPERLINK("https://klasma.github.io/Logging_2283/klagomål/A 57790-2024 FSC-klagomål.docx", "A 57790-2024")</f>
        <v/>
      </c>
      <c r="W74">
        <f>HYPERLINK("https://klasma.github.io/Logging_2283/klagomålsmail/A 57790-2024 FSC-klagomål mail.docx", "A 57790-2024")</f>
        <v/>
      </c>
      <c r="X74">
        <f>HYPERLINK("https://klasma.github.io/Logging_2283/tillsyn/A 57790-2024 tillsynsbegäran.docx", "A 57790-2024")</f>
        <v/>
      </c>
      <c r="Y74">
        <f>HYPERLINK("https://klasma.github.io/Logging_2283/tillsynsmail/A 57790-2024 tillsynsbegäran mail.docx", "A 57790-2024")</f>
        <v/>
      </c>
      <c r="Z74">
        <f>HYPERLINK("https://klasma.github.io/Logging_2283/fåglar/A 57790-2024 prioriterade fågelarter.docx", "A 57790-2024")</f>
        <v/>
      </c>
    </row>
    <row r="75" ht="15" customHeight="1">
      <c r="A75" t="inlineStr">
        <is>
          <t>A 39197-2025</t>
        </is>
      </c>
      <c r="B75" s="1" t="n">
        <v>45888.69832175926</v>
      </c>
      <c r="C75" s="1" t="n">
        <v>46048</v>
      </c>
      <c r="D75" t="inlineStr">
        <is>
          <t>VÄSTERNORRLANDS LÄN</t>
        </is>
      </c>
      <c r="E75" t="inlineStr">
        <is>
          <t>SOLLEFTEÅ</t>
        </is>
      </c>
      <c r="G75" t="n">
        <v>1.8</v>
      </c>
      <c r="H75" t="n">
        <v>2</v>
      </c>
      <c r="I75" t="n">
        <v>3</v>
      </c>
      <c r="J75" t="n">
        <v>5</v>
      </c>
      <c r="K75" t="n">
        <v>1</v>
      </c>
      <c r="L75" t="n">
        <v>0</v>
      </c>
      <c r="M75" t="n">
        <v>0</v>
      </c>
      <c r="N75" t="n">
        <v>0</v>
      </c>
      <c r="O75" t="n">
        <v>6</v>
      </c>
      <c r="P75" t="n">
        <v>1</v>
      </c>
      <c r="Q75" t="n">
        <v>9</v>
      </c>
      <c r="R75" s="2" t="inlineStr">
        <is>
          <t>Knärot
Gammelgransskål
Lunglav
Skrovellav
Tretåig hackspett
Ullticka
Stuplav
Trådticka
Vedticka</t>
        </is>
      </c>
      <c r="S75">
        <f>HYPERLINK("https://klasma.github.io/Logging_2283/artfynd/A 39197-2025 artfynd.xlsx", "A 39197-2025")</f>
        <v/>
      </c>
      <c r="T75">
        <f>HYPERLINK("https://klasma.github.io/Logging_2283/kartor/A 39197-2025 karta.png", "A 39197-2025")</f>
        <v/>
      </c>
      <c r="U75">
        <f>HYPERLINK("https://klasma.github.io/Logging_2283/knärot/A 39197-2025 karta knärot.png", "A 39197-2025")</f>
        <v/>
      </c>
      <c r="V75">
        <f>HYPERLINK("https://klasma.github.io/Logging_2283/klagomål/A 39197-2025 FSC-klagomål.docx", "A 39197-2025")</f>
        <v/>
      </c>
      <c r="W75">
        <f>HYPERLINK("https://klasma.github.io/Logging_2283/klagomålsmail/A 39197-2025 FSC-klagomål mail.docx", "A 39197-2025")</f>
        <v/>
      </c>
      <c r="X75">
        <f>HYPERLINK("https://klasma.github.io/Logging_2283/tillsyn/A 39197-2025 tillsynsbegäran.docx", "A 39197-2025")</f>
        <v/>
      </c>
      <c r="Y75">
        <f>HYPERLINK("https://klasma.github.io/Logging_2283/tillsynsmail/A 39197-2025 tillsynsbegäran mail.docx", "A 39197-2025")</f>
        <v/>
      </c>
      <c r="Z75">
        <f>HYPERLINK("https://klasma.github.io/Logging_2283/fåglar/A 39197-2025 prioriterade fågelarter.docx", "A 39197-2025")</f>
        <v/>
      </c>
    </row>
    <row r="76" ht="15" customHeight="1">
      <c r="A76" t="inlineStr">
        <is>
          <t>A 5310-2024</t>
        </is>
      </c>
      <c r="B76" s="1" t="n">
        <v>45331</v>
      </c>
      <c r="C76" s="1" t="n">
        <v>46048</v>
      </c>
      <c r="D76" t="inlineStr">
        <is>
          <t>VÄSTERNORRLANDS LÄN</t>
        </is>
      </c>
      <c r="E76" t="inlineStr">
        <is>
          <t>SOLLEFTEÅ</t>
        </is>
      </c>
      <c r="G76" t="n">
        <v>8.5</v>
      </c>
      <c r="H76" t="n">
        <v>2</v>
      </c>
      <c r="I76" t="n">
        <v>3</v>
      </c>
      <c r="J76" t="n">
        <v>4</v>
      </c>
      <c r="K76" t="n">
        <v>1</v>
      </c>
      <c r="L76" t="n">
        <v>0</v>
      </c>
      <c r="M76" t="n">
        <v>0</v>
      </c>
      <c r="N76" t="n">
        <v>0</v>
      </c>
      <c r="O76" t="n">
        <v>5</v>
      </c>
      <c r="P76" t="n">
        <v>1</v>
      </c>
      <c r="Q76" t="n">
        <v>8</v>
      </c>
      <c r="R76" s="2" t="inlineStr">
        <is>
          <t>Knärot
Garnlav
Kortskaftad ärgspik
Rosenticka
Talltita
Barkticka
Bronshjon
Luddlav</t>
        </is>
      </c>
      <c r="S76">
        <f>HYPERLINK("https://klasma.github.io/Logging_2283/artfynd/A 5310-2024 artfynd.xlsx", "A 5310-2024")</f>
        <v/>
      </c>
      <c r="T76">
        <f>HYPERLINK("https://klasma.github.io/Logging_2283/kartor/A 5310-2024 karta.png", "A 5310-2024")</f>
        <v/>
      </c>
      <c r="U76">
        <f>HYPERLINK("https://klasma.github.io/Logging_2283/knärot/A 5310-2024 karta knärot.png", "A 5310-2024")</f>
        <v/>
      </c>
      <c r="V76">
        <f>HYPERLINK("https://klasma.github.io/Logging_2283/klagomål/A 5310-2024 FSC-klagomål.docx", "A 5310-2024")</f>
        <v/>
      </c>
      <c r="W76">
        <f>HYPERLINK("https://klasma.github.io/Logging_2283/klagomålsmail/A 5310-2024 FSC-klagomål mail.docx", "A 5310-2024")</f>
        <v/>
      </c>
      <c r="X76">
        <f>HYPERLINK("https://klasma.github.io/Logging_2283/tillsyn/A 5310-2024 tillsynsbegäran.docx", "A 5310-2024")</f>
        <v/>
      </c>
      <c r="Y76">
        <f>HYPERLINK("https://klasma.github.io/Logging_2283/tillsynsmail/A 5310-2024 tillsynsbegäran mail.docx", "A 5310-2024")</f>
        <v/>
      </c>
      <c r="Z76">
        <f>HYPERLINK("https://klasma.github.io/Logging_2283/fåglar/A 5310-2024 prioriterade fågelarter.docx", "A 5310-2024")</f>
        <v/>
      </c>
    </row>
    <row r="77" ht="15" customHeight="1">
      <c r="A77" t="inlineStr">
        <is>
          <t>A 22215-2025</t>
        </is>
      </c>
      <c r="B77" s="1" t="n">
        <v>45785.65803240741</v>
      </c>
      <c r="C77" s="1" t="n">
        <v>46048</v>
      </c>
      <c r="D77" t="inlineStr">
        <is>
          <t>VÄSTERNORRLANDS LÄN</t>
        </is>
      </c>
      <c r="E77" t="inlineStr">
        <is>
          <t>SOLLEFTEÅ</t>
        </is>
      </c>
      <c r="F77" t="inlineStr">
        <is>
          <t>SCA</t>
        </is>
      </c>
      <c r="G77" t="n">
        <v>3.8</v>
      </c>
      <c r="H77" t="n">
        <v>1</v>
      </c>
      <c r="I77" t="n">
        <v>1</v>
      </c>
      <c r="J77" t="n">
        <v>4</v>
      </c>
      <c r="K77" t="n">
        <v>2</v>
      </c>
      <c r="L77" t="n">
        <v>0</v>
      </c>
      <c r="M77" t="n">
        <v>0</v>
      </c>
      <c r="N77" t="n">
        <v>0</v>
      </c>
      <c r="O77" t="n">
        <v>6</v>
      </c>
      <c r="P77" t="n">
        <v>2</v>
      </c>
      <c r="Q77" t="n">
        <v>8</v>
      </c>
      <c r="R77" s="2" t="inlineStr">
        <is>
          <t>Lappticka
Ulltickeporing
Garnlav
Lunglav
Rosenticka
Ullticka
Korallblylav
Blåsippa</t>
        </is>
      </c>
      <c r="S77">
        <f>HYPERLINK("https://klasma.github.io/Logging_2283/artfynd/A 22215-2025 artfynd.xlsx", "A 22215-2025")</f>
        <v/>
      </c>
      <c r="T77">
        <f>HYPERLINK("https://klasma.github.io/Logging_2283/kartor/A 22215-2025 karta.png", "A 22215-2025")</f>
        <v/>
      </c>
      <c r="V77">
        <f>HYPERLINK("https://klasma.github.io/Logging_2283/klagomål/A 22215-2025 FSC-klagomål.docx", "A 22215-2025")</f>
        <v/>
      </c>
      <c r="W77">
        <f>HYPERLINK("https://klasma.github.io/Logging_2283/klagomålsmail/A 22215-2025 FSC-klagomål mail.docx", "A 22215-2025")</f>
        <v/>
      </c>
      <c r="X77">
        <f>HYPERLINK("https://klasma.github.io/Logging_2283/tillsyn/A 22215-2025 tillsynsbegäran.docx", "A 22215-2025")</f>
        <v/>
      </c>
      <c r="Y77">
        <f>HYPERLINK("https://klasma.github.io/Logging_2283/tillsynsmail/A 22215-2025 tillsynsbegäran mail.docx", "A 22215-2025")</f>
        <v/>
      </c>
    </row>
    <row r="78" ht="15" customHeight="1">
      <c r="A78" t="inlineStr">
        <is>
          <t>A 57317-2024</t>
        </is>
      </c>
      <c r="B78" s="1" t="n">
        <v>45629</v>
      </c>
      <c r="C78" s="1" t="n">
        <v>46048</v>
      </c>
      <c r="D78" t="inlineStr">
        <is>
          <t>VÄSTERNORRLANDS LÄN</t>
        </is>
      </c>
      <c r="E78" t="inlineStr">
        <is>
          <t>SOLLEFTEÅ</t>
        </is>
      </c>
      <c r="F78" t="inlineStr">
        <is>
          <t>SCA</t>
        </is>
      </c>
      <c r="G78" t="n">
        <v>4</v>
      </c>
      <c r="H78" t="n">
        <v>3</v>
      </c>
      <c r="I78" t="n">
        <v>0</v>
      </c>
      <c r="J78" t="n">
        <v>7</v>
      </c>
      <c r="K78" t="n">
        <v>1</v>
      </c>
      <c r="L78" t="n">
        <v>0</v>
      </c>
      <c r="M78" t="n">
        <v>0</v>
      </c>
      <c r="N78" t="n">
        <v>0</v>
      </c>
      <c r="O78" t="n">
        <v>8</v>
      </c>
      <c r="P78" t="n">
        <v>1</v>
      </c>
      <c r="Q78" t="n">
        <v>8</v>
      </c>
      <c r="R78" s="2" t="inlineStr">
        <is>
          <t>Knärot
Gammelgransskål
Garnlav
Granticka
Lunglav
Spillkråka
Tretåig hackspett
Ullticka</t>
        </is>
      </c>
      <c r="S78">
        <f>HYPERLINK("https://klasma.github.io/Logging_2283/artfynd/A 57317-2024 artfynd.xlsx", "A 57317-2024")</f>
        <v/>
      </c>
      <c r="T78">
        <f>HYPERLINK("https://klasma.github.io/Logging_2283/kartor/A 57317-2024 karta.png", "A 57317-2024")</f>
        <v/>
      </c>
      <c r="U78">
        <f>HYPERLINK("https://klasma.github.io/Logging_2283/knärot/A 57317-2024 karta knärot.png", "A 57317-2024")</f>
        <v/>
      </c>
      <c r="V78">
        <f>HYPERLINK("https://klasma.github.io/Logging_2283/klagomål/A 57317-2024 FSC-klagomål.docx", "A 57317-2024")</f>
        <v/>
      </c>
      <c r="W78">
        <f>HYPERLINK("https://klasma.github.io/Logging_2283/klagomålsmail/A 57317-2024 FSC-klagomål mail.docx", "A 57317-2024")</f>
        <v/>
      </c>
      <c r="X78">
        <f>HYPERLINK("https://klasma.github.io/Logging_2283/tillsyn/A 57317-2024 tillsynsbegäran.docx", "A 57317-2024")</f>
        <v/>
      </c>
      <c r="Y78">
        <f>HYPERLINK("https://klasma.github.io/Logging_2283/tillsynsmail/A 57317-2024 tillsynsbegäran mail.docx", "A 57317-2024")</f>
        <v/>
      </c>
      <c r="Z78">
        <f>HYPERLINK("https://klasma.github.io/Logging_2283/fåglar/A 57317-2024 prioriterade fågelarter.docx", "A 57317-2024")</f>
        <v/>
      </c>
    </row>
    <row r="79" ht="15" customHeight="1">
      <c r="A79" t="inlineStr">
        <is>
          <t>A 32200-2023</t>
        </is>
      </c>
      <c r="B79" s="1" t="n">
        <v>45119</v>
      </c>
      <c r="C79" s="1" t="n">
        <v>46048</v>
      </c>
      <c r="D79" t="inlineStr">
        <is>
          <t>VÄSTERNORRLANDS LÄN</t>
        </is>
      </c>
      <c r="E79" t="inlineStr">
        <is>
          <t>SOLLEFTEÅ</t>
        </is>
      </c>
      <c r="G79" t="n">
        <v>1.5</v>
      </c>
      <c r="H79" t="n">
        <v>3</v>
      </c>
      <c r="I79" t="n">
        <v>2</v>
      </c>
      <c r="J79" t="n">
        <v>5</v>
      </c>
      <c r="K79" t="n">
        <v>1</v>
      </c>
      <c r="L79" t="n">
        <v>0</v>
      </c>
      <c r="M79" t="n">
        <v>0</v>
      </c>
      <c r="N79" t="n">
        <v>0</v>
      </c>
      <c r="O79" t="n">
        <v>6</v>
      </c>
      <c r="P79" t="n">
        <v>1</v>
      </c>
      <c r="Q79" t="n">
        <v>8</v>
      </c>
      <c r="R79" s="2" t="inlineStr">
        <is>
          <t>Knärot
Garnlav
Rosenticka
Spillkråka
Tretåig hackspett
Ullticka
Grönpyrola
Vedticka</t>
        </is>
      </c>
      <c r="S79">
        <f>HYPERLINK("https://klasma.github.io/Logging_2283/artfynd/A 32200-2023 artfynd.xlsx", "A 32200-2023")</f>
        <v/>
      </c>
      <c r="T79">
        <f>HYPERLINK("https://klasma.github.io/Logging_2283/kartor/A 32200-2023 karta.png", "A 32200-2023")</f>
        <v/>
      </c>
      <c r="U79">
        <f>HYPERLINK("https://klasma.github.io/Logging_2283/knärot/A 32200-2023 karta knärot.png", "A 32200-2023")</f>
        <v/>
      </c>
      <c r="V79">
        <f>HYPERLINK("https://klasma.github.io/Logging_2283/klagomål/A 32200-2023 FSC-klagomål.docx", "A 32200-2023")</f>
        <v/>
      </c>
      <c r="W79">
        <f>HYPERLINK("https://klasma.github.io/Logging_2283/klagomålsmail/A 32200-2023 FSC-klagomål mail.docx", "A 32200-2023")</f>
        <v/>
      </c>
      <c r="X79">
        <f>HYPERLINK("https://klasma.github.io/Logging_2283/tillsyn/A 32200-2023 tillsynsbegäran.docx", "A 32200-2023")</f>
        <v/>
      </c>
      <c r="Y79">
        <f>HYPERLINK("https://klasma.github.io/Logging_2283/tillsynsmail/A 32200-2023 tillsynsbegäran mail.docx", "A 32200-2023")</f>
        <v/>
      </c>
      <c r="Z79">
        <f>HYPERLINK("https://klasma.github.io/Logging_2283/fåglar/A 32200-2023 prioriterade fågelarter.docx", "A 32200-2023")</f>
        <v/>
      </c>
    </row>
    <row r="80" ht="15" customHeight="1">
      <c r="A80" t="inlineStr">
        <is>
          <t>A 11540-2024</t>
        </is>
      </c>
      <c r="B80" s="1" t="n">
        <v>45372</v>
      </c>
      <c r="C80" s="1" t="n">
        <v>46048</v>
      </c>
      <c r="D80" t="inlineStr">
        <is>
          <t>VÄSTERNORRLANDS LÄN</t>
        </is>
      </c>
      <c r="E80" t="inlineStr">
        <is>
          <t>SOLLEFTEÅ</t>
        </is>
      </c>
      <c r="F80" t="inlineStr">
        <is>
          <t>SCA</t>
        </is>
      </c>
      <c r="G80" t="n">
        <v>2.2</v>
      </c>
      <c r="H80" t="n">
        <v>8</v>
      </c>
      <c r="I80" t="n">
        <v>1</v>
      </c>
      <c r="J80" t="n">
        <v>2</v>
      </c>
      <c r="K80" t="n">
        <v>1</v>
      </c>
      <c r="L80" t="n">
        <v>0</v>
      </c>
      <c r="M80" t="n">
        <v>0</v>
      </c>
      <c r="N80" t="n">
        <v>0</v>
      </c>
      <c r="O80" t="n">
        <v>3</v>
      </c>
      <c r="P80" t="n">
        <v>1</v>
      </c>
      <c r="Q80" t="n">
        <v>8</v>
      </c>
      <c r="R80" s="2" t="inlineStr">
        <is>
          <t>Knärot
Björktrast
Tretåig hackspett
Plattlummer
Grönsiska
Kungsfågel
Tjäder
Revlummer</t>
        </is>
      </c>
      <c r="S80">
        <f>HYPERLINK("https://klasma.github.io/Logging_2283/artfynd/A 11540-2024 artfynd.xlsx", "A 11540-2024")</f>
        <v/>
      </c>
      <c r="T80">
        <f>HYPERLINK("https://klasma.github.io/Logging_2283/kartor/A 11540-2024 karta.png", "A 11540-2024")</f>
        <v/>
      </c>
      <c r="U80">
        <f>HYPERLINK("https://klasma.github.io/Logging_2283/knärot/A 11540-2024 karta knärot.png", "A 11540-2024")</f>
        <v/>
      </c>
      <c r="V80">
        <f>HYPERLINK("https://klasma.github.io/Logging_2283/klagomål/A 11540-2024 FSC-klagomål.docx", "A 11540-2024")</f>
        <v/>
      </c>
      <c r="W80">
        <f>HYPERLINK("https://klasma.github.io/Logging_2283/klagomålsmail/A 11540-2024 FSC-klagomål mail.docx", "A 11540-2024")</f>
        <v/>
      </c>
      <c r="X80">
        <f>HYPERLINK("https://klasma.github.io/Logging_2283/tillsyn/A 11540-2024 tillsynsbegäran.docx", "A 11540-2024")</f>
        <v/>
      </c>
      <c r="Y80">
        <f>HYPERLINK("https://klasma.github.io/Logging_2283/tillsynsmail/A 11540-2024 tillsynsbegäran mail.docx", "A 11540-2024")</f>
        <v/>
      </c>
      <c r="Z80">
        <f>HYPERLINK("https://klasma.github.io/Logging_2283/fåglar/A 11540-2024 prioriterade fågelarter.docx", "A 11540-2024")</f>
        <v/>
      </c>
    </row>
    <row r="81" ht="15" customHeight="1">
      <c r="A81" t="inlineStr">
        <is>
          <t>A 24459-2024</t>
        </is>
      </c>
      <c r="B81" s="1" t="n">
        <v>45457.9678125</v>
      </c>
      <c r="C81" s="1" t="n">
        <v>46048</v>
      </c>
      <c r="D81" t="inlineStr">
        <is>
          <t>VÄSTERNORRLANDS LÄN</t>
        </is>
      </c>
      <c r="E81" t="inlineStr">
        <is>
          <t>SOLLEFTEÅ</t>
        </is>
      </c>
      <c r="F81" t="inlineStr">
        <is>
          <t>SCA</t>
        </is>
      </c>
      <c r="G81" t="n">
        <v>6.1</v>
      </c>
      <c r="H81" t="n">
        <v>0</v>
      </c>
      <c r="I81" t="n">
        <v>2</v>
      </c>
      <c r="J81" t="n">
        <v>6</v>
      </c>
      <c r="K81" t="n">
        <v>0</v>
      </c>
      <c r="L81" t="n">
        <v>0</v>
      </c>
      <c r="M81" t="n">
        <v>0</v>
      </c>
      <c r="N81" t="n">
        <v>0</v>
      </c>
      <c r="O81" t="n">
        <v>6</v>
      </c>
      <c r="P81" t="n">
        <v>0</v>
      </c>
      <c r="Q81" t="n">
        <v>8</v>
      </c>
      <c r="R81" s="2" t="inlineStr">
        <is>
          <t>Garnlav
Granticka
Lunglav
Rosenticka
Rödbrun blekspik
Ullticka
Luddlav
Vedticka</t>
        </is>
      </c>
      <c r="S81">
        <f>HYPERLINK("https://klasma.github.io/Logging_2283/artfynd/A 24459-2024 artfynd.xlsx", "A 24459-2024")</f>
        <v/>
      </c>
      <c r="T81">
        <f>HYPERLINK("https://klasma.github.io/Logging_2283/kartor/A 24459-2024 karta.png", "A 24459-2024")</f>
        <v/>
      </c>
      <c r="V81">
        <f>HYPERLINK("https://klasma.github.io/Logging_2283/klagomål/A 24459-2024 FSC-klagomål.docx", "A 24459-2024")</f>
        <v/>
      </c>
      <c r="W81">
        <f>HYPERLINK("https://klasma.github.io/Logging_2283/klagomålsmail/A 24459-2024 FSC-klagomål mail.docx", "A 24459-2024")</f>
        <v/>
      </c>
      <c r="X81">
        <f>HYPERLINK("https://klasma.github.io/Logging_2283/tillsyn/A 24459-2024 tillsynsbegäran.docx", "A 24459-2024")</f>
        <v/>
      </c>
      <c r="Y81">
        <f>HYPERLINK("https://klasma.github.io/Logging_2283/tillsynsmail/A 24459-2024 tillsynsbegäran mail.docx", "A 24459-2024")</f>
        <v/>
      </c>
    </row>
    <row r="82" ht="15" customHeight="1">
      <c r="A82" t="inlineStr">
        <is>
          <t>A 31504-2025</t>
        </is>
      </c>
      <c r="B82" s="1" t="n">
        <v>45833.59438657408</v>
      </c>
      <c r="C82" s="1" t="n">
        <v>46048</v>
      </c>
      <c r="D82" t="inlineStr">
        <is>
          <t>VÄSTERNORRLANDS LÄN</t>
        </is>
      </c>
      <c r="E82" t="inlineStr">
        <is>
          <t>SOLLEFTEÅ</t>
        </is>
      </c>
      <c r="F82" t="inlineStr">
        <is>
          <t>SCA</t>
        </is>
      </c>
      <c r="G82" t="n">
        <v>4.1</v>
      </c>
      <c r="H82" t="n">
        <v>2</v>
      </c>
      <c r="I82" t="n">
        <v>1</v>
      </c>
      <c r="J82" t="n">
        <v>5</v>
      </c>
      <c r="K82" t="n">
        <v>2</v>
      </c>
      <c r="L82" t="n">
        <v>0</v>
      </c>
      <c r="M82" t="n">
        <v>0</v>
      </c>
      <c r="N82" t="n">
        <v>0</v>
      </c>
      <c r="O82" t="n">
        <v>7</v>
      </c>
      <c r="P82" t="n">
        <v>2</v>
      </c>
      <c r="Q82" t="n">
        <v>8</v>
      </c>
      <c r="R82" s="2" t="inlineStr">
        <is>
          <t>Knärot
Rynkskinn
Duvhök
Garnlav
Kortskaftad ärgspik
Rosenticka
Vedskivlav
Vedticka</t>
        </is>
      </c>
      <c r="S82">
        <f>HYPERLINK("https://klasma.github.io/Logging_2283/artfynd/A 31504-2025 artfynd.xlsx", "A 31504-2025")</f>
        <v/>
      </c>
      <c r="T82">
        <f>HYPERLINK("https://klasma.github.io/Logging_2283/kartor/A 31504-2025 karta.png", "A 31504-2025")</f>
        <v/>
      </c>
      <c r="U82">
        <f>HYPERLINK("https://klasma.github.io/Logging_2283/knärot/A 31504-2025 karta knärot.png", "A 31504-2025")</f>
        <v/>
      </c>
      <c r="V82">
        <f>HYPERLINK("https://klasma.github.io/Logging_2283/klagomål/A 31504-2025 FSC-klagomål.docx", "A 31504-2025")</f>
        <v/>
      </c>
      <c r="W82">
        <f>HYPERLINK("https://klasma.github.io/Logging_2283/klagomålsmail/A 31504-2025 FSC-klagomål mail.docx", "A 31504-2025")</f>
        <v/>
      </c>
      <c r="X82">
        <f>HYPERLINK("https://klasma.github.io/Logging_2283/tillsyn/A 31504-2025 tillsynsbegäran.docx", "A 31504-2025")</f>
        <v/>
      </c>
      <c r="Y82">
        <f>HYPERLINK("https://klasma.github.io/Logging_2283/tillsynsmail/A 31504-2025 tillsynsbegäran mail.docx", "A 31504-2025")</f>
        <v/>
      </c>
      <c r="Z82">
        <f>HYPERLINK("https://klasma.github.io/Logging_2283/fåglar/A 31504-2025 prioriterade fågelarter.docx", "A 31504-2025")</f>
        <v/>
      </c>
    </row>
    <row r="83" ht="15" customHeight="1">
      <c r="A83" t="inlineStr">
        <is>
          <t>A 11132-2025</t>
        </is>
      </c>
      <c r="B83" s="1" t="n">
        <v>45723.64934027778</v>
      </c>
      <c r="C83" s="1" t="n">
        <v>46048</v>
      </c>
      <c r="D83" t="inlineStr">
        <is>
          <t>VÄSTERNORRLANDS LÄN</t>
        </is>
      </c>
      <c r="E83" t="inlineStr">
        <is>
          <t>SOLLEFTEÅ</t>
        </is>
      </c>
      <c r="G83" t="n">
        <v>18.2</v>
      </c>
      <c r="H83" t="n">
        <v>2</v>
      </c>
      <c r="I83" t="n">
        <v>0</v>
      </c>
      <c r="J83" t="n">
        <v>6</v>
      </c>
      <c r="K83" t="n">
        <v>1</v>
      </c>
      <c r="L83" t="n">
        <v>0</v>
      </c>
      <c r="M83" t="n">
        <v>0</v>
      </c>
      <c r="N83" t="n">
        <v>0</v>
      </c>
      <c r="O83" t="n">
        <v>7</v>
      </c>
      <c r="P83" t="n">
        <v>1</v>
      </c>
      <c r="Q83" t="n">
        <v>8</v>
      </c>
      <c r="R83" s="2" t="inlineStr">
        <is>
          <t>Knärot
Gropig brunbagge
Mörk kolflarnlav
Olisthaerus substriatus
Rosenticka
Ullticka
Vedskivlav
Vanlig padda</t>
        </is>
      </c>
      <c r="S83">
        <f>HYPERLINK("https://klasma.github.io/Logging_2283/artfynd/A 11132-2025 artfynd.xlsx", "A 11132-2025")</f>
        <v/>
      </c>
      <c r="T83">
        <f>HYPERLINK("https://klasma.github.io/Logging_2283/kartor/A 11132-2025 karta.png", "A 11132-2025")</f>
        <v/>
      </c>
      <c r="U83">
        <f>HYPERLINK("https://klasma.github.io/Logging_2283/knärot/A 11132-2025 karta knärot.png", "A 11132-2025")</f>
        <v/>
      </c>
      <c r="V83">
        <f>HYPERLINK("https://klasma.github.io/Logging_2283/klagomål/A 11132-2025 FSC-klagomål.docx", "A 11132-2025")</f>
        <v/>
      </c>
      <c r="W83">
        <f>HYPERLINK("https://klasma.github.io/Logging_2283/klagomålsmail/A 11132-2025 FSC-klagomål mail.docx", "A 11132-2025")</f>
        <v/>
      </c>
      <c r="X83">
        <f>HYPERLINK("https://klasma.github.io/Logging_2283/tillsyn/A 11132-2025 tillsynsbegäran.docx", "A 11132-2025")</f>
        <v/>
      </c>
      <c r="Y83">
        <f>HYPERLINK("https://klasma.github.io/Logging_2283/tillsynsmail/A 11132-2025 tillsynsbegäran mail.docx", "A 11132-2025")</f>
        <v/>
      </c>
    </row>
    <row r="84" ht="15" customHeight="1">
      <c r="A84" t="inlineStr">
        <is>
          <t>A 64131-2023</t>
        </is>
      </c>
      <c r="B84" s="1" t="n">
        <v>45279</v>
      </c>
      <c r="C84" s="1" t="n">
        <v>46048</v>
      </c>
      <c r="D84" t="inlineStr">
        <is>
          <t>VÄSTERNORRLANDS LÄN</t>
        </is>
      </c>
      <c r="E84" t="inlineStr">
        <is>
          <t>SOLLEFTEÅ</t>
        </is>
      </c>
      <c r="G84" t="n">
        <v>12.9</v>
      </c>
      <c r="H84" t="n">
        <v>2</v>
      </c>
      <c r="I84" t="n">
        <v>2</v>
      </c>
      <c r="J84" t="n">
        <v>4</v>
      </c>
      <c r="K84" t="n">
        <v>2</v>
      </c>
      <c r="L84" t="n">
        <v>0</v>
      </c>
      <c r="M84" t="n">
        <v>0</v>
      </c>
      <c r="N84" t="n">
        <v>0</v>
      </c>
      <c r="O84" t="n">
        <v>6</v>
      </c>
      <c r="P84" t="n">
        <v>2</v>
      </c>
      <c r="Q84" t="n">
        <v>8</v>
      </c>
      <c r="R84" s="2" t="inlineStr">
        <is>
          <t>Knärot
Rynkskinn
Lunglav
Rosenticka
Talltita
Ullticka
Grönpyrola
Vedticka</t>
        </is>
      </c>
      <c r="S84">
        <f>HYPERLINK("https://klasma.github.io/Logging_2283/artfynd/A 64131-2023 artfynd.xlsx", "A 64131-2023")</f>
        <v/>
      </c>
      <c r="T84">
        <f>HYPERLINK("https://klasma.github.io/Logging_2283/kartor/A 64131-2023 karta.png", "A 64131-2023")</f>
        <v/>
      </c>
      <c r="U84">
        <f>HYPERLINK("https://klasma.github.io/Logging_2283/knärot/A 64131-2023 karta knärot.png", "A 64131-2023")</f>
        <v/>
      </c>
      <c r="V84">
        <f>HYPERLINK("https://klasma.github.io/Logging_2283/klagomål/A 64131-2023 FSC-klagomål.docx", "A 64131-2023")</f>
        <v/>
      </c>
      <c r="W84">
        <f>HYPERLINK("https://klasma.github.io/Logging_2283/klagomålsmail/A 64131-2023 FSC-klagomål mail.docx", "A 64131-2023")</f>
        <v/>
      </c>
      <c r="X84">
        <f>HYPERLINK("https://klasma.github.io/Logging_2283/tillsyn/A 64131-2023 tillsynsbegäran.docx", "A 64131-2023")</f>
        <v/>
      </c>
      <c r="Y84">
        <f>HYPERLINK("https://klasma.github.io/Logging_2283/tillsynsmail/A 64131-2023 tillsynsbegäran mail.docx", "A 64131-2023")</f>
        <v/>
      </c>
      <c r="Z84">
        <f>HYPERLINK("https://klasma.github.io/Logging_2283/fåglar/A 64131-2023 prioriterade fågelarter.docx", "A 64131-2023")</f>
        <v/>
      </c>
    </row>
    <row r="85" ht="15" customHeight="1">
      <c r="A85" t="inlineStr">
        <is>
          <t>A 39071-2023</t>
        </is>
      </c>
      <c r="B85" s="1" t="n">
        <v>45163</v>
      </c>
      <c r="C85" s="1" t="n">
        <v>46048</v>
      </c>
      <c r="D85" t="inlineStr">
        <is>
          <t>VÄSTERNORRLANDS LÄN</t>
        </is>
      </c>
      <c r="E85" t="inlineStr">
        <is>
          <t>SOLLEFTEÅ</t>
        </is>
      </c>
      <c r="F85" t="inlineStr">
        <is>
          <t>SCA</t>
        </is>
      </c>
      <c r="G85" t="n">
        <v>16.5</v>
      </c>
      <c r="H85" t="n">
        <v>1</v>
      </c>
      <c r="I85" t="n">
        <v>1</v>
      </c>
      <c r="J85" t="n">
        <v>6</v>
      </c>
      <c r="K85" t="n">
        <v>1</v>
      </c>
      <c r="L85" t="n">
        <v>0</v>
      </c>
      <c r="M85" t="n">
        <v>0</v>
      </c>
      <c r="N85" t="n">
        <v>0</v>
      </c>
      <c r="O85" t="n">
        <v>7</v>
      </c>
      <c r="P85" t="n">
        <v>1</v>
      </c>
      <c r="Q85" t="n">
        <v>8</v>
      </c>
      <c r="R85" s="2" t="inlineStr">
        <is>
          <t>Rynkskinn
Gammelgransskål
Granticka
Leptoporus mollis
Rosenticka
Spillkråka
Ullticka
Vedticka</t>
        </is>
      </c>
      <c r="S85">
        <f>HYPERLINK("https://klasma.github.io/Logging_2283/artfynd/A 39071-2023 artfynd.xlsx", "A 39071-2023")</f>
        <v/>
      </c>
      <c r="T85">
        <f>HYPERLINK("https://klasma.github.io/Logging_2283/kartor/A 39071-2023 karta.png", "A 39071-2023")</f>
        <v/>
      </c>
      <c r="V85">
        <f>HYPERLINK("https://klasma.github.io/Logging_2283/klagomål/A 39071-2023 FSC-klagomål.docx", "A 39071-2023")</f>
        <v/>
      </c>
      <c r="W85">
        <f>HYPERLINK("https://klasma.github.io/Logging_2283/klagomålsmail/A 39071-2023 FSC-klagomål mail.docx", "A 39071-2023")</f>
        <v/>
      </c>
      <c r="X85">
        <f>HYPERLINK("https://klasma.github.io/Logging_2283/tillsyn/A 39071-2023 tillsynsbegäran.docx", "A 39071-2023")</f>
        <v/>
      </c>
      <c r="Y85">
        <f>HYPERLINK("https://klasma.github.io/Logging_2283/tillsynsmail/A 39071-2023 tillsynsbegäran mail.docx", "A 39071-2023")</f>
        <v/>
      </c>
      <c r="Z85">
        <f>HYPERLINK("https://klasma.github.io/Logging_2283/fåglar/A 39071-2023 prioriterade fågelarter.docx", "A 39071-2023")</f>
        <v/>
      </c>
    </row>
    <row r="86" ht="15" customHeight="1">
      <c r="A86" t="inlineStr">
        <is>
          <t>A 29620-2023</t>
        </is>
      </c>
      <c r="B86" s="1" t="n">
        <v>45106</v>
      </c>
      <c r="C86" s="1" t="n">
        <v>46048</v>
      </c>
      <c r="D86" t="inlineStr">
        <is>
          <t>VÄSTERNORRLANDS LÄN</t>
        </is>
      </c>
      <c r="E86" t="inlineStr">
        <is>
          <t>SOLLEFTEÅ</t>
        </is>
      </c>
      <c r="F86" t="inlineStr">
        <is>
          <t>SCA</t>
        </is>
      </c>
      <c r="G86" t="n">
        <v>8.300000000000001</v>
      </c>
      <c r="H86" t="n">
        <v>4</v>
      </c>
      <c r="I86" t="n">
        <v>3</v>
      </c>
      <c r="J86" t="n">
        <v>3</v>
      </c>
      <c r="K86" t="n">
        <v>0</v>
      </c>
      <c r="L86" t="n">
        <v>0</v>
      </c>
      <c r="M86" t="n">
        <v>0</v>
      </c>
      <c r="N86" t="n">
        <v>0</v>
      </c>
      <c r="O86" t="n">
        <v>3</v>
      </c>
      <c r="P86" t="n">
        <v>0</v>
      </c>
      <c r="Q86" t="n">
        <v>8</v>
      </c>
      <c r="R86" s="2" t="inlineStr">
        <is>
          <t>Granticka
Rosenticka
Ullticka
Korallrot
Skinnlav
Spindelblomster
Fläcknycklar
Revlummer</t>
        </is>
      </c>
      <c r="S86">
        <f>HYPERLINK("https://klasma.github.io/Logging_2283/artfynd/A 29620-2023 artfynd.xlsx", "A 29620-2023")</f>
        <v/>
      </c>
      <c r="T86">
        <f>HYPERLINK("https://klasma.github.io/Logging_2283/kartor/A 29620-2023 karta.png", "A 29620-2023")</f>
        <v/>
      </c>
      <c r="V86">
        <f>HYPERLINK("https://klasma.github.io/Logging_2283/klagomål/A 29620-2023 FSC-klagomål.docx", "A 29620-2023")</f>
        <v/>
      </c>
      <c r="W86">
        <f>HYPERLINK("https://klasma.github.io/Logging_2283/klagomålsmail/A 29620-2023 FSC-klagomål mail.docx", "A 29620-2023")</f>
        <v/>
      </c>
      <c r="X86">
        <f>HYPERLINK("https://klasma.github.io/Logging_2283/tillsyn/A 29620-2023 tillsynsbegäran.docx", "A 29620-2023")</f>
        <v/>
      </c>
      <c r="Y86">
        <f>HYPERLINK("https://klasma.github.io/Logging_2283/tillsynsmail/A 29620-2023 tillsynsbegäran mail.docx", "A 29620-2023")</f>
        <v/>
      </c>
    </row>
    <row r="87" ht="15" customHeight="1">
      <c r="A87" t="inlineStr">
        <is>
          <t>A 29250-2024</t>
        </is>
      </c>
      <c r="B87" s="1" t="n">
        <v>45482</v>
      </c>
      <c r="C87" s="1" t="n">
        <v>46048</v>
      </c>
      <c r="D87" t="inlineStr">
        <is>
          <t>VÄSTERNORRLANDS LÄN</t>
        </is>
      </c>
      <c r="E87" t="inlineStr">
        <is>
          <t>SOLLEFTEÅ</t>
        </is>
      </c>
      <c r="F87" t="inlineStr">
        <is>
          <t>SCA</t>
        </is>
      </c>
      <c r="G87" t="n">
        <v>14.4</v>
      </c>
      <c r="H87" t="n">
        <v>5</v>
      </c>
      <c r="I87" t="n">
        <v>2</v>
      </c>
      <c r="J87" t="n">
        <v>5</v>
      </c>
      <c r="K87" t="n">
        <v>1</v>
      </c>
      <c r="L87" t="n">
        <v>0</v>
      </c>
      <c r="M87" t="n">
        <v>0</v>
      </c>
      <c r="N87" t="n">
        <v>0</v>
      </c>
      <c r="O87" t="n">
        <v>6</v>
      </c>
      <c r="P87" t="n">
        <v>1</v>
      </c>
      <c r="Q87" t="n">
        <v>8</v>
      </c>
      <c r="R87" s="2" t="inlineStr">
        <is>
          <t>Knärot
Granticka
Harticka
Järpe
Rödvingetrast
Tretåig hackspett
Bollvitmossa
Lappranunkel</t>
        </is>
      </c>
      <c r="S87">
        <f>HYPERLINK("https://klasma.github.io/Logging_2283/artfynd/A 29250-2024 artfynd.xlsx", "A 29250-2024")</f>
        <v/>
      </c>
      <c r="T87">
        <f>HYPERLINK("https://klasma.github.io/Logging_2283/kartor/A 29250-2024 karta.png", "A 29250-2024")</f>
        <v/>
      </c>
      <c r="U87">
        <f>HYPERLINK("https://klasma.github.io/Logging_2283/knärot/A 29250-2024 karta knärot.png", "A 29250-2024")</f>
        <v/>
      </c>
      <c r="V87">
        <f>HYPERLINK("https://klasma.github.io/Logging_2283/klagomål/A 29250-2024 FSC-klagomål.docx", "A 29250-2024")</f>
        <v/>
      </c>
      <c r="W87">
        <f>HYPERLINK("https://klasma.github.io/Logging_2283/klagomålsmail/A 29250-2024 FSC-klagomål mail.docx", "A 29250-2024")</f>
        <v/>
      </c>
      <c r="X87">
        <f>HYPERLINK("https://klasma.github.io/Logging_2283/tillsyn/A 29250-2024 tillsynsbegäran.docx", "A 29250-2024")</f>
        <v/>
      </c>
      <c r="Y87">
        <f>HYPERLINK("https://klasma.github.io/Logging_2283/tillsynsmail/A 29250-2024 tillsynsbegäran mail.docx", "A 29250-2024")</f>
        <v/>
      </c>
      <c r="Z87">
        <f>HYPERLINK("https://klasma.github.io/Logging_2283/fåglar/A 29250-2024 prioriterade fågelarter.docx", "A 29250-2024")</f>
        <v/>
      </c>
    </row>
    <row r="88" ht="15" customHeight="1">
      <c r="A88" t="inlineStr">
        <is>
          <t>A 26655-2022</t>
        </is>
      </c>
      <c r="B88" s="1" t="n">
        <v>44739</v>
      </c>
      <c r="C88" s="1" t="n">
        <v>46048</v>
      </c>
      <c r="D88" t="inlineStr">
        <is>
          <t>VÄSTERNORRLANDS LÄN</t>
        </is>
      </c>
      <c r="E88" t="inlineStr">
        <is>
          <t>SOLLEFTEÅ</t>
        </is>
      </c>
      <c r="F88" t="inlineStr">
        <is>
          <t>Holmen skog AB</t>
        </is>
      </c>
      <c r="G88" t="n">
        <v>5.8</v>
      </c>
      <c r="H88" t="n">
        <v>2</v>
      </c>
      <c r="I88" t="n">
        <v>1</v>
      </c>
      <c r="J88" t="n">
        <v>5</v>
      </c>
      <c r="K88" t="n">
        <v>2</v>
      </c>
      <c r="L88" t="n">
        <v>0</v>
      </c>
      <c r="M88" t="n">
        <v>0</v>
      </c>
      <c r="N88" t="n">
        <v>0</v>
      </c>
      <c r="O88" t="n">
        <v>7</v>
      </c>
      <c r="P88" t="n">
        <v>2</v>
      </c>
      <c r="Q88" t="n">
        <v>8</v>
      </c>
      <c r="R88" s="2" t="inlineStr">
        <is>
          <t>Knärot
Ulltickeporing
Garnlav
Lunglav
Rosenticka
Talltita
Ullticka
Vedticka</t>
        </is>
      </c>
      <c r="S88">
        <f>HYPERLINK("https://klasma.github.io/Logging_2283/artfynd/A 26655-2022 artfynd.xlsx", "A 26655-2022")</f>
        <v/>
      </c>
      <c r="T88">
        <f>HYPERLINK("https://klasma.github.io/Logging_2283/kartor/A 26655-2022 karta.png", "A 26655-2022")</f>
        <v/>
      </c>
      <c r="U88">
        <f>HYPERLINK("https://klasma.github.io/Logging_2283/knärot/A 26655-2022 karta knärot.png", "A 26655-2022")</f>
        <v/>
      </c>
      <c r="V88">
        <f>HYPERLINK("https://klasma.github.io/Logging_2283/klagomål/A 26655-2022 FSC-klagomål.docx", "A 26655-2022")</f>
        <v/>
      </c>
      <c r="W88">
        <f>HYPERLINK("https://klasma.github.io/Logging_2283/klagomålsmail/A 26655-2022 FSC-klagomål mail.docx", "A 26655-2022")</f>
        <v/>
      </c>
      <c r="X88">
        <f>HYPERLINK("https://klasma.github.io/Logging_2283/tillsyn/A 26655-2022 tillsynsbegäran.docx", "A 26655-2022")</f>
        <v/>
      </c>
      <c r="Y88">
        <f>HYPERLINK("https://klasma.github.io/Logging_2283/tillsynsmail/A 26655-2022 tillsynsbegäran mail.docx", "A 26655-2022")</f>
        <v/>
      </c>
      <c r="Z88">
        <f>HYPERLINK("https://klasma.github.io/Logging_2283/fåglar/A 26655-2022 prioriterade fågelarter.docx", "A 26655-2022")</f>
        <v/>
      </c>
    </row>
    <row r="89" ht="15" customHeight="1">
      <c r="A89" t="inlineStr">
        <is>
          <t>A 21345-2023</t>
        </is>
      </c>
      <c r="B89" s="1" t="n">
        <v>45062</v>
      </c>
      <c r="C89" s="1" t="n">
        <v>46048</v>
      </c>
      <c r="D89" t="inlineStr">
        <is>
          <t>VÄSTERNORRLANDS LÄN</t>
        </is>
      </c>
      <c r="E89" t="inlineStr">
        <is>
          <t>SOLLEFTEÅ</t>
        </is>
      </c>
      <c r="F89" t="inlineStr">
        <is>
          <t>SCA</t>
        </is>
      </c>
      <c r="G89" t="n">
        <v>3.3</v>
      </c>
      <c r="H89" t="n">
        <v>2</v>
      </c>
      <c r="I89" t="n">
        <v>2</v>
      </c>
      <c r="J89" t="n">
        <v>6</v>
      </c>
      <c r="K89" t="n">
        <v>0</v>
      </c>
      <c r="L89" t="n">
        <v>0</v>
      </c>
      <c r="M89" t="n">
        <v>0</v>
      </c>
      <c r="N89" t="n">
        <v>0</v>
      </c>
      <c r="O89" t="n">
        <v>6</v>
      </c>
      <c r="P89" t="n">
        <v>0</v>
      </c>
      <c r="Q89" t="n">
        <v>8</v>
      </c>
      <c r="R89" s="2" t="inlineStr">
        <is>
          <t>Gammelgransskål
Kolflarnlav
Lunglav
Mörk kolflarnlav
Talltita
Ullticka
Korallrot
Stuplav</t>
        </is>
      </c>
      <c r="S89">
        <f>HYPERLINK("https://klasma.github.io/Logging_2283/artfynd/A 21345-2023 artfynd.xlsx", "A 21345-2023")</f>
        <v/>
      </c>
      <c r="T89">
        <f>HYPERLINK("https://klasma.github.io/Logging_2283/kartor/A 21345-2023 karta.png", "A 21345-2023")</f>
        <v/>
      </c>
      <c r="V89">
        <f>HYPERLINK("https://klasma.github.io/Logging_2283/klagomål/A 21345-2023 FSC-klagomål.docx", "A 21345-2023")</f>
        <v/>
      </c>
      <c r="W89">
        <f>HYPERLINK("https://klasma.github.io/Logging_2283/klagomålsmail/A 21345-2023 FSC-klagomål mail.docx", "A 21345-2023")</f>
        <v/>
      </c>
      <c r="X89">
        <f>HYPERLINK("https://klasma.github.io/Logging_2283/tillsyn/A 21345-2023 tillsynsbegäran.docx", "A 21345-2023")</f>
        <v/>
      </c>
      <c r="Y89">
        <f>HYPERLINK("https://klasma.github.io/Logging_2283/tillsynsmail/A 21345-2023 tillsynsbegäran mail.docx", "A 21345-2023")</f>
        <v/>
      </c>
      <c r="Z89">
        <f>HYPERLINK("https://klasma.github.io/Logging_2283/fåglar/A 21345-2023 prioriterade fågelarter.docx", "A 21345-2023")</f>
        <v/>
      </c>
    </row>
    <row r="90" ht="15" customHeight="1">
      <c r="A90" t="inlineStr">
        <is>
          <t>A 47548-2025</t>
        </is>
      </c>
      <c r="B90" s="1" t="n">
        <v>45931.3653125</v>
      </c>
      <c r="C90" s="1" t="n">
        <v>46048</v>
      </c>
      <c r="D90" t="inlineStr">
        <is>
          <t>VÄSTERNORRLANDS LÄN</t>
        </is>
      </c>
      <c r="E90" t="inlineStr">
        <is>
          <t>SOLLEFTEÅ</t>
        </is>
      </c>
      <c r="G90" t="n">
        <v>6.6</v>
      </c>
      <c r="H90" t="n">
        <v>4</v>
      </c>
      <c r="I90" t="n">
        <v>0</v>
      </c>
      <c r="J90" t="n">
        <v>6</v>
      </c>
      <c r="K90" t="n">
        <v>1</v>
      </c>
      <c r="L90" t="n">
        <v>0</v>
      </c>
      <c r="M90" t="n">
        <v>0</v>
      </c>
      <c r="N90" t="n">
        <v>0</v>
      </c>
      <c r="O90" t="n">
        <v>7</v>
      </c>
      <c r="P90" t="n">
        <v>1</v>
      </c>
      <c r="Q90" t="n">
        <v>8</v>
      </c>
      <c r="R90" s="2" t="inlineStr">
        <is>
          <t>Knärot
Gammelgransskål
Garnlav
Rosenticka
Spillkråka
Talltita
Ullticka
Revlummer</t>
        </is>
      </c>
      <c r="S90">
        <f>HYPERLINK("https://klasma.github.io/Logging_2283/artfynd/A 47548-2025 artfynd.xlsx", "A 47548-2025")</f>
        <v/>
      </c>
      <c r="T90">
        <f>HYPERLINK("https://klasma.github.io/Logging_2283/kartor/A 47548-2025 karta.png", "A 47548-2025")</f>
        <v/>
      </c>
      <c r="U90">
        <f>HYPERLINK("https://klasma.github.io/Logging_2283/knärot/A 47548-2025 karta knärot.png", "A 47548-2025")</f>
        <v/>
      </c>
      <c r="V90">
        <f>HYPERLINK("https://klasma.github.io/Logging_2283/klagomål/A 47548-2025 FSC-klagomål.docx", "A 47548-2025")</f>
        <v/>
      </c>
      <c r="W90">
        <f>HYPERLINK("https://klasma.github.io/Logging_2283/klagomålsmail/A 47548-2025 FSC-klagomål mail.docx", "A 47548-2025")</f>
        <v/>
      </c>
      <c r="X90">
        <f>HYPERLINK("https://klasma.github.io/Logging_2283/tillsyn/A 47548-2025 tillsynsbegäran.docx", "A 47548-2025")</f>
        <v/>
      </c>
      <c r="Y90">
        <f>HYPERLINK("https://klasma.github.io/Logging_2283/tillsynsmail/A 47548-2025 tillsynsbegäran mail.docx", "A 47548-2025")</f>
        <v/>
      </c>
      <c r="Z90">
        <f>HYPERLINK("https://klasma.github.io/Logging_2283/fåglar/A 47548-2025 prioriterade fågelarter.docx", "A 47548-2025")</f>
        <v/>
      </c>
    </row>
    <row r="91" ht="15" customHeight="1">
      <c r="A91" t="inlineStr">
        <is>
          <t>A 38294-2024</t>
        </is>
      </c>
      <c r="B91" s="1" t="n">
        <v>45545</v>
      </c>
      <c r="C91" s="1" t="n">
        <v>46048</v>
      </c>
      <c r="D91" t="inlineStr">
        <is>
          <t>VÄSTERNORRLANDS LÄN</t>
        </is>
      </c>
      <c r="E91" t="inlineStr">
        <is>
          <t>SOLLEFTEÅ</t>
        </is>
      </c>
      <c r="F91" t="inlineStr">
        <is>
          <t>Kommuner</t>
        </is>
      </c>
      <c r="G91" t="n">
        <v>18.8</v>
      </c>
      <c r="H91" t="n">
        <v>5</v>
      </c>
      <c r="I91" t="n">
        <v>0</v>
      </c>
      <c r="J91" t="n">
        <v>6</v>
      </c>
      <c r="K91" t="n">
        <v>1</v>
      </c>
      <c r="L91" t="n">
        <v>0</v>
      </c>
      <c r="M91" t="n">
        <v>0</v>
      </c>
      <c r="N91" t="n">
        <v>0</v>
      </c>
      <c r="O91" t="n">
        <v>7</v>
      </c>
      <c r="P91" t="n">
        <v>1</v>
      </c>
      <c r="Q91" t="n">
        <v>8</v>
      </c>
      <c r="R91" s="2" t="inlineStr">
        <is>
          <t>Knärot
Garnlav
Granticka
Spillkråka
Talltita
Tretåig hackspett
Ullticka
Revlummer</t>
        </is>
      </c>
      <c r="S91">
        <f>HYPERLINK("https://klasma.github.io/Logging_2283/artfynd/A 38294-2024 artfynd.xlsx", "A 38294-2024")</f>
        <v/>
      </c>
      <c r="T91">
        <f>HYPERLINK("https://klasma.github.io/Logging_2283/kartor/A 38294-2024 karta.png", "A 38294-2024")</f>
        <v/>
      </c>
      <c r="U91">
        <f>HYPERLINK("https://klasma.github.io/Logging_2283/knärot/A 38294-2024 karta knärot.png", "A 38294-2024")</f>
        <v/>
      </c>
      <c r="V91">
        <f>HYPERLINK("https://klasma.github.io/Logging_2283/klagomål/A 38294-2024 FSC-klagomål.docx", "A 38294-2024")</f>
        <v/>
      </c>
      <c r="W91">
        <f>HYPERLINK("https://klasma.github.io/Logging_2283/klagomålsmail/A 38294-2024 FSC-klagomål mail.docx", "A 38294-2024")</f>
        <v/>
      </c>
      <c r="X91">
        <f>HYPERLINK("https://klasma.github.io/Logging_2283/tillsyn/A 38294-2024 tillsynsbegäran.docx", "A 38294-2024")</f>
        <v/>
      </c>
      <c r="Y91">
        <f>HYPERLINK("https://klasma.github.io/Logging_2283/tillsynsmail/A 38294-2024 tillsynsbegäran mail.docx", "A 38294-2024")</f>
        <v/>
      </c>
      <c r="Z91">
        <f>HYPERLINK("https://klasma.github.io/Logging_2283/fåglar/A 38294-2024 prioriterade fågelarter.docx", "A 38294-2024")</f>
        <v/>
      </c>
    </row>
    <row r="92" ht="15" customHeight="1">
      <c r="A92" t="inlineStr">
        <is>
          <t>A 45078-2025</t>
        </is>
      </c>
      <c r="B92" s="1" t="n">
        <v>45919</v>
      </c>
      <c r="C92" s="1" t="n">
        <v>46048</v>
      </c>
      <c r="D92" t="inlineStr">
        <is>
          <t>VÄSTERNORRLANDS LÄN</t>
        </is>
      </c>
      <c r="E92" t="inlineStr">
        <is>
          <t>SOLLEFTEÅ</t>
        </is>
      </c>
      <c r="F92" t="inlineStr">
        <is>
          <t>SCA</t>
        </is>
      </c>
      <c r="G92" t="n">
        <v>10.5</v>
      </c>
      <c r="H92" t="n">
        <v>1</v>
      </c>
      <c r="I92" t="n">
        <v>3</v>
      </c>
      <c r="J92" t="n">
        <v>4</v>
      </c>
      <c r="K92" t="n">
        <v>1</v>
      </c>
      <c r="L92" t="n">
        <v>0</v>
      </c>
      <c r="M92" t="n">
        <v>0</v>
      </c>
      <c r="N92" t="n">
        <v>0</v>
      </c>
      <c r="O92" t="n">
        <v>5</v>
      </c>
      <c r="P92" t="n">
        <v>1</v>
      </c>
      <c r="Q92" t="n">
        <v>8</v>
      </c>
      <c r="R92" s="2" t="inlineStr">
        <is>
          <t>Knärot
Garnlav
Lunglav
Mörk kolflarnlav
Vedskivlav
Dropptaggsvamp
Norrlandslav
Stuplav</t>
        </is>
      </c>
      <c r="S92">
        <f>HYPERLINK("https://klasma.github.io/Logging_2283/artfynd/A 45078-2025 artfynd.xlsx", "A 45078-2025")</f>
        <v/>
      </c>
      <c r="T92">
        <f>HYPERLINK("https://klasma.github.io/Logging_2283/kartor/A 45078-2025 karta.png", "A 45078-2025")</f>
        <v/>
      </c>
      <c r="U92">
        <f>HYPERLINK("https://klasma.github.io/Logging_2283/knärot/A 45078-2025 karta knärot.png", "A 45078-2025")</f>
        <v/>
      </c>
      <c r="V92">
        <f>HYPERLINK("https://klasma.github.io/Logging_2283/klagomål/A 45078-2025 FSC-klagomål.docx", "A 45078-2025")</f>
        <v/>
      </c>
      <c r="W92">
        <f>HYPERLINK("https://klasma.github.io/Logging_2283/klagomålsmail/A 45078-2025 FSC-klagomål mail.docx", "A 45078-2025")</f>
        <v/>
      </c>
      <c r="X92">
        <f>HYPERLINK("https://klasma.github.io/Logging_2283/tillsyn/A 45078-2025 tillsynsbegäran.docx", "A 45078-2025")</f>
        <v/>
      </c>
      <c r="Y92">
        <f>HYPERLINK("https://klasma.github.io/Logging_2283/tillsynsmail/A 45078-2025 tillsynsbegäran mail.docx", "A 45078-2025")</f>
        <v/>
      </c>
    </row>
    <row r="93" ht="15" customHeight="1">
      <c r="A93" t="inlineStr">
        <is>
          <t>A 25941-2025</t>
        </is>
      </c>
      <c r="B93" s="1" t="n">
        <v>45804</v>
      </c>
      <c r="C93" s="1" t="n">
        <v>46048</v>
      </c>
      <c r="D93" t="inlineStr">
        <is>
          <t>VÄSTERNORRLANDS LÄN</t>
        </is>
      </c>
      <c r="E93" t="inlineStr">
        <is>
          <t>SOLLEFTEÅ</t>
        </is>
      </c>
      <c r="G93" t="n">
        <v>4.4</v>
      </c>
      <c r="H93" t="n">
        <v>1</v>
      </c>
      <c r="I93" t="n">
        <v>3</v>
      </c>
      <c r="J93" t="n">
        <v>3</v>
      </c>
      <c r="K93" t="n">
        <v>1</v>
      </c>
      <c r="L93" t="n">
        <v>1</v>
      </c>
      <c r="M93" t="n">
        <v>0</v>
      </c>
      <c r="N93" t="n">
        <v>0</v>
      </c>
      <c r="O93" t="n">
        <v>5</v>
      </c>
      <c r="P93" t="n">
        <v>2</v>
      </c>
      <c r="Q93" t="n">
        <v>8</v>
      </c>
      <c r="R93" s="2" t="inlineStr">
        <is>
          <t>Trolldruvemätare
Rynkskinn
Rosenticka
Talltita
Vedtrappmossa
Dvärghäxört
Strutbräken
Svart trolldruva</t>
        </is>
      </c>
      <c r="S93">
        <f>HYPERLINK("https://klasma.github.io/Logging_2283/artfynd/A 25941-2025 artfynd.xlsx", "A 25941-2025")</f>
        <v/>
      </c>
      <c r="T93">
        <f>HYPERLINK("https://klasma.github.io/Logging_2283/kartor/A 25941-2025 karta.png", "A 25941-2025")</f>
        <v/>
      </c>
      <c r="V93">
        <f>HYPERLINK("https://klasma.github.io/Logging_2283/klagomål/A 25941-2025 FSC-klagomål.docx", "A 25941-2025")</f>
        <v/>
      </c>
      <c r="W93">
        <f>HYPERLINK("https://klasma.github.io/Logging_2283/klagomålsmail/A 25941-2025 FSC-klagomål mail.docx", "A 25941-2025")</f>
        <v/>
      </c>
      <c r="X93">
        <f>HYPERLINK("https://klasma.github.io/Logging_2283/tillsyn/A 25941-2025 tillsynsbegäran.docx", "A 25941-2025")</f>
        <v/>
      </c>
      <c r="Y93">
        <f>HYPERLINK("https://klasma.github.io/Logging_2283/tillsynsmail/A 25941-2025 tillsynsbegäran mail.docx", "A 25941-2025")</f>
        <v/>
      </c>
      <c r="Z93">
        <f>HYPERLINK("https://klasma.github.io/Logging_2283/fåglar/A 25941-2025 prioriterade fågelarter.docx", "A 25941-2025")</f>
        <v/>
      </c>
    </row>
    <row r="94" ht="15" customHeight="1">
      <c r="A94" t="inlineStr">
        <is>
          <t>A 60499-2025</t>
        </is>
      </c>
      <c r="B94" s="1" t="n">
        <v>45995.61760416667</v>
      </c>
      <c r="C94" s="1" t="n">
        <v>46048</v>
      </c>
      <c r="D94" t="inlineStr">
        <is>
          <t>VÄSTERNORRLANDS LÄN</t>
        </is>
      </c>
      <c r="E94" t="inlineStr">
        <is>
          <t>SOLLEFTEÅ</t>
        </is>
      </c>
      <c r="G94" t="n">
        <v>9.5</v>
      </c>
      <c r="H94" t="n">
        <v>1</v>
      </c>
      <c r="I94" t="n">
        <v>2</v>
      </c>
      <c r="J94" t="n">
        <v>5</v>
      </c>
      <c r="K94" t="n">
        <v>1</v>
      </c>
      <c r="L94" t="n">
        <v>0</v>
      </c>
      <c r="M94" t="n">
        <v>0</v>
      </c>
      <c r="N94" t="n">
        <v>0</v>
      </c>
      <c r="O94" t="n">
        <v>6</v>
      </c>
      <c r="P94" t="n">
        <v>1</v>
      </c>
      <c r="Q94" t="n">
        <v>8</v>
      </c>
      <c r="R94" s="2" t="inlineStr">
        <is>
          <t>Rynkskinn
Garnlav
Lunglav
Rosenticka
Talltita
Ullticka
Stuplav
Vedticka</t>
        </is>
      </c>
      <c r="S94">
        <f>HYPERLINK("https://klasma.github.io/Logging_2283/artfynd/A 60499-2025 artfynd.xlsx", "A 60499-2025")</f>
        <v/>
      </c>
      <c r="T94">
        <f>HYPERLINK("https://klasma.github.io/Logging_2283/kartor/A 60499-2025 karta.png", "A 60499-2025")</f>
        <v/>
      </c>
      <c r="V94">
        <f>HYPERLINK("https://klasma.github.io/Logging_2283/klagomål/A 60499-2025 FSC-klagomål.docx", "A 60499-2025")</f>
        <v/>
      </c>
      <c r="W94">
        <f>HYPERLINK("https://klasma.github.io/Logging_2283/klagomålsmail/A 60499-2025 FSC-klagomål mail.docx", "A 60499-2025")</f>
        <v/>
      </c>
      <c r="X94">
        <f>HYPERLINK("https://klasma.github.io/Logging_2283/tillsyn/A 60499-2025 tillsynsbegäran.docx", "A 60499-2025")</f>
        <v/>
      </c>
      <c r="Y94">
        <f>HYPERLINK("https://klasma.github.io/Logging_2283/tillsynsmail/A 60499-2025 tillsynsbegäran mail.docx", "A 60499-2025")</f>
        <v/>
      </c>
      <c r="Z94">
        <f>HYPERLINK("https://klasma.github.io/Logging_2283/fåglar/A 60499-2025 prioriterade fågelarter.docx", "A 60499-2025")</f>
        <v/>
      </c>
    </row>
    <row r="95" ht="15" customHeight="1">
      <c r="A95" t="inlineStr">
        <is>
          <t>A 44441-2025</t>
        </is>
      </c>
      <c r="B95" s="1" t="n">
        <v>45916</v>
      </c>
      <c r="C95" s="1" t="n">
        <v>46048</v>
      </c>
      <c r="D95" t="inlineStr">
        <is>
          <t>VÄSTERNORRLANDS LÄN</t>
        </is>
      </c>
      <c r="E95" t="inlineStr">
        <is>
          <t>SOLLEFTEÅ</t>
        </is>
      </c>
      <c r="G95" t="n">
        <v>0.9</v>
      </c>
      <c r="H95" t="n">
        <v>3</v>
      </c>
      <c r="I95" t="n">
        <v>2</v>
      </c>
      <c r="J95" t="n">
        <v>4</v>
      </c>
      <c r="K95" t="n">
        <v>1</v>
      </c>
      <c r="L95" t="n">
        <v>1</v>
      </c>
      <c r="M95" t="n">
        <v>0</v>
      </c>
      <c r="N95" t="n">
        <v>0</v>
      </c>
      <c r="O95" t="n">
        <v>6</v>
      </c>
      <c r="P95" t="n">
        <v>2</v>
      </c>
      <c r="Q95" t="n">
        <v>8</v>
      </c>
      <c r="R95" s="2" t="inlineStr">
        <is>
          <t>Reliktslända
Knärot
Rosenticka
Talltita
Tretåig hackspett
Ullticka
Trådticka
Vedticka</t>
        </is>
      </c>
      <c r="S95">
        <f>HYPERLINK("https://klasma.github.io/Logging_2283/artfynd/A 44441-2025 artfynd.xlsx", "A 44441-2025")</f>
        <v/>
      </c>
      <c r="T95">
        <f>HYPERLINK("https://klasma.github.io/Logging_2283/kartor/A 44441-2025 karta.png", "A 44441-2025")</f>
        <v/>
      </c>
      <c r="U95">
        <f>HYPERLINK("https://klasma.github.io/Logging_2283/knärot/A 44441-2025 karta knärot.png", "A 44441-2025")</f>
        <v/>
      </c>
      <c r="V95">
        <f>HYPERLINK("https://klasma.github.io/Logging_2283/klagomål/A 44441-2025 FSC-klagomål.docx", "A 44441-2025")</f>
        <v/>
      </c>
      <c r="W95">
        <f>HYPERLINK("https://klasma.github.io/Logging_2283/klagomålsmail/A 44441-2025 FSC-klagomål mail.docx", "A 44441-2025")</f>
        <v/>
      </c>
      <c r="X95">
        <f>HYPERLINK("https://klasma.github.io/Logging_2283/tillsyn/A 44441-2025 tillsynsbegäran.docx", "A 44441-2025")</f>
        <v/>
      </c>
      <c r="Y95">
        <f>HYPERLINK("https://klasma.github.io/Logging_2283/tillsynsmail/A 44441-2025 tillsynsbegäran mail.docx", "A 44441-2025")</f>
        <v/>
      </c>
      <c r="Z95">
        <f>HYPERLINK("https://klasma.github.io/Logging_2283/fåglar/A 44441-2025 prioriterade fågelarter.docx", "A 44441-2025")</f>
        <v/>
      </c>
    </row>
    <row r="96" ht="15" customHeight="1">
      <c r="A96" t="inlineStr">
        <is>
          <t>A 44424-2025</t>
        </is>
      </c>
      <c r="B96" s="1" t="n">
        <v>45916</v>
      </c>
      <c r="C96" s="1" t="n">
        <v>46048</v>
      </c>
      <c r="D96" t="inlineStr">
        <is>
          <t>VÄSTERNORRLANDS LÄN</t>
        </is>
      </c>
      <c r="E96" t="inlineStr">
        <is>
          <t>SOLLEFTEÅ</t>
        </is>
      </c>
      <c r="G96" t="n">
        <v>4.7</v>
      </c>
      <c r="H96" t="n">
        <v>4</v>
      </c>
      <c r="I96" t="n">
        <v>0</v>
      </c>
      <c r="J96" t="n">
        <v>5</v>
      </c>
      <c r="K96" t="n">
        <v>2</v>
      </c>
      <c r="L96" t="n">
        <v>1</v>
      </c>
      <c r="M96" t="n">
        <v>0</v>
      </c>
      <c r="N96" t="n">
        <v>0</v>
      </c>
      <c r="O96" t="n">
        <v>8</v>
      </c>
      <c r="P96" t="n">
        <v>3</v>
      </c>
      <c r="Q96" t="n">
        <v>8</v>
      </c>
      <c r="R96" s="2" t="inlineStr">
        <is>
          <t>Större barkplattbagge
Knärot
Rynkskinn
Harticka
Rosenticka
Spillkråka
Tretåig hackspett
Ullticka</t>
        </is>
      </c>
      <c r="S96">
        <f>HYPERLINK("https://klasma.github.io/Logging_2283/artfynd/A 44424-2025 artfynd.xlsx", "A 44424-2025")</f>
        <v/>
      </c>
      <c r="T96">
        <f>HYPERLINK("https://klasma.github.io/Logging_2283/kartor/A 44424-2025 karta.png", "A 44424-2025")</f>
        <v/>
      </c>
      <c r="U96">
        <f>HYPERLINK("https://klasma.github.io/Logging_2283/knärot/A 44424-2025 karta knärot.png", "A 44424-2025")</f>
        <v/>
      </c>
      <c r="V96">
        <f>HYPERLINK("https://klasma.github.io/Logging_2283/klagomål/A 44424-2025 FSC-klagomål.docx", "A 44424-2025")</f>
        <v/>
      </c>
      <c r="W96">
        <f>HYPERLINK("https://klasma.github.io/Logging_2283/klagomålsmail/A 44424-2025 FSC-klagomål mail.docx", "A 44424-2025")</f>
        <v/>
      </c>
      <c r="X96">
        <f>HYPERLINK("https://klasma.github.io/Logging_2283/tillsyn/A 44424-2025 tillsynsbegäran.docx", "A 44424-2025")</f>
        <v/>
      </c>
      <c r="Y96">
        <f>HYPERLINK("https://klasma.github.io/Logging_2283/tillsynsmail/A 44424-2025 tillsynsbegäran mail.docx", "A 44424-2025")</f>
        <v/>
      </c>
      <c r="Z96">
        <f>HYPERLINK("https://klasma.github.io/Logging_2283/fåglar/A 44424-2025 prioriterade fågelarter.docx", "A 44424-2025")</f>
        <v/>
      </c>
    </row>
    <row r="97" ht="15" customHeight="1">
      <c r="A97" t="inlineStr">
        <is>
          <t>A 4930-2025</t>
        </is>
      </c>
      <c r="B97" s="1" t="n">
        <v>45688</v>
      </c>
      <c r="C97" s="1" t="n">
        <v>46048</v>
      </c>
      <c r="D97" t="inlineStr">
        <is>
          <t>VÄSTERNORRLANDS LÄN</t>
        </is>
      </c>
      <c r="E97" t="inlineStr">
        <is>
          <t>SOLLEFTEÅ</t>
        </is>
      </c>
      <c r="F97" t="inlineStr">
        <is>
          <t>Övriga statliga verk och myndigheter</t>
        </is>
      </c>
      <c r="G97" t="n">
        <v>15.3</v>
      </c>
      <c r="H97" t="n">
        <v>4</v>
      </c>
      <c r="I97" t="n">
        <v>1</v>
      </c>
      <c r="J97" t="n">
        <v>5</v>
      </c>
      <c r="K97" t="n">
        <v>2</v>
      </c>
      <c r="L97" t="n">
        <v>0</v>
      </c>
      <c r="M97" t="n">
        <v>0</v>
      </c>
      <c r="N97" t="n">
        <v>0</v>
      </c>
      <c r="O97" t="n">
        <v>7</v>
      </c>
      <c r="P97" t="n">
        <v>2</v>
      </c>
      <c r="Q97" t="n">
        <v>8</v>
      </c>
      <c r="R97" s="2" t="inlineStr">
        <is>
          <t>Doftticka
Rynkskinn
Björktrast
Rosenticka
Spillkråka
Tretåig hackspett
Ullticka
Underviol</t>
        </is>
      </c>
      <c r="S97">
        <f>HYPERLINK("https://klasma.github.io/Logging_2283/artfynd/A 4930-2025 artfynd.xlsx", "A 4930-2025")</f>
        <v/>
      </c>
      <c r="T97">
        <f>HYPERLINK("https://klasma.github.io/Logging_2283/kartor/A 4930-2025 karta.png", "A 4930-2025")</f>
        <v/>
      </c>
      <c r="V97">
        <f>HYPERLINK("https://klasma.github.io/Logging_2283/klagomål/A 4930-2025 FSC-klagomål.docx", "A 4930-2025")</f>
        <v/>
      </c>
      <c r="W97">
        <f>HYPERLINK("https://klasma.github.io/Logging_2283/klagomålsmail/A 4930-2025 FSC-klagomål mail.docx", "A 4930-2025")</f>
        <v/>
      </c>
      <c r="X97">
        <f>HYPERLINK("https://klasma.github.io/Logging_2283/tillsyn/A 4930-2025 tillsynsbegäran.docx", "A 4930-2025")</f>
        <v/>
      </c>
      <c r="Y97">
        <f>HYPERLINK("https://klasma.github.io/Logging_2283/tillsynsmail/A 4930-2025 tillsynsbegäran mail.docx", "A 4930-2025")</f>
        <v/>
      </c>
      <c r="Z97">
        <f>HYPERLINK("https://klasma.github.io/Logging_2283/fåglar/A 4930-2025 prioriterade fågelarter.docx", "A 4930-2025")</f>
        <v/>
      </c>
    </row>
    <row r="98" ht="15" customHeight="1">
      <c r="A98" t="inlineStr">
        <is>
          <t>A 18014-2022</t>
        </is>
      </c>
      <c r="B98" s="1" t="n">
        <v>44683</v>
      </c>
      <c r="C98" s="1" t="n">
        <v>46048</v>
      </c>
      <c r="D98" t="inlineStr">
        <is>
          <t>VÄSTERNORRLANDS LÄN</t>
        </is>
      </c>
      <c r="E98" t="inlineStr">
        <is>
          <t>SOLLEFTEÅ</t>
        </is>
      </c>
      <c r="F98" t="inlineStr">
        <is>
          <t>SCA</t>
        </is>
      </c>
      <c r="G98" t="n">
        <v>2.5</v>
      </c>
      <c r="H98" t="n">
        <v>2</v>
      </c>
      <c r="I98" t="n">
        <v>0</v>
      </c>
      <c r="J98" t="n">
        <v>5</v>
      </c>
      <c r="K98" t="n">
        <v>2</v>
      </c>
      <c r="L98" t="n">
        <v>0</v>
      </c>
      <c r="M98" t="n">
        <v>0</v>
      </c>
      <c r="N98" t="n">
        <v>0</v>
      </c>
      <c r="O98" t="n">
        <v>7</v>
      </c>
      <c r="P98" t="n">
        <v>2</v>
      </c>
      <c r="Q98" t="n">
        <v>7</v>
      </c>
      <c r="R98" s="2" t="inlineStr">
        <is>
          <t>Goliatmusseron
Läderdoftande fingersvamp
Granticka
Gultoppig fingersvamp
Svart taggsvamp
Talltita
Tretåig hackspett</t>
        </is>
      </c>
      <c r="S98">
        <f>HYPERLINK("https://klasma.github.io/Logging_2283/artfynd/A 18014-2022 artfynd.xlsx", "A 18014-2022")</f>
        <v/>
      </c>
      <c r="T98">
        <f>HYPERLINK("https://klasma.github.io/Logging_2283/kartor/A 18014-2022 karta.png", "A 18014-2022")</f>
        <v/>
      </c>
      <c r="U98">
        <f>HYPERLINK("https://klasma.github.io/Logging_2283/knärot/A 18014-2022 karta knärot.png", "A 18014-2022")</f>
        <v/>
      </c>
      <c r="V98">
        <f>HYPERLINK("https://klasma.github.io/Logging_2283/klagomål/A 18014-2022 FSC-klagomål.docx", "A 18014-2022")</f>
        <v/>
      </c>
      <c r="W98">
        <f>HYPERLINK("https://klasma.github.io/Logging_2283/klagomålsmail/A 18014-2022 FSC-klagomål mail.docx", "A 18014-2022")</f>
        <v/>
      </c>
      <c r="X98">
        <f>HYPERLINK("https://klasma.github.io/Logging_2283/tillsyn/A 18014-2022 tillsynsbegäran.docx", "A 18014-2022")</f>
        <v/>
      </c>
      <c r="Y98">
        <f>HYPERLINK("https://klasma.github.io/Logging_2283/tillsynsmail/A 18014-2022 tillsynsbegäran mail.docx", "A 18014-2022")</f>
        <v/>
      </c>
      <c r="Z98">
        <f>HYPERLINK("https://klasma.github.io/Logging_2283/fåglar/A 18014-2022 prioriterade fågelarter.docx", "A 18014-2022")</f>
        <v/>
      </c>
    </row>
    <row r="99" ht="15" customHeight="1">
      <c r="A99" t="inlineStr">
        <is>
          <t>A 12174-2025</t>
        </is>
      </c>
      <c r="B99" s="1" t="n">
        <v>45729</v>
      </c>
      <c r="C99" s="1" t="n">
        <v>46048</v>
      </c>
      <c r="D99" t="inlineStr">
        <is>
          <t>VÄSTERNORRLANDS LÄN</t>
        </is>
      </c>
      <c r="E99" t="inlineStr">
        <is>
          <t>SOLLEFTEÅ</t>
        </is>
      </c>
      <c r="F99" t="inlineStr">
        <is>
          <t>SCA</t>
        </is>
      </c>
      <c r="G99" t="n">
        <v>1.8</v>
      </c>
      <c r="H99" t="n">
        <v>4</v>
      </c>
      <c r="I99" t="n">
        <v>0</v>
      </c>
      <c r="J99" t="n">
        <v>5</v>
      </c>
      <c r="K99" t="n">
        <v>0</v>
      </c>
      <c r="L99" t="n">
        <v>0</v>
      </c>
      <c r="M99" t="n">
        <v>0</v>
      </c>
      <c r="N99" t="n">
        <v>0</v>
      </c>
      <c r="O99" t="n">
        <v>5</v>
      </c>
      <c r="P99" t="n">
        <v>0</v>
      </c>
      <c r="Q99" t="n">
        <v>7</v>
      </c>
      <c r="R99" s="2" t="inlineStr">
        <is>
          <t>Garnlav
Lunglav
Mörk kolflarnlav
Spillkråka
Tretåig hackspett
Tjäder
Revlummer</t>
        </is>
      </c>
      <c r="S99">
        <f>HYPERLINK("https://klasma.github.io/Logging_2283/artfynd/A 12174-2025 artfynd.xlsx", "A 12174-2025")</f>
        <v/>
      </c>
      <c r="T99">
        <f>HYPERLINK("https://klasma.github.io/Logging_2283/kartor/A 12174-2025 karta.png", "A 12174-2025")</f>
        <v/>
      </c>
      <c r="V99">
        <f>HYPERLINK("https://klasma.github.io/Logging_2283/klagomål/A 12174-2025 FSC-klagomål.docx", "A 12174-2025")</f>
        <v/>
      </c>
      <c r="W99">
        <f>HYPERLINK("https://klasma.github.io/Logging_2283/klagomålsmail/A 12174-2025 FSC-klagomål mail.docx", "A 12174-2025")</f>
        <v/>
      </c>
      <c r="X99">
        <f>HYPERLINK("https://klasma.github.io/Logging_2283/tillsyn/A 12174-2025 tillsynsbegäran.docx", "A 12174-2025")</f>
        <v/>
      </c>
      <c r="Y99">
        <f>HYPERLINK("https://klasma.github.io/Logging_2283/tillsynsmail/A 12174-2025 tillsynsbegäran mail.docx", "A 12174-2025")</f>
        <v/>
      </c>
      <c r="Z99">
        <f>HYPERLINK("https://klasma.github.io/Logging_2283/fåglar/A 12174-2025 prioriterade fågelarter.docx", "A 12174-2025")</f>
        <v/>
      </c>
    </row>
    <row r="100" ht="15" customHeight="1">
      <c r="A100" t="inlineStr">
        <is>
          <t>A 22783-2025</t>
        </is>
      </c>
      <c r="B100" s="1" t="n">
        <v>45789</v>
      </c>
      <c r="C100" s="1" t="n">
        <v>46048</v>
      </c>
      <c r="D100" t="inlineStr">
        <is>
          <t>VÄSTERNORRLANDS LÄN</t>
        </is>
      </c>
      <c r="E100" t="inlineStr">
        <is>
          <t>SOLLEFTEÅ</t>
        </is>
      </c>
      <c r="G100" t="n">
        <v>27.7</v>
      </c>
      <c r="H100" t="n">
        <v>3</v>
      </c>
      <c r="I100" t="n">
        <v>2</v>
      </c>
      <c r="J100" t="n">
        <v>3</v>
      </c>
      <c r="K100" t="n">
        <v>0</v>
      </c>
      <c r="L100" t="n">
        <v>0</v>
      </c>
      <c r="M100" t="n">
        <v>0</v>
      </c>
      <c r="N100" t="n">
        <v>0</v>
      </c>
      <c r="O100" t="n">
        <v>3</v>
      </c>
      <c r="P100" t="n">
        <v>0</v>
      </c>
      <c r="Q100" t="n">
        <v>7</v>
      </c>
      <c r="R100" s="2" t="inlineStr">
        <is>
          <t>Lunglav
Nordfladdermus
Skrovellav
Bårdlav
Stuplav
Lavskrika
Vattenfladdermus</t>
        </is>
      </c>
      <c r="S100">
        <f>HYPERLINK("https://klasma.github.io/Logging_2283/artfynd/A 22783-2025 artfynd.xlsx", "A 22783-2025")</f>
        <v/>
      </c>
      <c r="T100">
        <f>HYPERLINK("https://klasma.github.io/Logging_2283/kartor/A 22783-2025 karta.png", "A 22783-2025")</f>
        <v/>
      </c>
      <c r="V100">
        <f>HYPERLINK("https://klasma.github.io/Logging_2283/klagomål/A 22783-2025 FSC-klagomål.docx", "A 22783-2025")</f>
        <v/>
      </c>
      <c r="W100">
        <f>HYPERLINK("https://klasma.github.io/Logging_2283/klagomålsmail/A 22783-2025 FSC-klagomål mail.docx", "A 22783-2025")</f>
        <v/>
      </c>
      <c r="X100">
        <f>HYPERLINK("https://klasma.github.io/Logging_2283/tillsyn/A 22783-2025 tillsynsbegäran.docx", "A 22783-2025")</f>
        <v/>
      </c>
      <c r="Y100">
        <f>HYPERLINK("https://klasma.github.io/Logging_2283/tillsynsmail/A 22783-2025 tillsynsbegäran mail.docx", "A 22783-2025")</f>
        <v/>
      </c>
      <c r="Z100">
        <f>HYPERLINK("https://klasma.github.io/Logging_2283/fåglar/A 22783-2025 prioriterade fågelarter.docx", "A 22783-2025")</f>
        <v/>
      </c>
    </row>
    <row r="101" ht="15" customHeight="1">
      <c r="A101" t="inlineStr">
        <is>
          <t>A 26654-2024</t>
        </is>
      </c>
      <c r="B101" s="1" t="n">
        <v>45469</v>
      </c>
      <c r="C101" s="1" t="n">
        <v>46048</v>
      </c>
      <c r="D101" t="inlineStr">
        <is>
          <t>VÄSTERNORRLANDS LÄN</t>
        </is>
      </c>
      <c r="E101" t="inlineStr">
        <is>
          <t>SOLLEFTEÅ</t>
        </is>
      </c>
      <c r="F101" t="inlineStr">
        <is>
          <t>SCA</t>
        </is>
      </c>
      <c r="G101" t="n">
        <v>7</v>
      </c>
      <c r="H101" t="n">
        <v>1</v>
      </c>
      <c r="I101" t="n">
        <v>2</v>
      </c>
      <c r="J101" t="n">
        <v>3</v>
      </c>
      <c r="K101" t="n">
        <v>2</v>
      </c>
      <c r="L101" t="n">
        <v>0</v>
      </c>
      <c r="M101" t="n">
        <v>0</v>
      </c>
      <c r="N101" t="n">
        <v>0</v>
      </c>
      <c r="O101" t="n">
        <v>5</v>
      </c>
      <c r="P101" t="n">
        <v>2</v>
      </c>
      <c r="Q101" t="n">
        <v>7</v>
      </c>
      <c r="R101" s="2" t="inlineStr">
        <is>
          <t>Knärot
Ulltickeporing
Garnlav
Harticka
Ullticka
Bårdlav
Skinnlav</t>
        </is>
      </c>
      <c r="S101">
        <f>HYPERLINK("https://klasma.github.io/Logging_2283/artfynd/A 26654-2024 artfynd.xlsx", "A 26654-2024")</f>
        <v/>
      </c>
      <c r="T101">
        <f>HYPERLINK("https://klasma.github.io/Logging_2283/kartor/A 26654-2024 karta.png", "A 26654-2024")</f>
        <v/>
      </c>
      <c r="U101">
        <f>HYPERLINK("https://klasma.github.io/Logging_2283/knärot/A 26654-2024 karta knärot.png", "A 26654-2024")</f>
        <v/>
      </c>
      <c r="V101">
        <f>HYPERLINK("https://klasma.github.io/Logging_2283/klagomål/A 26654-2024 FSC-klagomål.docx", "A 26654-2024")</f>
        <v/>
      </c>
      <c r="W101">
        <f>HYPERLINK("https://klasma.github.io/Logging_2283/klagomålsmail/A 26654-2024 FSC-klagomål mail.docx", "A 26654-2024")</f>
        <v/>
      </c>
      <c r="X101">
        <f>HYPERLINK("https://klasma.github.io/Logging_2283/tillsyn/A 26654-2024 tillsynsbegäran.docx", "A 26654-2024")</f>
        <v/>
      </c>
      <c r="Y101">
        <f>HYPERLINK("https://klasma.github.io/Logging_2283/tillsynsmail/A 26654-2024 tillsynsbegäran mail.docx", "A 26654-2024")</f>
        <v/>
      </c>
    </row>
    <row r="102" ht="15" customHeight="1">
      <c r="A102" t="inlineStr">
        <is>
          <t>A 41666-2024</t>
        </is>
      </c>
      <c r="B102" s="1" t="n">
        <v>45560.65010416666</v>
      </c>
      <c r="C102" s="1" t="n">
        <v>46048</v>
      </c>
      <c r="D102" t="inlineStr">
        <is>
          <t>VÄSTERNORRLANDS LÄN</t>
        </is>
      </c>
      <c r="E102" t="inlineStr">
        <is>
          <t>SOLLEFTEÅ</t>
        </is>
      </c>
      <c r="G102" t="n">
        <v>1</v>
      </c>
      <c r="H102" t="n">
        <v>1</v>
      </c>
      <c r="I102" t="n">
        <v>1</v>
      </c>
      <c r="J102" t="n">
        <v>4</v>
      </c>
      <c r="K102" t="n">
        <v>1</v>
      </c>
      <c r="L102" t="n">
        <v>0</v>
      </c>
      <c r="M102" t="n">
        <v>0</v>
      </c>
      <c r="N102" t="n">
        <v>0</v>
      </c>
      <c r="O102" t="n">
        <v>5</v>
      </c>
      <c r="P102" t="n">
        <v>1</v>
      </c>
      <c r="Q102" t="n">
        <v>7</v>
      </c>
      <c r="R102" s="2" t="inlineStr">
        <is>
          <t>Rynkskinn
Granticka
Lunglav
Rosenticka
Vedtrappmossa
Stor aspticka
Revlummer</t>
        </is>
      </c>
      <c r="S102">
        <f>HYPERLINK("https://klasma.github.io/Logging_2283/artfynd/A 41666-2024 artfynd.xlsx", "A 41666-2024")</f>
        <v/>
      </c>
      <c r="T102">
        <f>HYPERLINK("https://klasma.github.io/Logging_2283/kartor/A 41666-2024 karta.png", "A 41666-2024")</f>
        <v/>
      </c>
      <c r="V102">
        <f>HYPERLINK("https://klasma.github.io/Logging_2283/klagomål/A 41666-2024 FSC-klagomål.docx", "A 41666-2024")</f>
        <v/>
      </c>
      <c r="W102">
        <f>HYPERLINK("https://klasma.github.io/Logging_2283/klagomålsmail/A 41666-2024 FSC-klagomål mail.docx", "A 41666-2024")</f>
        <v/>
      </c>
      <c r="X102">
        <f>HYPERLINK("https://klasma.github.io/Logging_2283/tillsyn/A 41666-2024 tillsynsbegäran.docx", "A 41666-2024")</f>
        <v/>
      </c>
      <c r="Y102">
        <f>HYPERLINK("https://klasma.github.io/Logging_2283/tillsynsmail/A 41666-2024 tillsynsbegäran mail.docx", "A 41666-2024")</f>
        <v/>
      </c>
    </row>
    <row r="103" ht="15" customHeight="1">
      <c r="A103" t="inlineStr">
        <is>
          <t>A 14580-2024</t>
        </is>
      </c>
      <c r="B103" s="1" t="n">
        <v>45394</v>
      </c>
      <c r="C103" s="1" t="n">
        <v>46048</v>
      </c>
      <c r="D103" t="inlineStr">
        <is>
          <t>VÄSTERNORRLANDS LÄN</t>
        </is>
      </c>
      <c r="E103" t="inlineStr">
        <is>
          <t>SOLLEFTEÅ</t>
        </is>
      </c>
      <c r="F103" t="inlineStr">
        <is>
          <t>SCA</t>
        </is>
      </c>
      <c r="G103" t="n">
        <v>4.1</v>
      </c>
      <c r="H103" t="n">
        <v>2</v>
      </c>
      <c r="I103" t="n">
        <v>1</v>
      </c>
      <c r="J103" t="n">
        <v>6</v>
      </c>
      <c r="K103" t="n">
        <v>0</v>
      </c>
      <c r="L103" t="n">
        <v>0</v>
      </c>
      <c r="M103" t="n">
        <v>0</v>
      </c>
      <c r="N103" t="n">
        <v>0</v>
      </c>
      <c r="O103" t="n">
        <v>6</v>
      </c>
      <c r="P103" t="n">
        <v>0</v>
      </c>
      <c r="Q103" t="n">
        <v>7</v>
      </c>
      <c r="R103" s="2" t="inlineStr">
        <is>
          <t>Garnlav
Lunglav
Rosenticka
Talltita
Tretåig hackspett
Ullticka
Vedticka</t>
        </is>
      </c>
      <c r="S103">
        <f>HYPERLINK("https://klasma.github.io/Logging_2283/artfynd/A 14580-2024 artfynd.xlsx", "A 14580-2024")</f>
        <v/>
      </c>
      <c r="T103">
        <f>HYPERLINK("https://klasma.github.io/Logging_2283/kartor/A 14580-2024 karta.png", "A 14580-2024")</f>
        <v/>
      </c>
      <c r="V103">
        <f>HYPERLINK("https://klasma.github.io/Logging_2283/klagomål/A 14580-2024 FSC-klagomål.docx", "A 14580-2024")</f>
        <v/>
      </c>
      <c r="W103">
        <f>HYPERLINK("https://klasma.github.io/Logging_2283/klagomålsmail/A 14580-2024 FSC-klagomål mail.docx", "A 14580-2024")</f>
        <v/>
      </c>
      <c r="X103">
        <f>HYPERLINK("https://klasma.github.io/Logging_2283/tillsyn/A 14580-2024 tillsynsbegäran.docx", "A 14580-2024")</f>
        <v/>
      </c>
      <c r="Y103">
        <f>HYPERLINK("https://klasma.github.io/Logging_2283/tillsynsmail/A 14580-2024 tillsynsbegäran mail.docx", "A 14580-2024")</f>
        <v/>
      </c>
      <c r="Z103">
        <f>HYPERLINK("https://klasma.github.io/Logging_2283/fåglar/A 14580-2024 prioriterade fågelarter.docx", "A 14580-2024")</f>
        <v/>
      </c>
    </row>
    <row r="104" ht="15" customHeight="1">
      <c r="A104" t="inlineStr">
        <is>
          <t>A 62992-2023</t>
        </is>
      </c>
      <c r="B104" s="1" t="n">
        <v>45272</v>
      </c>
      <c r="C104" s="1" t="n">
        <v>46048</v>
      </c>
      <c r="D104" t="inlineStr">
        <is>
          <t>VÄSTERNORRLANDS LÄN</t>
        </is>
      </c>
      <c r="E104" t="inlineStr">
        <is>
          <t>SOLLEFTEÅ</t>
        </is>
      </c>
      <c r="F104" t="inlineStr">
        <is>
          <t>Övriga Aktiebolag</t>
        </is>
      </c>
      <c r="G104" t="n">
        <v>16.7</v>
      </c>
      <c r="H104" t="n">
        <v>2</v>
      </c>
      <c r="I104" t="n">
        <v>2</v>
      </c>
      <c r="J104" t="n">
        <v>5</v>
      </c>
      <c r="K104" t="n">
        <v>0</v>
      </c>
      <c r="L104" t="n">
        <v>0</v>
      </c>
      <c r="M104" t="n">
        <v>0</v>
      </c>
      <c r="N104" t="n">
        <v>0</v>
      </c>
      <c r="O104" t="n">
        <v>5</v>
      </c>
      <c r="P104" t="n">
        <v>0</v>
      </c>
      <c r="Q104" t="n">
        <v>7</v>
      </c>
      <c r="R104" s="2" t="inlineStr">
        <is>
          <t>Gammelgransskål
Garnlav
Harticka
Rosenticka
Tretåig hackspett
Mörk husmossa
Spindelblomster</t>
        </is>
      </c>
      <c r="S104">
        <f>HYPERLINK("https://klasma.github.io/Logging_2283/artfynd/A 62992-2023 artfynd.xlsx", "A 62992-2023")</f>
        <v/>
      </c>
      <c r="T104">
        <f>HYPERLINK("https://klasma.github.io/Logging_2283/kartor/A 62992-2023 karta.png", "A 62992-2023")</f>
        <v/>
      </c>
      <c r="V104">
        <f>HYPERLINK("https://klasma.github.io/Logging_2283/klagomål/A 62992-2023 FSC-klagomål.docx", "A 62992-2023")</f>
        <v/>
      </c>
      <c r="W104">
        <f>HYPERLINK("https://klasma.github.io/Logging_2283/klagomålsmail/A 62992-2023 FSC-klagomål mail.docx", "A 62992-2023")</f>
        <v/>
      </c>
      <c r="X104">
        <f>HYPERLINK("https://klasma.github.io/Logging_2283/tillsyn/A 62992-2023 tillsynsbegäran.docx", "A 62992-2023")</f>
        <v/>
      </c>
      <c r="Y104">
        <f>HYPERLINK("https://klasma.github.io/Logging_2283/tillsynsmail/A 62992-2023 tillsynsbegäran mail.docx", "A 62992-2023")</f>
        <v/>
      </c>
      <c r="Z104">
        <f>HYPERLINK("https://klasma.github.io/Logging_2283/fåglar/A 62992-2023 prioriterade fågelarter.docx", "A 62992-2023")</f>
        <v/>
      </c>
    </row>
    <row r="105" ht="15" customHeight="1">
      <c r="A105" t="inlineStr">
        <is>
          <t>A 28997-2025</t>
        </is>
      </c>
      <c r="B105" s="1" t="n">
        <v>45821.38616898148</v>
      </c>
      <c r="C105" s="1" t="n">
        <v>46048</v>
      </c>
      <c r="D105" t="inlineStr">
        <is>
          <t>VÄSTERNORRLANDS LÄN</t>
        </is>
      </c>
      <c r="E105" t="inlineStr">
        <is>
          <t>SOLLEFTEÅ</t>
        </is>
      </c>
      <c r="F105" t="inlineStr">
        <is>
          <t>SCA</t>
        </is>
      </c>
      <c r="G105" t="n">
        <v>4.2</v>
      </c>
      <c r="H105" t="n">
        <v>0</v>
      </c>
      <c r="I105" t="n">
        <v>3</v>
      </c>
      <c r="J105" t="n">
        <v>4</v>
      </c>
      <c r="K105" t="n">
        <v>0</v>
      </c>
      <c r="L105" t="n">
        <v>0</v>
      </c>
      <c r="M105" t="n">
        <v>0</v>
      </c>
      <c r="N105" t="n">
        <v>0</v>
      </c>
      <c r="O105" t="n">
        <v>4</v>
      </c>
      <c r="P105" t="n">
        <v>0</v>
      </c>
      <c r="Q105" t="n">
        <v>7</v>
      </c>
      <c r="R105" s="2" t="inlineStr">
        <is>
          <t>Dvärgbägarlav
Garnlav
Vaddporing
Vedtrappmossa
Bollvitmossa
Norrlandslav
Skuggblåslav</t>
        </is>
      </c>
      <c r="S105">
        <f>HYPERLINK("https://klasma.github.io/Logging_2283/artfynd/A 28997-2025 artfynd.xlsx", "A 28997-2025")</f>
        <v/>
      </c>
      <c r="T105">
        <f>HYPERLINK("https://klasma.github.io/Logging_2283/kartor/A 28997-2025 karta.png", "A 28997-2025")</f>
        <v/>
      </c>
      <c r="V105">
        <f>HYPERLINK("https://klasma.github.io/Logging_2283/klagomål/A 28997-2025 FSC-klagomål.docx", "A 28997-2025")</f>
        <v/>
      </c>
      <c r="W105">
        <f>HYPERLINK("https://klasma.github.io/Logging_2283/klagomålsmail/A 28997-2025 FSC-klagomål mail.docx", "A 28997-2025")</f>
        <v/>
      </c>
      <c r="X105">
        <f>HYPERLINK("https://klasma.github.io/Logging_2283/tillsyn/A 28997-2025 tillsynsbegäran.docx", "A 28997-2025")</f>
        <v/>
      </c>
      <c r="Y105">
        <f>HYPERLINK("https://klasma.github.io/Logging_2283/tillsynsmail/A 28997-2025 tillsynsbegäran mail.docx", "A 28997-2025")</f>
        <v/>
      </c>
    </row>
    <row r="106" ht="15" customHeight="1">
      <c r="A106" t="inlineStr">
        <is>
          <t>A 53121-2022</t>
        </is>
      </c>
      <c r="B106" s="1" t="n">
        <v>44873</v>
      </c>
      <c r="C106" s="1" t="n">
        <v>46048</v>
      </c>
      <c r="D106" t="inlineStr">
        <is>
          <t>VÄSTERNORRLANDS LÄN</t>
        </is>
      </c>
      <c r="E106" t="inlineStr">
        <is>
          <t>SOLLEFTEÅ</t>
        </is>
      </c>
      <c r="G106" t="n">
        <v>3.6</v>
      </c>
      <c r="H106" t="n">
        <v>1</v>
      </c>
      <c r="I106" t="n">
        <v>1</v>
      </c>
      <c r="J106" t="n">
        <v>5</v>
      </c>
      <c r="K106" t="n">
        <v>1</v>
      </c>
      <c r="L106" t="n">
        <v>0</v>
      </c>
      <c r="M106" t="n">
        <v>0</v>
      </c>
      <c r="N106" t="n">
        <v>0</v>
      </c>
      <c r="O106" t="n">
        <v>6</v>
      </c>
      <c r="P106" t="n">
        <v>1</v>
      </c>
      <c r="Q106" t="n">
        <v>7</v>
      </c>
      <c r="R106" s="2" t="inlineStr">
        <is>
          <t>Rynkskinn
Garnlav
Lunglav
Rosenticka
Tretåig hackspett
Ullticka
Stuplav</t>
        </is>
      </c>
      <c r="S106">
        <f>HYPERLINK("https://klasma.github.io/Logging_2283/artfynd/A 53121-2022 artfynd.xlsx", "A 53121-2022")</f>
        <v/>
      </c>
      <c r="T106">
        <f>HYPERLINK("https://klasma.github.io/Logging_2283/kartor/A 53121-2022 karta.png", "A 53121-2022")</f>
        <v/>
      </c>
      <c r="V106">
        <f>HYPERLINK("https://klasma.github.io/Logging_2283/klagomål/A 53121-2022 FSC-klagomål.docx", "A 53121-2022")</f>
        <v/>
      </c>
      <c r="W106">
        <f>HYPERLINK("https://klasma.github.io/Logging_2283/klagomålsmail/A 53121-2022 FSC-klagomål mail.docx", "A 53121-2022")</f>
        <v/>
      </c>
      <c r="X106">
        <f>HYPERLINK("https://klasma.github.io/Logging_2283/tillsyn/A 53121-2022 tillsynsbegäran.docx", "A 53121-2022")</f>
        <v/>
      </c>
      <c r="Y106">
        <f>HYPERLINK("https://klasma.github.io/Logging_2283/tillsynsmail/A 53121-2022 tillsynsbegäran mail.docx", "A 53121-2022")</f>
        <v/>
      </c>
      <c r="Z106">
        <f>HYPERLINK("https://klasma.github.io/Logging_2283/fåglar/A 53121-2022 prioriterade fågelarter.docx", "A 53121-2022")</f>
        <v/>
      </c>
    </row>
    <row r="107" ht="15" customHeight="1">
      <c r="A107" t="inlineStr">
        <is>
          <t>A 54049-2023</t>
        </is>
      </c>
      <c r="B107" s="1" t="n">
        <v>45231</v>
      </c>
      <c r="C107" s="1" t="n">
        <v>46048</v>
      </c>
      <c r="D107" t="inlineStr">
        <is>
          <t>VÄSTERNORRLANDS LÄN</t>
        </is>
      </c>
      <c r="E107" t="inlineStr">
        <is>
          <t>SOLLEFTEÅ</t>
        </is>
      </c>
      <c r="F107" t="inlineStr">
        <is>
          <t>SCA</t>
        </is>
      </c>
      <c r="G107" t="n">
        <v>9.800000000000001</v>
      </c>
      <c r="H107" t="n">
        <v>0</v>
      </c>
      <c r="I107" t="n">
        <v>1</v>
      </c>
      <c r="J107" t="n">
        <v>6</v>
      </c>
      <c r="K107" t="n">
        <v>0</v>
      </c>
      <c r="L107" t="n">
        <v>0</v>
      </c>
      <c r="M107" t="n">
        <v>0</v>
      </c>
      <c r="N107" t="n">
        <v>0</v>
      </c>
      <c r="O107" t="n">
        <v>6</v>
      </c>
      <c r="P107" t="n">
        <v>0</v>
      </c>
      <c r="Q107" t="n">
        <v>7</v>
      </c>
      <c r="R107" s="2" t="inlineStr">
        <is>
          <t>Doftskinn
Gammelgransskål
Garnlav
Rosenticka
Ullticka
Violettgrå tagellav
Vedticka</t>
        </is>
      </c>
      <c r="S107">
        <f>HYPERLINK("https://klasma.github.io/Logging_2283/artfynd/A 54049-2023 artfynd.xlsx", "A 54049-2023")</f>
        <v/>
      </c>
      <c r="T107">
        <f>HYPERLINK("https://klasma.github.io/Logging_2283/kartor/A 54049-2023 karta.png", "A 54049-2023")</f>
        <v/>
      </c>
      <c r="V107">
        <f>HYPERLINK("https://klasma.github.io/Logging_2283/klagomål/A 54049-2023 FSC-klagomål.docx", "A 54049-2023")</f>
        <v/>
      </c>
      <c r="W107">
        <f>HYPERLINK("https://klasma.github.io/Logging_2283/klagomålsmail/A 54049-2023 FSC-klagomål mail.docx", "A 54049-2023")</f>
        <v/>
      </c>
      <c r="X107">
        <f>HYPERLINK("https://klasma.github.io/Logging_2283/tillsyn/A 54049-2023 tillsynsbegäran.docx", "A 54049-2023")</f>
        <v/>
      </c>
      <c r="Y107">
        <f>HYPERLINK("https://klasma.github.io/Logging_2283/tillsynsmail/A 54049-2023 tillsynsbegäran mail.docx", "A 54049-2023")</f>
        <v/>
      </c>
    </row>
    <row r="108" ht="15" customHeight="1">
      <c r="A108" t="inlineStr">
        <is>
          <t>A 59045-2022</t>
        </is>
      </c>
      <c r="B108" s="1" t="n">
        <v>44903</v>
      </c>
      <c r="C108" s="1" t="n">
        <v>46048</v>
      </c>
      <c r="D108" t="inlineStr">
        <is>
          <t>VÄSTERNORRLANDS LÄN</t>
        </is>
      </c>
      <c r="E108" t="inlineStr">
        <is>
          <t>SOLLEFTEÅ</t>
        </is>
      </c>
      <c r="F108" t="inlineStr">
        <is>
          <t>SCA</t>
        </is>
      </c>
      <c r="G108" t="n">
        <v>23.4</v>
      </c>
      <c r="H108" t="n">
        <v>1</v>
      </c>
      <c r="I108" t="n">
        <v>1</v>
      </c>
      <c r="J108" t="n">
        <v>6</v>
      </c>
      <c r="K108" t="n">
        <v>0</v>
      </c>
      <c r="L108" t="n">
        <v>0</v>
      </c>
      <c r="M108" t="n">
        <v>0</v>
      </c>
      <c r="N108" t="n">
        <v>0</v>
      </c>
      <c r="O108" t="n">
        <v>6</v>
      </c>
      <c r="P108" t="n">
        <v>0</v>
      </c>
      <c r="Q108" t="n">
        <v>7</v>
      </c>
      <c r="R108" s="2" t="inlineStr">
        <is>
          <t>Gammelgransskål
Garnlav
Granticka
Lunglav
Tretåig hackspett
Ullticka
Strutbräken</t>
        </is>
      </c>
      <c r="S108">
        <f>HYPERLINK("https://klasma.github.io/Logging_2283/artfynd/A 59045-2022 artfynd.xlsx", "A 59045-2022")</f>
        <v/>
      </c>
      <c r="T108">
        <f>HYPERLINK("https://klasma.github.io/Logging_2283/kartor/A 59045-2022 karta.png", "A 59045-2022")</f>
        <v/>
      </c>
      <c r="V108">
        <f>HYPERLINK("https://klasma.github.io/Logging_2283/klagomål/A 59045-2022 FSC-klagomål.docx", "A 59045-2022")</f>
        <v/>
      </c>
      <c r="W108">
        <f>HYPERLINK("https://klasma.github.io/Logging_2283/klagomålsmail/A 59045-2022 FSC-klagomål mail.docx", "A 59045-2022")</f>
        <v/>
      </c>
      <c r="X108">
        <f>HYPERLINK("https://klasma.github.io/Logging_2283/tillsyn/A 59045-2022 tillsynsbegäran.docx", "A 59045-2022")</f>
        <v/>
      </c>
      <c r="Y108">
        <f>HYPERLINK("https://klasma.github.io/Logging_2283/tillsynsmail/A 59045-2022 tillsynsbegäran mail.docx", "A 59045-2022")</f>
        <v/>
      </c>
      <c r="Z108">
        <f>HYPERLINK("https://klasma.github.io/Logging_2283/fåglar/A 59045-2022 prioriterade fågelarter.docx", "A 59045-2022")</f>
        <v/>
      </c>
    </row>
    <row r="109" ht="15" customHeight="1">
      <c r="A109" t="inlineStr">
        <is>
          <t>A 38157-2025</t>
        </is>
      </c>
      <c r="B109" s="1" t="n">
        <v>45882.61505787037</v>
      </c>
      <c r="C109" s="1" t="n">
        <v>46048</v>
      </c>
      <c r="D109" t="inlineStr">
        <is>
          <t>VÄSTERNORRLANDS LÄN</t>
        </is>
      </c>
      <c r="E109" t="inlineStr">
        <is>
          <t>SOLLEFTEÅ</t>
        </is>
      </c>
      <c r="F109" t="inlineStr">
        <is>
          <t>SCA</t>
        </is>
      </c>
      <c r="G109" t="n">
        <v>14.9</v>
      </c>
      <c r="H109" t="n">
        <v>0</v>
      </c>
      <c r="I109" t="n">
        <v>0</v>
      </c>
      <c r="J109" t="n">
        <v>4</v>
      </c>
      <c r="K109" t="n">
        <v>3</v>
      </c>
      <c r="L109" t="n">
        <v>0</v>
      </c>
      <c r="M109" t="n">
        <v>0</v>
      </c>
      <c r="N109" t="n">
        <v>0</v>
      </c>
      <c r="O109" t="n">
        <v>7</v>
      </c>
      <c r="P109" t="n">
        <v>3</v>
      </c>
      <c r="Q109" t="n">
        <v>7</v>
      </c>
      <c r="R109" s="2" t="inlineStr">
        <is>
          <t>Fläckporing
Smalfotad taggsvamp
Tajgataggsvamp
Blå taggsvamp
Dvärgbägarlav
Lunglav
Vedskivlav</t>
        </is>
      </c>
      <c r="S109">
        <f>HYPERLINK("https://klasma.github.io/Logging_2283/artfynd/A 38157-2025 artfynd.xlsx", "A 38157-2025")</f>
        <v/>
      </c>
      <c r="T109">
        <f>HYPERLINK("https://klasma.github.io/Logging_2283/kartor/A 38157-2025 karta.png", "A 38157-2025")</f>
        <v/>
      </c>
      <c r="V109">
        <f>HYPERLINK("https://klasma.github.io/Logging_2283/klagomål/A 38157-2025 FSC-klagomål.docx", "A 38157-2025")</f>
        <v/>
      </c>
      <c r="W109">
        <f>HYPERLINK("https://klasma.github.io/Logging_2283/klagomålsmail/A 38157-2025 FSC-klagomål mail.docx", "A 38157-2025")</f>
        <v/>
      </c>
      <c r="X109">
        <f>HYPERLINK("https://klasma.github.io/Logging_2283/tillsyn/A 38157-2025 tillsynsbegäran.docx", "A 38157-2025")</f>
        <v/>
      </c>
      <c r="Y109">
        <f>HYPERLINK("https://klasma.github.io/Logging_2283/tillsynsmail/A 38157-2025 tillsynsbegäran mail.docx", "A 38157-2025")</f>
        <v/>
      </c>
    </row>
    <row r="110" ht="15" customHeight="1">
      <c r="A110" t="inlineStr">
        <is>
          <t>A 47647-2022</t>
        </is>
      </c>
      <c r="B110" s="1" t="n">
        <v>44852</v>
      </c>
      <c r="C110" s="1" t="n">
        <v>46048</v>
      </c>
      <c r="D110" t="inlineStr">
        <is>
          <t>VÄSTERNORRLANDS LÄN</t>
        </is>
      </c>
      <c r="E110" t="inlineStr">
        <is>
          <t>SOLLEFTEÅ</t>
        </is>
      </c>
      <c r="G110" t="n">
        <v>5.3</v>
      </c>
      <c r="H110" t="n">
        <v>2</v>
      </c>
      <c r="I110" t="n">
        <v>0</v>
      </c>
      <c r="J110" t="n">
        <v>5</v>
      </c>
      <c r="K110" t="n">
        <v>1</v>
      </c>
      <c r="L110" t="n">
        <v>1</v>
      </c>
      <c r="M110" t="n">
        <v>0</v>
      </c>
      <c r="N110" t="n">
        <v>0</v>
      </c>
      <c r="O110" t="n">
        <v>7</v>
      </c>
      <c r="P110" t="n">
        <v>2</v>
      </c>
      <c r="Q110" t="n">
        <v>7</v>
      </c>
      <c r="R110" s="2" t="inlineStr">
        <is>
          <t>Större barkplattbagge
Rynkskinn
Garnlav
Rosenticka
Stjärntagging
Talltita
Ullticka</t>
        </is>
      </c>
      <c r="S110">
        <f>HYPERLINK("https://klasma.github.io/Logging_2283/artfynd/A 47647-2022 artfynd.xlsx", "A 47647-2022")</f>
        <v/>
      </c>
      <c r="T110">
        <f>HYPERLINK("https://klasma.github.io/Logging_2283/kartor/A 47647-2022 karta.png", "A 47647-2022")</f>
        <v/>
      </c>
      <c r="V110">
        <f>HYPERLINK("https://klasma.github.io/Logging_2283/klagomål/A 47647-2022 FSC-klagomål.docx", "A 47647-2022")</f>
        <v/>
      </c>
      <c r="W110">
        <f>HYPERLINK("https://klasma.github.io/Logging_2283/klagomålsmail/A 47647-2022 FSC-klagomål mail.docx", "A 47647-2022")</f>
        <v/>
      </c>
      <c r="X110">
        <f>HYPERLINK("https://klasma.github.io/Logging_2283/tillsyn/A 47647-2022 tillsynsbegäran.docx", "A 47647-2022")</f>
        <v/>
      </c>
      <c r="Y110">
        <f>HYPERLINK("https://klasma.github.io/Logging_2283/tillsynsmail/A 47647-2022 tillsynsbegäran mail.docx", "A 47647-2022")</f>
        <v/>
      </c>
      <c r="Z110">
        <f>HYPERLINK("https://klasma.github.io/Logging_2283/fåglar/A 47647-2022 prioriterade fågelarter.docx", "A 47647-2022")</f>
        <v/>
      </c>
    </row>
    <row r="111" ht="15" customHeight="1">
      <c r="A111" t="inlineStr">
        <is>
          <t>A 21253-2025</t>
        </is>
      </c>
      <c r="B111" s="1" t="n">
        <v>45779</v>
      </c>
      <c r="C111" s="1" t="n">
        <v>46048</v>
      </c>
      <c r="D111" t="inlineStr">
        <is>
          <t>VÄSTERNORRLANDS LÄN</t>
        </is>
      </c>
      <c r="E111" t="inlineStr">
        <is>
          <t>SOLLEFTEÅ</t>
        </is>
      </c>
      <c r="G111" t="n">
        <v>10.2</v>
      </c>
      <c r="H111" t="n">
        <v>2</v>
      </c>
      <c r="I111" t="n">
        <v>1</v>
      </c>
      <c r="J111" t="n">
        <v>3</v>
      </c>
      <c r="K111" t="n">
        <v>1</v>
      </c>
      <c r="L111" t="n">
        <v>0</v>
      </c>
      <c r="M111" t="n">
        <v>0</v>
      </c>
      <c r="N111" t="n">
        <v>0</v>
      </c>
      <c r="O111" t="n">
        <v>4</v>
      </c>
      <c r="P111" t="n">
        <v>1</v>
      </c>
      <c r="Q111" t="n">
        <v>7</v>
      </c>
      <c r="R111" s="2" t="inlineStr">
        <is>
          <t>Rynkskinn
Doftskinn
Rosenticka
Ullticka
Stor aspticka
Fläcknycklar
Revlummer</t>
        </is>
      </c>
      <c r="S111">
        <f>HYPERLINK("https://klasma.github.io/Logging_2283/artfynd/A 21253-2025 artfynd.xlsx", "A 21253-2025")</f>
        <v/>
      </c>
      <c r="T111">
        <f>HYPERLINK("https://klasma.github.io/Logging_2283/kartor/A 21253-2025 karta.png", "A 21253-2025")</f>
        <v/>
      </c>
      <c r="V111">
        <f>HYPERLINK("https://klasma.github.io/Logging_2283/klagomål/A 21253-2025 FSC-klagomål.docx", "A 21253-2025")</f>
        <v/>
      </c>
      <c r="W111">
        <f>HYPERLINK("https://klasma.github.io/Logging_2283/klagomålsmail/A 21253-2025 FSC-klagomål mail.docx", "A 21253-2025")</f>
        <v/>
      </c>
      <c r="X111">
        <f>HYPERLINK("https://klasma.github.io/Logging_2283/tillsyn/A 21253-2025 tillsynsbegäran.docx", "A 21253-2025")</f>
        <v/>
      </c>
      <c r="Y111">
        <f>HYPERLINK("https://klasma.github.io/Logging_2283/tillsynsmail/A 21253-2025 tillsynsbegäran mail.docx", "A 21253-2025")</f>
        <v/>
      </c>
    </row>
    <row r="112" ht="15" customHeight="1">
      <c r="A112" t="inlineStr">
        <is>
          <t>A 55422-2024</t>
        </is>
      </c>
      <c r="B112" s="1" t="n">
        <v>45622.38619212963</v>
      </c>
      <c r="C112" s="1" t="n">
        <v>46048</v>
      </c>
      <c r="D112" t="inlineStr">
        <is>
          <t>VÄSTERNORRLANDS LÄN</t>
        </is>
      </c>
      <c r="E112" t="inlineStr">
        <is>
          <t>SOLLEFTEÅ</t>
        </is>
      </c>
      <c r="F112" t="inlineStr">
        <is>
          <t>SCA</t>
        </is>
      </c>
      <c r="G112" t="n">
        <v>1.8</v>
      </c>
      <c r="H112" t="n">
        <v>2</v>
      </c>
      <c r="I112" t="n">
        <v>0</v>
      </c>
      <c r="J112" t="n">
        <v>7</v>
      </c>
      <c r="K112" t="n">
        <v>0</v>
      </c>
      <c r="L112" t="n">
        <v>0</v>
      </c>
      <c r="M112" t="n">
        <v>0</v>
      </c>
      <c r="N112" t="n">
        <v>0</v>
      </c>
      <c r="O112" t="n">
        <v>7</v>
      </c>
      <c r="P112" t="n">
        <v>0</v>
      </c>
      <c r="Q112" t="n">
        <v>7</v>
      </c>
      <c r="R112" s="2" t="inlineStr">
        <is>
          <t>Garnlav
Järpe
Lunglav
Rosenticka
Spillkråka
Tallticka
Ullticka</t>
        </is>
      </c>
      <c r="S112">
        <f>HYPERLINK("https://klasma.github.io/Logging_2283/artfynd/A 55422-2024 artfynd.xlsx", "A 55422-2024")</f>
        <v/>
      </c>
      <c r="T112">
        <f>HYPERLINK("https://klasma.github.io/Logging_2283/kartor/A 55422-2024 karta.png", "A 55422-2024")</f>
        <v/>
      </c>
      <c r="V112">
        <f>HYPERLINK("https://klasma.github.io/Logging_2283/klagomål/A 55422-2024 FSC-klagomål.docx", "A 55422-2024")</f>
        <v/>
      </c>
      <c r="W112">
        <f>HYPERLINK("https://klasma.github.io/Logging_2283/klagomålsmail/A 55422-2024 FSC-klagomål mail.docx", "A 55422-2024")</f>
        <v/>
      </c>
      <c r="X112">
        <f>HYPERLINK("https://klasma.github.io/Logging_2283/tillsyn/A 55422-2024 tillsynsbegäran.docx", "A 55422-2024")</f>
        <v/>
      </c>
      <c r="Y112">
        <f>HYPERLINK("https://klasma.github.io/Logging_2283/tillsynsmail/A 55422-2024 tillsynsbegäran mail.docx", "A 55422-2024")</f>
        <v/>
      </c>
      <c r="Z112">
        <f>HYPERLINK("https://klasma.github.io/Logging_2283/fåglar/A 55422-2024 prioriterade fågelarter.docx", "A 55422-2024")</f>
        <v/>
      </c>
    </row>
    <row r="113" ht="15" customHeight="1">
      <c r="A113" t="inlineStr">
        <is>
          <t>A 715-2023</t>
        </is>
      </c>
      <c r="B113" s="1" t="n">
        <v>44930</v>
      </c>
      <c r="C113" s="1" t="n">
        <v>46048</v>
      </c>
      <c r="D113" t="inlineStr">
        <is>
          <t>VÄSTERNORRLANDS LÄN</t>
        </is>
      </c>
      <c r="E113" t="inlineStr">
        <is>
          <t>SOLLEFTEÅ</t>
        </is>
      </c>
      <c r="G113" t="n">
        <v>7.7</v>
      </c>
      <c r="H113" t="n">
        <v>0</v>
      </c>
      <c r="I113" t="n">
        <v>1</v>
      </c>
      <c r="J113" t="n">
        <v>3</v>
      </c>
      <c r="K113" t="n">
        <v>3</v>
      </c>
      <c r="L113" t="n">
        <v>0</v>
      </c>
      <c r="M113" t="n">
        <v>0</v>
      </c>
      <c r="N113" t="n">
        <v>0</v>
      </c>
      <c r="O113" t="n">
        <v>6</v>
      </c>
      <c r="P113" t="n">
        <v>3</v>
      </c>
      <c r="Q113" t="n">
        <v>7</v>
      </c>
      <c r="R113" s="2" t="inlineStr">
        <is>
          <t>Gräddporing
Gräddticka
Rynkskinn
Granticka
Rosenticka
Ullticka
Skinnlav</t>
        </is>
      </c>
      <c r="S113">
        <f>HYPERLINK("https://klasma.github.io/Logging_2283/artfynd/A 715-2023 artfynd.xlsx", "A 715-2023")</f>
        <v/>
      </c>
      <c r="T113">
        <f>HYPERLINK("https://klasma.github.io/Logging_2283/kartor/A 715-2023 karta.png", "A 715-2023")</f>
        <v/>
      </c>
      <c r="V113">
        <f>HYPERLINK("https://klasma.github.io/Logging_2283/klagomål/A 715-2023 FSC-klagomål.docx", "A 715-2023")</f>
        <v/>
      </c>
      <c r="W113">
        <f>HYPERLINK("https://klasma.github.io/Logging_2283/klagomålsmail/A 715-2023 FSC-klagomål mail.docx", "A 715-2023")</f>
        <v/>
      </c>
      <c r="X113">
        <f>HYPERLINK("https://klasma.github.io/Logging_2283/tillsyn/A 715-2023 tillsynsbegäran.docx", "A 715-2023")</f>
        <v/>
      </c>
      <c r="Y113">
        <f>HYPERLINK("https://klasma.github.io/Logging_2283/tillsynsmail/A 715-2023 tillsynsbegäran mail.docx", "A 715-2023")</f>
        <v/>
      </c>
    </row>
    <row r="114" ht="15" customHeight="1">
      <c r="A114" t="inlineStr">
        <is>
          <t>A 55334-2025</t>
        </is>
      </c>
      <c r="B114" s="1" t="n">
        <v>45971.34430555555</v>
      </c>
      <c r="C114" s="1" t="n">
        <v>46048</v>
      </c>
      <c r="D114" t="inlineStr">
        <is>
          <t>VÄSTERNORRLANDS LÄN</t>
        </is>
      </c>
      <c r="E114" t="inlineStr">
        <is>
          <t>SOLLEFTEÅ</t>
        </is>
      </c>
      <c r="F114" t="inlineStr">
        <is>
          <t>SCA</t>
        </is>
      </c>
      <c r="G114" t="n">
        <v>3.7</v>
      </c>
      <c r="H114" t="n">
        <v>4</v>
      </c>
      <c r="I114" t="n">
        <v>1</v>
      </c>
      <c r="J114" t="n">
        <v>4</v>
      </c>
      <c r="K114" t="n">
        <v>0</v>
      </c>
      <c r="L114" t="n">
        <v>0</v>
      </c>
      <c r="M114" t="n">
        <v>0</v>
      </c>
      <c r="N114" t="n">
        <v>0</v>
      </c>
      <c r="O114" t="n">
        <v>4</v>
      </c>
      <c r="P114" t="n">
        <v>0</v>
      </c>
      <c r="Q114" t="n">
        <v>7</v>
      </c>
      <c r="R114" s="2" t="inlineStr">
        <is>
          <t>Gammelgransskål
Granticka
Tretåig hackspett
Ullticka
Korallrot
Vanlig padda
Fläcknycklar</t>
        </is>
      </c>
      <c r="S114">
        <f>HYPERLINK("https://klasma.github.io/Logging_2283/artfynd/A 55334-2025 artfynd.xlsx", "A 55334-2025")</f>
        <v/>
      </c>
      <c r="T114">
        <f>HYPERLINK("https://klasma.github.io/Logging_2283/kartor/A 55334-2025 karta.png", "A 55334-2025")</f>
        <v/>
      </c>
      <c r="V114">
        <f>HYPERLINK("https://klasma.github.io/Logging_2283/klagomål/A 55334-2025 FSC-klagomål.docx", "A 55334-2025")</f>
        <v/>
      </c>
      <c r="W114">
        <f>HYPERLINK("https://klasma.github.io/Logging_2283/klagomålsmail/A 55334-2025 FSC-klagomål mail.docx", "A 55334-2025")</f>
        <v/>
      </c>
      <c r="X114">
        <f>HYPERLINK("https://klasma.github.io/Logging_2283/tillsyn/A 55334-2025 tillsynsbegäran.docx", "A 55334-2025")</f>
        <v/>
      </c>
      <c r="Y114">
        <f>HYPERLINK("https://klasma.github.io/Logging_2283/tillsynsmail/A 55334-2025 tillsynsbegäran mail.docx", "A 55334-2025")</f>
        <v/>
      </c>
      <c r="Z114">
        <f>HYPERLINK("https://klasma.github.io/Logging_2283/fåglar/A 55334-2025 prioriterade fågelarter.docx", "A 55334-2025")</f>
        <v/>
      </c>
    </row>
    <row r="115" ht="15" customHeight="1">
      <c r="A115" t="inlineStr">
        <is>
          <t>A 16087-2022</t>
        </is>
      </c>
      <c r="B115" s="1" t="n">
        <v>44665</v>
      </c>
      <c r="C115" s="1" t="n">
        <v>46048</v>
      </c>
      <c r="D115" t="inlineStr">
        <is>
          <t>VÄSTERNORRLANDS LÄN</t>
        </is>
      </c>
      <c r="E115" t="inlineStr">
        <is>
          <t>SOLLEFTEÅ</t>
        </is>
      </c>
      <c r="F115" t="inlineStr">
        <is>
          <t>Holmen skog AB</t>
        </is>
      </c>
      <c r="G115" t="n">
        <v>7.5</v>
      </c>
      <c r="H115" t="n">
        <v>0</v>
      </c>
      <c r="I115" t="n">
        <v>1</v>
      </c>
      <c r="J115" t="n">
        <v>3</v>
      </c>
      <c r="K115" t="n">
        <v>2</v>
      </c>
      <c r="L115" t="n">
        <v>0</v>
      </c>
      <c r="M115" t="n">
        <v>0</v>
      </c>
      <c r="N115" t="n">
        <v>0</v>
      </c>
      <c r="O115" t="n">
        <v>5</v>
      </c>
      <c r="P115" t="n">
        <v>2</v>
      </c>
      <c r="Q115" t="n">
        <v>6</v>
      </c>
      <c r="R115" s="2" t="inlineStr">
        <is>
          <t>Bitter taggsvamp
Goliatmusseron
Blå taggsvamp
Orange taggsvamp
Skrovlig taggsvamp
Skarp dropptaggsvamp</t>
        </is>
      </c>
      <c r="S115">
        <f>HYPERLINK("https://klasma.github.io/Logging_2283/artfynd/A 16087-2022 artfynd.xlsx", "A 16087-2022")</f>
        <v/>
      </c>
      <c r="T115">
        <f>HYPERLINK("https://klasma.github.io/Logging_2283/kartor/A 16087-2022 karta.png", "A 16087-2022")</f>
        <v/>
      </c>
      <c r="V115">
        <f>HYPERLINK("https://klasma.github.io/Logging_2283/klagomål/A 16087-2022 FSC-klagomål.docx", "A 16087-2022")</f>
        <v/>
      </c>
      <c r="W115">
        <f>HYPERLINK("https://klasma.github.io/Logging_2283/klagomålsmail/A 16087-2022 FSC-klagomål mail.docx", "A 16087-2022")</f>
        <v/>
      </c>
      <c r="X115">
        <f>HYPERLINK("https://klasma.github.io/Logging_2283/tillsyn/A 16087-2022 tillsynsbegäran.docx", "A 16087-2022")</f>
        <v/>
      </c>
      <c r="Y115">
        <f>HYPERLINK("https://klasma.github.io/Logging_2283/tillsynsmail/A 16087-2022 tillsynsbegäran mail.docx", "A 16087-2022")</f>
        <v/>
      </c>
    </row>
    <row r="116" ht="15" customHeight="1">
      <c r="A116" t="inlineStr">
        <is>
          <t>A 4528-2022</t>
        </is>
      </c>
      <c r="B116" s="1" t="n">
        <v>44589.93622685185</v>
      </c>
      <c r="C116" s="1" t="n">
        <v>46048</v>
      </c>
      <c r="D116" t="inlineStr">
        <is>
          <t>VÄSTERNORRLANDS LÄN</t>
        </is>
      </c>
      <c r="E116" t="inlineStr">
        <is>
          <t>SOLLEFTEÅ</t>
        </is>
      </c>
      <c r="G116" t="n">
        <v>2.6</v>
      </c>
      <c r="H116" t="n">
        <v>2</v>
      </c>
      <c r="I116" t="n">
        <v>1</v>
      </c>
      <c r="J116" t="n">
        <v>4</v>
      </c>
      <c r="K116" t="n">
        <v>0</v>
      </c>
      <c r="L116" t="n">
        <v>0</v>
      </c>
      <c r="M116" t="n">
        <v>0</v>
      </c>
      <c r="N116" t="n">
        <v>0</v>
      </c>
      <c r="O116" t="n">
        <v>4</v>
      </c>
      <c r="P116" t="n">
        <v>0</v>
      </c>
      <c r="Q116" t="n">
        <v>6</v>
      </c>
      <c r="R116" s="2" t="inlineStr">
        <is>
          <t>Garnlav
Tallticka
Tretåig hackspett
Ullticka
Vedticka
Revlummer</t>
        </is>
      </c>
      <c r="S116">
        <f>HYPERLINK("https://klasma.github.io/Logging_2283/artfynd/A 4528-2022 artfynd.xlsx", "A 4528-2022")</f>
        <v/>
      </c>
      <c r="T116">
        <f>HYPERLINK("https://klasma.github.io/Logging_2283/kartor/A 4528-2022 karta.png", "A 4528-2022")</f>
        <v/>
      </c>
      <c r="V116">
        <f>HYPERLINK("https://klasma.github.io/Logging_2283/klagomål/A 4528-2022 FSC-klagomål.docx", "A 4528-2022")</f>
        <v/>
      </c>
      <c r="W116">
        <f>HYPERLINK("https://klasma.github.io/Logging_2283/klagomålsmail/A 4528-2022 FSC-klagomål mail.docx", "A 4528-2022")</f>
        <v/>
      </c>
      <c r="X116">
        <f>HYPERLINK("https://klasma.github.io/Logging_2283/tillsyn/A 4528-2022 tillsynsbegäran.docx", "A 4528-2022")</f>
        <v/>
      </c>
      <c r="Y116">
        <f>HYPERLINK("https://klasma.github.io/Logging_2283/tillsynsmail/A 4528-2022 tillsynsbegäran mail.docx", "A 4528-2022")</f>
        <v/>
      </c>
      <c r="Z116">
        <f>HYPERLINK("https://klasma.github.io/Logging_2283/fåglar/A 4528-2022 prioriterade fågelarter.docx", "A 4528-2022")</f>
        <v/>
      </c>
    </row>
    <row r="117" ht="15" customHeight="1">
      <c r="A117" t="inlineStr">
        <is>
          <t>A 61541-2024</t>
        </is>
      </c>
      <c r="B117" s="1" t="n">
        <v>45646</v>
      </c>
      <c r="C117" s="1" t="n">
        <v>46048</v>
      </c>
      <c r="D117" t="inlineStr">
        <is>
          <t>VÄSTERNORRLANDS LÄN</t>
        </is>
      </c>
      <c r="E117" t="inlineStr">
        <is>
          <t>SOLLEFTEÅ</t>
        </is>
      </c>
      <c r="F117" t="inlineStr">
        <is>
          <t>SCA</t>
        </is>
      </c>
      <c r="G117" t="n">
        <v>6.8</v>
      </c>
      <c r="H117" t="n">
        <v>1</v>
      </c>
      <c r="I117" t="n">
        <v>0</v>
      </c>
      <c r="J117" t="n">
        <v>6</v>
      </c>
      <c r="K117" t="n">
        <v>0</v>
      </c>
      <c r="L117" t="n">
        <v>0</v>
      </c>
      <c r="M117" t="n">
        <v>0</v>
      </c>
      <c r="N117" t="n">
        <v>0</v>
      </c>
      <c r="O117" t="n">
        <v>6</v>
      </c>
      <c r="P117" t="n">
        <v>0</v>
      </c>
      <c r="Q117" t="n">
        <v>6</v>
      </c>
      <c r="R117" s="2" t="inlineStr">
        <is>
          <t>Gammelgransskål
Garnlav
Skogshare
Tretåig hackspett
Ullticka
Vitgrynig nållav</t>
        </is>
      </c>
      <c r="S117">
        <f>HYPERLINK("https://klasma.github.io/Logging_2283/artfynd/A 61541-2024 artfynd.xlsx", "A 61541-2024")</f>
        <v/>
      </c>
      <c r="T117">
        <f>HYPERLINK("https://klasma.github.io/Logging_2283/kartor/A 61541-2024 karta.png", "A 61541-2024")</f>
        <v/>
      </c>
      <c r="V117">
        <f>HYPERLINK("https://klasma.github.io/Logging_2283/klagomål/A 61541-2024 FSC-klagomål.docx", "A 61541-2024")</f>
        <v/>
      </c>
      <c r="W117">
        <f>HYPERLINK("https://klasma.github.io/Logging_2283/klagomålsmail/A 61541-2024 FSC-klagomål mail.docx", "A 61541-2024")</f>
        <v/>
      </c>
      <c r="X117">
        <f>HYPERLINK("https://klasma.github.io/Logging_2283/tillsyn/A 61541-2024 tillsynsbegäran.docx", "A 61541-2024")</f>
        <v/>
      </c>
      <c r="Y117">
        <f>HYPERLINK("https://klasma.github.io/Logging_2283/tillsynsmail/A 61541-2024 tillsynsbegäran mail.docx", "A 61541-2024")</f>
        <v/>
      </c>
      <c r="Z117">
        <f>HYPERLINK("https://klasma.github.io/Logging_2283/fåglar/A 61541-2024 prioriterade fågelarter.docx", "A 61541-2024")</f>
        <v/>
      </c>
    </row>
    <row r="118" ht="15" customHeight="1">
      <c r="A118" t="inlineStr">
        <is>
          <t>A 31885-2024</t>
        </is>
      </c>
      <c r="B118" s="1" t="n">
        <v>45509.95769675926</v>
      </c>
      <c r="C118" s="1" t="n">
        <v>46048</v>
      </c>
      <c r="D118" t="inlineStr">
        <is>
          <t>VÄSTERNORRLANDS LÄN</t>
        </is>
      </c>
      <c r="E118" t="inlineStr">
        <is>
          <t>SOLLEFTEÅ</t>
        </is>
      </c>
      <c r="F118" t="inlineStr">
        <is>
          <t>SCA</t>
        </is>
      </c>
      <c r="G118" t="n">
        <v>4.1</v>
      </c>
      <c r="H118" t="n">
        <v>3</v>
      </c>
      <c r="I118" t="n">
        <v>1</v>
      </c>
      <c r="J118" t="n">
        <v>4</v>
      </c>
      <c r="K118" t="n">
        <v>1</v>
      </c>
      <c r="L118" t="n">
        <v>0</v>
      </c>
      <c r="M118" t="n">
        <v>0</v>
      </c>
      <c r="N118" t="n">
        <v>0</v>
      </c>
      <c r="O118" t="n">
        <v>5</v>
      </c>
      <c r="P118" t="n">
        <v>1</v>
      </c>
      <c r="Q118" t="n">
        <v>6</v>
      </c>
      <c r="R118" s="2" t="inlineStr">
        <is>
          <t>Knärot
Garnlav
Lunglav
Spillkråka
Talltita
Luddlav</t>
        </is>
      </c>
      <c r="S118">
        <f>HYPERLINK("https://klasma.github.io/Logging_2283/artfynd/A 31885-2024 artfynd.xlsx", "A 31885-2024")</f>
        <v/>
      </c>
      <c r="T118">
        <f>HYPERLINK("https://klasma.github.io/Logging_2283/kartor/A 31885-2024 karta.png", "A 31885-2024")</f>
        <v/>
      </c>
      <c r="U118">
        <f>HYPERLINK("https://klasma.github.io/Logging_2283/knärot/A 31885-2024 karta knärot.png", "A 31885-2024")</f>
        <v/>
      </c>
      <c r="V118">
        <f>HYPERLINK("https://klasma.github.io/Logging_2283/klagomål/A 31885-2024 FSC-klagomål.docx", "A 31885-2024")</f>
        <v/>
      </c>
      <c r="W118">
        <f>HYPERLINK("https://klasma.github.io/Logging_2283/klagomålsmail/A 31885-2024 FSC-klagomål mail.docx", "A 31885-2024")</f>
        <v/>
      </c>
      <c r="X118">
        <f>HYPERLINK("https://klasma.github.io/Logging_2283/tillsyn/A 31885-2024 tillsynsbegäran.docx", "A 31885-2024")</f>
        <v/>
      </c>
      <c r="Y118">
        <f>HYPERLINK("https://klasma.github.io/Logging_2283/tillsynsmail/A 31885-2024 tillsynsbegäran mail.docx", "A 31885-2024")</f>
        <v/>
      </c>
      <c r="Z118">
        <f>HYPERLINK("https://klasma.github.io/Logging_2283/fåglar/A 31885-2024 prioriterade fågelarter.docx", "A 31885-2024")</f>
        <v/>
      </c>
    </row>
    <row r="119" ht="15" customHeight="1">
      <c r="A119" t="inlineStr">
        <is>
          <t>A 3056-2025</t>
        </is>
      </c>
      <c r="B119" s="1" t="n">
        <v>45678.61554398148</v>
      </c>
      <c r="C119" s="1" t="n">
        <v>46048</v>
      </c>
      <c r="D119" t="inlineStr">
        <is>
          <t>VÄSTERNORRLANDS LÄN</t>
        </is>
      </c>
      <c r="E119" t="inlineStr">
        <is>
          <t>SOLLEFTEÅ</t>
        </is>
      </c>
      <c r="F119" t="inlineStr">
        <is>
          <t>SCA</t>
        </is>
      </c>
      <c r="G119" t="n">
        <v>9.800000000000001</v>
      </c>
      <c r="H119" t="n">
        <v>3</v>
      </c>
      <c r="I119" t="n">
        <v>0</v>
      </c>
      <c r="J119" t="n">
        <v>5</v>
      </c>
      <c r="K119" t="n">
        <v>0</v>
      </c>
      <c r="L119" t="n">
        <v>0</v>
      </c>
      <c r="M119" t="n">
        <v>0</v>
      </c>
      <c r="N119" t="n">
        <v>0</v>
      </c>
      <c r="O119" t="n">
        <v>5</v>
      </c>
      <c r="P119" t="n">
        <v>0</v>
      </c>
      <c r="Q119" t="n">
        <v>6</v>
      </c>
      <c r="R119" s="2" t="inlineStr">
        <is>
          <t>Garnlav
Granticka
Lunglav
Talltita
Tretåig hackspett
Tjäder</t>
        </is>
      </c>
      <c r="S119">
        <f>HYPERLINK("https://klasma.github.io/Logging_2283/artfynd/A 3056-2025 artfynd.xlsx", "A 3056-2025")</f>
        <v/>
      </c>
      <c r="T119">
        <f>HYPERLINK("https://klasma.github.io/Logging_2283/kartor/A 3056-2025 karta.png", "A 3056-2025")</f>
        <v/>
      </c>
      <c r="V119">
        <f>HYPERLINK("https://klasma.github.io/Logging_2283/klagomål/A 3056-2025 FSC-klagomål.docx", "A 3056-2025")</f>
        <v/>
      </c>
      <c r="W119">
        <f>HYPERLINK("https://klasma.github.io/Logging_2283/klagomålsmail/A 3056-2025 FSC-klagomål mail.docx", "A 3056-2025")</f>
        <v/>
      </c>
      <c r="X119">
        <f>HYPERLINK("https://klasma.github.io/Logging_2283/tillsyn/A 3056-2025 tillsynsbegäran.docx", "A 3056-2025")</f>
        <v/>
      </c>
      <c r="Y119">
        <f>HYPERLINK("https://klasma.github.io/Logging_2283/tillsynsmail/A 3056-2025 tillsynsbegäran mail.docx", "A 3056-2025")</f>
        <v/>
      </c>
      <c r="Z119">
        <f>HYPERLINK("https://klasma.github.io/Logging_2283/fåglar/A 3056-2025 prioriterade fågelarter.docx", "A 3056-2025")</f>
        <v/>
      </c>
    </row>
    <row r="120" ht="15" customHeight="1">
      <c r="A120" t="inlineStr">
        <is>
          <t>A 40420-2023</t>
        </is>
      </c>
      <c r="B120" s="1" t="n">
        <v>45169</v>
      </c>
      <c r="C120" s="1" t="n">
        <v>46048</v>
      </c>
      <c r="D120" t="inlineStr">
        <is>
          <t>VÄSTERNORRLANDS LÄN</t>
        </is>
      </c>
      <c r="E120" t="inlineStr">
        <is>
          <t>SOLLEFTEÅ</t>
        </is>
      </c>
      <c r="F120" t="inlineStr">
        <is>
          <t>SCA</t>
        </is>
      </c>
      <c r="G120" t="n">
        <v>10</v>
      </c>
      <c r="H120" t="n">
        <v>2</v>
      </c>
      <c r="I120" t="n">
        <v>0</v>
      </c>
      <c r="J120" t="n">
        <v>3</v>
      </c>
      <c r="K120" t="n">
        <v>2</v>
      </c>
      <c r="L120" t="n">
        <v>0</v>
      </c>
      <c r="M120" t="n">
        <v>0</v>
      </c>
      <c r="N120" t="n">
        <v>0</v>
      </c>
      <c r="O120" t="n">
        <v>5</v>
      </c>
      <c r="P120" t="n">
        <v>2</v>
      </c>
      <c r="Q120" t="n">
        <v>6</v>
      </c>
      <c r="R120" s="2" t="inlineStr">
        <is>
          <t>Knärot
Rynkskinn
Lunglav
Rosenticka
Ullticka
Tjäder</t>
        </is>
      </c>
      <c r="S120">
        <f>HYPERLINK("https://klasma.github.io/Logging_2283/artfynd/A 40420-2023 artfynd.xlsx", "A 40420-2023")</f>
        <v/>
      </c>
      <c r="T120">
        <f>HYPERLINK("https://klasma.github.io/Logging_2283/kartor/A 40420-2023 karta.png", "A 40420-2023")</f>
        <v/>
      </c>
      <c r="U120">
        <f>HYPERLINK("https://klasma.github.io/Logging_2283/knärot/A 40420-2023 karta knärot.png", "A 40420-2023")</f>
        <v/>
      </c>
      <c r="V120">
        <f>HYPERLINK("https://klasma.github.io/Logging_2283/klagomål/A 40420-2023 FSC-klagomål.docx", "A 40420-2023")</f>
        <v/>
      </c>
      <c r="W120">
        <f>HYPERLINK("https://klasma.github.io/Logging_2283/klagomålsmail/A 40420-2023 FSC-klagomål mail.docx", "A 40420-2023")</f>
        <v/>
      </c>
      <c r="X120">
        <f>HYPERLINK("https://klasma.github.io/Logging_2283/tillsyn/A 40420-2023 tillsynsbegäran.docx", "A 40420-2023")</f>
        <v/>
      </c>
      <c r="Y120">
        <f>HYPERLINK("https://klasma.github.io/Logging_2283/tillsynsmail/A 40420-2023 tillsynsbegäran mail.docx", "A 40420-2023")</f>
        <v/>
      </c>
      <c r="Z120">
        <f>HYPERLINK("https://klasma.github.io/Logging_2283/fåglar/A 40420-2023 prioriterade fågelarter.docx", "A 40420-2023")</f>
        <v/>
      </c>
    </row>
    <row r="121" ht="15" customHeight="1">
      <c r="A121" t="inlineStr">
        <is>
          <t>A 7334-2025</t>
        </is>
      </c>
      <c r="B121" s="1" t="n">
        <v>45703.35998842592</v>
      </c>
      <c r="C121" s="1" t="n">
        <v>46048</v>
      </c>
      <c r="D121" t="inlineStr">
        <is>
          <t>VÄSTERNORRLANDS LÄN</t>
        </is>
      </c>
      <c r="E121" t="inlineStr">
        <is>
          <t>SOLLEFTEÅ</t>
        </is>
      </c>
      <c r="G121" t="n">
        <v>2.2</v>
      </c>
      <c r="H121" t="n">
        <v>4</v>
      </c>
      <c r="I121" t="n">
        <v>2</v>
      </c>
      <c r="J121" t="n">
        <v>3</v>
      </c>
      <c r="K121" t="n">
        <v>0</v>
      </c>
      <c r="L121" t="n">
        <v>0</v>
      </c>
      <c r="M121" t="n">
        <v>0</v>
      </c>
      <c r="N121" t="n">
        <v>0</v>
      </c>
      <c r="O121" t="n">
        <v>3</v>
      </c>
      <c r="P121" t="n">
        <v>0</v>
      </c>
      <c r="Q121" t="n">
        <v>6</v>
      </c>
      <c r="R121" s="2" t="inlineStr">
        <is>
          <t>Björktrast
Gulsparv
Rödvingetrast
Skinnlav
Stor aspticka
Revlummer</t>
        </is>
      </c>
      <c r="S121">
        <f>HYPERLINK("https://klasma.github.io/Logging_2283/artfynd/A 7334-2025 artfynd.xlsx", "A 7334-2025")</f>
        <v/>
      </c>
      <c r="T121">
        <f>HYPERLINK("https://klasma.github.io/Logging_2283/kartor/A 7334-2025 karta.png", "A 7334-2025")</f>
        <v/>
      </c>
      <c r="V121">
        <f>HYPERLINK("https://klasma.github.io/Logging_2283/klagomål/A 7334-2025 FSC-klagomål.docx", "A 7334-2025")</f>
        <v/>
      </c>
      <c r="W121">
        <f>HYPERLINK("https://klasma.github.io/Logging_2283/klagomålsmail/A 7334-2025 FSC-klagomål mail.docx", "A 7334-2025")</f>
        <v/>
      </c>
      <c r="X121">
        <f>HYPERLINK("https://klasma.github.io/Logging_2283/tillsyn/A 7334-2025 tillsynsbegäran.docx", "A 7334-2025")</f>
        <v/>
      </c>
      <c r="Y121">
        <f>HYPERLINK("https://klasma.github.io/Logging_2283/tillsynsmail/A 7334-2025 tillsynsbegäran mail.docx", "A 7334-2025")</f>
        <v/>
      </c>
      <c r="Z121">
        <f>HYPERLINK("https://klasma.github.io/Logging_2283/fåglar/A 7334-2025 prioriterade fågelarter.docx", "A 7334-2025")</f>
        <v/>
      </c>
    </row>
    <row r="122" ht="15" customHeight="1">
      <c r="A122" t="inlineStr">
        <is>
          <t>A 20205-2025</t>
        </is>
      </c>
      <c r="B122" s="1" t="n">
        <v>45772.61548611111</v>
      </c>
      <c r="C122" s="1" t="n">
        <v>46048</v>
      </c>
      <c r="D122" t="inlineStr">
        <is>
          <t>VÄSTERNORRLANDS LÄN</t>
        </is>
      </c>
      <c r="E122" t="inlineStr">
        <is>
          <t>SOLLEFTEÅ</t>
        </is>
      </c>
      <c r="F122" t="inlineStr">
        <is>
          <t>SCA</t>
        </is>
      </c>
      <c r="G122" t="n">
        <v>3.2</v>
      </c>
      <c r="H122" t="n">
        <v>0</v>
      </c>
      <c r="I122" t="n">
        <v>2</v>
      </c>
      <c r="J122" t="n">
        <v>4</v>
      </c>
      <c r="K122" t="n">
        <v>0</v>
      </c>
      <c r="L122" t="n">
        <v>0</v>
      </c>
      <c r="M122" t="n">
        <v>0</v>
      </c>
      <c r="N122" t="n">
        <v>0</v>
      </c>
      <c r="O122" t="n">
        <v>4</v>
      </c>
      <c r="P122" t="n">
        <v>0</v>
      </c>
      <c r="Q122" t="n">
        <v>6</v>
      </c>
      <c r="R122" s="2" t="inlineStr">
        <is>
          <t>Gränsticka
Lunglav
Rosenticka
Ullticka
Korallblylav
Skinnlav</t>
        </is>
      </c>
      <c r="S122">
        <f>HYPERLINK("https://klasma.github.io/Logging_2283/artfynd/A 20205-2025 artfynd.xlsx", "A 20205-2025")</f>
        <v/>
      </c>
      <c r="T122">
        <f>HYPERLINK("https://klasma.github.io/Logging_2283/kartor/A 20205-2025 karta.png", "A 20205-2025")</f>
        <v/>
      </c>
      <c r="V122">
        <f>HYPERLINK("https://klasma.github.io/Logging_2283/klagomål/A 20205-2025 FSC-klagomål.docx", "A 20205-2025")</f>
        <v/>
      </c>
      <c r="W122">
        <f>HYPERLINK("https://klasma.github.io/Logging_2283/klagomålsmail/A 20205-2025 FSC-klagomål mail.docx", "A 20205-2025")</f>
        <v/>
      </c>
      <c r="X122">
        <f>HYPERLINK("https://klasma.github.io/Logging_2283/tillsyn/A 20205-2025 tillsynsbegäran.docx", "A 20205-2025")</f>
        <v/>
      </c>
      <c r="Y122">
        <f>HYPERLINK("https://klasma.github.io/Logging_2283/tillsynsmail/A 20205-2025 tillsynsbegäran mail.docx", "A 20205-2025")</f>
        <v/>
      </c>
    </row>
    <row r="123" ht="15" customHeight="1">
      <c r="A123" t="inlineStr">
        <is>
          <t>A 53829-2024</t>
        </is>
      </c>
      <c r="B123" s="1" t="n">
        <v>45615.6153125</v>
      </c>
      <c r="C123" s="1" t="n">
        <v>46048</v>
      </c>
      <c r="D123" t="inlineStr">
        <is>
          <t>VÄSTERNORRLANDS LÄN</t>
        </is>
      </c>
      <c r="E123" t="inlineStr">
        <is>
          <t>SOLLEFTEÅ</t>
        </is>
      </c>
      <c r="F123" t="inlineStr">
        <is>
          <t>SCA</t>
        </is>
      </c>
      <c r="G123" t="n">
        <v>12</v>
      </c>
      <c r="H123" t="n">
        <v>0</v>
      </c>
      <c r="I123" t="n">
        <v>1</v>
      </c>
      <c r="J123" t="n">
        <v>5</v>
      </c>
      <c r="K123" t="n">
        <v>0</v>
      </c>
      <c r="L123" t="n">
        <v>0</v>
      </c>
      <c r="M123" t="n">
        <v>0</v>
      </c>
      <c r="N123" t="n">
        <v>0</v>
      </c>
      <c r="O123" t="n">
        <v>5</v>
      </c>
      <c r="P123" t="n">
        <v>0</v>
      </c>
      <c r="Q123" t="n">
        <v>6</v>
      </c>
      <c r="R123" s="2" t="inlineStr">
        <is>
          <t>Blå taggsvamp
Granticka
Lunglav
Orange taggsvamp
Tallticka
Dropptaggsvamp</t>
        </is>
      </c>
      <c r="S123">
        <f>HYPERLINK("https://klasma.github.io/Logging_2283/artfynd/A 53829-2024 artfynd.xlsx", "A 53829-2024")</f>
        <v/>
      </c>
      <c r="T123">
        <f>HYPERLINK("https://klasma.github.io/Logging_2283/kartor/A 53829-2024 karta.png", "A 53829-2024")</f>
        <v/>
      </c>
      <c r="V123">
        <f>HYPERLINK("https://klasma.github.io/Logging_2283/klagomål/A 53829-2024 FSC-klagomål.docx", "A 53829-2024")</f>
        <v/>
      </c>
      <c r="W123">
        <f>HYPERLINK("https://klasma.github.io/Logging_2283/klagomålsmail/A 53829-2024 FSC-klagomål mail.docx", "A 53829-2024")</f>
        <v/>
      </c>
      <c r="X123">
        <f>HYPERLINK("https://klasma.github.io/Logging_2283/tillsyn/A 53829-2024 tillsynsbegäran.docx", "A 53829-2024")</f>
        <v/>
      </c>
      <c r="Y123">
        <f>HYPERLINK("https://klasma.github.io/Logging_2283/tillsynsmail/A 53829-2024 tillsynsbegäran mail.docx", "A 53829-2024")</f>
        <v/>
      </c>
    </row>
    <row r="124" ht="15" customHeight="1">
      <c r="A124" t="inlineStr">
        <is>
          <t>A 35406-2024</t>
        </is>
      </c>
      <c r="B124" s="1" t="n">
        <v>45531.40607638889</v>
      </c>
      <c r="C124" s="1" t="n">
        <v>46048</v>
      </c>
      <c r="D124" t="inlineStr">
        <is>
          <t>VÄSTERNORRLANDS LÄN</t>
        </is>
      </c>
      <c r="E124" t="inlineStr">
        <is>
          <t>SOLLEFTEÅ</t>
        </is>
      </c>
      <c r="F124" t="inlineStr">
        <is>
          <t>SCA</t>
        </is>
      </c>
      <c r="G124" t="n">
        <v>3.5</v>
      </c>
      <c r="H124" t="n">
        <v>0</v>
      </c>
      <c r="I124" t="n">
        <v>2</v>
      </c>
      <c r="J124" t="n">
        <v>4</v>
      </c>
      <c r="K124" t="n">
        <v>0</v>
      </c>
      <c r="L124" t="n">
        <v>0</v>
      </c>
      <c r="M124" t="n">
        <v>0</v>
      </c>
      <c r="N124" t="n">
        <v>0</v>
      </c>
      <c r="O124" t="n">
        <v>4</v>
      </c>
      <c r="P124" t="n">
        <v>0</v>
      </c>
      <c r="Q124" t="n">
        <v>6</v>
      </c>
      <c r="R124" s="2" t="inlineStr">
        <is>
          <t>Blå taggsvamp
Kolflarnlav
Orange taggsvamp
Skrovlig taggsvamp
Dropptaggsvamp
Skarp dropptaggsvamp</t>
        </is>
      </c>
      <c r="S124">
        <f>HYPERLINK("https://klasma.github.io/Logging_2283/artfynd/A 35406-2024 artfynd.xlsx", "A 35406-2024")</f>
        <v/>
      </c>
      <c r="T124">
        <f>HYPERLINK("https://klasma.github.io/Logging_2283/kartor/A 35406-2024 karta.png", "A 35406-2024")</f>
        <v/>
      </c>
      <c r="V124">
        <f>HYPERLINK("https://klasma.github.io/Logging_2283/klagomål/A 35406-2024 FSC-klagomål.docx", "A 35406-2024")</f>
        <v/>
      </c>
      <c r="W124">
        <f>HYPERLINK("https://klasma.github.io/Logging_2283/klagomålsmail/A 35406-2024 FSC-klagomål mail.docx", "A 35406-2024")</f>
        <v/>
      </c>
      <c r="X124">
        <f>HYPERLINK("https://klasma.github.io/Logging_2283/tillsyn/A 35406-2024 tillsynsbegäran.docx", "A 35406-2024")</f>
        <v/>
      </c>
      <c r="Y124">
        <f>HYPERLINK("https://klasma.github.io/Logging_2283/tillsynsmail/A 35406-2024 tillsynsbegäran mail.docx", "A 35406-2024")</f>
        <v/>
      </c>
    </row>
    <row r="125" ht="15" customHeight="1">
      <c r="A125" t="inlineStr">
        <is>
          <t>A 61323-2024</t>
        </is>
      </c>
      <c r="B125" s="1" t="n">
        <v>45646</v>
      </c>
      <c r="C125" s="1" t="n">
        <v>46048</v>
      </c>
      <c r="D125" t="inlineStr">
        <is>
          <t>VÄSTERNORRLANDS LÄN</t>
        </is>
      </c>
      <c r="E125" t="inlineStr">
        <is>
          <t>SOLLEFTEÅ</t>
        </is>
      </c>
      <c r="F125" t="inlineStr">
        <is>
          <t>SCA</t>
        </is>
      </c>
      <c r="G125" t="n">
        <v>5.2</v>
      </c>
      <c r="H125" t="n">
        <v>0</v>
      </c>
      <c r="I125" t="n">
        <v>0</v>
      </c>
      <c r="J125" t="n">
        <v>5</v>
      </c>
      <c r="K125" t="n">
        <v>1</v>
      </c>
      <c r="L125" t="n">
        <v>0</v>
      </c>
      <c r="M125" t="n">
        <v>0</v>
      </c>
      <c r="N125" t="n">
        <v>0</v>
      </c>
      <c r="O125" t="n">
        <v>6</v>
      </c>
      <c r="P125" t="n">
        <v>1</v>
      </c>
      <c r="Q125" t="n">
        <v>6</v>
      </c>
      <c r="R125" s="2" t="inlineStr">
        <is>
          <t>Ulltickeporing
Garnlav
Harticka
Rosenticka
Ullticka
Vitgrynig nållav</t>
        </is>
      </c>
      <c r="S125">
        <f>HYPERLINK("https://klasma.github.io/Logging_2283/artfynd/A 61323-2024 artfynd.xlsx", "A 61323-2024")</f>
        <v/>
      </c>
      <c r="T125">
        <f>HYPERLINK("https://klasma.github.io/Logging_2283/kartor/A 61323-2024 karta.png", "A 61323-2024")</f>
        <v/>
      </c>
      <c r="V125">
        <f>HYPERLINK("https://klasma.github.io/Logging_2283/klagomål/A 61323-2024 FSC-klagomål.docx", "A 61323-2024")</f>
        <v/>
      </c>
      <c r="W125">
        <f>HYPERLINK("https://klasma.github.io/Logging_2283/klagomålsmail/A 61323-2024 FSC-klagomål mail.docx", "A 61323-2024")</f>
        <v/>
      </c>
      <c r="X125">
        <f>HYPERLINK("https://klasma.github.io/Logging_2283/tillsyn/A 61323-2024 tillsynsbegäran.docx", "A 61323-2024")</f>
        <v/>
      </c>
      <c r="Y125">
        <f>HYPERLINK("https://klasma.github.io/Logging_2283/tillsynsmail/A 61323-2024 tillsynsbegäran mail.docx", "A 61323-2024")</f>
        <v/>
      </c>
    </row>
    <row r="126" ht="15" customHeight="1">
      <c r="A126" t="inlineStr">
        <is>
          <t>A 13250-2025</t>
        </is>
      </c>
      <c r="B126" s="1" t="n">
        <v>45735.49013888889</v>
      </c>
      <c r="C126" s="1" t="n">
        <v>46048</v>
      </c>
      <c r="D126" t="inlineStr">
        <is>
          <t>VÄSTERNORRLANDS LÄN</t>
        </is>
      </c>
      <c r="E126" t="inlineStr">
        <is>
          <t>SOLLEFTEÅ</t>
        </is>
      </c>
      <c r="F126" t="inlineStr">
        <is>
          <t>SCA</t>
        </is>
      </c>
      <c r="G126" t="n">
        <v>1.4</v>
      </c>
      <c r="H126" t="n">
        <v>3</v>
      </c>
      <c r="I126" t="n">
        <v>1</v>
      </c>
      <c r="J126" t="n">
        <v>4</v>
      </c>
      <c r="K126" t="n">
        <v>0</v>
      </c>
      <c r="L126" t="n">
        <v>0</v>
      </c>
      <c r="M126" t="n">
        <v>0</v>
      </c>
      <c r="N126" t="n">
        <v>0</v>
      </c>
      <c r="O126" t="n">
        <v>4</v>
      </c>
      <c r="P126" t="n">
        <v>0</v>
      </c>
      <c r="Q126" t="n">
        <v>6</v>
      </c>
      <c r="R126" s="2" t="inlineStr">
        <is>
          <t>Lunglav
Spillkråka
Tretåig hackspett
Ullticka
Vedticka
Tjäder</t>
        </is>
      </c>
      <c r="S126">
        <f>HYPERLINK("https://klasma.github.io/Logging_2283/artfynd/A 13250-2025 artfynd.xlsx", "A 13250-2025")</f>
        <v/>
      </c>
      <c r="T126">
        <f>HYPERLINK("https://klasma.github.io/Logging_2283/kartor/A 13250-2025 karta.png", "A 13250-2025")</f>
        <v/>
      </c>
      <c r="V126">
        <f>HYPERLINK("https://klasma.github.io/Logging_2283/klagomål/A 13250-2025 FSC-klagomål.docx", "A 13250-2025")</f>
        <v/>
      </c>
      <c r="W126">
        <f>HYPERLINK("https://klasma.github.io/Logging_2283/klagomålsmail/A 13250-2025 FSC-klagomål mail.docx", "A 13250-2025")</f>
        <v/>
      </c>
      <c r="X126">
        <f>HYPERLINK("https://klasma.github.io/Logging_2283/tillsyn/A 13250-2025 tillsynsbegäran.docx", "A 13250-2025")</f>
        <v/>
      </c>
      <c r="Y126">
        <f>HYPERLINK("https://klasma.github.io/Logging_2283/tillsynsmail/A 13250-2025 tillsynsbegäran mail.docx", "A 13250-2025")</f>
        <v/>
      </c>
      <c r="Z126">
        <f>HYPERLINK("https://klasma.github.io/Logging_2283/fåglar/A 13250-2025 prioriterade fågelarter.docx", "A 13250-2025")</f>
        <v/>
      </c>
    </row>
    <row r="127" ht="15" customHeight="1">
      <c r="A127" t="inlineStr">
        <is>
          <t>A 36470-2024</t>
        </is>
      </c>
      <c r="B127" s="1" t="n">
        <v>45537</v>
      </c>
      <c r="C127" s="1" t="n">
        <v>46048</v>
      </c>
      <c r="D127" t="inlineStr">
        <is>
          <t>VÄSTERNORRLANDS LÄN</t>
        </is>
      </c>
      <c r="E127" t="inlineStr">
        <is>
          <t>SOLLEFTEÅ</t>
        </is>
      </c>
      <c r="F127" t="inlineStr">
        <is>
          <t>SCA</t>
        </is>
      </c>
      <c r="G127" t="n">
        <v>10.3</v>
      </c>
      <c r="H127" t="n">
        <v>3</v>
      </c>
      <c r="I127" t="n">
        <v>0</v>
      </c>
      <c r="J127" t="n">
        <v>6</v>
      </c>
      <c r="K127" t="n">
        <v>0</v>
      </c>
      <c r="L127" t="n">
        <v>0</v>
      </c>
      <c r="M127" t="n">
        <v>0</v>
      </c>
      <c r="N127" t="n">
        <v>0</v>
      </c>
      <c r="O127" t="n">
        <v>6</v>
      </c>
      <c r="P127" t="n">
        <v>0</v>
      </c>
      <c r="Q127" t="n">
        <v>6</v>
      </c>
      <c r="R127" s="2" t="inlineStr">
        <is>
          <t>Gammelgransskål
Granticka
Harticka
Spillkråka
Talltita
Tretåig hackspett</t>
        </is>
      </c>
      <c r="S127">
        <f>HYPERLINK("https://klasma.github.io/Logging_2283/artfynd/A 36470-2024 artfynd.xlsx", "A 36470-2024")</f>
        <v/>
      </c>
      <c r="T127">
        <f>HYPERLINK("https://klasma.github.io/Logging_2283/kartor/A 36470-2024 karta.png", "A 36470-2024")</f>
        <v/>
      </c>
      <c r="V127">
        <f>HYPERLINK("https://klasma.github.io/Logging_2283/klagomål/A 36470-2024 FSC-klagomål.docx", "A 36470-2024")</f>
        <v/>
      </c>
      <c r="W127">
        <f>HYPERLINK("https://klasma.github.io/Logging_2283/klagomålsmail/A 36470-2024 FSC-klagomål mail.docx", "A 36470-2024")</f>
        <v/>
      </c>
      <c r="X127">
        <f>HYPERLINK("https://klasma.github.io/Logging_2283/tillsyn/A 36470-2024 tillsynsbegäran.docx", "A 36470-2024")</f>
        <v/>
      </c>
      <c r="Y127">
        <f>HYPERLINK("https://klasma.github.io/Logging_2283/tillsynsmail/A 36470-2024 tillsynsbegäran mail.docx", "A 36470-2024")</f>
        <v/>
      </c>
      <c r="Z127">
        <f>HYPERLINK("https://klasma.github.io/Logging_2283/fåglar/A 36470-2024 prioriterade fågelarter.docx", "A 36470-2024")</f>
        <v/>
      </c>
    </row>
    <row r="128" ht="15" customHeight="1">
      <c r="A128" t="inlineStr">
        <is>
          <t>A 33321-2025</t>
        </is>
      </c>
      <c r="B128" s="1" t="n">
        <v>45841.34490740741</v>
      </c>
      <c r="C128" s="1" t="n">
        <v>46048</v>
      </c>
      <c r="D128" t="inlineStr">
        <is>
          <t>VÄSTERNORRLANDS LÄN</t>
        </is>
      </c>
      <c r="E128" t="inlineStr">
        <is>
          <t>SOLLEFTEÅ</t>
        </is>
      </c>
      <c r="F128" t="inlineStr">
        <is>
          <t>SCA</t>
        </is>
      </c>
      <c r="G128" t="n">
        <v>3</v>
      </c>
      <c r="H128" t="n">
        <v>3</v>
      </c>
      <c r="I128" t="n">
        <v>2</v>
      </c>
      <c r="J128" t="n">
        <v>0</v>
      </c>
      <c r="K128" t="n">
        <v>3</v>
      </c>
      <c r="L128" t="n">
        <v>0</v>
      </c>
      <c r="M128" t="n">
        <v>0</v>
      </c>
      <c r="N128" t="n">
        <v>0</v>
      </c>
      <c r="O128" t="n">
        <v>3</v>
      </c>
      <c r="P128" t="n">
        <v>3</v>
      </c>
      <c r="Q128" t="n">
        <v>6</v>
      </c>
      <c r="R128" s="2" t="inlineStr">
        <is>
          <t>Gräddporing
Knärot
Laxporing
Grönpyrola
Plattlummer
Revlummer</t>
        </is>
      </c>
      <c r="S128">
        <f>HYPERLINK("https://klasma.github.io/Logging_2283/artfynd/A 33321-2025 artfynd.xlsx", "A 33321-2025")</f>
        <v/>
      </c>
      <c r="T128">
        <f>HYPERLINK("https://klasma.github.io/Logging_2283/kartor/A 33321-2025 karta.png", "A 33321-2025")</f>
        <v/>
      </c>
      <c r="U128">
        <f>HYPERLINK("https://klasma.github.io/Logging_2283/knärot/A 33321-2025 karta knärot.png", "A 33321-2025")</f>
        <v/>
      </c>
      <c r="V128">
        <f>HYPERLINK("https://klasma.github.io/Logging_2283/klagomål/A 33321-2025 FSC-klagomål.docx", "A 33321-2025")</f>
        <v/>
      </c>
      <c r="W128">
        <f>HYPERLINK("https://klasma.github.io/Logging_2283/klagomålsmail/A 33321-2025 FSC-klagomål mail.docx", "A 33321-2025")</f>
        <v/>
      </c>
      <c r="X128">
        <f>HYPERLINK("https://klasma.github.io/Logging_2283/tillsyn/A 33321-2025 tillsynsbegäran.docx", "A 33321-2025")</f>
        <v/>
      </c>
      <c r="Y128">
        <f>HYPERLINK("https://klasma.github.io/Logging_2283/tillsynsmail/A 33321-2025 tillsynsbegäran mail.docx", "A 33321-2025")</f>
        <v/>
      </c>
    </row>
    <row r="129" ht="15" customHeight="1">
      <c r="A129" t="inlineStr">
        <is>
          <t>A 4827-2025</t>
        </is>
      </c>
      <c r="B129" s="1" t="n">
        <v>45688</v>
      </c>
      <c r="C129" s="1" t="n">
        <v>46048</v>
      </c>
      <c r="D129" t="inlineStr">
        <is>
          <t>VÄSTERNORRLANDS LÄN</t>
        </is>
      </c>
      <c r="E129" t="inlineStr">
        <is>
          <t>SOLLEFTEÅ</t>
        </is>
      </c>
      <c r="G129" t="n">
        <v>33</v>
      </c>
      <c r="H129" t="n">
        <v>2</v>
      </c>
      <c r="I129" t="n">
        <v>0</v>
      </c>
      <c r="J129" t="n">
        <v>6</v>
      </c>
      <c r="K129" t="n">
        <v>0</v>
      </c>
      <c r="L129" t="n">
        <v>0</v>
      </c>
      <c r="M129" t="n">
        <v>0</v>
      </c>
      <c r="N129" t="n">
        <v>0</v>
      </c>
      <c r="O129" t="n">
        <v>6</v>
      </c>
      <c r="P129" t="n">
        <v>0</v>
      </c>
      <c r="Q129" t="n">
        <v>6</v>
      </c>
      <c r="R129" s="2" t="inlineStr">
        <is>
          <t>Garnlav
Granticka
Lunglav
Talltita
Tretåig hackspett
Ullticka</t>
        </is>
      </c>
      <c r="S129">
        <f>HYPERLINK("https://klasma.github.io/Logging_2283/artfynd/A 4827-2025 artfynd.xlsx", "A 4827-2025")</f>
        <v/>
      </c>
      <c r="T129">
        <f>HYPERLINK("https://klasma.github.io/Logging_2283/kartor/A 4827-2025 karta.png", "A 4827-2025")</f>
        <v/>
      </c>
      <c r="V129">
        <f>HYPERLINK("https://klasma.github.io/Logging_2283/klagomål/A 4827-2025 FSC-klagomål.docx", "A 4827-2025")</f>
        <v/>
      </c>
      <c r="W129">
        <f>HYPERLINK("https://klasma.github.io/Logging_2283/klagomålsmail/A 4827-2025 FSC-klagomål mail.docx", "A 4827-2025")</f>
        <v/>
      </c>
      <c r="X129">
        <f>HYPERLINK("https://klasma.github.io/Logging_2283/tillsyn/A 4827-2025 tillsynsbegäran.docx", "A 4827-2025")</f>
        <v/>
      </c>
      <c r="Y129">
        <f>HYPERLINK("https://klasma.github.io/Logging_2283/tillsynsmail/A 4827-2025 tillsynsbegäran mail.docx", "A 4827-2025")</f>
        <v/>
      </c>
      <c r="Z129">
        <f>HYPERLINK("https://klasma.github.io/Logging_2283/fåglar/A 4827-2025 prioriterade fågelarter.docx", "A 4827-2025")</f>
        <v/>
      </c>
    </row>
    <row r="130" ht="15" customHeight="1">
      <c r="A130" t="inlineStr">
        <is>
          <t>A 14860-2023</t>
        </is>
      </c>
      <c r="B130" s="1" t="n">
        <v>45015.07157407407</v>
      </c>
      <c r="C130" s="1" t="n">
        <v>46048</v>
      </c>
      <c r="D130" t="inlineStr">
        <is>
          <t>VÄSTERNORRLANDS LÄN</t>
        </is>
      </c>
      <c r="E130" t="inlineStr">
        <is>
          <t>SOLLEFTEÅ</t>
        </is>
      </c>
      <c r="F130" t="inlineStr">
        <is>
          <t>SCA</t>
        </is>
      </c>
      <c r="G130" t="n">
        <v>5.8</v>
      </c>
      <c r="H130" t="n">
        <v>1</v>
      </c>
      <c r="I130" t="n">
        <v>2</v>
      </c>
      <c r="J130" t="n">
        <v>3</v>
      </c>
      <c r="K130" t="n">
        <v>1</v>
      </c>
      <c r="L130" t="n">
        <v>0</v>
      </c>
      <c r="M130" t="n">
        <v>0</v>
      </c>
      <c r="N130" t="n">
        <v>0</v>
      </c>
      <c r="O130" t="n">
        <v>4</v>
      </c>
      <c r="P130" t="n">
        <v>1</v>
      </c>
      <c r="Q130" t="n">
        <v>6</v>
      </c>
      <c r="R130" s="2" t="inlineStr">
        <is>
          <t>Knärot
Granticka
Lunglav
Ullticka
Skinnlav
Stuplav</t>
        </is>
      </c>
      <c r="S130">
        <f>HYPERLINK("https://klasma.github.io/Logging_2283/artfynd/A 14860-2023 artfynd.xlsx", "A 14860-2023")</f>
        <v/>
      </c>
      <c r="T130">
        <f>HYPERLINK("https://klasma.github.io/Logging_2283/kartor/A 14860-2023 karta.png", "A 14860-2023")</f>
        <v/>
      </c>
      <c r="U130">
        <f>HYPERLINK("https://klasma.github.io/Logging_2283/knärot/A 14860-2023 karta knärot.png", "A 14860-2023")</f>
        <v/>
      </c>
      <c r="V130">
        <f>HYPERLINK("https://klasma.github.io/Logging_2283/klagomål/A 14860-2023 FSC-klagomål.docx", "A 14860-2023")</f>
        <v/>
      </c>
      <c r="W130">
        <f>HYPERLINK("https://klasma.github.io/Logging_2283/klagomålsmail/A 14860-2023 FSC-klagomål mail.docx", "A 14860-2023")</f>
        <v/>
      </c>
      <c r="X130">
        <f>HYPERLINK("https://klasma.github.io/Logging_2283/tillsyn/A 14860-2023 tillsynsbegäran.docx", "A 14860-2023")</f>
        <v/>
      </c>
      <c r="Y130">
        <f>HYPERLINK("https://klasma.github.io/Logging_2283/tillsynsmail/A 14860-2023 tillsynsbegäran mail.docx", "A 14860-2023")</f>
        <v/>
      </c>
    </row>
    <row r="131" ht="15" customHeight="1">
      <c r="A131" t="inlineStr">
        <is>
          <t>A 35632-2025</t>
        </is>
      </c>
      <c r="B131" s="1" t="n">
        <v>45859.44893518519</v>
      </c>
      <c r="C131" s="1" t="n">
        <v>46048</v>
      </c>
      <c r="D131" t="inlineStr">
        <is>
          <t>VÄSTERNORRLANDS LÄN</t>
        </is>
      </c>
      <c r="E131" t="inlineStr">
        <is>
          <t>SOLLEFTEÅ</t>
        </is>
      </c>
      <c r="F131" t="inlineStr">
        <is>
          <t>SCA</t>
        </is>
      </c>
      <c r="G131" t="n">
        <v>6.1</v>
      </c>
      <c r="H131" t="n">
        <v>2</v>
      </c>
      <c r="I131" t="n">
        <v>3</v>
      </c>
      <c r="J131" t="n">
        <v>3</v>
      </c>
      <c r="K131" t="n">
        <v>0</v>
      </c>
      <c r="L131" t="n">
        <v>0</v>
      </c>
      <c r="M131" t="n">
        <v>0</v>
      </c>
      <c r="N131" t="n">
        <v>0</v>
      </c>
      <c r="O131" t="n">
        <v>3</v>
      </c>
      <c r="P131" t="n">
        <v>0</v>
      </c>
      <c r="Q131" t="n">
        <v>6</v>
      </c>
      <c r="R131" s="2" t="inlineStr">
        <is>
          <t>Björktrast
Kolflarnlav
Vaddporing
Bollvitmossa
Plattlummer
Zontaggsvamp</t>
        </is>
      </c>
      <c r="S131">
        <f>HYPERLINK("https://klasma.github.io/Logging_2283/artfynd/A 35632-2025 artfynd.xlsx", "A 35632-2025")</f>
        <v/>
      </c>
      <c r="T131">
        <f>HYPERLINK("https://klasma.github.io/Logging_2283/kartor/A 35632-2025 karta.png", "A 35632-2025")</f>
        <v/>
      </c>
      <c r="V131">
        <f>HYPERLINK("https://klasma.github.io/Logging_2283/klagomål/A 35632-2025 FSC-klagomål.docx", "A 35632-2025")</f>
        <v/>
      </c>
      <c r="W131">
        <f>HYPERLINK("https://klasma.github.io/Logging_2283/klagomålsmail/A 35632-2025 FSC-klagomål mail.docx", "A 35632-2025")</f>
        <v/>
      </c>
      <c r="X131">
        <f>HYPERLINK("https://klasma.github.io/Logging_2283/tillsyn/A 35632-2025 tillsynsbegäran.docx", "A 35632-2025")</f>
        <v/>
      </c>
      <c r="Y131">
        <f>HYPERLINK("https://klasma.github.io/Logging_2283/tillsynsmail/A 35632-2025 tillsynsbegäran mail.docx", "A 35632-2025")</f>
        <v/>
      </c>
      <c r="Z131">
        <f>HYPERLINK("https://klasma.github.io/Logging_2283/fåglar/A 35632-2025 prioriterade fågelarter.docx", "A 35632-2025")</f>
        <v/>
      </c>
    </row>
    <row r="132" ht="15" customHeight="1">
      <c r="A132" t="inlineStr">
        <is>
          <t>A 15666-2025</t>
        </is>
      </c>
      <c r="B132" s="1" t="n">
        <v>45748.4315625</v>
      </c>
      <c r="C132" s="1" t="n">
        <v>46048</v>
      </c>
      <c r="D132" t="inlineStr">
        <is>
          <t>VÄSTERNORRLANDS LÄN</t>
        </is>
      </c>
      <c r="E132" t="inlineStr">
        <is>
          <t>SOLLEFTEÅ</t>
        </is>
      </c>
      <c r="G132" t="n">
        <v>3.9</v>
      </c>
      <c r="H132" t="n">
        <v>1</v>
      </c>
      <c r="I132" t="n">
        <v>2</v>
      </c>
      <c r="J132" t="n">
        <v>3</v>
      </c>
      <c r="K132" t="n">
        <v>1</v>
      </c>
      <c r="L132" t="n">
        <v>0</v>
      </c>
      <c r="M132" t="n">
        <v>0</v>
      </c>
      <c r="N132" t="n">
        <v>0</v>
      </c>
      <c r="O132" t="n">
        <v>4</v>
      </c>
      <c r="P132" t="n">
        <v>1</v>
      </c>
      <c r="Q132" t="n">
        <v>6</v>
      </c>
      <c r="R132" s="2" t="inlineStr">
        <is>
          <t>Knärot
Garnlav
Rosenticka
Vedskivlav
Bårdlav
Norrlandslav</t>
        </is>
      </c>
      <c r="S132">
        <f>HYPERLINK("https://klasma.github.io/Logging_2283/artfynd/A 15666-2025 artfynd.xlsx", "A 15666-2025")</f>
        <v/>
      </c>
      <c r="T132">
        <f>HYPERLINK("https://klasma.github.io/Logging_2283/kartor/A 15666-2025 karta.png", "A 15666-2025")</f>
        <v/>
      </c>
      <c r="U132">
        <f>HYPERLINK("https://klasma.github.io/Logging_2283/knärot/A 15666-2025 karta knärot.png", "A 15666-2025")</f>
        <v/>
      </c>
      <c r="V132">
        <f>HYPERLINK("https://klasma.github.io/Logging_2283/klagomål/A 15666-2025 FSC-klagomål.docx", "A 15666-2025")</f>
        <v/>
      </c>
      <c r="W132">
        <f>HYPERLINK("https://klasma.github.io/Logging_2283/klagomålsmail/A 15666-2025 FSC-klagomål mail.docx", "A 15666-2025")</f>
        <v/>
      </c>
      <c r="X132">
        <f>HYPERLINK("https://klasma.github.io/Logging_2283/tillsyn/A 15666-2025 tillsynsbegäran.docx", "A 15666-2025")</f>
        <v/>
      </c>
      <c r="Y132">
        <f>HYPERLINK("https://klasma.github.io/Logging_2283/tillsynsmail/A 15666-2025 tillsynsbegäran mail.docx", "A 15666-2025")</f>
        <v/>
      </c>
    </row>
    <row r="133" ht="15" customHeight="1">
      <c r="A133" t="inlineStr">
        <is>
          <t>A 24887-2022</t>
        </is>
      </c>
      <c r="B133" s="1" t="n">
        <v>44728</v>
      </c>
      <c r="C133" s="1" t="n">
        <v>46048</v>
      </c>
      <c r="D133" t="inlineStr">
        <is>
          <t>VÄSTERNORRLANDS LÄN</t>
        </is>
      </c>
      <c r="E133" t="inlineStr">
        <is>
          <t>SOLLEFTEÅ</t>
        </is>
      </c>
      <c r="G133" t="n">
        <v>11.4</v>
      </c>
      <c r="H133" t="n">
        <v>2</v>
      </c>
      <c r="I133" t="n">
        <v>0</v>
      </c>
      <c r="J133" t="n">
        <v>5</v>
      </c>
      <c r="K133" t="n">
        <v>1</v>
      </c>
      <c r="L133" t="n">
        <v>0</v>
      </c>
      <c r="M133" t="n">
        <v>0</v>
      </c>
      <c r="N133" t="n">
        <v>0</v>
      </c>
      <c r="O133" t="n">
        <v>6</v>
      </c>
      <c r="P133" t="n">
        <v>1</v>
      </c>
      <c r="Q133" t="n">
        <v>6</v>
      </c>
      <c r="R133" s="2" t="inlineStr">
        <is>
          <t>Knärot
Garnlav
Gränsticka
Järpe
Rosenticka
Ullticka</t>
        </is>
      </c>
      <c r="S133">
        <f>HYPERLINK("https://klasma.github.io/Logging_2283/artfynd/A 24887-2022 artfynd.xlsx", "A 24887-2022")</f>
        <v/>
      </c>
      <c r="T133">
        <f>HYPERLINK("https://klasma.github.io/Logging_2283/kartor/A 24887-2022 karta.png", "A 24887-2022")</f>
        <v/>
      </c>
      <c r="U133">
        <f>HYPERLINK("https://klasma.github.io/Logging_2283/knärot/A 24887-2022 karta knärot.png", "A 24887-2022")</f>
        <v/>
      </c>
      <c r="V133">
        <f>HYPERLINK("https://klasma.github.io/Logging_2283/klagomål/A 24887-2022 FSC-klagomål.docx", "A 24887-2022")</f>
        <v/>
      </c>
      <c r="W133">
        <f>HYPERLINK("https://klasma.github.io/Logging_2283/klagomålsmail/A 24887-2022 FSC-klagomål mail.docx", "A 24887-2022")</f>
        <v/>
      </c>
      <c r="X133">
        <f>HYPERLINK("https://klasma.github.io/Logging_2283/tillsyn/A 24887-2022 tillsynsbegäran.docx", "A 24887-2022")</f>
        <v/>
      </c>
      <c r="Y133">
        <f>HYPERLINK("https://klasma.github.io/Logging_2283/tillsynsmail/A 24887-2022 tillsynsbegäran mail.docx", "A 24887-2022")</f>
        <v/>
      </c>
      <c r="Z133">
        <f>HYPERLINK("https://klasma.github.io/Logging_2283/fåglar/A 24887-2022 prioriterade fågelarter.docx", "A 24887-2022")</f>
        <v/>
      </c>
    </row>
    <row r="134" ht="15" customHeight="1">
      <c r="A134" t="inlineStr">
        <is>
          <t>A 11552-2024</t>
        </is>
      </c>
      <c r="B134" s="1" t="n">
        <v>45372</v>
      </c>
      <c r="C134" s="1" t="n">
        <v>46048</v>
      </c>
      <c r="D134" t="inlineStr">
        <is>
          <t>VÄSTERNORRLANDS LÄN</t>
        </is>
      </c>
      <c r="E134" t="inlineStr">
        <is>
          <t>SOLLEFTEÅ</t>
        </is>
      </c>
      <c r="F134" t="inlineStr">
        <is>
          <t>SCA</t>
        </is>
      </c>
      <c r="G134" t="n">
        <v>2.5</v>
      </c>
      <c r="H134" t="n">
        <v>1</v>
      </c>
      <c r="I134" t="n">
        <v>0</v>
      </c>
      <c r="J134" t="n">
        <v>6</v>
      </c>
      <c r="K134" t="n">
        <v>0</v>
      </c>
      <c r="L134" t="n">
        <v>0</v>
      </c>
      <c r="M134" t="n">
        <v>0</v>
      </c>
      <c r="N134" t="n">
        <v>0</v>
      </c>
      <c r="O134" t="n">
        <v>6</v>
      </c>
      <c r="P134" t="n">
        <v>0</v>
      </c>
      <c r="Q134" t="n">
        <v>6</v>
      </c>
      <c r="R134" s="2" t="inlineStr">
        <is>
          <t>Garnlav
Lunglav
Rosenticka
Tallticka
Tretåig hackspett
Ullticka</t>
        </is>
      </c>
      <c r="S134">
        <f>HYPERLINK("https://klasma.github.io/Logging_2283/artfynd/A 11552-2024 artfynd.xlsx", "A 11552-2024")</f>
        <v/>
      </c>
      <c r="T134">
        <f>HYPERLINK("https://klasma.github.io/Logging_2283/kartor/A 11552-2024 karta.png", "A 11552-2024")</f>
        <v/>
      </c>
      <c r="V134">
        <f>HYPERLINK("https://klasma.github.io/Logging_2283/klagomål/A 11552-2024 FSC-klagomål.docx", "A 11552-2024")</f>
        <v/>
      </c>
      <c r="W134">
        <f>HYPERLINK("https://klasma.github.io/Logging_2283/klagomålsmail/A 11552-2024 FSC-klagomål mail.docx", "A 11552-2024")</f>
        <v/>
      </c>
      <c r="X134">
        <f>HYPERLINK("https://klasma.github.io/Logging_2283/tillsyn/A 11552-2024 tillsynsbegäran.docx", "A 11552-2024")</f>
        <v/>
      </c>
      <c r="Y134">
        <f>HYPERLINK("https://klasma.github.io/Logging_2283/tillsynsmail/A 11552-2024 tillsynsbegäran mail.docx", "A 11552-2024")</f>
        <v/>
      </c>
      <c r="Z134">
        <f>HYPERLINK("https://klasma.github.io/Logging_2283/fåglar/A 11552-2024 prioriterade fågelarter.docx", "A 11552-2024")</f>
        <v/>
      </c>
    </row>
    <row r="135" ht="15" customHeight="1">
      <c r="A135" t="inlineStr">
        <is>
          <t>A 18100-2025</t>
        </is>
      </c>
      <c r="B135" s="1" t="n">
        <v>45761.55240740741</v>
      </c>
      <c r="C135" s="1" t="n">
        <v>46048</v>
      </c>
      <c r="D135" t="inlineStr">
        <is>
          <t>VÄSTERNORRLANDS LÄN</t>
        </is>
      </c>
      <c r="E135" t="inlineStr">
        <is>
          <t>SOLLEFTEÅ</t>
        </is>
      </c>
      <c r="F135" t="inlineStr">
        <is>
          <t>SCA</t>
        </is>
      </c>
      <c r="G135" t="n">
        <v>3.6</v>
      </c>
      <c r="H135" t="n">
        <v>1</v>
      </c>
      <c r="I135" t="n">
        <v>0</v>
      </c>
      <c r="J135" t="n">
        <v>3</v>
      </c>
      <c r="K135" t="n">
        <v>3</v>
      </c>
      <c r="L135" t="n">
        <v>0</v>
      </c>
      <c r="M135" t="n">
        <v>0</v>
      </c>
      <c r="N135" t="n">
        <v>0</v>
      </c>
      <c r="O135" t="n">
        <v>6</v>
      </c>
      <c r="P135" t="n">
        <v>3</v>
      </c>
      <c r="Q135" t="n">
        <v>6</v>
      </c>
      <c r="R135" s="2" t="inlineStr">
        <is>
          <t>Knärot
Lappticka
Rynkskinn
Granticka
Lunglav
Ullticka</t>
        </is>
      </c>
      <c r="S135">
        <f>HYPERLINK("https://klasma.github.io/Logging_2283/artfynd/A 18100-2025 artfynd.xlsx", "A 18100-2025")</f>
        <v/>
      </c>
      <c r="T135">
        <f>HYPERLINK("https://klasma.github.io/Logging_2283/kartor/A 18100-2025 karta.png", "A 18100-2025")</f>
        <v/>
      </c>
      <c r="U135">
        <f>HYPERLINK("https://klasma.github.io/Logging_2283/knärot/A 18100-2025 karta knärot.png", "A 18100-2025")</f>
        <v/>
      </c>
      <c r="V135">
        <f>HYPERLINK("https://klasma.github.io/Logging_2283/klagomål/A 18100-2025 FSC-klagomål.docx", "A 18100-2025")</f>
        <v/>
      </c>
      <c r="W135">
        <f>HYPERLINK("https://klasma.github.io/Logging_2283/klagomålsmail/A 18100-2025 FSC-klagomål mail.docx", "A 18100-2025")</f>
        <v/>
      </c>
      <c r="X135">
        <f>HYPERLINK("https://klasma.github.io/Logging_2283/tillsyn/A 18100-2025 tillsynsbegäran.docx", "A 18100-2025")</f>
        <v/>
      </c>
      <c r="Y135">
        <f>HYPERLINK("https://klasma.github.io/Logging_2283/tillsynsmail/A 18100-2025 tillsynsbegäran mail.docx", "A 18100-2025")</f>
        <v/>
      </c>
    </row>
    <row r="136" ht="15" customHeight="1">
      <c r="A136" t="inlineStr">
        <is>
          <t>A 29871-2024</t>
        </is>
      </c>
      <c r="B136" s="1" t="n">
        <v>45485.94521990741</v>
      </c>
      <c r="C136" s="1" t="n">
        <v>46048</v>
      </c>
      <c r="D136" t="inlineStr">
        <is>
          <t>VÄSTERNORRLANDS LÄN</t>
        </is>
      </c>
      <c r="E136" t="inlineStr">
        <is>
          <t>SOLLEFTEÅ</t>
        </is>
      </c>
      <c r="F136" t="inlineStr">
        <is>
          <t>SCA</t>
        </is>
      </c>
      <c r="G136" t="n">
        <v>6</v>
      </c>
      <c r="H136" t="n">
        <v>0</v>
      </c>
      <c r="I136" t="n">
        <v>1</v>
      </c>
      <c r="J136" t="n">
        <v>5</v>
      </c>
      <c r="K136" t="n">
        <v>0</v>
      </c>
      <c r="L136" t="n">
        <v>0</v>
      </c>
      <c r="M136" t="n">
        <v>0</v>
      </c>
      <c r="N136" t="n">
        <v>0</v>
      </c>
      <c r="O136" t="n">
        <v>5</v>
      </c>
      <c r="P136" t="n">
        <v>0</v>
      </c>
      <c r="Q136" t="n">
        <v>6</v>
      </c>
      <c r="R136" s="2" t="inlineStr">
        <is>
          <t>Dvärgbägarlav
Garnlav
Lunglav
Nordtagging
Tallticka
Dropptaggsvamp</t>
        </is>
      </c>
      <c r="S136">
        <f>HYPERLINK("https://klasma.github.io/Logging_2283/artfynd/A 29871-2024 artfynd.xlsx", "A 29871-2024")</f>
        <v/>
      </c>
      <c r="T136">
        <f>HYPERLINK("https://klasma.github.io/Logging_2283/kartor/A 29871-2024 karta.png", "A 29871-2024")</f>
        <v/>
      </c>
      <c r="V136">
        <f>HYPERLINK("https://klasma.github.io/Logging_2283/klagomål/A 29871-2024 FSC-klagomål.docx", "A 29871-2024")</f>
        <v/>
      </c>
      <c r="W136">
        <f>HYPERLINK("https://klasma.github.io/Logging_2283/klagomålsmail/A 29871-2024 FSC-klagomål mail.docx", "A 29871-2024")</f>
        <v/>
      </c>
      <c r="X136">
        <f>HYPERLINK("https://klasma.github.io/Logging_2283/tillsyn/A 29871-2024 tillsynsbegäran.docx", "A 29871-2024")</f>
        <v/>
      </c>
      <c r="Y136">
        <f>HYPERLINK("https://klasma.github.io/Logging_2283/tillsynsmail/A 29871-2024 tillsynsbegäran mail.docx", "A 29871-2024")</f>
        <v/>
      </c>
    </row>
    <row r="137" ht="15" customHeight="1">
      <c r="A137" t="inlineStr">
        <is>
          <t>A 45692-2025</t>
        </is>
      </c>
      <c r="B137" s="1" t="n">
        <v>45923</v>
      </c>
      <c r="C137" s="1" t="n">
        <v>46048</v>
      </c>
      <c r="D137" t="inlineStr">
        <is>
          <t>VÄSTERNORRLANDS LÄN</t>
        </is>
      </c>
      <c r="E137" t="inlineStr">
        <is>
          <t>SOLLEFTEÅ</t>
        </is>
      </c>
      <c r="F137" t="inlineStr">
        <is>
          <t>SCA</t>
        </is>
      </c>
      <c r="G137" t="n">
        <v>4.9</v>
      </c>
      <c r="H137" t="n">
        <v>2</v>
      </c>
      <c r="I137" t="n">
        <v>1</v>
      </c>
      <c r="J137" t="n">
        <v>4</v>
      </c>
      <c r="K137" t="n">
        <v>1</v>
      </c>
      <c r="L137" t="n">
        <v>0</v>
      </c>
      <c r="M137" t="n">
        <v>0</v>
      </c>
      <c r="N137" t="n">
        <v>0</v>
      </c>
      <c r="O137" t="n">
        <v>5</v>
      </c>
      <c r="P137" t="n">
        <v>1</v>
      </c>
      <c r="Q137" t="n">
        <v>6</v>
      </c>
      <c r="R137" s="2" t="inlineStr">
        <is>
          <t>Knärot
Granticka
Rosenticka
Tretåig hackspett
Ullticka
Vedticka</t>
        </is>
      </c>
      <c r="S137">
        <f>HYPERLINK("https://klasma.github.io/Logging_2283/artfynd/A 45692-2025 artfynd.xlsx", "A 45692-2025")</f>
        <v/>
      </c>
      <c r="T137">
        <f>HYPERLINK("https://klasma.github.io/Logging_2283/kartor/A 45692-2025 karta.png", "A 45692-2025")</f>
        <v/>
      </c>
      <c r="U137">
        <f>HYPERLINK("https://klasma.github.io/Logging_2283/knärot/A 45692-2025 karta knärot.png", "A 45692-2025")</f>
        <v/>
      </c>
      <c r="V137">
        <f>HYPERLINK("https://klasma.github.io/Logging_2283/klagomål/A 45692-2025 FSC-klagomål.docx", "A 45692-2025")</f>
        <v/>
      </c>
      <c r="W137">
        <f>HYPERLINK("https://klasma.github.io/Logging_2283/klagomålsmail/A 45692-2025 FSC-klagomål mail.docx", "A 45692-2025")</f>
        <v/>
      </c>
      <c r="X137">
        <f>HYPERLINK("https://klasma.github.io/Logging_2283/tillsyn/A 45692-2025 tillsynsbegäran.docx", "A 45692-2025")</f>
        <v/>
      </c>
      <c r="Y137">
        <f>HYPERLINK("https://klasma.github.io/Logging_2283/tillsynsmail/A 45692-2025 tillsynsbegäran mail.docx", "A 45692-2025")</f>
        <v/>
      </c>
      <c r="Z137">
        <f>HYPERLINK("https://klasma.github.io/Logging_2283/fåglar/A 45692-2025 prioriterade fågelarter.docx", "A 45692-2025")</f>
        <v/>
      </c>
    </row>
    <row r="138" ht="15" customHeight="1">
      <c r="A138" t="inlineStr">
        <is>
          <t>A 49747-2025</t>
        </is>
      </c>
      <c r="B138" s="1" t="n">
        <v>45940.34461805555</v>
      </c>
      <c r="C138" s="1" t="n">
        <v>46048</v>
      </c>
      <c r="D138" t="inlineStr">
        <is>
          <t>VÄSTERNORRLANDS LÄN</t>
        </is>
      </c>
      <c r="E138" t="inlineStr">
        <is>
          <t>SOLLEFTEÅ</t>
        </is>
      </c>
      <c r="F138" t="inlineStr">
        <is>
          <t>SCA</t>
        </is>
      </c>
      <c r="G138" t="n">
        <v>3.9</v>
      </c>
      <c r="H138" t="n">
        <v>2</v>
      </c>
      <c r="I138" t="n">
        <v>4</v>
      </c>
      <c r="J138" t="n">
        <v>2</v>
      </c>
      <c r="K138" t="n">
        <v>0</v>
      </c>
      <c r="L138" t="n">
        <v>0</v>
      </c>
      <c r="M138" t="n">
        <v>0</v>
      </c>
      <c r="N138" t="n">
        <v>0</v>
      </c>
      <c r="O138" t="n">
        <v>2</v>
      </c>
      <c r="P138" t="n">
        <v>0</v>
      </c>
      <c r="Q138" t="n">
        <v>6</v>
      </c>
      <c r="R138" s="2" t="inlineStr">
        <is>
          <t>Garnlav
Spillkråka
Bollvitmossa
Lappranunkel
Norrlandslav
Vedticka</t>
        </is>
      </c>
      <c r="S138">
        <f>HYPERLINK("https://klasma.github.io/Logging_2283/artfynd/A 49747-2025 artfynd.xlsx", "A 49747-2025")</f>
        <v/>
      </c>
      <c r="T138">
        <f>HYPERLINK("https://klasma.github.io/Logging_2283/kartor/A 49747-2025 karta.png", "A 49747-2025")</f>
        <v/>
      </c>
      <c r="V138">
        <f>HYPERLINK("https://klasma.github.io/Logging_2283/klagomål/A 49747-2025 FSC-klagomål.docx", "A 49747-2025")</f>
        <v/>
      </c>
      <c r="W138">
        <f>HYPERLINK("https://klasma.github.io/Logging_2283/klagomålsmail/A 49747-2025 FSC-klagomål mail.docx", "A 49747-2025")</f>
        <v/>
      </c>
      <c r="X138">
        <f>HYPERLINK("https://klasma.github.io/Logging_2283/tillsyn/A 49747-2025 tillsynsbegäran.docx", "A 49747-2025")</f>
        <v/>
      </c>
      <c r="Y138">
        <f>HYPERLINK("https://klasma.github.io/Logging_2283/tillsynsmail/A 49747-2025 tillsynsbegäran mail.docx", "A 49747-2025")</f>
        <v/>
      </c>
      <c r="Z138">
        <f>HYPERLINK("https://klasma.github.io/Logging_2283/fåglar/A 49747-2025 prioriterade fågelarter.docx", "A 49747-2025")</f>
        <v/>
      </c>
    </row>
    <row r="139" ht="15" customHeight="1">
      <c r="A139" t="inlineStr">
        <is>
          <t>A 26594-2022</t>
        </is>
      </c>
      <c r="B139" s="1" t="n">
        <v>44739</v>
      </c>
      <c r="C139" s="1" t="n">
        <v>46048</v>
      </c>
      <c r="D139" t="inlineStr">
        <is>
          <t>VÄSTERNORRLANDS LÄN</t>
        </is>
      </c>
      <c r="E139" t="inlineStr">
        <is>
          <t>SOLLEFTEÅ</t>
        </is>
      </c>
      <c r="F139" t="inlineStr">
        <is>
          <t>Holmen skog AB</t>
        </is>
      </c>
      <c r="G139" t="n">
        <v>1.6</v>
      </c>
      <c r="H139" t="n">
        <v>4</v>
      </c>
      <c r="I139" t="n">
        <v>0</v>
      </c>
      <c r="J139" t="n">
        <v>4</v>
      </c>
      <c r="K139" t="n">
        <v>1</v>
      </c>
      <c r="L139" t="n">
        <v>0</v>
      </c>
      <c r="M139" t="n">
        <v>0</v>
      </c>
      <c r="N139" t="n">
        <v>0</v>
      </c>
      <c r="O139" t="n">
        <v>5</v>
      </c>
      <c r="P139" t="n">
        <v>1</v>
      </c>
      <c r="Q139" t="n">
        <v>6</v>
      </c>
      <c r="R139" s="2" t="inlineStr">
        <is>
          <t>Knärot
Garnlav
Granticka
Spillkråka
Talltita
Tjäder</t>
        </is>
      </c>
      <c r="S139">
        <f>HYPERLINK("https://klasma.github.io/Logging_2283/artfynd/A 26594-2022 artfynd.xlsx", "A 26594-2022")</f>
        <v/>
      </c>
      <c r="T139">
        <f>HYPERLINK("https://klasma.github.io/Logging_2283/kartor/A 26594-2022 karta.png", "A 26594-2022")</f>
        <v/>
      </c>
      <c r="U139">
        <f>HYPERLINK("https://klasma.github.io/Logging_2283/knärot/A 26594-2022 karta knärot.png", "A 26594-2022")</f>
        <v/>
      </c>
      <c r="V139">
        <f>HYPERLINK("https://klasma.github.io/Logging_2283/klagomål/A 26594-2022 FSC-klagomål.docx", "A 26594-2022")</f>
        <v/>
      </c>
      <c r="W139">
        <f>HYPERLINK("https://klasma.github.io/Logging_2283/klagomålsmail/A 26594-2022 FSC-klagomål mail.docx", "A 26594-2022")</f>
        <v/>
      </c>
      <c r="X139">
        <f>HYPERLINK("https://klasma.github.io/Logging_2283/tillsyn/A 26594-2022 tillsynsbegäran.docx", "A 26594-2022")</f>
        <v/>
      </c>
      <c r="Y139">
        <f>HYPERLINK("https://klasma.github.io/Logging_2283/tillsynsmail/A 26594-2022 tillsynsbegäran mail.docx", "A 26594-2022")</f>
        <v/>
      </c>
      <c r="Z139">
        <f>HYPERLINK("https://klasma.github.io/Logging_2283/fåglar/A 26594-2022 prioriterade fågelarter.docx", "A 26594-2022")</f>
        <v/>
      </c>
    </row>
    <row r="140" ht="15" customHeight="1">
      <c r="A140" t="inlineStr">
        <is>
          <t>A 56141-2025</t>
        </is>
      </c>
      <c r="B140" s="1" t="n">
        <v>45974</v>
      </c>
      <c r="C140" s="1" t="n">
        <v>46048</v>
      </c>
      <c r="D140" t="inlineStr">
        <is>
          <t>VÄSTERNORRLANDS LÄN</t>
        </is>
      </c>
      <c r="E140" t="inlineStr">
        <is>
          <t>SOLLEFTEÅ</t>
        </is>
      </c>
      <c r="G140" t="n">
        <v>2.5</v>
      </c>
      <c r="H140" t="n">
        <v>1</v>
      </c>
      <c r="I140" t="n">
        <v>2</v>
      </c>
      <c r="J140" t="n">
        <v>2</v>
      </c>
      <c r="K140" t="n">
        <v>1</v>
      </c>
      <c r="L140" t="n">
        <v>0</v>
      </c>
      <c r="M140" t="n">
        <v>0</v>
      </c>
      <c r="N140" t="n">
        <v>0</v>
      </c>
      <c r="O140" t="n">
        <v>3</v>
      </c>
      <c r="P140" t="n">
        <v>1</v>
      </c>
      <c r="Q140" t="n">
        <v>6</v>
      </c>
      <c r="R140" s="2" t="inlineStr">
        <is>
          <t>Rynkskinn
Garnlav
Ullticka
Norrlandslav
Stuplav
Lavskrika</t>
        </is>
      </c>
      <c r="S140">
        <f>HYPERLINK("https://klasma.github.io/Logging_2283/artfynd/A 56141-2025 artfynd.xlsx", "A 56141-2025")</f>
        <v/>
      </c>
      <c r="T140">
        <f>HYPERLINK("https://klasma.github.io/Logging_2283/kartor/A 56141-2025 karta.png", "A 56141-2025")</f>
        <v/>
      </c>
      <c r="V140">
        <f>HYPERLINK("https://klasma.github.io/Logging_2283/klagomål/A 56141-2025 FSC-klagomål.docx", "A 56141-2025")</f>
        <v/>
      </c>
      <c r="W140">
        <f>HYPERLINK("https://klasma.github.io/Logging_2283/klagomålsmail/A 56141-2025 FSC-klagomål mail.docx", "A 56141-2025")</f>
        <v/>
      </c>
      <c r="X140">
        <f>HYPERLINK("https://klasma.github.io/Logging_2283/tillsyn/A 56141-2025 tillsynsbegäran.docx", "A 56141-2025")</f>
        <v/>
      </c>
      <c r="Y140">
        <f>HYPERLINK("https://klasma.github.io/Logging_2283/tillsynsmail/A 56141-2025 tillsynsbegäran mail.docx", "A 56141-2025")</f>
        <v/>
      </c>
      <c r="Z140">
        <f>HYPERLINK("https://klasma.github.io/Logging_2283/fåglar/A 56141-2025 prioriterade fågelarter.docx", "A 56141-2025")</f>
        <v/>
      </c>
    </row>
    <row r="141" ht="15" customHeight="1">
      <c r="A141" t="inlineStr">
        <is>
          <t>A 20949-2022</t>
        </is>
      </c>
      <c r="B141" s="1" t="n">
        <v>44701.93967592593</v>
      </c>
      <c r="C141" s="1" t="n">
        <v>46048</v>
      </c>
      <c r="D141" t="inlineStr">
        <is>
          <t>VÄSTERNORRLANDS LÄN</t>
        </is>
      </c>
      <c r="E141" t="inlineStr">
        <is>
          <t>SOLLEFTEÅ</t>
        </is>
      </c>
      <c r="F141" t="inlineStr">
        <is>
          <t>SCA</t>
        </is>
      </c>
      <c r="G141" t="n">
        <v>2.2</v>
      </c>
      <c r="H141" t="n">
        <v>1</v>
      </c>
      <c r="I141" t="n">
        <v>0</v>
      </c>
      <c r="J141" t="n">
        <v>5</v>
      </c>
      <c r="K141" t="n">
        <v>0</v>
      </c>
      <c r="L141" t="n">
        <v>0</v>
      </c>
      <c r="M141" t="n">
        <v>0</v>
      </c>
      <c r="N141" t="n">
        <v>0</v>
      </c>
      <c r="O141" t="n">
        <v>5</v>
      </c>
      <c r="P141" t="n">
        <v>0</v>
      </c>
      <c r="Q141" t="n">
        <v>5</v>
      </c>
      <c r="R141" s="2" t="inlineStr">
        <is>
          <t>Garnlav
Kolflarnlav
Lunglav
Tretåig hackspett
Vedskivlav</t>
        </is>
      </c>
      <c r="S141">
        <f>HYPERLINK("https://klasma.github.io/Logging_2283/artfynd/A 20949-2022 artfynd.xlsx", "A 20949-2022")</f>
        <v/>
      </c>
      <c r="T141">
        <f>HYPERLINK("https://klasma.github.io/Logging_2283/kartor/A 20949-2022 karta.png", "A 20949-2022")</f>
        <v/>
      </c>
      <c r="V141">
        <f>HYPERLINK("https://klasma.github.io/Logging_2283/klagomål/A 20949-2022 FSC-klagomål.docx", "A 20949-2022")</f>
        <v/>
      </c>
      <c r="W141">
        <f>HYPERLINK("https://klasma.github.io/Logging_2283/klagomålsmail/A 20949-2022 FSC-klagomål mail.docx", "A 20949-2022")</f>
        <v/>
      </c>
      <c r="X141">
        <f>HYPERLINK("https://klasma.github.io/Logging_2283/tillsyn/A 20949-2022 tillsynsbegäran.docx", "A 20949-2022")</f>
        <v/>
      </c>
      <c r="Y141">
        <f>HYPERLINK("https://klasma.github.io/Logging_2283/tillsynsmail/A 20949-2022 tillsynsbegäran mail.docx", "A 20949-2022")</f>
        <v/>
      </c>
      <c r="Z141">
        <f>HYPERLINK("https://klasma.github.io/Logging_2283/fåglar/A 20949-2022 prioriterade fågelarter.docx", "A 20949-2022")</f>
        <v/>
      </c>
    </row>
    <row r="142" ht="15" customHeight="1">
      <c r="A142" t="inlineStr">
        <is>
          <t>A 11490-2022</t>
        </is>
      </c>
      <c r="B142" s="1" t="n">
        <v>44630.93877314815</v>
      </c>
      <c r="C142" s="1" t="n">
        <v>46048</v>
      </c>
      <c r="D142" t="inlineStr">
        <is>
          <t>VÄSTERNORRLANDS LÄN</t>
        </is>
      </c>
      <c r="E142" t="inlineStr">
        <is>
          <t>SOLLEFTEÅ</t>
        </is>
      </c>
      <c r="F142" t="inlineStr">
        <is>
          <t>SCA</t>
        </is>
      </c>
      <c r="G142" t="n">
        <v>2</v>
      </c>
      <c r="H142" t="n">
        <v>2</v>
      </c>
      <c r="I142" t="n">
        <v>0</v>
      </c>
      <c r="J142" t="n">
        <v>5</v>
      </c>
      <c r="K142" t="n">
        <v>0</v>
      </c>
      <c r="L142" t="n">
        <v>0</v>
      </c>
      <c r="M142" t="n">
        <v>0</v>
      </c>
      <c r="N142" t="n">
        <v>0</v>
      </c>
      <c r="O142" t="n">
        <v>5</v>
      </c>
      <c r="P142" t="n">
        <v>0</v>
      </c>
      <c r="Q142" t="n">
        <v>5</v>
      </c>
      <c r="R142" s="2" t="inlineStr">
        <is>
          <t>Garnlav
Lunglav
Spillkråka
Tretåig hackspett
Ullticka</t>
        </is>
      </c>
      <c r="S142">
        <f>HYPERLINK("https://klasma.github.io/Logging_2283/artfynd/A 11490-2022 artfynd.xlsx", "A 11490-2022")</f>
        <v/>
      </c>
      <c r="T142">
        <f>HYPERLINK("https://klasma.github.io/Logging_2283/kartor/A 11490-2022 karta.png", "A 11490-2022")</f>
        <v/>
      </c>
      <c r="V142">
        <f>HYPERLINK("https://klasma.github.io/Logging_2283/klagomål/A 11490-2022 FSC-klagomål.docx", "A 11490-2022")</f>
        <v/>
      </c>
      <c r="W142">
        <f>HYPERLINK("https://klasma.github.io/Logging_2283/klagomålsmail/A 11490-2022 FSC-klagomål mail.docx", "A 11490-2022")</f>
        <v/>
      </c>
      <c r="X142">
        <f>HYPERLINK("https://klasma.github.io/Logging_2283/tillsyn/A 11490-2022 tillsynsbegäran.docx", "A 11490-2022")</f>
        <v/>
      </c>
      <c r="Y142">
        <f>HYPERLINK("https://klasma.github.io/Logging_2283/tillsynsmail/A 11490-2022 tillsynsbegäran mail.docx", "A 11490-2022")</f>
        <v/>
      </c>
      <c r="Z142">
        <f>HYPERLINK("https://klasma.github.io/Logging_2283/fåglar/A 11490-2022 prioriterade fågelarter.docx", "A 11490-2022")</f>
        <v/>
      </c>
    </row>
    <row r="143" ht="15" customHeight="1">
      <c r="A143" t="inlineStr">
        <is>
          <t>A 4552-2022</t>
        </is>
      </c>
      <c r="B143" s="1" t="n">
        <v>44590</v>
      </c>
      <c r="C143" s="1" t="n">
        <v>46048</v>
      </c>
      <c r="D143" t="inlineStr">
        <is>
          <t>VÄSTERNORRLANDS LÄN</t>
        </is>
      </c>
      <c r="E143" t="inlineStr">
        <is>
          <t>SOLLEFTEÅ</t>
        </is>
      </c>
      <c r="F143" t="inlineStr">
        <is>
          <t>SCA</t>
        </is>
      </c>
      <c r="G143" t="n">
        <v>4.4</v>
      </c>
      <c r="H143" t="n">
        <v>0</v>
      </c>
      <c r="I143" t="n">
        <v>1</v>
      </c>
      <c r="J143" t="n">
        <v>4</v>
      </c>
      <c r="K143" t="n">
        <v>0</v>
      </c>
      <c r="L143" t="n">
        <v>0</v>
      </c>
      <c r="M143" t="n">
        <v>0</v>
      </c>
      <c r="N143" t="n">
        <v>0</v>
      </c>
      <c r="O143" t="n">
        <v>4</v>
      </c>
      <c r="P143" t="n">
        <v>0</v>
      </c>
      <c r="Q143" t="n">
        <v>5</v>
      </c>
      <c r="R143" s="2" t="inlineStr">
        <is>
          <t>Gammelgransskål
Garnlav
Skrovlig taggsvamp
Vedskivlav
Skarp dropptaggsvamp</t>
        </is>
      </c>
      <c r="S143">
        <f>HYPERLINK("https://klasma.github.io/Logging_2283/artfynd/A 4552-2022 artfynd.xlsx", "A 4552-2022")</f>
        <v/>
      </c>
      <c r="T143">
        <f>HYPERLINK("https://klasma.github.io/Logging_2283/kartor/A 4552-2022 karta.png", "A 4552-2022")</f>
        <v/>
      </c>
      <c r="V143">
        <f>HYPERLINK("https://klasma.github.io/Logging_2283/klagomål/A 4552-2022 FSC-klagomål.docx", "A 4552-2022")</f>
        <v/>
      </c>
      <c r="W143">
        <f>HYPERLINK("https://klasma.github.io/Logging_2283/klagomålsmail/A 4552-2022 FSC-klagomål mail.docx", "A 4552-2022")</f>
        <v/>
      </c>
      <c r="X143">
        <f>HYPERLINK("https://klasma.github.io/Logging_2283/tillsyn/A 4552-2022 tillsynsbegäran.docx", "A 4552-2022")</f>
        <v/>
      </c>
      <c r="Y143">
        <f>HYPERLINK("https://klasma.github.io/Logging_2283/tillsynsmail/A 4552-2022 tillsynsbegäran mail.docx", "A 4552-2022")</f>
        <v/>
      </c>
    </row>
    <row r="144" ht="15" customHeight="1">
      <c r="A144" t="inlineStr">
        <is>
          <t>A 2438-2025</t>
        </is>
      </c>
      <c r="B144" s="1" t="n">
        <v>45674.41815972222</v>
      </c>
      <c r="C144" s="1" t="n">
        <v>46048</v>
      </c>
      <c r="D144" t="inlineStr">
        <is>
          <t>VÄSTERNORRLANDS LÄN</t>
        </is>
      </c>
      <c r="E144" t="inlineStr">
        <is>
          <t>SOLLEFTEÅ</t>
        </is>
      </c>
      <c r="G144" t="n">
        <v>6.4</v>
      </c>
      <c r="H144" t="n">
        <v>3</v>
      </c>
      <c r="I144" t="n">
        <v>0</v>
      </c>
      <c r="J144" t="n">
        <v>4</v>
      </c>
      <c r="K144" t="n">
        <v>1</v>
      </c>
      <c r="L144" t="n">
        <v>0</v>
      </c>
      <c r="M144" t="n">
        <v>0</v>
      </c>
      <c r="N144" t="n">
        <v>0</v>
      </c>
      <c r="O144" t="n">
        <v>5</v>
      </c>
      <c r="P144" t="n">
        <v>1</v>
      </c>
      <c r="Q144" t="n">
        <v>5</v>
      </c>
      <c r="R144" s="2" t="inlineStr">
        <is>
          <t>Knärot
Garnlav
Kolflarnlav
Talltita
Tretåig hackspett</t>
        </is>
      </c>
      <c r="S144">
        <f>HYPERLINK("https://klasma.github.io/Logging_2283/artfynd/A 2438-2025 artfynd.xlsx", "A 2438-2025")</f>
        <v/>
      </c>
      <c r="T144">
        <f>HYPERLINK("https://klasma.github.io/Logging_2283/kartor/A 2438-2025 karta.png", "A 2438-2025")</f>
        <v/>
      </c>
      <c r="U144">
        <f>HYPERLINK("https://klasma.github.io/Logging_2283/knärot/A 2438-2025 karta knärot.png", "A 2438-2025")</f>
        <v/>
      </c>
      <c r="V144">
        <f>HYPERLINK("https://klasma.github.io/Logging_2283/klagomål/A 2438-2025 FSC-klagomål.docx", "A 2438-2025")</f>
        <v/>
      </c>
      <c r="W144">
        <f>HYPERLINK("https://klasma.github.io/Logging_2283/klagomålsmail/A 2438-2025 FSC-klagomål mail.docx", "A 2438-2025")</f>
        <v/>
      </c>
      <c r="X144">
        <f>HYPERLINK("https://klasma.github.io/Logging_2283/tillsyn/A 2438-2025 tillsynsbegäran.docx", "A 2438-2025")</f>
        <v/>
      </c>
      <c r="Y144">
        <f>HYPERLINK("https://klasma.github.io/Logging_2283/tillsynsmail/A 2438-2025 tillsynsbegäran mail.docx", "A 2438-2025")</f>
        <v/>
      </c>
      <c r="Z144">
        <f>HYPERLINK("https://klasma.github.io/Logging_2283/fåglar/A 2438-2025 prioriterade fågelarter.docx", "A 2438-2025")</f>
        <v/>
      </c>
    </row>
    <row r="145" ht="15" customHeight="1">
      <c r="A145" t="inlineStr">
        <is>
          <t>A 11547-2025</t>
        </is>
      </c>
      <c r="B145" s="1" t="n">
        <v>45727.34447916667</v>
      </c>
      <c r="C145" s="1" t="n">
        <v>46048</v>
      </c>
      <c r="D145" t="inlineStr">
        <is>
          <t>VÄSTERNORRLANDS LÄN</t>
        </is>
      </c>
      <c r="E145" t="inlineStr">
        <is>
          <t>SOLLEFTEÅ</t>
        </is>
      </c>
      <c r="F145" t="inlineStr">
        <is>
          <t>SCA</t>
        </is>
      </c>
      <c r="G145" t="n">
        <v>2.9</v>
      </c>
      <c r="H145" t="n">
        <v>2</v>
      </c>
      <c r="I145" t="n">
        <v>0</v>
      </c>
      <c r="J145" t="n">
        <v>5</v>
      </c>
      <c r="K145" t="n">
        <v>0</v>
      </c>
      <c r="L145" t="n">
        <v>0</v>
      </c>
      <c r="M145" t="n">
        <v>0</v>
      </c>
      <c r="N145" t="n">
        <v>0</v>
      </c>
      <c r="O145" t="n">
        <v>5</v>
      </c>
      <c r="P145" t="n">
        <v>0</v>
      </c>
      <c r="Q145" t="n">
        <v>5</v>
      </c>
      <c r="R145" s="2" t="inlineStr">
        <is>
          <t>Garnlav
Järpe
Lunglav
Tretåig hackspett
Ullticka</t>
        </is>
      </c>
      <c r="S145">
        <f>HYPERLINK("https://klasma.github.io/Logging_2283/artfynd/A 11547-2025 artfynd.xlsx", "A 11547-2025")</f>
        <v/>
      </c>
      <c r="T145">
        <f>HYPERLINK("https://klasma.github.io/Logging_2283/kartor/A 11547-2025 karta.png", "A 11547-2025")</f>
        <v/>
      </c>
      <c r="V145">
        <f>HYPERLINK("https://klasma.github.io/Logging_2283/klagomål/A 11547-2025 FSC-klagomål.docx", "A 11547-2025")</f>
        <v/>
      </c>
      <c r="W145">
        <f>HYPERLINK("https://klasma.github.io/Logging_2283/klagomålsmail/A 11547-2025 FSC-klagomål mail.docx", "A 11547-2025")</f>
        <v/>
      </c>
      <c r="X145">
        <f>HYPERLINK("https://klasma.github.io/Logging_2283/tillsyn/A 11547-2025 tillsynsbegäran.docx", "A 11547-2025")</f>
        <v/>
      </c>
      <c r="Y145">
        <f>HYPERLINK("https://klasma.github.io/Logging_2283/tillsynsmail/A 11547-2025 tillsynsbegäran mail.docx", "A 11547-2025")</f>
        <v/>
      </c>
      <c r="Z145">
        <f>HYPERLINK("https://klasma.github.io/Logging_2283/fåglar/A 11547-2025 prioriterade fågelarter.docx", "A 11547-2025")</f>
        <v/>
      </c>
    </row>
    <row r="146" ht="15" customHeight="1">
      <c r="A146" t="inlineStr">
        <is>
          <t>A 32216-2023</t>
        </is>
      </c>
      <c r="B146" s="1" t="n">
        <v>45119</v>
      </c>
      <c r="C146" s="1" t="n">
        <v>46048</v>
      </c>
      <c r="D146" t="inlineStr">
        <is>
          <t>VÄSTERNORRLANDS LÄN</t>
        </is>
      </c>
      <c r="E146" t="inlineStr">
        <is>
          <t>SOLLEFTEÅ</t>
        </is>
      </c>
      <c r="F146" t="inlineStr">
        <is>
          <t>SCA</t>
        </is>
      </c>
      <c r="G146" t="n">
        <v>2.2</v>
      </c>
      <c r="H146" t="n">
        <v>1</v>
      </c>
      <c r="I146" t="n">
        <v>0</v>
      </c>
      <c r="J146" t="n">
        <v>4</v>
      </c>
      <c r="K146" t="n">
        <v>1</v>
      </c>
      <c r="L146" t="n">
        <v>0</v>
      </c>
      <c r="M146" t="n">
        <v>0</v>
      </c>
      <c r="N146" t="n">
        <v>0</v>
      </c>
      <c r="O146" t="n">
        <v>5</v>
      </c>
      <c r="P146" t="n">
        <v>1</v>
      </c>
      <c r="Q146" t="n">
        <v>5</v>
      </c>
      <c r="R146" s="2" t="inlineStr">
        <is>
          <t>Rynkskinn
Lunglav
Rosenticka
Tretåig hackspett
Ullticka</t>
        </is>
      </c>
      <c r="S146">
        <f>HYPERLINK("https://klasma.github.io/Logging_2283/artfynd/A 32216-2023 artfynd.xlsx", "A 32216-2023")</f>
        <v/>
      </c>
      <c r="T146">
        <f>HYPERLINK("https://klasma.github.io/Logging_2283/kartor/A 32216-2023 karta.png", "A 32216-2023")</f>
        <v/>
      </c>
      <c r="V146">
        <f>HYPERLINK("https://klasma.github.io/Logging_2283/klagomål/A 32216-2023 FSC-klagomål.docx", "A 32216-2023")</f>
        <v/>
      </c>
      <c r="W146">
        <f>HYPERLINK("https://klasma.github.io/Logging_2283/klagomålsmail/A 32216-2023 FSC-klagomål mail.docx", "A 32216-2023")</f>
        <v/>
      </c>
      <c r="X146">
        <f>HYPERLINK("https://klasma.github.io/Logging_2283/tillsyn/A 32216-2023 tillsynsbegäran.docx", "A 32216-2023")</f>
        <v/>
      </c>
      <c r="Y146">
        <f>HYPERLINK("https://klasma.github.io/Logging_2283/tillsynsmail/A 32216-2023 tillsynsbegäran mail.docx", "A 32216-2023")</f>
        <v/>
      </c>
      <c r="Z146">
        <f>HYPERLINK("https://klasma.github.io/Logging_2283/fåglar/A 32216-2023 prioriterade fågelarter.docx", "A 32216-2023")</f>
        <v/>
      </c>
    </row>
    <row r="147" ht="15" customHeight="1">
      <c r="A147" t="inlineStr">
        <is>
          <t>A 21002-2025</t>
        </is>
      </c>
      <c r="B147" s="1" t="n">
        <v>45777.48998842593</v>
      </c>
      <c r="C147" s="1" t="n">
        <v>46048</v>
      </c>
      <c r="D147" t="inlineStr">
        <is>
          <t>VÄSTERNORRLANDS LÄN</t>
        </is>
      </c>
      <c r="E147" t="inlineStr">
        <is>
          <t>SOLLEFTEÅ</t>
        </is>
      </c>
      <c r="F147" t="inlineStr">
        <is>
          <t>SCA</t>
        </is>
      </c>
      <c r="G147" t="n">
        <v>3.1</v>
      </c>
      <c r="H147" t="n">
        <v>1</v>
      </c>
      <c r="I147" t="n">
        <v>2</v>
      </c>
      <c r="J147" t="n">
        <v>3</v>
      </c>
      <c r="K147" t="n">
        <v>0</v>
      </c>
      <c r="L147" t="n">
        <v>0</v>
      </c>
      <c r="M147" t="n">
        <v>0</v>
      </c>
      <c r="N147" t="n">
        <v>0</v>
      </c>
      <c r="O147" t="n">
        <v>3</v>
      </c>
      <c r="P147" t="n">
        <v>0</v>
      </c>
      <c r="Q147" t="n">
        <v>5</v>
      </c>
      <c r="R147" s="2" t="inlineStr">
        <is>
          <t>Granticka
Tretåig hackspett
Ullticka
Norrlandslav
Vedticka</t>
        </is>
      </c>
      <c r="S147">
        <f>HYPERLINK("https://klasma.github.io/Logging_2283/artfynd/A 21002-2025 artfynd.xlsx", "A 21002-2025")</f>
        <v/>
      </c>
      <c r="T147">
        <f>HYPERLINK("https://klasma.github.io/Logging_2283/kartor/A 21002-2025 karta.png", "A 21002-2025")</f>
        <v/>
      </c>
      <c r="V147">
        <f>HYPERLINK("https://klasma.github.io/Logging_2283/klagomål/A 21002-2025 FSC-klagomål.docx", "A 21002-2025")</f>
        <v/>
      </c>
      <c r="W147">
        <f>HYPERLINK("https://klasma.github.io/Logging_2283/klagomålsmail/A 21002-2025 FSC-klagomål mail.docx", "A 21002-2025")</f>
        <v/>
      </c>
      <c r="X147">
        <f>HYPERLINK("https://klasma.github.io/Logging_2283/tillsyn/A 21002-2025 tillsynsbegäran.docx", "A 21002-2025")</f>
        <v/>
      </c>
      <c r="Y147">
        <f>HYPERLINK("https://klasma.github.io/Logging_2283/tillsynsmail/A 21002-2025 tillsynsbegäran mail.docx", "A 21002-2025")</f>
        <v/>
      </c>
      <c r="Z147">
        <f>HYPERLINK("https://klasma.github.io/Logging_2283/fåglar/A 21002-2025 prioriterade fågelarter.docx", "A 21002-2025")</f>
        <v/>
      </c>
    </row>
    <row r="148" ht="15" customHeight="1">
      <c r="A148" t="inlineStr">
        <is>
          <t>A 30235-2022</t>
        </is>
      </c>
      <c r="B148" s="1" t="n">
        <v>44757</v>
      </c>
      <c r="C148" s="1" t="n">
        <v>46048</v>
      </c>
      <c r="D148" t="inlineStr">
        <is>
          <t>VÄSTERNORRLANDS LÄN</t>
        </is>
      </c>
      <c r="E148" t="inlineStr">
        <is>
          <t>SOLLEFTEÅ</t>
        </is>
      </c>
      <c r="F148" t="inlineStr">
        <is>
          <t>SCA</t>
        </is>
      </c>
      <c r="G148" t="n">
        <v>4.7</v>
      </c>
      <c r="H148" t="n">
        <v>3</v>
      </c>
      <c r="I148" t="n">
        <v>0</v>
      </c>
      <c r="J148" t="n">
        <v>3</v>
      </c>
      <c r="K148" t="n">
        <v>2</v>
      </c>
      <c r="L148" t="n">
        <v>0</v>
      </c>
      <c r="M148" t="n">
        <v>0</v>
      </c>
      <c r="N148" t="n">
        <v>0</v>
      </c>
      <c r="O148" t="n">
        <v>5</v>
      </c>
      <c r="P148" t="n">
        <v>2</v>
      </c>
      <c r="Q148" t="n">
        <v>5</v>
      </c>
      <c r="R148" s="2" t="inlineStr">
        <is>
          <t>Doftticka
Knärot
Lunglav
Skrovellav
Tretåig hackspett</t>
        </is>
      </c>
      <c r="S148">
        <f>HYPERLINK("https://klasma.github.io/Logging_2283/artfynd/A 30235-2022 artfynd.xlsx", "A 30235-2022")</f>
        <v/>
      </c>
      <c r="T148">
        <f>HYPERLINK("https://klasma.github.io/Logging_2283/kartor/A 30235-2022 karta.png", "A 30235-2022")</f>
        <v/>
      </c>
      <c r="U148">
        <f>HYPERLINK("https://klasma.github.io/Logging_2283/knärot/A 30235-2022 karta knärot.png", "A 30235-2022")</f>
        <v/>
      </c>
      <c r="V148">
        <f>HYPERLINK("https://klasma.github.io/Logging_2283/klagomål/A 30235-2022 FSC-klagomål.docx", "A 30235-2022")</f>
        <v/>
      </c>
      <c r="W148">
        <f>HYPERLINK("https://klasma.github.io/Logging_2283/klagomålsmail/A 30235-2022 FSC-klagomål mail.docx", "A 30235-2022")</f>
        <v/>
      </c>
      <c r="X148">
        <f>HYPERLINK("https://klasma.github.io/Logging_2283/tillsyn/A 30235-2022 tillsynsbegäran.docx", "A 30235-2022")</f>
        <v/>
      </c>
      <c r="Y148">
        <f>HYPERLINK("https://klasma.github.io/Logging_2283/tillsynsmail/A 30235-2022 tillsynsbegäran mail.docx", "A 30235-2022")</f>
        <v/>
      </c>
      <c r="Z148">
        <f>HYPERLINK("https://klasma.github.io/Logging_2283/fåglar/A 30235-2022 prioriterade fågelarter.docx", "A 30235-2022")</f>
        <v/>
      </c>
    </row>
    <row r="149" ht="15" customHeight="1">
      <c r="A149" t="inlineStr">
        <is>
          <t>A 27910-2024</t>
        </is>
      </c>
      <c r="B149" s="1" t="n">
        <v>45475</v>
      </c>
      <c r="C149" s="1" t="n">
        <v>46048</v>
      </c>
      <c r="D149" t="inlineStr">
        <is>
          <t>VÄSTERNORRLANDS LÄN</t>
        </is>
      </c>
      <c r="E149" t="inlineStr">
        <is>
          <t>SOLLEFTEÅ</t>
        </is>
      </c>
      <c r="F149" t="inlineStr">
        <is>
          <t>SCA</t>
        </is>
      </c>
      <c r="G149" t="n">
        <v>3.2</v>
      </c>
      <c r="H149" t="n">
        <v>0</v>
      </c>
      <c r="I149" t="n">
        <v>1</v>
      </c>
      <c r="J149" t="n">
        <v>3</v>
      </c>
      <c r="K149" t="n">
        <v>1</v>
      </c>
      <c r="L149" t="n">
        <v>0</v>
      </c>
      <c r="M149" t="n">
        <v>0</v>
      </c>
      <c r="N149" t="n">
        <v>0</v>
      </c>
      <c r="O149" t="n">
        <v>4</v>
      </c>
      <c r="P149" t="n">
        <v>1</v>
      </c>
      <c r="Q149" t="n">
        <v>5</v>
      </c>
      <c r="R149" s="2" t="inlineStr">
        <is>
          <t>Rynkskinn
Gammelgransskål
Rosenticka
Ullticka
Vedticka</t>
        </is>
      </c>
      <c r="S149">
        <f>HYPERLINK("https://klasma.github.io/Logging_2283/artfynd/A 27910-2024 artfynd.xlsx", "A 27910-2024")</f>
        <v/>
      </c>
      <c r="T149">
        <f>HYPERLINK("https://klasma.github.io/Logging_2283/kartor/A 27910-2024 karta.png", "A 27910-2024")</f>
        <v/>
      </c>
      <c r="V149">
        <f>HYPERLINK("https://klasma.github.io/Logging_2283/klagomål/A 27910-2024 FSC-klagomål.docx", "A 27910-2024")</f>
        <v/>
      </c>
      <c r="W149">
        <f>HYPERLINK("https://klasma.github.io/Logging_2283/klagomålsmail/A 27910-2024 FSC-klagomål mail.docx", "A 27910-2024")</f>
        <v/>
      </c>
      <c r="X149">
        <f>HYPERLINK("https://klasma.github.io/Logging_2283/tillsyn/A 27910-2024 tillsynsbegäran.docx", "A 27910-2024")</f>
        <v/>
      </c>
      <c r="Y149">
        <f>HYPERLINK("https://klasma.github.io/Logging_2283/tillsynsmail/A 27910-2024 tillsynsbegäran mail.docx", "A 27910-2024")</f>
        <v/>
      </c>
    </row>
    <row r="150" ht="15" customHeight="1">
      <c r="A150" t="inlineStr">
        <is>
          <t>A 22797-2025</t>
        </is>
      </c>
      <c r="B150" s="1" t="n">
        <v>45789</v>
      </c>
      <c r="C150" s="1" t="n">
        <v>46048</v>
      </c>
      <c r="D150" t="inlineStr">
        <is>
          <t>VÄSTERNORRLANDS LÄN</t>
        </is>
      </c>
      <c r="E150" t="inlineStr">
        <is>
          <t>SOLLEFTEÅ</t>
        </is>
      </c>
      <c r="G150" t="n">
        <v>0.9</v>
      </c>
      <c r="H150" t="n">
        <v>2</v>
      </c>
      <c r="I150" t="n">
        <v>0</v>
      </c>
      <c r="J150" t="n">
        <v>5</v>
      </c>
      <c r="K150" t="n">
        <v>0</v>
      </c>
      <c r="L150" t="n">
        <v>0</v>
      </c>
      <c r="M150" t="n">
        <v>0</v>
      </c>
      <c r="N150" t="n">
        <v>0</v>
      </c>
      <c r="O150" t="n">
        <v>5</v>
      </c>
      <c r="P150" t="n">
        <v>0</v>
      </c>
      <c r="Q150" t="n">
        <v>5</v>
      </c>
      <c r="R150" s="2" t="inlineStr">
        <is>
          <t>Blanksvart spiklav
Talltita
Tretåig hackspett
Vedskivlav
Vedtrappmossa</t>
        </is>
      </c>
      <c r="S150">
        <f>HYPERLINK("https://klasma.github.io/Logging_2283/artfynd/A 22797-2025 artfynd.xlsx", "A 22797-2025")</f>
        <v/>
      </c>
      <c r="T150">
        <f>HYPERLINK("https://klasma.github.io/Logging_2283/kartor/A 22797-2025 karta.png", "A 22797-2025")</f>
        <v/>
      </c>
      <c r="V150">
        <f>HYPERLINK("https://klasma.github.io/Logging_2283/klagomål/A 22797-2025 FSC-klagomål.docx", "A 22797-2025")</f>
        <v/>
      </c>
      <c r="W150">
        <f>HYPERLINK("https://klasma.github.io/Logging_2283/klagomålsmail/A 22797-2025 FSC-klagomål mail.docx", "A 22797-2025")</f>
        <v/>
      </c>
      <c r="X150">
        <f>HYPERLINK("https://klasma.github.io/Logging_2283/tillsyn/A 22797-2025 tillsynsbegäran.docx", "A 22797-2025")</f>
        <v/>
      </c>
      <c r="Y150">
        <f>HYPERLINK("https://klasma.github.io/Logging_2283/tillsynsmail/A 22797-2025 tillsynsbegäran mail.docx", "A 22797-2025")</f>
        <v/>
      </c>
      <c r="Z150">
        <f>HYPERLINK("https://klasma.github.io/Logging_2283/fåglar/A 22797-2025 prioriterade fågelarter.docx", "A 22797-2025")</f>
        <v/>
      </c>
    </row>
    <row r="151" ht="15" customHeight="1">
      <c r="A151" t="inlineStr">
        <is>
          <t>A 48562-2024</t>
        </is>
      </c>
      <c r="B151" s="1" t="n">
        <v>45593.38597222222</v>
      </c>
      <c r="C151" s="1" t="n">
        <v>46048</v>
      </c>
      <c r="D151" t="inlineStr">
        <is>
          <t>VÄSTERNORRLANDS LÄN</t>
        </is>
      </c>
      <c r="E151" t="inlineStr">
        <is>
          <t>SOLLEFTEÅ</t>
        </is>
      </c>
      <c r="F151" t="inlineStr">
        <is>
          <t>SCA</t>
        </is>
      </c>
      <c r="G151" t="n">
        <v>5.3</v>
      </c>
      <c r="H151" t="n">
        <v>1</v>
      </c>
      <c r="I151" t="n">
        <v>1</v>
      </c>
      <c r="J151" t="n">
        <v>4</v>
      </c>
      <c r="K151" t="n">
        <v>0</v>
      </c>
      <c r="L151" t="n">
        <v>0</v>
      </c>
      <c r="M151" t="n">
        <v>0</v>
      </c>
      <c r="N151" t="n">
        <v>0</v>
      </c>
      <c r="O151" t="n">
        <v>4</v>
      </c>
      <c r="P151" t="n">
        <v>0</v>
      </c>
      <c r="Q151" t="n">
        <v>5</v>
      </c>
      <c r="R151" s="2" t="inlineStr">
        <is>
          <t>Gammelgransskål
Garnlav
Lunglav
Vitgrynig nållav
Lappranunkel</t>
        </is>
      </c>
      <c r="S151">
        <f>HYPERLINK("https://klasma.github.io/Logging_2283/artfynd/A 48562-2024 artfynd.xlsx", "A 48562-2024")</f>
        <v/>
      </c>
      <c r="T151">
        <f>HYPERLINK("https://klasma.github.io/Logging_2283/kartor/A 48562-2024 karta.png", "A 48562-2024")</f>
        <v/>
      </c>
      <c r="V151">
        <f>HYPERLINK("https://klasma.github.io/Logging_2283/klagomål/A 48562-2024 FSC-klagomål.docx", "A 48562-2024")</f>
        <v/>
      </c>
      <c r="W151">
        <f>HYPERLINK("https://klasma.github.io/Logging_2283/klagomålsmail/A 48562-2024 FSC-klagomål mail.docx", "A 48562-2024")</f>
        <v/>
      </c>
      <c r="X151">
        <f>HYPERLINK("https://klasma.github.io/Logging_2283/tillsyn/A 48562-2024 tillsynsbegäran.docx", "A 48562-2024")</f>
        <v/>
      </c>
      <c r="Y151">
        <f>HYPERLINK("https://klasma.github.io/Logging_2283/tillsynsmail/A 48562-2024 tillsynsbegäran mail.docx", "A 48562-2024")</f>
        <v/>
      </c>
    </row>
    <row r="152" ht="15" customHeight="1">
      <c r="A152" t="inlineStr">
        <is>
          <t>A 57655-2023</t>
        </is>
      </c>
      <c r="B152" s="1" t="n">
        <v>45246</v>
      </c>
      <c r="C152" s="1" t="n">
        <v>46048</v>
      </c>
      <c r="D152" t="inlineStr">
        <is>
          <t>VÄSTERNORRLANDS LÄN</t>
        </is>
      </c>
      <c r="E152" t="inlineStr">
        <is>
          <t>SOLLEFTEÅ</t>
        </is>
      </c>
      <c r="G152" t="n">
        <v>5.1</v>
      </c>
      <c r="H152" t="n">
        <v>0</v>
      </c>
      <c r="I152" t="n">
        <v>4</v>
      </c>
      <c r="J152" t="n">
        <v>1</v>
      </c>
      <c r="K152" t="n">
        <v>0</v>
      </c>
      <c r="L152" t="n">
        <v>0</v>
      </c>
      <c r="M152" t="n">
        <v>0</v>
      </c>
      <c r="N152" t="n">
        <v>0</v>
      </c>
      <c r="O152" t="n">
        <v>1</v>
      </c>
      <c r="P152" t="n">
        <v>0</v>
      </c>
      <c r="Q152" t="n">
        <v>5</v>
      </c>
      <c r="R152" s="2" t="inlineStr">
        <is>
          <t>Lunglav
Bårdlav
Luddlav
Norrlandslav
Stuplav</t>
        </is>
      </c>
      <c r="S152">
        <f>HYPERLINK("https://klasma.github.io/Logging_2283/artfynd/A 57655-2023 artfynd.xlsx", "A 57655-2023")</f>
        <v/>
      </c>
      <c r="T152">
        <f>HYPERLINK("https://klasma.github.io/Logging_2283/kartor/A 57655-2023 karta.png", "A 57655-2023")</f>
        <v/>
      </c>
      <c r="V152">
        <f>HYPERLINK("https://klasma.github.io/Logging_2283/klagomål/A 57655-2023 FSC-klagomål.docx", "A 57655-2023")</f>
        <v/>
      </c>
      <c r="W152">
        <f>HYPERLINK("https://klasma.github.io/Logging_2283/klagomålsmail/A 57655-2023 FSC-klagomål mail.docx", "A 57655-2023")</f>
        <v/>
      </c>
      <c r="X152">
        <f>HYPERLINK("https://klasma.github.io/Logging_2283/tillsyn/A 57655-2023 tillsynsbegäran.docx", "A 57655-2023")</f>
        <v/>
      </c>
      <c r="Y152">
        <f>HYPERLINK("https://klasma.github.io/Logging_2283/tillsynsmail/A 57655-2023 tillsynsbegäran mail.docx", "A 57655-2023")</f>
        <v/>
      </c>
    </row>
    <row r="153" ht="15" customHeight="1">
      <c r="A153" t="inlineStr">
        <is>
          <t>A 41169-2022</t>
        </is>
      </c>
      <c r="B153" s="1" t="n">
        <v>44825</v>
      </c>
      <c r="C153" s="1" t="n">
        <v>46048</v>
      </c>
      <c r="D153" t="inlineStr">
        <is>
          <t>VÄSTERNORRLANDS LÄN</t>
        </is>
      </c>
      <c r="E153" t="inlineStr">
        <is>
          <t>SOLLEFTEÅ</t>
        </is>
      </c>
      <c r="F153" t="inlineStr">
        <is>
          <t>SCA</t>
        </is>
      </c>
      <c r="G153" t="n">
        <v>1.8</v>
      </c>
      <c r="H153" t="n">
        <v>2</v>
      </c>
      <c r="I153" t="n">
        <v>1</v>
      </c>
      <c r="J153" t="n">
        <v>4</v>
      </c>
      <c r="K153" t="n">
        <v>0</v>
      </c>
      <c r="L153" t="n">
        <v>0</v>
      </c>
      <c r="M153" t="n">
        <v>0</v>
      </c>
      <c r="N153" t="n">
        <v>0</v>
      </c>
      <c r="O153" t="n">
        <v>4</v>
      </c>
      <c r="P153" t="n">
        <v>0</v>
      </c>
      <c r="Q153" t="n">
        <v>5</v>
      </c>
      <c r="R153" s="2" t="inlineStr">
        <is>
          <t>Spillkråka
Tretåig hackspett
Ullticka
Vedskivlav
Vedticka</t>
        </is>
      </c>
      <c r="S153">
        <f>HYPERLINK("https://klasma.github.io/Logging_2283/artfynd/A 41169-2022 artfynd.xlsx", "A 41169-2022")</f>
        <v/>
      </c>
      <c r="T153">
        <f>HYPERLINK("https://klasma.github.io/Logging_2283/kartor/A 41169-2022 karta.png", "A 41169-2022")</f>
        <v/>
      </c>
      <c r="V153">
        <f>HYPERLINK("https://klasma.github.io/Logging_2283/klagomål/A 41169-2022 FSC-klagomål.docx", "A 41169-2022")</f>
        <v/>
      </c>
      <c r="W153">
        <f>HYPERLINK("https://klasma.github.io/Logging_2283/klagomålsmail/A 41169-2022 FSC-klagomål mail.docx", "A 41169-2022")</f>
        <v/>
      </c>
      <c r="X153">
        <f>HYPERLINK("https://klasma.github.io/Logging_2283/tillsyn/A 41169-2022 tillsynsbegäran.docx", "A 41169-2022")</f>
        <v/>
      </c>
      <c r="Y153">
        <f>HYPERLINK("https://klasma.github.io/Logging_2283/tillsynsmail/A 41169-2022 tillsynsbegäran mail.docx", "A 41169-2022")</f>
        <v/>
      </c>
      <c r="Z153">
        <f>HYPERLINK("https://klasma.github.io/Logging_2283/fåglar/A 41169-2022 prioriterade fågelarter.docx", "A 41169-2022")</f>
        <v/>
      </c>
    </row>
    <row r="154" ht="15" customHeight="1">
      <c r="A154" t="inlineStr">
        <is>
          <t>A 32217-2023</t>
        </is>
      </c>
      <c r="B154" s="1" t="n">
        <v>45119</v>
      </c>
      <c r="C154" s="1" t="n">
        <v>46048</v>
      </c>
      <c r="D154" t="inlineStr">
        <is>
          <t>VÄSTERNORRLANDS LÄN</t>
        </is>
      </c>
      <c r="E154" t="inlineStr">
        <is>
          <t>SOLLEFTEÅ</t>
        </is>
      </c>
      <c r="F154" t="inlineStr">
        <is>
          <t>SCA</t>
        </is>
      </c>
      <c r="G154" t="n">
        <v>1.8</v>
      </c>
      <c r="H154" t="n">
        <v>1</v>
      </c>
      <c r="I154" t="n">
        <v>0</v>
      </c>
      <c r="J154" t="n">
        <v>5</v>
      </c>
      <c r="K154" t="n">
        <v>0</v>
      </c>
      <c r="L154" t="n">
        <v>0</v>
      </c>
      <c r="M154" t="n">
        <v>0</v>
      </c>
      <c r="N154" t="n">
        <v>0</v>
      </c>
      <c r="O154" t="n">
        <v>5</v>
      </c>
      <c r="P154" t="n">
        <v>0</v>
      </c>
      <c r="Q154" t="n">
        <v>5</v>
      </c>
      <c r="R154" s="2" t="inlineStr">
        <is>
          <t>Garnlav
Lunglav
Rosenticka
Skogshare
Tretåig hackspett</t>
        </is>
      </c>
      <c r="S154">
        <f>HYPERLINK("https://klasma.github.io/Logging_2283/artfynd/A 32217-2023 artfynd.xlsx", "A 32217-2023")</f>
        <v/>
      </c>
      <c r="T154">
        <f>HYPERLINK("https://klasma.github.io/Logging_2283/kartor/A 32217-2023 karta.png", "A 32217-2023")</f>
        <v/>
      </c>
      <c r="V154">
        <f>HYPERLINK("https://klasma.github.io/Logging_2283/klagomål/A 32217-2023 FSC-klagomål.docx", "A 32217-2023")</f>
        <v/>
      </c>
      <c r="W154">
        <f>HYPERLINK("https://klasma.github.io/Logging_2283/klagomålsmail/A 32217-2023 FSC-klagomål mail.docx", "A 32217-2023")</f>
        <v/>
      </c>
      <c r="X154">
        <f>HYPERLINK("https://klasma.github.io/Logging_2283/tillsyn/A 32217-2023 tillsynsbegäran.docx", "A 32217-2023")</f>
        <v/>
      </c>
      <c r="Y154">
        <f>HYPERLINK("https://klasma.github.io/Logging_2283/tillsynsmail/A 32217-2023 tillsynsbegäran mail.docx", "A 32217-2023")</f>
        <v/>
      </c>
      <c r="Z154">
        <f>HYPERLINK("https://klasma.github.io/Logging_2283/fåglar/A 32217-2023 prioriterade fågelarter.docx", "A 32217-2023")</f>
        <v/>
      </c>
    </row>
    <row r="155" ht="15" customHeight="1">
      <c r="A155" t="inlineStr">
        <is>
          <t>A 23319-2025</t>
        </is>
      </c>
      <c r="B155" s="1" t="n">
        <v>45791.61511574074</v>
      </c>
      <c r="C155" s="1" t="n">
        <v>46048</v>
      </c>
      <c r="D155" t="inlineStr">
        <is>
          <t>VÄSTERNORRLANDS LÄN</t>
        </is>
      </c>
      <c r="E155" t="inlineStr">
        <is>
          <t>SOLLEFTEÅ</t>
        </is>
      </c>
      <c r="F155" t="inlineStr">
        <is>
          <t>SCA</t>
        </is>
      </c>
      <c r="G155" t="n">
        <v>5.3</v>
      </c>
      <c r="H155" t="n">
        <v>2</v>
      </c>
      <c r="I155" t="n">
        <v>3</v>
      </c>
      <c r="J155" t="n">
        <v>1</v>
      </c>
      <c r="K155" t="n">
        <v>0</v>
      </c>
      <c r="L155" t="n">
        <v>0</v>
      </c>
      <c r="M155" t="n">
        <v>0</v>
      </c>
      <c r="N155" t="n">
        <v>0</v>
      </c>
      <c r="O155" t="n">
        <v>1</v>
      </c>
      <c r="P155" t="n">
        <v>0</v>
      </c>
      <c r="Q155" t="n">
        <v>5</v>
      </c>
      <c r="R155" s="2" t="inlineStr">
        <is>
          <t>Lunglav
Plattlummer
Skinnlav
Stor aspticka
Revlummer</t>
        </is>
      </c>
      <c r="S155">
        <f>HYPERLINK("https://klasma.github.io/Logging_2283/artfynd/A 23319-2025 artfynd.xlsx", "A 23319-2025")</f>
        <v/>
      </c>
      <c r="T155">
        <f>HYPERLINK("https://klasma.github.io/Logging_2283/kartor/A 23319-2025 karta.png", "A 23319-2025")</f>
        <v/>
      </c>
      <c r="V155">
        <f>HYPERLINK("https://klasma.github.io/Logging_2283/klagomål/A 23319-2025 FSC-klagomål.docx", "A 23319-2025")</f>
        <v/>
      </c>
      <c r="W155">
        <f>HYPERLINK("https://klasma.github.io/Logging_2283/klagomålsmail/A 23319-2025 FSC-klagomål mail.docx", "A 23319-2025")</f>
        <v/>
      </c>
      <c r="X155">
        <f>HYPERLINK("https://klasma.github.io/Logging_2283/tillsyn/A 23319-2025 tillsynsbegäran.docx", "A 23319-2025")</f>
        <v/>
      </c>
      <c r="Y155">
        <f>HYPERLINK("https://klasma.github.io/Logging_2283/tillsynsmail/A 23319-2025 tillsynsbegäran mail.docx", "A 23319-2025")</f>
        <v/>
      </c>
    </row>
    <row r="156" ht="15" customHeight="1">
      <c r="A156" t="inlineStr">
        <is>
          <t>A 59662-2023</t>
        </is>
      </c>
      <c r="B156" s="1" t="n">
        <v>45254.96438657407</v>
      </c>
      <c r="C156" s="1" t="n">
        <v>46048</v>
      </c>
      <c r="D156" t="inlineStr">
        <is>
          <t>VÄSTERNORRLANDS LÄN</t>
        </is>
      </c>
      <c r="E156" t="inlineStr">
        <is>
          <t>SOLLEFTEÅ</t>
        </is>
      </c>
      <c r="F156" t="inlineStr">
        <is>
          <t>SCA</t>
        </is>
      </c>
      <c r="G156" t="n">
        <v>4.8</v>
      </c>
      <c r="H156" t="n">
        <v>1</v>
      </c>
      <c r="I156" t="n">
        <v>0</v>
      </c>
      <c r="J156" t="n">
        <v>4</v>
      </c>
      <c r="K156" t="n">
        <v>1</v>
      </c>
      <c r="L156" t="n">
        <v>0</v>
      </c>
      <c r="M156" t="n">
        <v>0</v>
      </c>
      <c r="N156" t="n">
        <v>0</v>
      </c>
      <c r="O156" t="n">
        <v>5</v>
      </c>
      <c r="P156" t="n">
        <v>1</v>
      </c>
      <c r="Q156" t="n">
        <v>5</v>
      </c>
      <c r="R156" s="2" t="inlineStr">
        <is>
          <t>Knärot
Dvärgbägarlav
Kolflarnlav
Koralltaggsvamp
Tallticka</t>
        </is>
      </c>
      <c r="S156">
        <f>HYPERLINK("https://klasma.github.io/Logging_2283/artfynd/A 59662-2023 artfynd.xlsx", "A 59662-2023")</f>
        <v/>
      </c>
      <c r="T156">
        <f>HYPERLINK("https://klasma.github.io/Logging_2283/kartor/A 59662-2023 karta.png", "A 59662-2023")</f>
        <v/>
      </c>
      <c r="U156">
        <f>HYPERLINK("https://klasma.github.io/Logging_2283/knärot/A 59662-2023 karta knärot.png", "A 59662-2023")</f>
        <v/>
      </c>
      <c r="V156">
        <f>HYPERLINK("https://klasma.github.io/Logging_2283/klagomål/A 59662-2023 FSC-klagomål.docx", "A 59662-2023")</f>
        <v/>
      </c>
      <c r="W156">
        <f>HYPERLINK("https://klasma.github.io/Logging_2283/klagomålsmail/A 59662-2023 FSC-klagomål mail.docx", "A 59662-2023")</f>
        <v/>
      </c>
      <c r="X156">
        <f>HYPERLINK("https://klasma.github.io/Logging_2283/tillsyn/A 59662-2023 tillsynsbegäran.docx", "A 59662-2023")</f>
        <v/>
      </c>
      <c r="Y156">
        <f>HYPERLINK("https://klasma.github.io/Logging_2283/tillsynsmail/A 59662-2023 tillsynsbegäran mail.docx", "A 59662-2023")</f>
        <v/>
      </c>
    </row>
    <row r="157" ht="15" customHeight="1">
      <c r="A157" t="inlineStr">
        <is>
          <t>A 27675-2023</t>
        </is>
      </c>
      <c r="B157" s="1" t="n">
        <v>45097</v>
      </c>
      <c r="C157" s="1" t="n">
        <v>46048</v>
      </c>
      <c r="D157" t="inlineStr">
        <is>
          <t>VÄSTERNORRLANDS LÄN</t>
        </is>
      </c>
      <c r="E157" t="inlineStr">
        <is>
          <t>SOLLEFTEÅ</t>
        </is>
      </c>
      <c r="G157" t="n">
        <v>4.7</v>
      </c>
      <c r="H157" t="n">
        <v>1</v>
      </c>
      <c r="I157" t="n">
        <v>1</v>
      </c>
      <c r="J157" t="n">
        <v>3</v>
      </c>
      <c r="K157" t="n">
        <v>1</v>
      </c>
      <c r="L157" t="n">
        <v>0</v>
      </c>
      <c r="M157" t="n">
        <v>0</v>
      </c>
      <c r="N157" t="n">
        <v>0</v>
      </c>
      <c r="O157" t="n">
        <v>4</v>
      </c>
      <c r="P157" t="n">
        <v>1</v>
      </c>
      <c r="Q157" t="n">
        <v>5</v>
      </c>
      <c r="R157" s="2" t="inlineStr">
        <is>
          <t>Knärot
Garnlav
Lunglav
Ullticka
Stuplav</t>
        </is>
      </c>
      <c r="S157">
        <f>HYPERLINK("https://klasma.github.io/Logging_2283/artfynd/A 27675-2023 artfynd.xlsx", "A 27675-2023")</f>
        <v/>
      </c>
      <c r="T157">
        <f>HYPERLINK("https://klasma.github.io/Logging_2283/kartor/A 27675-2023 karta.png", "A 27675-2023")</f>
        <v/>
      </c>
      <c r="U157">
        <f>HYPERLINK("https://klasma.github.io/Logging_2283/knärot/A 27675-2023 karta knärot.png", "A 27675-2023")</f>
        <v/>
      </c>
      <c r="V157">
        <f>HYPERLINK("https://klasma.github.io/Logging_2283/klagomål/A 27675-2023 FSC-klagomål.docx", "A 27675-2023")</f>
        <v/>
      </c>
      <c r="W157">
        <f>HYPERLINK("https://klasma.github.io/Logging_2283/klagomålsmail/A 27675-2023 FSC-klagomål mail.docx", "A 27675-2023")</f>
        <v/>
      </c>
      <c r="X157">
        <f>HYPERLINK("https://klasma.github.io/Logging_2283/tillsyn/A 27675-2023 tillsynsbegäran.docx", "A 27675-2023")</f>
        <v/>
      </c>
      <c r="Y157">
        <f>HYPERLINK("https://klasma.github.io/Logging_2283/tillsynsmail/A 27675-2023 tillsynsbegäran mail.docx", "A 27675-2023")</f>
        <v/>
      </c>
    </row>
    <row r="158" ht="15" customHeight="1">
      <c r="A158" t="inlineStr">
        <is>
          <t>A 33519-2024</t>
        </is>
      </c>
      <c r="B158" s="1" t="n">
        <v>45519</v>
      </c>
      <c r="C158" s="1" t="n">
        <v>46048</v>
      </c>
      <c r="D158" t="inlineStr">
        <is>
          <t>VÄSTERNORRLANDS LÄN</t>
        </is>
      </c>
      <c r="E158" t="inlineStr">
        <is>
          <t>SOLLEFTEÅ</t>
        </is>
      </c>
      <c r="G158" t="n">
        <v>3.6</v>
      </c>
      <c r="H158" t="n">
        <v>0</v>
      </c>
      <c r="I158" t="n">
        <v>1</v>
      </c>
      <c r="J158" t="n">
        <v>4</v>
      </c>
      <c r="K158" t="n">
        <v>0</v>
      </c>
      <c r="L158" t="n">
        <v>0</v>
      </c>
      <c r="M158" t="n">
        <v>0</v>
      </c>
      <c r="N158" t="n">
        <v>0</v>
      </c>
      <c r="O158" t="n">
        <v>4</v>
      </c>
      <c r="P158" t="n">
        <v>0</v>
      </c>
      <c r="Q158" t="n">
        <v>5</v>
      </c>
      <c r="R158" s="2" t="inlineStr">
        <is>
          <t>Garnlav
Kolflarnlav
Skrovlig taggsvamp
Vaddporing
Dropptaggsvamp</t>
        </is>
      </c>
      <c r="S158">
        <f>HYPERLINK("https://klasma.github.io/Logging_2283/artfynd/A 33519-2024 artfynd.xlsx", "A 33519-2024")</f>
        <v/>
      </c>
      <c r="T158">
        <f>HYPERLINK("https://klasma.github.io/Logging_2283/kartor/A 33519-2024 karta.png", "A 33519-2024")</f>
        <v/>
      </c>
      <c r="U158">
        <f>HYPERLINK("https://klasma.github.io/Logging_2283/knärot/A 33519-2024 karta knärot.png", "A 33519-2024")</f>
        <v/>
      </c>
      <c r="V158">
        <f>HYPERLINK("https://klasma.github.io/Logging_2283/klagomål/A 33519-2024 FSC-klagomål.docx", "A 33519-2024")</f>
        <v/>
      </c>
      <c r="W158">
        <f>HYPERLINK("https://klasma.github.io/Logging_2283/klagomålsmail/A 33519-2024 FSC-klagomål mail.docx", "A 33519-2024")</f>
        <v/>
      </c>
      <c r="X158">
        <f>HYPERLINK("https://klasma.github.io/Logging_2283/tillsyn/A 33519-2024 tillsynsbegäran.docx", "A 33519-2024")</f>
        <v/>
      </c>
      <c r="Y158">
        <f>HYPERLINK("https://klasma.github.io/Logging_2283/tillsynsmail/A 33519-2024 tillsynsbegäran mail.docx", "A 33519-2024")</f>
        <v/>
      </c>
    </row>
    <row r="159" ht="15" customHeight="1">
      <c r="A159" t="inlineStr">
        <is>
          <t>A 46629-2022</t>
        </is>
      </c>
      <c r="B159" s="1" t="n">
        <v>44848</v>
      </c>
      <c r="C159" s="1" t="n">
        <v>46048</v>
      </c>
      <c r="D159" t="inlineStr">
        <is>
          <t>VÄSTERNORRLANDS LÄN</t>
        </is>
      </c>
      <c r="E159" t="inlineStr">
        <is>
          <t>SOLLEFTEÅ</t>
        </is>
      </c>
      <c r="F159" t="inlineStr">
        <is>
          <t>SCA</t>
        </is>
      </c>
      <c r="G159" t="n">
        <v>4.5</v>
      </c>
      <c r="H159" t="n">
        <v>2</v>
      </c>
      <c r="I159" t="n">
        <v>0</v>
      </c>
      <c r="J159" t="n">
        <v>4</v>
      </c>
      <c r="K159" t="n">
        <v>1</v>
      </c>
      <c r="L159" t="n">
        <v>0</v>
      </c>
      <c r="M159" t="n">
        <v>0</v>
      </c>
      <c r="N159" t="n">
        <v>0</v>
      </c>
      <c r="O159" t="n">
        <v>5</v>
      </c>
      <c r="P159" t="n">
        <v>1</v>
      </c>
      <c r="Q159" t="n">
        <v>5</v>
      </c>
      <c r="R159" s="2" t="inlineStr">
        <is>
          <t>Knärot
Garnlav
Lunglav
Skogshare
Tretåig hackspett</t>
        </is>
      </c>
      <c r="S159">
        <f>HYPERLINK("https://klasma.github.io/Logging_2283/artfynd/A 46629-2022 artfynd.xlsx", "A 46629-2022")</f>
        <v/>
      </c>
      <c r="T159">
        <f>HYPERLINK("https://klasma.github.io/Logging_2283/kartor/A 46629-2022 karta.png", "A 46629-2022")</f>
        <v/>
      </c>
      <c r="U159">
        <f>HYPERLINK("https://klasma.github.io/Logging_2283/knärot/A 46629-2022 karta knärot.png", "A 46629-2022")</f>
        <v/>
      </c>
      <c r="V159">
        <f>HYPERLINK("https://klasma.github.io/Logging_2283/klagomål/A 46629-2022 FSC-klagomål.docx", "A 46629-2022")</f>
        <v/>
      </c>
      <c r="W159">
        <f>HYPERLINK("https://klasma.github.io/Logging_2283/klagomålsmail/A 46629-2022 FSC-klagomål mail.docx", "A 46629-2022")</f>
        <v/>
      </c>
      <c r="X159">
        <f>HYPERLINK("https://klasma.github.io/Logging_2283/tillsyn/A 46629-2022 tillsynsbegäran.docx", "A 46629-2022")</f>
        <v/>
      </c>
      <c r="Y159">
        <f>HYPERLINK("https://klasma.github.io/Logging_2283/tillsynsmail/A 46629-2022 tillsynsbegäran mail.docx", "A 46629-2022")</f>
        <v/>
      </c>
      <c r="Z159">
        <f>HYPERLINK("https://klasma.github.io/Logging_2283/fåglar/A 46629-2022 prioriterade fågelarter.docx", "A 46629-2022")</f>
        <v/>
      </c>
    </row>
    <row r="160" ht="15" customHeight="1">
      <c r="A160" t="inlineStr">
        <is>
          <t>A 50418-2024</t>
        </is>
      </c>
      <c r="B160" s="1" t="n">
        <v>45601.38575231482</v>
      </c>
      <c r="C160" s="1" t="n">
        <v>46048</v>
      </c>
      <c r="D160" t="inlineStr">
        <is>
          <t>VÄSTERNORRLANDS LÄN</t>
        </is>
      </c>
      <c r="E160" t="inlineStr">
        <is>
          <t>SOLLEFTEÅ</t>
        </is>
      </c>
      <c r="F160" t="inlineStr">
        <is>
          <t>SCA</t>
        </is>
      </c>
      <c r="G160" t="n">
        <v>3.4</v>
      </c>
      <c r="H160" t="n">
        <v>0</v>
      </c>
      <c r="I160" t="n">
        <v>0</v>
      </c>
      <c r="J160" t="n">
        <v>4</v>
      </c>
      <c r="K160" t="n">
        <v>1</v>
      </c>
      <c r="L160" t="n">
        <v>0</v>
      </c>
      <c r="M160" t="n">
        <v>0</v>
      </c>
      <c r="N160" t="n">
        <v>0</v>
      </c>
      <c r="O160" t="n">
        <v>5</v>
      </c>
      <c r="P160" t="n">
        <v>1</v>
      </c>
      <c r="Q160" t="n">
        <v>5</v>
      </c>
      <c r="R160" s="2" t="inlineStr">
        <is>
          <t>Rynkskinn
Garnlav
Granticka
Harticka
Lunglav</t>
        </is>
      </c>
      <c r="S160">
        <f>HYPERLINK("https://klasma.github.io/Logging_2283/artfynd/A 50418-2024 artfynd.xlsx", "A 50418-2024")</f>
        <v/>
      </c>
      <c r="T160">
        <f>HYPERLINK("https://klasma.github.io/Logging_2283/kartor/A 50418-2024 karta.png", "A 50418-2024")</f>
        <v/>
      </c>
      <c r="V160">
        <f>HYPERLINK("https://klasma.github.io/Logging_2283/klagomål/A 50418-2024 FSC-klagomål.docx", "A 50418-2024")</f>
        <v/>
      </c>
      <c r="W160">
        <f>HYPERLINK("https://klasma.github.io/Logging_2283/klagomålsmail/A 50418-2024 FSC-klagomål mail.docx", "A 50418-2024")</f>
        <v/>
      </c>
      <c r="X160">
        <f>HYPERLINK("https://klasma.github.io/Logging_2283/tillsyn/A 50418-2024 tillsynsbegäran.docx", "A 50418-2024")</f>
        <v/>
      </c>
      <c r="Y160">
        <f>HYPERLINK("https://klasma.github.io/Logging_2283/tillsynsmail/A 50418-2024 tillsynsbegäran mail.docx", "A 50418-2024")</f>
        <v/>
      </c>
    </row>
    <row r="161" ht="15" customHeight="1">
      <c r="A161" t="inlineStr">
        <is>
          <t>A 16314-2025</t>
        </is>
      </c>
      <c r="B161" s="1" t="n">
        <v>45751.34763888889</v>
      </c>
      <c r="C161" s="1" t="n">
        <v>46048</v>
      </c>
      <c r="D161" t="inlineStr">
        <is>
          <t>VÄSTERNORRLANDS LÄN</t>
        </is>
      </c>
      <c r="E161" t="inlineStr">
        <is>
          <t>SOLLEFTEÅ</t>
        </is>
      </c>
      <c r="F161" t="inlineStr">
        <is>
          <t>SCA</t>
        </is>
      </c>
      <c r="G161" t="n">
        <v>2.7</v>
      </c>
      <c r="H161" t="n">
        <v>0</v>
      </c>
      <c r="I161" t="n">
        <v>0</v>
      </c>
      <c r="J161" t="n">
        <v>5</v>
      </c>
      <c r="K161" t="n">
        <v>0</v>
      </c>
      <c r="L161" t="n">
        <v>0</v>
      </c>
      <c r="M161" t="n">
        <v>0</v>
      </c>
      <c r="N161" t="n">
        <v>0</v>
      </c>
      <c r="O161" t="n">
        <v>5</v>
      </c>
      <c r="P161" t="n">
        <v>0</v>
      </c>
      <c r="Q161" t="n">
        <v>5</v>
      </c>
      <c r="R161" s="2" t="inlineStr">
        <is>
          <t>Gammelgransskål
Garnlav
Lunglav
Rosenticka
Ullticka</t>
        </is>
      </c>
      <c r="S161">
        <f>HYPERLINK("https://klasma.github.io/Logging_2283/artfynd/A 16314-2025 artfynd.xlsx", "A 16314-2025")</f>
        <v/>
      </c>
      <c r="T161">
        <f>HYPERLINK("https://klasma.github.io/Logging_2283/kartor/A 16314-2025 karta.png", "A 16314-2025")</f>
        <v/>
      </c>
      <c r="V161">
        <f>HYPERLINK("https://klasma.github.io/Logging_2283/klagomål/A 16314-2025 FSC-klagomål.docx", "A 16314-2025")</f>
        <v/>
      </c>
      <c r="W161">
        <f>HYPERLINK("https://klasma.github.io/Logging_2283/klagomålsmail/A 16314-2025 FSC-klagomål mail.docx", "A 16314-2025")</f>
        <v/>
      </c>
      <c r="X161">
        <f>HYPERLINK("https://klasma.github.io/Logging_2283/tillsyn/A 16314-2025 tillsynsbegäran.docx", "A 16314-2025")</f>
        <v/>
      </c>
      <c r="Y161">
        <f>HYPERLINK("https://klasma.github.io/Logging_2283/tillsynsmail/A 16314-2025 tillsynsbegäran mail.docx", "A 16314-2025")</f>
        <v/>
      </c>
    </row>
    <row r="162" ht="15" customHeight="1">
      <c r="A162" t="inlineStr">
        <is>
          <t>A 44407-2025</t>
        </is>
      </c>
      <c r="B162" s="1" t="n">
        <v>45916.52679398148</v>
      </c>
      <c r="C162" s="1" t="n">
        <v>46048</v>
      </c>
      <c r="D162" t="inlineStr">
        <is>
          <t>VÄSTERNORRLANDS LÄN</t>
        </is>
      </c>
      <c r="E162" t="inlineStr">
        <is>
          <t>SOLLEFTEÅ</t>
        </is>
      </c>
      <c r="G162" t="n">
        <v>4.1</v>
      </c>
      <c r="H162" t="n">
        <v>1</v>
      </c>
      <c r="I162" t="n">
        <v>3</v>
      </c>
      <c r="J162" t="n">
        <v>1</v>
      </c>
      <c r="K162" t="n">
        <v>0</v>
      </c>
      <c r="L162" t="n">
        <v>0</v>
      </c>
      <c r="M162" t="n">
        <v>0</v>
      </c>
      <c r="N162" t="n">
        <v>0</v>
      </c>
      <c r="O162" t="n">
        <v>1</v>
      </c>
      <c r="P162" t="n">
        <v>0</v>
      </c>
      <c r="Q162" t="n">
        <v>5</v>
      </c>
      <c r="R162" s="2" t="inlineStr">
        <is>
          <t>Granticka
Dvärghäxört
Luddlav
Stuplav
Revlummer</t>
        </is>
      </c>
      <c r="S162">
        <f>HYPERLINK("https://klasma.github.io/Logging_2283/artfynd/A 44407-2025 artfynd.xlsx", "A 44407-2025")</f>
        <v/>
      </c>
      <c r="T162">
        <f>HYPERLINK("https://klasma.github.io/Logging_2283/kartor/A 44407-2025 karta.png", "A 44407-2025")</f>
        <v/>
      </c>
      <c r="V162">
        <f>HYPERLINK("https://klasma.github.io/Logging_2283/klagomål/A 44407-2025 FSC-klagomål.docx", "A 44407-2025")</f>
        <v/>
      </c>
      <c r="W162">
        <f>HYPERLINK("https://klasma.github.io/Logging_2283/klagomålsmail/A 44407-2025 FSC-klagomål mail.docx", "A 44407-2025")</f>
        <v/>
      </c>
      <c r="X162">
        <f>HYPERLINK("https://klasma.github.io/Logging_2283/tillsyn/A 44407-2025 tillsynsbegäran.docx", "A 44407-2025")</f>
        <v/>
      </c>
      <c r="Y162">
        <f>HYPERLINK("https://klasma.github.io/Logging_2283/tillsynsmail/A 44407-2025 tillsynsbegäran mail.docx", "A 44407-2025")</f>
        <v/>
      </c>
    </row>
    <row r="163" ht="15" customHeight="1">
      <c r="A163" t="inlineStr">
        <is>
          <t>A 44797-2025</t>
        </is>
      </c>
      <c r="B163" s="1" t="n">
        <v>45918.34486111111</v>
      </c>
      <c r="C163" s="1" t="n">
        <v>46048</v>
      </c>
      <c r="D163" t="inlineStr">
        <is>
          <t>VÄSTERNORRLANDS LÄN</t>
        </is>
      </c>
      <c r="E163" t="inlineStr">
        <is>
          <t>SOLLEFTEÅ</t>
        </is>
      </c>
      <c r="F163" t="inlineStr">
        <is>
          <t>SCA</t>
        </is>
      </c>
      <c r="G163" t="n">
        <v>2.4</v>
      </c>
      <c r="H163" t="n">
        <v>0</v>
      </c>
      <c r="I163" t="n">
        <v>1</v>
      </c>
      <c r="J163" t="n">
        <v>3</v>
      </c>
      <c r="K163" t="n">
        <v>1</v>
      </c>
      <c r="L163" t="n">
        <v>0</v>
      </c>
      <c r="M163" t="n">
        <v>0</v>
      </c>
      <c r="N163" t="n">
        <v>0</v>
      </c>
      <c r="O163" t="n">
        <v>4</v>
      </c>
      <c r="P163" t="n">
        <v>1</v>
      </c>
      <c r="Q163" t="n">
        <v>5</v>
      </c>
      <c r="R163" s="2" t="inlineStr">
        <is>
          <t>Goliatmusseron
Dvärgbägarlav
Orange taggsvamp
Skrovlig taggsvamp
Skarp dropptaggsvamp</t>
        </is>
      </c>
      <c r="S163">
        <f>HYPERLINK("https://klasma.github.io/Logging_2283/artfynd/A 44797-2025 artfynd.xlsx", "A 44797-2025")</f>
        <v/>
      </c>
      <c r="T163">
        <f>HYPERLINK("https://klasma.github.io/Logging_2283/kartor/A 44797-2025 karta.png", "A 44797-2025")</f>
        <v/>
      </c>
      <c r="V163">
        <f>HYPERLINK("https://klasma.github.io/Logging_2283/klagomål/A 44797-2025 FSC-klagomål.docx", "A 44797-2025")</f>
        <v/>
      </c>
      <c r="W163">
        <f>HYPERLINK("https://klasma.github.io/Logging_2283/klagomålsmail/A 44797-2025 FSC-klagomål mail.docx", "A 44797-2025")</f>
        <v/>
      </c>
      <c r="X163">
        <f>HYPERLINK("https://klasma.github.io/Logging_2283/tillsyn/A 44797-2025 tillsynsbegäran.docx", "A 44797-2025")</f>
        <v/>
      </c>
      <c r="Y163">
        <f>HYPERLINK("https://klasma.github.io/Logging_2283/tillsynsmail/A 44797-2025 tillsynsbegäran mail.docx", "A 44797-2025")</f>
        <v/>
      </c>
    </row>
    <row r="164" ht="15" customHeight="1">
      <c r="A164" t="inlineStr">
        <is>
          <t>A 19081-2024</t>
        </is>
      </c>
      <c r="B164" s="1" t="n">
        <v>45428</v>
      </c>
      <c r="C164" s="1" t="n">
        <v>46048</v>
      </c>
      <c r="D164" t="inlineStr">
        <is>
          <t>VÄSTERNORRLANDS LÄN</t>
        </is>
      </c>
      <c r="E164" t="inlineStr">
        <is>
          <t>SOLLEFTEÅ</t>
        </is>
      </c>
      <c r="F164" t="inlineStr">
        <is>
          <t>SCA</t>
        </is>
      </c>
      <c r="G164" t="n">
        <v>21.5</v>
      </c>
      <c r="H164" t="n">
        <v>2</v>
      </c>
      <c r="I164" t="n">
        <v>0</v>
      </c>
      <c r="J164" t="n">
        <v>4</v>
      </c>
      <c r="K164" t="n">
        <v>0</v>
      </c>
      <c r="L164" t="n">
        <v>0</v>
      </c>
      <c r="M164" t="n">
        <v>0</v>
      </c>
      <c r="N164" t="n">
        <v>0</v>
      </c>
      <c r="O164" t="n">
        <v>4</v>
      </c>
      <c r="P164" t="n">
        <v>0</v>
      </c>
      <c r="Q164" t="n">
        <v>5</v>
      </c>
      <c r="R164" s="2" t="inlineStr">
        <is>
          <t>Garnlav
Granticka
Järpe
Ullticka
Fläcknycklar</t>
        </is>
      </c>
      <c r="S164">
        <f>HYPERLINK("https://klasma.github.io/Logging_2283/artfynd/A 19081-2024 artfynd.xlsx", "A 19081-2024")</f>
        <v/>
      </c>
      <c r="T164">
        <f>HYPERLINK("https://klasma.github.io/Logging_2283/kartor/A 19081-2024 karta.png", "A 19081-2024")</f>
        <v/>
      </c>
      <c r="V164">
        <f>HYPERLINK("https://klasma.github.io/Logging_2283/klagomål/A 19081-2024 FSC-klagomål.docx", "A 19081-2024")</f>
        <v/>
      </c>
      <c r="W164">
        <f>HYPERLINK("https://klasma.github.io/Logging_2283/klagomålsmail/A 19081-2024 FSC-klagomål mail.docx", "A 19081-2024")</f>
        <v/>
      </c>
      <c r="X164">
        <f>HYPERLINK("https://klasma.github.io/Logging_2283/tillsyn/A 19081-2024 tillsynsbegäran.docx", "A 19081-2024")</f>
        <v/>
      </c>
      <c r="Y164">
        <f>HYPERLINK("https://klasma.github.io/Logging_2283/tillsynsmail/A 19081-2024 tillsynsbegäran mail.docx", "A 19081-2024")</f>
        <v/>
      </c>
      <c r="Z164">
        <f>HYPERLINK("https://klasma.github.io/Logging_2283/fåglar/A 19081-2024 prioriterade fågelarter.docx", "A 19081-2024")</f>
        <v/>
      </c>
    </row>
    <row r="165" ht="15" customHeight="1">
      <c r="A165" t="inlineStr">
        <is>
          <t>A 29249-2024</t>
        </is>
      </c>
      <c r="B165" s="1" t="n">
        <v>45482</v>
      </c>
      <c r="C165" s="1" t="n">
        <v>46048</v>
      </c>
      <c r="D165" t="inlineStr">
        <is>
          <t>VÄSTERNORRLANDS LÄN</t>
        </is>
      </c>
      <c r="E165" t="inlineStr">
        <is>
          <t>SOLLEFTEÅ</t>
        </is>
      </c>
      <c r="F165" t="inlineStr">
        <is>
          <t>SCA</t>
        </is>
      </c>
      <c r="G165" t="n">
        <v>7.3</v>
      </c>
      <c r="H165" t="n">
        <v>3</v>
      </c>
      <c r="I165" t="n">
        <v>1</v>
      </c>
      <c r="J165" t="n">
        <v>3</v>
      </c>
      <c r="K165" t="n">
        <v>1</v>
      </c>
      <c r="L165" t="n">
        <v>0</v>
      </c>
      <c r="M165" t="n">
        <v>0</v>
      </c>
      <c r="N165" t="n">
        <v>0</v>
      </c>
      <c r="O165" t="n">
        <v>4</v>
      </c>
      <c r="P165" t="n">
        <v>1</v>
      </c>
      <c r="Q165" t="n">
        <v>5</v>
      </c>
      <c r="R165" s="2" t="inlineStr">
        <is>
          <t>Knärot
Harticka
Talltita
Tretåig hackspett
Stuplav</t>
        </is>
      </c>
      <c r="S165">
        <f>HYPERLINK("https://klasma.github.io/Logging_2283/artfynd/A 29249-2024 artfynd.xlsx", "A 29249-2024")</f>
        <v/>
      </c>
      <c r="T165">
        <f>HYPERLINK("https://klasma.github.io/Logging_2283/kartor/A 29249-2024 karta.png", "A 29249-2024")</f>
        <v/>
      </c>
      <c r="U165">
        <f>HYPERLINK("https://klasma.github.io/Logging_2283/knärot/A 29249-2024 karta knärot.png", "A 29249-2024")</f>
        <v/>
      </c>
      <c r="V165">
        <f>HYPERLINK("https://klasma.github.io/Logging_2283/klagomål/A 29249-2024 FSC-klagomål.docx", "A 29249-2024")</f>
        <v/>
      </c>
      <c r="W165">
        <f>HYPERLINK("https://klasma.github.io/Logging_2283/klagomålsmail/A 29249-2024 FSC-klagomål mail.docx", "A 29249-2024")</f>
        <v/>
      </c>
      <c r="X165">
        <f>HYPERLINK("https://klasma.github.io/Logging_2283/tillsyn/A 29249-2024 tillsynsbegäran.docx", "A 29249-2024")</f>
        <v/>
      </c>
      <c r="Y165">
        <f>HYPERLINK("https://klasma.github.io/Logging_2283/tillsynsmail/A 29249-2024 tillsynsbegäran mail.docx", "A 29249-2024")</f>
        <v/>
      </c>
      <c r="Z165">
        <f>HYPERLINK("https://klasma.github.io/Logging_2283/fåglar/A 29249-2024 prioriterade fågelarter.docx", "A 29249-2024")</f>
        <v/>
      </c>
    </row>
    <row r="166" ht="15" customHeight="1">
      <c r="A166" t="inlineStr">
        <is>
          <t>A 51341-2025</t>
        </is>
      </c>
      <c r="B166" s="1" t="n">
        <v>45950.42761574074</v>
      </c>
      <c r="C166" s="1" t="n">
        <v>46048</v>
      </c>
      <c r="D166" t="inlineStr">
        <is>
          <t>VÄSTERNORRLANDS LÄN</t>
        </is>
      </c>
      <c r="E166" t="inlineStr">
        <is>
          <t>SOLLEFTEÅ</t>
        </is>
      </c>
      <c r="F166" t="inlineStr">
        <is>
          <t>SCA</t>
        </is>
      </c>
      <c r="G166" t="n">
        <v>5.3</v>
      </c>
      <c r="H166" t="n">
        <v>0</v>
      </c>
      <c r="I166" t="n">
        <v>2</v>
      </c>
      <c r="J166" t="n">
        <v>3</v>
      </c>
      <c r="K166" t="n">
        <v>0</v>
      </c>
      <c r="L166" t="n">
        <v>0</v>
      </c>
      <c r="M166" t="n">
        <v>0</v>
      </c>
      <c r="N166" t="n">
        <v>0</v>
      </c>
      <c r="O166" t="n">
        <v>3</v>
      </c>
      <c r="P166" t="n">
        <v>0</v>
      </c>
      <c r="Q166" t="n">
        <v>5</v>
      </c>
      <c r="R166" s="2" t="inlineStr">
        <is>
          <t>Garnlav
Mörk kolflarnlav
Rosenticka
Dropptaggsvamp
Vedticka</t>
        </is>
      </c>
      <c r="S166">
        <f>HYPERLINK("https://klasma.github.io/Logging_2283/artfynd/A 51341-2025 artfynd.xlsx", "A 51341-2025")</f>
        <v/>
      </c>
      <c r="T166">
        <f>HYPERLINK("https://klasma.github.io/Logging_2283/kartor/A 51341-2025 karta.png", "A 51341-2025")</f>
        <v/>
      </c>
      <c r="V166">
        <f>HYPERLINK("https://klasma.github.io/Logging_2283/klagomål/A 51341-2025 FSC-klagomål.docx", "A 51341-2025")</f>
        <v/>
      </c>
      <c r="W166">
        <f>HYPERLINK("https://klasma.github.io/Logging_2283/klagomålsmail/A 51341-2025 FSC-klagomål mail.docx", "A 51341-2025")</f>
        <v/>
      </c>
      <c r="X166">
        <f>HYPERLINK("https://klasma.github.io/Logging_2283/tillsyn/A 51341-2025 tillsynsbegäran.docx", "A 51341-2025")</f>
        <v/>
      </c>
      <c r="Y166">
        <f>HYPERLINK("https://klasma.github.io/Logging_2283/tillsynsmail/A 51341-2025 tillsynsbegäran mail.docx", "A 51341-2025")</f>
        <v/>
      </c>
    </row>
    <row r="167" ht="15" customHeight="1">
      <c r="A167" t="inlineStr">
        <is>
          <t>A 58362-2025</t>
        </is>
      </c>
      <c r="B167" s="1" t="n">
        <v>45982</v>
      </c>
      <c r="C167" s="1" t="n">
        <v>46048</v>
      </c>
      <c r="D167" t="inlineStr">
        <is>
          <t>VÄSTERNORRLANDS LÄN</t>
        </is>
      </c>
      <c r="E167" t="inlineStr">
        <is>
          <t>SOLLEFTEÅ</t>
        </is>
      </c>
      <c r="G167" t="n">
        <v>11.3</v>
      </c>
      <c r="H167" t="n">
        <v>2</v>
      </c>
      <c r="I167" t="n">
        <v>3</v>
      </c>
      <c r="J167" t="n">
        <v>1</v>
      </c>
      <c r="K167" t="n">
        <v>0</v>
      </c>
      <c r="L167" t="n">
        <v>0</v>
      </c>
      <c r="M167" t="n">
        <v>0</v>
      </c>
      <c r="N167" t="n">
        <v>0</v>
      </c>
      <c r="O167" t="n">
        <v>1</v>
      </c>
      <c r="P167" t="n">
        <v>0</v>
      </c>
      <c r="Q167" t="n">
        <v>5</v>
      </c>
      <c r="R167" s="2" t="inlineStr">
        <is>
          <t>Lunglav
Bårdlav
Spindelblomster
Stuplav
Fläcknycklar</t>
        </is>
      </c>
      <c r="S167">
        <f>HYPERLINK("https://klasma.github.io/Logging_2283/artfynd/A 58362-2025 artfynd.xlsx", "A 58362-2025")</f>
        <v/>
      </c>
      <c r="T167">
        <f>HYPERLINK("https://klasma.github.io/Logging_2283/kartor/A 58362-2025 karta.png", "A 58362-2025")</f>
        <v/>
      </c>
      <c r="V167">
        <f>HYPERLINK("https://klasma.github.io/Logging_2283/klagomål/A 58362-2025 FSC-klagomål.docx", "A 58362-2025")</f>
        <v/>
      </c>
      <c r="W167">
        <f>HYPERLINK("https://klasma.github.io/Logging_2283/klagomålsmail/A 58362-2025 FSC-klagomål mail.docx", "A 58362-2025")</f>
        <v/>
      </c>
      <c r="X167">
        <f>HYPERLINK("https://klasma.github.io/Logging_2283/tillsyn/A 58362-2025 tillsynsbegäran.docx", "A 58362-2025")</f>
        <v/>
      </c>
      <c r="Y167">
        <f>HYPERLINK("https://klasma.github.io/Logging_2283/tillsynsmail/A 58362-2025 tillsynsbegäran mail.docx", "A 58362-2025")</f>
        <v/>
      </c>
    </row>
    <row r="168" ht="15" customHeight="1">
      <c r="A168" t="inlineStr">
        <is>
          <t>A 56420-2025</t>
        </is>
      </c>
      <c r="B168" s="1" t="n">
        <v>45975</v>
      </c>
      <c r="C168" s="1" t="n">
        <v>46048</v>
      </c>
      <c r="D168" t="inlineStr">
        <is>
          <t>VÄSTERNORRLANDS LÄN</t>
        </is>
      </c>
      <c r="E168" t="inlineStr">
        <is>
          <t>SOLLEFTEÅ</t>
        </is>
      </c>
      <c r="F168" t="inlineStr">
        <is>
          <t>SCA</t>
        </is>
      </c>
      <c r="G168" t="n">
        <v>3.7</v>
      </c>
      <c r="H168" t="n">
        <v>1</v>
      </c>
      <c r="I168" t="n">
        <v>1</v>
      </c>
      <c r="J168" t="n">
        <v>4</v>
      </c>
      <c r="K168" t="n">
        <v>0</v>
      </c>
      <c r="L168" t="n">
        <v>0</v>
      </c>
      <c r="M168" t="n">
        <v>0</v>
      </c>
      <c r="N168" t="n">
        <v>0</v>
      </c>
      <c r="O168" t="n">
        <v>4</v>
      </c>
      <c r="P168" t="n">
        <v>0</v>
      </c>
      <c r="Q168" t="n">
        <v>5</v>
      </c>
      <c r="R168" s="2" t="inlineStr">
        <is>
          <t>Garnlav
Kolflarnlav
Tretåig hackspett
Vedskivlav
Dropptaggsvamp</t>
        </is>
      </c>
      <c r="S168">
        <f>HYPERLINK("https://klasma.github.io/Logging_2283/artfynd/A 56420-2025 artfynd.xlsx", "A 56420-2025")</f>
        <v/>
      </c>
      <c r="T168">
        <f>HYPERLINK("https://klasma.github.io/Logging_2283/kartor/A 56420-2025 karta.png", "A 56420-2025")</f>
        <v/>
      </c>
      <c r="V168">
        <f>HYPERLINK("https://klasma.github.io/Logging_2283/klagomål/A 56420-2025 FSC-klagomål.docx", "A 56420-2025")</f>
        <v/>
      </c>
      <c r="W168">
        <f>HYPERLINK("https://klasma.github.io/Logging_2283/klagomålsmail/A 56420-2025 FSC-klagomål mail.docx", "A 56420-2025")</f>
        <v/>
      </c>
      <c r="X168">
        <f>HYPERLINK("https://klasma.github.io/Logging_2283/tillsyn/A 56420-2025 tillsynsbegäran.docx", "A 56420-2025")</f>
        <v/>
      </c>
      <c r="Y168">
        <f>HYPERLINK("https://klasma.github.io/Logging_2283/tillsynsmail/A 56420-2025 tillsynsbegäran mail.docx", "A 56420-2025")</f>
        <v/>
      </c>
      <c r="Z168">
        <f>HYPERLINK("https://klasma.github.io/Logging_2283/fåglar/A 56420-2025 prioriterade fågelarter.docx", "A 56420-2025")</f>
        <v/>
      </c>
    </row>
    <row r="169" ht="15" customHeight="1">
      <c r="A169" t="inlineStr">
        <is>
          <t>A 3575-2026</t>
        </is>
      </c>
      <c r="B169" s="1" t="n">
        <v>46042.71269675926</v>
      </c>
      <c r="C169" s="1" t="n">
        <v>46048</v>
      </c>
      <c r="D169" t="inlineStr">
        <is>
          <t>VÄSTERNORRLANDS LÄN</t>
        </is>
      </c>
      <c r="E169" t="inlineStr">
        <is>
          <t>SOLLEFTEÅ</t>
        </is>
      </c>
      <c r="G169" t="n">
        <v>4.7</v>
      </c>
      <c r="H169" t="n">
        <v>0</v>
      </c>
      <c r="I169" t="n">
        <v>1</v>
      </c>
      <c r="J169" t="n">
        <v>4</v>
      </c>
      <c r="K169" t="n">
        <v>0</v>
      </c>
      <c r="L169" t="n">
        <v>0</v>
      </c>
      <c r="M169" t="n">
        <v>0</v>
      </c>
      <c r="N169" t="n">
        <v>0</v>
      </c>
      <c r="O169" t="n">
        <v>4</v>
      </c>
      <c r="P169" t="n">
        <v>0</v>
      </c>
      <c r="Q169" t="n">
        <v>5</v>
      </c>
      <c r="R169" s="2" t="inlineStr">
        <is>
          <t>Garnlav
Rosenticka
Stjärntagging
Ullticka
Vedticka</t>
        </is>
      </c>
      <c r="S169">
        <f>HYPERLINK("https://klasma.github.io/Logging_2283/artfynd/A 3575-2026 artfynd.xlsx", "A 3575-2026")</f>
        <v/>
      </c>
      <c r="T169">
        <f>HYPERLINK("https://klasma.github.io/Logging_2283/kartor/A 3575-2026 karta.png", "A 3575-2026")</f>
        <v/>
      </c>
      <c r="V169">
        <f>HYPERLINK("https://klasma.github.io/Logging_2283/klagomål/A 3575-2026 FSC-klagomål.docx", "A 3575-2026")</f>
        <v/>
      </c>
      <c r="W169">
        <f>HYPERLINK("https://klasma.github.io/Logging_2283/klagomålsmail/A 3575-2026 FSC-klagomål mail.docx", "A 3575-2026")</f>
        <v/>
      </c>
      <c r="X169">
        <f>HYPERLINK("https://klasma.github.io/Logging_2283/tillsyn/A 3575-2026 tillsynsbegäran.docx", "A 3575-2026")</f>
        <v/>
      </c>
      <c r="Y169">
        <f>HYPERLINK("https://klasma.github.io/Logging_2283/tillsynsmail/A 3575-2026 tillsynsbegäran mail.docx", "A 3575-2026")</f>
        <v/>
      </c>
    </row>
    <row r="170" ht="15" customHeight="1">
      <c r="A170" t="inlineStr">
        <is>
          <t>A 3795-2022</t>
        </is>
      </c>
      <c r="B170" s="1" t="n">
        <v>44586</v>
      </c>
      <c r="C170" s="1" t="n">
        <v>46048</v>
      </c>
      <c r="D170" t="inlineStr">
        <is>
          <t>VÄSTERNORRLANDS LÄN</t>
        </is>
      </c>
      <c r="E170" t="inlineStr">
        <is>
          <t>SOLLEFTEÅ</t>
        </is>
      </c>
      <c r="F170" t="inlineStr">
        <is>
          <t>SCA</t>
        </is>
      </c>
      <c r="G170" t="n">
        <v>1.3</v>
      </c>
      <c r="H170" t="n">
        <v>3</v>
      </c>
      <c r="I170" t="n">
        <v>0</v>
      </c>
      <c r="J170" t="n">
        <v>3</v>
      </c>
      <c r="K170" t="n">
        <v>1</v>
      </c>
      <c r="L170" t="n">
        <v>0</v>
      </c>
      <c r="M170" t="n">
        <v>0</v>
      </c>
      <c r="N170" t="n">
        <v>0</v>
      </c>
      <c r="O170" t="n">
        <v>4</v>
      </c>
      <c r="P170" t="n">
        <v>1</v>
      </c>
      <c r="Q170" t="n">
        <v>4</v>
      </c>
      <c r="R170" s="2" t="inlineStr">
        <is>
          <t>Knärot
Garnlav
Talltita
Tretåig hackspett</t>
        </is>
      </c>
      <c r="S170">
        <f>HYPERLINK("https://klasma.github.io/Logging_2283/artfynd/A 3795-2022 artfynd.xlsx", "A 3795-2022")</f>
        <v/>
      </c>
      <c r="T170">
        <f>HYPERLINK("https://klasma.github.io/Logging_2283/kartor/A 3795-2022 karta.png", "A 3795-2022")</f>
        <v/>
      </c>
      <c r="U170">
        <f>HYPERLINK("https://klasma.github.io/Logging_2283/knärot/A 3795-2022 karta knärot.png", "A 3795-2022")</f>
        <v/>
      </c>
      <c r="V170">
        <f>HYPERLINK("https://klasma.github.io/Logging_2283/klagomål/A 3795-2022 FSC-klagomål.docx", "A 3795-2022")</f>
        <v/>
      </c>
      <c r="W170">
        <f>HYPERLINK("https://klasma.github.io/Logging_2283/klagomålsmail/A 3795-2022 FSC-klagomål mail.docx", "A 3795-2022")</f>
        <v/>
      </c>
      <c r="X170">
        <f>HYPERLINK("https://klasma.github.io/Logging_2283/tillsyn/A 3795-2022 tillsynsbegäran.docx", "A 3795-2022")</f>
        <v/>
      </c>
      <c r="Y170">
        <f>HYPERLINK("https://klasma.github.io/Logging_2283/tillsynsmail/A 3795-2022 tillsynsbegäran mail.docx", "A 3795-2022")</f>
        <v/>
      </c>
      <c r="Z170">
        <f>HYPERLINK("https://klasma.github.io/Logging_2283/fåglar/A 3795-2022 prioriterade fågelarter.docx", "A 3795-2022")</f>
        <v/>
      </c>
    </row>
    <row r="171" ht="15" customHeight="1">
      <c r="A171" t="inlineStr">
        <is>
          <t>A 48061-2022</t>
        </is>
      </c>
      <c r="B171" s="1" t="n">
        <v>44855</v>
      </c>
      <c r="C171" s="1" t="n">
        <v>46048</v>
      </c>
      <c r="D171" t="inlineStr">
        <is>
          <t>VÄSTERNORRLANDS LÄN</t>
        </is>
      </c>
      <c r="E171" t="inlineStr">
        <is>
          <t>SOLLEFTEÅ</t>
        </is>
      </c>
      <c r="F171" t="inlineStr">
        <is>
          <t>SCA</t>
        </is>
      </c>
      <c r="G171" t="n">
        <v>4.1</v>
      </c>
      <c r="H171" t="n">
        <v>0</v>
      </c>
      <c r="I171" t="n">
        <v>1</v>
      </c>
      <c r="J171" t="n">
        <v>2</v>
      </c>
      <c r="K171" t="n">
        <v>1</v>
      </c>
      <c r="L171" t="n">
        <v>0</v>
      </c>
      <c r="M171" t="n">
        <v>0</v>
      </c>
      <c r="N171" t="n">
        <v>0</v>
      </c>
      <c r="O171" t="n">
        <v>3</v>
      </c>
      <c r="P171" t="n">
        <v>1</v>
      </c>
      <c r="Q171" t="n">
        <v>4</v>
      </c>
      <c r="R171" s="2" t="inlineStr">
        <is>
          <t>Rynkskinn
Rosenticka
Ullticka
Trådticka</t>
        </is>
      </c>
      <c r="S171">
        <f>HYPERLINK("https://klasma.github.io/Logging_2283/artfynd/A 48061-2022 artfynd.xlsx", "A 48061-2022")</f>
        <v/>
      </c>
      <c r="T171">
        <f>HYPERLINK("https://klasma.github.io/Logging_2283/kartor/A 48061-2022 karta.png", "A 48061-2022")</f>
        <v/>
      </c>
      <c r="V171">
        <f>HYPERLINK("https://klasma.github.io/Logging_2283/klagomål/A 48061-2022 FSC-klagomål.docx", "A 48061-2022")</f>
        <v/>
      </c>
      <c r="W171">
        <f>HYPERLINK("https://klasma.github.io/Logging_2283/klagomålsmail/A 48061-2022 FSC-klagomål mail.docx", "A 48061-2022")</f>
        <v/>
      </c>
      <c r="X171">
        <f>HYPERLINK("https://klasma.github.io/Logging_2283/tillsyn/A 48061-2022 tillsynsbegäran.docx", "A 48061-2022")</f>
        <v/>
      </c>
      <c r="Y171">
        <f>HYPERLINK("https://klasma.github.io/Logging_2283/tillsynsmail/A 48061-2022 tillsynsbegäran mail.docx", "A 48061-2022")</f>
        <v/>
      </c>
    </row>
    <row r="172" ht="15" customHeight="1">
      <c r="A172" t="inlineStr">
        <is>
          <t>A 13342-2024</t>
        </is>
      </c>
      <c r="B172" s="1" t="n">
        <v>45386</v>
      </c>
      <c r="C172" s="1" t="n">
        <v>46048</v>
      </c>
      <c r="D172" t="inlineStr">
        <is>
          <t>VÄSTERNORRLANDS LÄN</t>
        </is>
      </c>
      <c r="E172" t="inlineStr">
        <is>
          <t>SOLLEFTEÅ</t>
        </is>
      </c>
      <c r="F172" t="inlineStr">
        <is>
          <t>SCA</t>
        </is>
      </c>
      <c r="G172" t="n">
        <v>4.4</v>
      </c>
      <c r="H172" t="n">
        <v>0</v>
      </c>
      <c r="I172" t="n">
        <v>1</v>
      </c>
      <c r="J172" t="n">
        <v>3</v>
      </c>
      <c r="K172" t="n">
        <v>0</v>
      </c>
      <c r="L172" t="n">
        <v>0</v>
      </c>
      <c r="M172" t="n">
        <v>0</v>
      </c>
      <c r="N172" t="n">
        <v>0</v>
      </c>
      <c r="O172" t="n">
        <v>3</v>
      </c>
      <c r="P172" t="n">
        <v>0</v>
      </c>
      <c r="Q172" t="n">
        <v>4</v>
      </c>
      <c r="R172" s="2" t="inlineStr">
        <is>
          <t>Lunglav
Skrovellav
Ullticka
Stuplav</t>
        </is>
      </c>
      <c r="S172">
        <f>HYPERLINK("https://klasma.github.io/Logging_2283/artfynd/A 13342-2024 artfynd.xlsx", "A 13342-2024")</f>
        <v/>
      </c>
      <c r="T172">
        <f>HYPERLINK("https://klasma.github.io/Logging_2283/kartor/A 13342-2024 karta.png", "A 13342-2024")</f>
        <v/>
      </c>
      <c r="V172">
        <f>HYPERLINK("https://klasma.github.io/Logging_2283/klagomål/A 13342-2024 FSC-klagomål.docx", "A 13342-2024")</f>
        <v/>
      </c>
      <c r="W172">
        <f>HYPERLINK("https://klasma.github.io/Logging_2283/klagomålsmail/A 13342-2024 FSC-klagomål mail.docx", "A 13342-2024")</f>
        <v/>
      </c>
      <c r="X172">
        <f>HYPERLINK("https://klasma.github.io/Logging_2283/tillsyn/A 13342-2024 tillsynsbegäran.docx", "A 13342-2024")</f>
        <v/>
      </c>
      <c r="Y172">
        <f>HYPERLINK("https://klasma.github.io/Logging_2283/tillsynsmail/A 13342-2024 tillsynsbegäran mail.docx", "A 13342-2024")</f>
        <v/>
      </c>
    </row>
    <row r="173" ht="15" customHeight="1">
      <c r="A173" t="inlineStr">
        <is>
          <t>A 20933-2025</t>
        </is>
      </c>
      <c r="B173" s="1" t="n">
        <v>45777.42752314815</v>
      </c>
      <c r="C173" s="1" t="n">
        <v>46048</v>
      </c>
      <c r="D173" t="inlineStr">
        <is>
          <t>VÄSTERNORRLANDS LÄN</t>
        </is>
      </c>
      <c r="E173" t="inlineStr">
        <is>
          <t>SOLLEFTEÅ</t>
        </is>
      </c>
      <c r="F173" t="inlineStr">
        <is>
          <t>SCA</t>
        </is>
      </c>
      <c r="G173" t="n">
        <v>5.9</v>
      </c>
      <c r="H173" t="n">
        <v>0</v>
      </c>
      <c r="I173" t="n">
        <v>1</v>
      </c>
      <c r="J173" t="n">
        <v>3</v>
      </c>
      <c r="K173" t="n">
        <v>0</v>
      </c>
      <c r="L173" t="n">
        <v>0</v>
      </c>
      <c r="M173" t="n">
        <v>0</v>
      </c>
      <c r="N173" t="n">
        <v>0</v>
      </c>
      <c r="O173" t="n">
        <v>3</v>
      </c>
      <c r="P173" t="n">
        <v>0</v>
      </c>
      <c r="Q173" t="n">
        <v>4</v>
      </c>
      <c r="R173" s="2" t="inlineStr">
        <is>
          <t>Orange taggsvamp
Skrovlig taggsvamp
Vitgrynig nållav
Dropptaggsvamp</t>
        </is>
      </c>
      <c r="S173">
        <f>HYPERLINK("https://klasma.github.io/Logging_2283/artfynd/A 20933-2025 artfynd.xlsx", "A 20933-2025")</f>
        <v/>
      </c>
      <c r="T173">
        <f>HYPERLINK("https://klasma.github.io/Logging_2283/kartor/A 20933-2025 karta.png", "A 20933-2025")</f>
        <v/>
      </c>
      <c r="V173">
        <f>HYPERLINK("https://klasma.github.io/Logging_2283/klagomål/A 20933-2025 FSC-klagomål.docx", "A 20933-2025")</f>
        <v/>
      </c>
      <c r="W173">
        <f>HYPERLINK("https://klasma.github.io/Logging_2283/klagomålsmail/A 20933-2025 FSC-klagomål mail.docx", "A 20933-2025")</f>
        <v/>
      </c>
      <c r="X173">
        <f>HYPERLINK("https://klasma.github.io/Logging_2283/tillsyn/A 20933-2025 tillsynsbegäran.docx", "A 20933-2025")</f>
        <v/>
      </c>
      <c r="Y173">
        <f>HYPERLINK("https://klasma.github.io/Logging_2283/tillsynsmail/A 20933-2025 tillsynsbegäran mail.docx", "A 20933-2025")</f>
        <v/>
      </c>
    </row>
    <row r="174" ht="15" customHeight="1">
      <c r="A174" t="inlineStr">
        <is>
          <t>A 19898-2025</t>
        </is>
      </c>
      <c r="B174" s="1" t="n">
        <v>45771.58626157408</v>
      </c>
      <c r="C174" s="1" t="n">
        <v>46048</v>
      </c>
      <c r="D174" t="inlineStr">
        <is>
          <t>VÄSTERNORRLANDS LÄN</t>
        </is>
      </c>
      <c r="E174" t="inlineStr">
        <is>
          <t>SOLLEFTEÅ</t>
        </is>
      </c>
      <c r="G174" t="n">
        <v>12.4</v>
      </c>
      <c r="H174" t="n">
        <v>0</v>
      </c>
      <c r="I174" t="n">
        <v>1</v>
      </c>
      <c r="J174" t="n">
        <v>3</v>
      </c>
      <c r="K174" t="n">
        <v>0</v>
      </c>
      <c r="L174" t="n">
        <v>0</v>
      </c>
      <c r="M174" t="n">
        <v>0</v>
      </c>
      <c r="N174" t="n">
        <v>0</v>
      </c>
      <c r="O174" t="n">
        <v>3</v>
      </c>
      <c r="P174" t="n">
        <v>0</v>
      </c>
      <c r="Q174" t="n">
        <v>4</v>
      </c>
      <c r="R174" s="2" t="inlineStr">
        <is>
          <t>Garnlav
Rosenticka
Vitgrynig nållav
Barkticka</t>
        </is>
      </c>
      <c r="S174">
        <f>HYPERLINK("https://klasma.github.io/Logging_2283/artfynd/A 19898-2025 artfynd.xlsx", "A 19898-2025")</f>
        <v/>
      </c>
      <c r="T174">
        <f>HYPERLINK("https://klasma.github.io/Logging_2283/kartor/A 19898-2025 karta.png", "A 19898-2025")</f>
        <v/>
      </c>
      <c r="V174">
        <f>HYPERLINK("https://klasma.github.io/Logging_2283/klagomål/A 19898-2025 FSC-klagomål.docx", "A 19898-2025")</f>
        <v/>
      </c>
      <c r="W174">
        <f>HYPERLINK("https://klasma.github.io/Logging_2283/klagomålsmail/A 19898-2025 FSC-klagomål mail.docx", "A 19898-2025")</f>
        <v/>
      </c>
      <c r="X174">
        <f>HYPERLINK("https://klasma.github.io/Logging_2283/tillsyn/A 19898-2025 tillsynsbegäran.docx", "A 19898-2025")</f>
        <v/>
      </c>
      <c r="Y174">
        <f>HYPERLINK("https://klasma.github.io/Logging_2283/tillsynsmail/A 19898-2025 tillsynsbegäran mail.docx", "A 19898-2025")</f>
        <v/>
      </c>
    </row>
    <row r="175" ht="15" customHeight="1">
      <c r="A175" t="inlineStr">
        <is>
          <t>A 56248-2023</t>
        </is>
      </c>
      <c r="B175" s="1" t="n">
        <v>45240</v>
      </c>
      <c r="C175" s="1" t="n">
        <v>46048</v>
      </c>
      <c r="D175" t="inlineStr">
        <is>
          <t>VÄSTERNORRLANDS LÄN</t>
        </is>
      </c>
      <c r="E175" t="inlineStr">
        <is>
          <t>SOLLEFTEÅ</t>
        </is>
      </c>
      <c r="F175" t="inlineStr">
        <is>
          <t>SCA</t>
        </is>
      </c>
      <c r="G175" t="n">
        <v>12.2</v>
      </c>
      <c r="H175" t="n">
        <v>3</v>
      </c>
      <c r="I175" t="n">
        <v>0</v>
      </c>
      <c r="J175" t="n">
        <v>3</v>
      </c>
      <c r="K175" t="n">
        <v>0</v>
      </c>
      <c r="L175" t="n">
        <v>0</v>
      </c>
      <c r="M175" t="n">
        <v>0</v>
      </c>
      <c r="N175" t="n">
        <v>0</v>
      </c>
      <c r="O175" t="n">
        <v>3</v>
      </c>
      <c r="P175" t="n">
        <v>0</v>
      </c>
      <c r="Q175" t="n">
        <v>4</v>
      </c>
      <c r="R175" s="2" t="inlineStr">
        <is>
          <t>Granticka
Mindre hackspett
Tretåig hackspett
Lavskrika</t>
        </is>
      </c>
      <c r="S175">
        <f>HYPERLINK("https://klasma.github.io/Logging_2283/artfynd/A 56248-2023 artfynd.xlsx", "A 56248-2023")</f>
        <v/>
      </c>
      <c r="T175">
        <f>HYPERLINK("https://klasma.github.io/Logging_2283/kartor/A 56248-2023 karta.png", "A 56248-2023")</f>
        <v/>
      </c>
      <c r="V175">
        <f>HYPERLINK("https://klasma.github.io/Logging_2283/klagomål/A 56248-2023 FSC-klagomål.docx", "A 56248-2023")</f>
        <v/>
      </c>
      <c r="W175">
        <f>HYPERLINK("https://klasma.github.io/Logging_2283/klagomålsmail/A 56248-2023 FSC-klagomål mail.docx", "A 56248-2023")</f>
        <v/>
      </c>
      <c r="X175">
        <f>HYPERLINK("https://klasma.github.io/Logging_2283/tillsyn/A 56248-2023 tillsynsbegäran.docx", "A 56248-2023")</f>
        <v/>
      </c>
      <c r="Y175">
        <f>HYPERLINK("https://klasma.github.io/Logging_2283/tillsynsmail/A 56248-2023 tillsynsbegäran mail.docx", "A 56248-2023")</f>
        <v/>
      </c>
      <c r="Z175">
        <f>HYPERLINK("https://klasma.github.io/Logging_2283/fåglar/A 56248-2023 prioriterade fågelarter.docx", "A 56248-2023")</f>
        <v/>
      </c>
    </row>
    <row r="176" ht="15" customHeight="1">
      <c r="A176" t="inlineStr">
        <is>
          <t>A 9819-2024</t>
        </is>
      </c>
      <c r="B176" s="1" t="n">
        <v>45363</v>
      </c>
      <c r="C176" s="1" t="n">
        <v>46048</v>
      </c>
      <c r="D176" t="inlineStr">
        <is>
          <t>VÄSTERNORRLANDS LÄN</t>
        </is>
      </c>
      <c r="E176" t="inlineStr">
        <is>
          <t>SOLLEFTEÅ</t>
        </is>
      </c>
      <c r="F176" t="inlineStr">
        <is>
          <t>SCA</t>
        </is>
      </c>
      <c r="G176" t="n">
        <v>6.8</v>
      </c>
      <c r="H176" t="n">
        <v>1</v>
      </c>
      <c r="I176" t="n">
        <v>1</v>
      </c>
      <c r="J176" t="n">
        <v>2</v>
      </c>
      <c r="K176" t="n">
        <v>1</v>
      </c>
      <c r="L176" t="n">
        <v>0</v>
      </c>
      <c r="M176" t="n">
        <v>0</v>
      </c>
      <c r="N176" t="n">
        <v>0</v>
      </c>
      <c r="O176" t="n">
        <v>3</v>
      </c>
      <c r="P176" t="n">
        <v>1</v>
      </c>
      <c r="Q176" t="n">
        <v>4</v>
      </c>
      <c r="R176" s="2" t="inlineStr">
        <is>
          <t>Knärot
Motaggsvamp
Vitgrynig nållav
Dropptaggsvamp</t>
        </is>
      </c>
      <c r="S176">
        <f>HYPERLINK("https://klasma.github.io/Logging_2283/artfynd/A 9819-2024 artfynd.xlsx", "A 9819-2024")</f>
        <v/>
      </c>
      <c r="T176">
        <f>HYPERLINK("https://klasma.github.io/Logging_2283/kartor/A 9819-2024 karta.png", "A 9819-2024")</f>
        <v/>
      </c>
      <c r="U176">
        <f>HYPERLINK("https://klasma.github.io/Logging_2283/knärot/A 9819-2024 karta knärot.png", "A 9819-2024")</f>
        <v/>
      </c>
      <c r="V176">
        <f>HYPERLINK("https://klasma.github.io/Logging_2283/klagomål/A 9819-2024 FSC-klagomål.docx", "A 9819-2024")</f>
        <v/>
      </c>
      <c r="W176">
        <f>HYPERLINK("https://klasma.github.io/Logging_2283/klagomålsmail/A 9819-2024 FSC-klagomål mail.docx", "A 9819-2024")</f>
        <v/>
      </c>
      <c r="X176">
        <f>HYPERLINK("https://klasma.github.io/Logging_2283/tillsyn/A 9819-2024 tillsynsbegäran.docx", "A 9819-2024")</f>
        <v/>
      </c>
      <c r="Y176">
        <f>HYPERLINK("https://klasma.github.io/Logging_2283/tillsynsmail/A 9819-2024 tillsynsbegäran mail.docx", "A 9819-2024")</f>
        <v/>
      </c>
    </row>
    <row r="177" ht="15" customHeight="1">
      <c r="A177" t="inlineStr">
        <is>
          <t>A 8885-2024</t>
        </is>
      </c>
      <c r="B177" s="1" t="n">
        <v>45357</v>
      </c>
      <c r="C177" s="1" t="n">
        <v>46048</v>
      </c>
      <c r="D177" t="inlineStr">
        <is>
          <t>VÄSTERNORRLANDS LÄN</t>
        </is>
      </c>
      <c r="E177" t="inlineStr">
        <is>
          <t>SOLLEFTEÅ</t>
        </is>
      </c>
      <c r="F177" t="inlineStr">
        <is>
          <t>SCA</t>
        </is>
      </c>
      <c r="G177" t="n">
        <v>4.5</v>
      </c>
      <c r="H177" t="n">
        <v>1</v>
      </c>
      <c r="I177" t="n">
        <v>1</v>
      </c>
      <c r="J177" t="n">
        <v>3</v>
      </c>
      <c r="K177" t="n">
        <v>0</v>
      </c>
      <c r="L177" t="n">
        <v>0</v>
      </c>
      <c r="M177" t="n">
        <v>0</v>
      </c>
      <c r="N177" t="n">
        <v>0</v>
      </c>
      <c r="O177" t="n">
        <v>3</v>
      </c>
      <c r="P177" t="n">
        <v>0</v>
      </c>
      <c r="Q177" t="n">
        <v>4</v>
      </c>
      <c r="R177" s="2" t="inlineStr">
        <is>
          <t>Gammelgransskål
Granticka
Tretåig hackspett
Vedticka</t>
        </is>
      </c>
      <c r="S177">
        <f>HYPERLINK("https://klasma.github.io/Logging_2283/artfynd/A 8885-2024 artfynd.xlsx", "A 8885-2024")</f>
        <v/>
      </c>
      <c r="T177">
        <f>HYPERLINK("https://klasma.github.io/Logging_2283/kartor/A 8885-2024 karta.png", "A 8885-2024")</f>
        <v/>
      </c>
      <c r="V177">
        <f>HYPERLINK("https://klasma.github.io/Logging_2283/klagomål/A 8885-2024 FSC-klagomål.docx", "A 8885-2024")</f>
        <v/>
      </c>
      <c r="W177">
        <f>HYPERLINK("https://klasma.github.io/Logging_2283/klagomålsmail/A 8885-2024 FSC-klagomål mail.docx", "A 8885-2024")</f>
        <v/>
      </c>
      <c r="X177">
        <f>HYPERLINK("https://klasma.github.io/Logging_2283/tillsyn/A 8885-2024 tillsynsbegäran.docx", "A 8885-2024")</f>
        <v/>
      </c>
      <c r="Y177">
        <f>HYPERLINK("https://klasma.github.io/Logging_2283/tillsynsmail/A 8885-2024 tillsynsbegäran mail.docx", "A 8885-2024")</f>
        <v/>
      </c>
      <c r="Z177">
        <f>HYPERLINK("https://klasma.github.io/Logging_2283/fåglar/A 8885-2024 prioriterade fågelarter.docx", "A 8885-2024")</f>
        <v/>
      </c>
    </row>
    <row r="178" ht="15" customHeight="1">
      <c r="A178" t="inlineStr">
        <is>
          <t>A 54093-2024</t>
        </is>
      </c>
      <c r="B178" s="1" t="n">
        <v>45616.51100694444</v>
      </c>
      <c r="C178" s="1" t="n">
        <v>46048</v>
      </c>
      <c r="D178" t="inlineStr">
        <is>
          <t>VÄSTERNORRLANDS LÄN</t>
        </is>
      </c>
      <c r="E178" t="inlineStr">
        <is>
          <t>SOLLEFTEÅ</t>
        </is>
      </c>
      <c r="F178" t="inlineStr">
        <is>
          <t>SCA</t>
        </is>
      </c>
      <c r="G178" t="n">
        <v>3.9</v>
      </c>
      <c r="H178" t="n">
        <v>0</v>
      </c>
      <c r="I178" t="n">
        <v>0</v>
      </c>
      <c r="J178" t="n">
        <v>4</v>
      </c>
      <c r="K178" t="n">
        <v>0</v>
      </c>
      <c r="L178" t="n">
        <v>0</v>
      </c>
      <c r="M178" t="n">
        <v>0</v>
      </c>
      <c r="N178" t="n">
        <v>0</v>
      </c>
      <c r="O178" t="n">
        <v>4</v>
      </c>
      <c r="P178" t="n">
        <v>0</v>
      </c>
      <c r="Q178" t="n">
        <v>4</v>
      </c>
      <c r="R178" s="2" t="inlineStr">
        <is>
          <t>Garnlav
Lunglav
Rosenticka
Ullticka</t>
        </is>
      </c>
      <c r="S178">
        <f>HYPERLINK("https://klasma.github.io/Logging_2283/artfynd/A 54093-2024 artfynd.xlsx", "A 54093-2024")</f>
        <v/>
      </c>
      <c r="T178">
        <f>HYPERLINK("https://klasma.github.io/Logging_2283/kartor/A 54093-2024 karta.png", "A 54093-2024")</f>
        <v/>
      </c>
      <c r="V178">
        <f>HYPERLINK("https://klasma.github.io/Logging_2283/klagomål/A 54093-2024 FSC-klagomål.docx", "A 54093-2024")</f>
        <v/>
      </c>
      <c r="W178">
        <f>HYPERLINK("https://klasma.github.io/Logging_2283/klagomålsmail/A 54093-2024 FSC-klagomål mail.docx", "A 54093-2024")</f>
        <v/>
      </c>
      <c r="X178">
        <f>HYPERLINK("https://klasma.github.io/Logging_2283/tillsyn/A 54093-2024 tillsynsbegäran.docx", "A 54093-2024")</f>
        <v/>
      </c>
      <c r="Y178">
        <f>HYPERLINK("https://klasma.github.io/Logging_2283/tillsynsmail/A 54093-2024 tillsynsbegäran mail.docx", "A 54093-2024")</f>
        <v/>
      </c>
    </row>
    <row r="179" ht="15" customHeight="1">
      <c r="A179" t="inlineStr">
        <is>
          <t>A 53898-2024</t>
        </is>
      </c>
      <c r="B179" s="1" t="n">
        <v>45615.69824074074</v>
      </c>
      <c r="C179" s="1" t="n">
        <v>46048</v>
      </c>
      <c r="D179" t="inlineStr">
        <is>
          <t>VÄSTERNORRLANDS LÄN</t>
        </is>
      </c>
      <c r="E179" t="inlineStr">
        <is>
          <t>SOLLEFTEÅ</t>
        </is>
      </c>
      <c r="F179" t="inlineStr">
        <is>
          <t>SCA</t>
        </is>
      </c>
      <c r="G179" t="n">
        <v>2</v>
      </c>
      <c r="H179" t="n">
        <v>0</v>
      </c>
      <c r="I179" t="n">
        <v>2</v>
      </c>
      <c r="J179" t="n">
        <v>2</v>
      </c>
      <c r="K179" t="n">
        <v>0</v>
      </c>
      <c r="L179" t="n">
        <v>0</v>
      </c>
      <c r="M179" t="n">
        <v>0</v>
      </c>
      <c r="N179" t="n">
        <v>0</v>
      </c>
      <c r="O179" t="n">
        <v>2</v>
      </c>
      <c r="P179" t="n">
        <v>0</v>
      </c>
      <c r="Q179" t="n">
        <v>4</v>
      </c>
      <c r="R179" s="2" t="inlineStr">
        <is>
          <t>Garnlav
Lunglav
Norrlandslav
Stuplav</t>
        </is>
      </c>
      <c r="S179">
        <f>HYPERLINK("https://klasma.github.io/Logging_2283/artfynd/A 53898-2024 artfynd.xlsx", "A 53898-2024")</f>
        <v/>
      </c>
      <c r="T179">
        <f>HYPERLINK("https://klasma.github.io/Logging_2283/kartor/A 53898-2024 karta.png", "A 53898-2024")</f>
        <v/>
      </c>
      <c r="V179">
        <f>HYPERLINK("https://klasma.github.io/Logging_2283/klagomål/A 53898-2024 FSC-klagomål.docx", "A 53898-2024")</f>
        <v/>
      </c>
      <c r="W179">
        <f>HYPERLINK("https://klasma.github.io/Logging_2283/klagomålsmail/A 53898-2024 FSC-klagomål mail.docx", "A 53898-2024")</f>
        <v/>
      </c>
      <c r="X179">
        <f>HYPERLINK("https://klasma.github.io/Logging_2283/tillsyn/A 53898-2024 tillsynsbegäran.docx", "A 53898-2024")</f>
        <v/>
      </c>
      <c r="Y179">
        <f>HYPERLINK("https://klasma.github.io/Logging_2283/tillsynsmail/A 53898-2024 tillsynsbegäran mail.docx", "A 53898-2024")</f>
        <v/>
      </c>
    </row>
    <row r="180" ht="15" customHeight="1">
      <c r="A180" t="inlineStr">
        <is>
          <t>A 62638-2022</t>
        </is>
      </c>
      <c r="B180" s="1" t="n">
        <v>44925</v>
      </c>
      <c r="C180" s="1" t="n">
        <v>46048</v>
      </c>
      <c r="D180" t="inlineStr">
        <is>
          <t>VÄSTERNORRLANDS LÄN</t>
        </is>
      </c>
      <c r="E180" t="inlineStr">
        <is>
          <t>SOLLEFTEÅ</t>
        </is>
      </c>
      <c r="F180" t="inlineStr">
        <is>
          <t>Holmen skog AB</t>
        </is>
      </c>
      <c r="G180" t="n">
        <v>4</v>
      </c>
      <c r="H180" t="n">
        <v>1</v>
      </c>
      <c r="I180" t="n">
        <v>1</v>
      </c>
      <c r="J180" t="n">
        <v>2</v>
      </c>
      <c r="K180" t="n">
        <v>1</v>
      </c>
      <c r="L180" t="n">
        <v>0</v>
      </c>
      <c r="M180" t="n">
        <v>0</v>
      </c>
      <c r="N180" t="n">
        <v>0</v>
      </c>
      <c r="O180" t="n">
        <v>3</v>
      </c>
      <c r="P180" t="n">
        <v>1</v>
      </c>
      <c r="Q180" t="n">
        <v>4</v>
      </c>
      <c r="R180" s="2" t="inlineStr">
        <is>
          <t>Knärot
Koralltaggsvamp
Lunglav
Skinnlav</t>
        </is>
      </c>
      <c r="S180">
        <f>HYPERLINK("https://klasma.github.io/Logging_2283/artfynd/A 62638-2022 artfynd.xlsx", "A 62638-2022")</f>
        <v/>
      </c>
      <c r="T180">
        <f>HYPERLINK("https://klasma.github.io/Logging_2283/kartor/A 62638-2022 karta.png", "A 62638-2022")</f>
        <v/>
      </c>
      <c r="U180">
        <f>HYPERLINK("https://klasma.github.io/Logging_2283/knärot/A 62638-2022 karta knärot.png", "A 62638-2022")</f>
        <v/>
      </c>
      <c r="V180">
        <f>HYPERLINK("https://klasma.github.io/Logging_2283/klagomål/A 62638-2022 FSC-klagomål.docx", "A 62638-2022")</f>
        <v/>
      </c>
      <c r="W180">
        <f>HYPERLINK("https://klasma.github.io/Logging_2283/klagomålsmail/A 62638-2022 FSC-klagomål mail.docx", "A 62638-2022")</f>
        <v/>
      </c>
      <c r="X180">
        <f>HYPERLINK("https://klasma.github.io/Logging_2283/tillsyn/A 62638-2022 tillsynsbegäran.docx", "A 62638-2022")</f>
        <v/>
      </c>
      <c r="Y180">
        <f>HYPERLINK("https://klasma.github.io/Logging_2283/tillsynsmail/A 62638-2022 tillsynsbegäran mail.docx", "A 62638-2022")</f>
        <v/>
      </c>
    </row>
    <row r="181" ht="15" customHeight="1">
      <c r="A181" t="inlineStr">
        <is>
          <t>A 32218-2023</t>
        </is>
      </c>
      <c r="B181" s="1" t="n">
        <v>45119</v>
      </c>
      <c r="C181" s="1" t="n">
        <v>46048</v>
      </c>
      <c r="D181" t="inlineStr">
        <is>
          <t>VÄSTERNORRLANDS LÄN</t>
        </is>
      </c>
      <c r="E181" t="inlineStr">
        <is>
          <t>SOLLEFTEÅ</t>
        </is>
      </c>
      <c r="F181" t="inlineStr">
        <is>
          <t>SCA</t>
        </is>
      </c>
      <c r="G181" t="n">
        <v>2.1</v>
      </c>
      <c r="H181" t="n">
        <v>1</v>
      </c>
      <c r="I181" t="n">
        <v>0</v>
      </c>
      <c r="J181" t="n">
        <v>4</v>
      </c>
      <c r="K181" t="n">
        <v>0</v>
      </c>
      <c r="L181" t="n">
        <v>0</v>
      </c>
      <c r="M181" t="n">
        <v>0</v>
      </c>
      <c r="N181" t="n">
        <v>0</v>
      </c>
      <c r="O181" t="n">
        <v>4</v>
      </c>
      <c r="P181" t="n">
        <v>0</v>
      </c>
      <c r="Q181" t="n">
        <v>4</v>
      </c>
      <c r="R181" s="2" t="inlineStr">
        <is>
          <t>Garnlav
Lunglav
Tretåig hackspett
Ullticka</t>
        </is>
      </c>
      <c r="S181">
        <f>HYPERLINK("https://klasma.github.io/Logging_2283/artfynd/A 32218-2023 artfynd.xlsx", "A 32218-2023")</f>
        <v/>
      </c>
      <c r="T181">
        <f>HYPERLINK("https://klasma.github.io/Logging_2283/kartor/A 32218-2023 karta.png", "A 32218-2023")</f>
        <v/>
      </c>
      <c r="V181">
        <f>HYPERLINK("https://klasma.github.io/Logging_2283/klagomål/A 32218-2023 FSC-klagomål.docx", "A 32218-2023")</f>
        <v/>
      </c>
      <c r="W181">
        <f>HYPERLINK("https://klasma.github.io/Logging_2283/klagomålsmail/A 32218-2023 FSC-klagomål mail.docx", "A 32218-2023")</f>
        <v/>
      </c>
      <c r="X181">
        <f>HYPERLINK("https://klasma.github.io/Logging_2283/tillsyn/A 32218-2023 tillsynsbegäran.docx", "A 32218-2023")</f>
        <v/>
      </c>
      <c r="Y181">
        <f>HYPERLINK("https://klasma.github.io/Logging_2283/tillsynsmail/A 32218-2023 tillsynsbegäran mail.docx", "A 32218-2023")</f>
        <v/>
      </c>
      <c r="Z181">
        <f>HYPERLINK("https://klasma.github.io/Logging_2283/fåglar/A 32218-2023 prioriterade fågelarter.docx", "A 32218-2023")</f>
        <v/>
      </c>
    </row>
    <row r="182" ht="15" customHeight="1">
      <c r="A182" t="inlineStr">
        <is>
          <t>A 51192-2024</t>
        </is>
      </c>
      <c r="B182" s="1" t="n">
        <v>45603.61493055556</v>
      </c>
      <c r="C182" s="1" t="n">
        <v>46048</v>
      </c>
      <c r="D182" t="inlineStr">
        <is>
          <t>VÄSTERNORRLANDS LÄN</t>
        </is>
      </c>
      <c r="E182" t="inlineStr">
        <is>
          <t>SOLLEFTEÅ</t>
        </is>
      </c>
      <c r="F182" t="inlineStr">
        <is>
          <t>SCA</t>
        </is>
      </c>
      <c r="G182" t="n">
        <v>3.9</v>
      </c>
      <c r="H182" t="n">
        <v>1</v>
      </c>
      <c r="I182" t="n">
        <v>0</v>
      </c>
      <c r="J182" t="n">
        <v>3</v>
      </c>
      <c r="K182" t="n">
        <v>1</v>
      </c>
      <c r="L182" t="n">
        <v>0</v>
      </c>
      <c r="M182" t="n">
        <v>0</v>
      </c>
      <c r="N182" t="n">
        <v>0</v>
      </c>
      <c r="O182" t="n">
        <v>4</v>
      </c>
      <c r="P182" t="n">
        <v>1</v>
      </c>
      <c r="Q182" t="n">
        <v>4</v>
      </c>
      <c r="R182" s="2" t="inlineStr">
        <is>
          <t>Rynkskinn
Garnlav
Lunglav
Talltita</t>
        </is>
      </c>
      <c r="S182">
        <f>HYPERLINK("https://klasma.github.io/Logging_2283/artfynd/A 51192-2024 artfynd.xlsx", "A 51192-2024")</f>
        <v/>
      </c>
      <c r="T182">
        <f>HYPERLINK("https://klasma.github.io/Logging_2283/kartor/A 51192-2024 karta.png", "A 51192-2024")</f>
        <v/>
      </c>
      <c r="V182">
        <f>HYPERLINK("https://klasma.github.io/Logging_2283/klagomål/A 51192-2024 FSC-klagomål.docx", "A 51192-2024")</f>
        <v/>
      </c>
      <c r="W182">
        <f>HYPERLINK("https://klasma.github.io/Logging_2283/klagomålsmail/A 51192-2024 FSC-klagomål mail.docx", "A 51192-2024")</f>
        <v/>
      </c>
      <c r="X182">
        <f>HYPERLINK("https://klasma.github.io/Logging_2283/tillsyn/A 51192-2024 tillsynsbegäran.docx", "A 51192-2024")</f>
        <v/>
      </c>
      <c r="Y182">
        <f>HYPERLINK("https://klasma.github.io/Logging_2283/tillsynsmail/A 51192-2024 tillsynsbegäran mail.docx", "A 51192-2024")</f>
        <v/>
      </c>
      <c r="Z182">
        <f>HYPERLINK("https://klasma.github.io/Logging_2283/fåglar/A 51192-2024 prioriterade fågelarter.docx", "A 51192-2024")</f>
        <v/>
      </c>
    </row>
    <row r="183" ht="15" customHeight="1">
      <c r="A183" t="inlineStr">
        <is>
          <t>A 37270-2023</t>
        </is>
      </c>
      <c r="B183" s="1" t="n">
        <v>45155</v>
      </c>
      <c r="C183" s="1" t="n">
        <v>46048</v>
      </c>
      <c r="D183" t="inlineStr">
        <is>
          <t>VÄSTERNORRLANDS LÄN</t>
        </is>
      </c>
      <c r="E183" t="inlineStr">
        <is>
          <t>SOLLEFTEÅ</t>
        </is>
      </c>
      <c r="F183" t="inlineStr">
        <is>
          <t>SCA</t>
        </is>
      </c>
      <c r="G183" t="n">
        <v>2.3</v>
      </c>
      <c r="H183" t="n">
        <v>1</v>
      </c>
      <c r="I183" t="n">
        <v>1</v>
      </c>
      <c r="J183" t="n">
        <v>3</v>
      </c>
      <c r="K183" t="n">
        <v>0</v>
      </c>
      <c r="L183" t="n">
        <v>0</v>
      </c>
      <c r="M183" t="n">
        <v>0</v>
      </c>
      <c r="N183" t="n">
        <v>0</v>
      </c>
      <c r="O183" t="n">
        <v>3</v>
      </c>
      <c r="P183" t="n">
        <v>0</v>
      </c>
      <c r="Q183" t="n">
        <v>4</v>
      </c>
      <c r="R183" s="2" t="inlineStr">
        <is>
          <t>Orange taggsvamp
Tallticka
Tretåig hackspett
Dropptaggsvamp</t>
        </is>
      </c>
      <c r="S183">
        <f>HYPERLINK("https://klasma.github.io/Logging_2283/artfynd/A 37270-2023 artfynd.xlsx", "A 37270-2023")</f>
        <v/>
      </c>
      <c r="T183">
        <f>HYPERLINK("https://klasma.github.io/Logging_2283/kartor/A 37270-2023 karta.png", "A 37270-2023")</f>
        <v/>
      </c>
      <c r="V183">
        <f>HYPERLINK("https://klasma.github.io/Logging_2283/klagomål/A 37270-2023 FSC-klagomål.docx", "A 37270-2023")</f>
        <v/>
      </c>
      <c r="W183">
        <f>HYPERLINK("https://klasma.github.io/Logging_2283/klagomålsmail/A 37270-2023 FSC-klagomål mail.docx", "A 37270-2023")</f>
        <v/>
      </c>
      <c r="X183">
        <f>HYPERLINK("https://klasma.github.io/Logging_2283/tillsyn/A 37270-2023 tillsynsbegäran.docx", "A 37270-2023")</f>
        <v/>
      </c>
      <c r="Y183">
        <f>HYPERLINK("https://klasma.github.io/Logging_2283/tillsynsmail/A 37270-2023 tillsynsbegäran mail.docx", "A 37270-2023")</f>
        <v/>
      </c>
      <c r="Z183">
        <f>HYPERLINK("https://klasma.github.io/Logging_2283/fåglar/A 37270-2023 prioriterade fågelarter.docx", "A 37270-2023")</f>
        <v/>
      </c>
    </row>
    <row r="184" ht="15" customHeight="1">
      <c r="A184" t="inlineStr">
        <is>
          <t>A 47527-2024</t>
        </is>
      </c>
      <c r="B184" s="1" t="n">
        <v>45587.63574074074</v>
      </c>
      <c r="C184" s="1" t="n">
        <v>46048</v>
      </c>
      <c r="D184" t="inlineStr">
        <is>
          <t>VÄSTERNORRLANDS LÄN</t>
        </is>
      </c>
      <c r="E184" t="inlineStr">
        <is>
          <t>SOLLEFTEÅ</t>
        </is>
      </c>
      <c r="F184" t="inlineStr">
        <is>
          <t>SCA</t>
        </is>
      </c>
      <c r="G184" t="n">
        <v>3.6</v>
      </c>
      <c r="H184" t="n">
        <v>1</v>
      </c>
      <c r="I184" t="n">
        <v>1</v>
      </c>
      <c r="J184" t="n">
        <v>3</v>
      </c>
      <c r="K184" t="n">
        <v>0</v>
      </c>
      <c r="L184" t="n">
        <v>0</v>
      </c>
      <c r="M184" t="n">
        <v>0</v>
      </c>
      <c r="N184" t="n">
        <v>0</v>
      </c>
      <c r="O184" t="n">
        <v>3</v>
      </c>
      <c r="P184" t="n">
        <v>0</v>
      </c>
      <c r="Q184" t="n">
        <v>4</v>
      </c>
      <c r="R184" s="2" t="inlineStr">
        <is>
          <t>Garnlav
Lunglav
Ullticka
Lappranunkel</t>
        </is>
      </c>
      <c r="S184">
        <f>HYPERLINK("https://klasma.github.io/Logging_2283/artfynd/A 47527-2024 artfynd.xlsx", "A 47527-2024")</f>
        <v/>
      </c>
      <c r="T184">
        <f>HYPERLINK("https://klasma.github.io/Logging_2283/kartor/A 47527-2024 karta.png", "A 47527-2024")</f>
        <v/>
      </c>
      <c r="V184">
        <f>HYPERLINK("https://klasma.github.io/Logging_2283/klagomål/A 47527-2024 FSC-klagomål.docx", "A 47527-2024")</f>
        <v/>
      </c>
      <c r="W184">
        <f>HYPERLINK("https://klasma.github.io/Logging_2283/klagomålsmail/A 47527-2024 FSC-klagomål mail.docx", "A 47527-2024")</f>
        <v/>
      </c>
      <c r="X184">
        <f>HYPERLINK("https://klasma.github.io/Logging_2283/tillsyn/A 47527-2024 tillsynsbegäran.docx", "A 47527-2024")</f>
        <v/>
      </c>
      <c r="Y184">
        <f>HYPERLINK("https://klasma.github.io/Logging_2283/tillsynsmail/A 47527-2024 tillsynsbegäran mail.docx", "A 47527-2024")</f>
        <v/>
      </c>
    </row>
    <row r="185" ht="15" customHeight="1">
      <c r="A185" t="inlineStr">
        <is>
          <t>A 57081-2024</t>
        </is>
      </c>
      <c r="B185" s="1" t="n">
        <v>45629</v>
      </c>
      <c r="C185" s="1" t="n">
        <v>46048</v>
      </c>
      <c r="D185" t="inlineStr">
        <is>
          <t>VÄSTERNORRLANDS LÄN</t>
        </is>
      </c>
      <c r="E185" t="inlineStr">
        <is>
          <t>SOLLEFTEÅ</t>
        </is>
      </c>
      <c r="F185" t="inlineStr">
        <is>
          <t>SCA</t>
        </is>
      </c>
      <c r="G185" t="n">
        <v>0.7</v>
      </c>
      <c r="H185" t="n">
        <v>1</v>
      </c>
      <c r="I185" t="n">
        <v>0</v>
      </c>
      <c r="J185" t="n">
        <v>4</v>
      </c>
      <c r="K185" t="n">
        <v>0</v>
      </c>
      <c r="L185" t="n">
        <v>0</v>
      </c>
      <c r="M185" t="n">
        <v>0</v>
      </c>
      <c r="N185" t="n">
        <v>0</v>
      </c>
      <c r="O185" t="n">
        <v>4</v>
      </c>
      <c r="P185" t="n">
        <v>0</v>
      </c>
      <c r="Q185" t="n">
        <v>4</v>
      </c>
      <c r="R185" s="2" t="inlineStr">
        <is>
          <t>Garnlav
Lunglav
Tretåig hackspett
Ullticka</t>
        </is>
      </c>
      <c r="S185">
        <f>HYPERLINK("https://klasma.github.io/Logging_2283/artfynd/A 57081-2024 artfynd.xlsx", "A 57081-2024")</f>
        <v/>
      </c>
      <c r="T185">
        <f>HYPERLINK("https://klasma.github.io/Logging_2283/kartor/A 57081-2024 karta.png", "A 57081-2024")</f>
        <v/>
      </c>
      <c r="V185">
        <f>HYPERLINK("https://klasma.github.io/Logging_2283/klagomål/A 57081-2024 FSC-klagomål.docx", "A 57081-2024")</f>
        <v/>
      </c>
      <c r="W185">
        <f>HYPERLINK("https://klasma.github.io/Logging_2283/klagomålsmail/A 57081-2024 FSC-klagomål mail.docx", "A 57081-2024")</f>
        <v/>
      </c>
      <c r="X185">
        <f>HYPERLINK("https://klasma.github.io/Logging_2283/tillsyn/A 57081-2024 tillsynsbegäran.docx", "A 57081-2024")</f>
        <v/>
      </c>
      <c r="Y185">
        <f>HYPERLINK("https://klasma.github.io/Logging_2283/tillsynsmail/A 57081-2024 tillsynsbegäran mail.docx", "A 57081-2024")</f>
        <v/>
      </c>
      <c r="Z185">
        <f>HYPERLINK("https://klasma.github.io/Logging_2283/fåglar/A 57081-2024 prioriterade fågelarter.docx", "A 57081-2024")</f>
        <v/>
      </c>
    </row>
    <row r="186" ht="15" customHeight="1">
      <c r="A186" t="inlineStr">
        <is>
          <t>A 2349-2025</t>
        </is>
      </c>
      <c r="B186" s="1" t="n">
        <v>45673.67807870371</v>
      </c>
      <c r="C186" s="1" t="n">
        <v>46048</v>
      </c>
      <c r="D186" t="inlineStr">
        <is>
          <t>VÄSTERNORRLANDS LÄN</t>
        </is>
      </c>
      <c r="E186" t="inlineStr">
        <is>
          <t>SOLLEFTEÅ</t>
        </is>
      </c>
      <c r="F186" t="inlineStr">
        <is>
          <t>SCA</t>
        </is>
      </c>
      <c r="G186" t="n">
        <v>3.5</v>
      </c>
      <c r="H186" t="n">
        <v>2</v>
      </c>
      <c r="I186" t="n">
        <v>0</v>
      </c>
      <c r="J186" t="n">
        <v>3</v>
      </c>
      <c r="K186" t="n">
        <v>0</v>
      </c>
      <c r="L186" t="n">
        <v>0</v>
      </c>
      <c r="M186" t="n">
        <v>0</v>
      </c>
      <c r="N186" t="n">
        <v>0</v>
      </c>
      <c r="O186" t="n">
        <v>3</v>
      </c>
      <c r="P186" t="n">
        <v>0</v>
      </c>
      <c r="Q186" t="n">
        <v>4</v>
      </c>
      <c r="R186" s="2" t="inlineStr">
        <is>
          <t>Garnlav
Spillkråka
Ullticka
Tjäder</t>
        </is>
      </c>
      <c r="S186">
        <f>HYPERLINK("https://klasma.github.io/Logging_2283/artfynd/A 2349-2025 artfynd.xlsx", "A 2349-2025")</f>
        <v/>
      </c>
      <c r="T186">
        <f>HYPERLINK("https://klasma.github.io/Logging_2283/kartor/A 2349-2025 karta.png", "A 2349-2025")</f>
        <v/>
      </c>
      <c r="V186">
        <f>HYPERLINK("https://klasma.github.io/Logging_2283/klagomål/A 2349-2025 FSC-klagomål.docx", "A 2349-2025")</f>
        <v/>
      </c>
      <c r="W186">
        <f>HYPERLINK("https://klasma.github.io/Logging_2283/klagomålsmail/A 2349-2025 FSC-klagomål mail.docx", "A 2349-2025")</f>
        <v/>
      </c>
      <c r="X186">
        <f>HYPERLINK("https://klasma.github.io/Logging_2283/tillsyn/A 2349-2025 tillsynsbegäran.docx", "A 2349-2025")</f>
        <v/>
      </c>
      <c r="Y186">
        <f>HYPERLINK("https://klasma.github.io/Logging_2283/tillsynsmail/A 2349-2025 tillsynsbegäran mail.docx", "A 2349-2025")</f>
        <v/>
      </c>
      <c r="Z186">
        <f>HYPERLINK("https://klasma.github.io/Logging_2283/fåglar/A 2349-2025 prioriterade fågelarter.docx", "A 2349-2025")</f>
        <v/>
      </c>
    </row>
    <row r="187" ht="15" customHeight="1">
      <c r="A187" t="inlineStr">
        <is>
          <t>A 29561-2025</t>
        </is>
      </c>
      <c r="B187" s="1" t="n">
        <v>45825.36510416667</v>
      </c>
      <c r="C187" s="1" t="n">
        <v>46048</v>
      </c>
      <c r="D187" t="inlineStr">
        <is>
          <t>VÄSTERNORRLANDS LÄN</t>
        </is>
      </c>
      <c r="E187" t="inlineStr">
        <is>
          <t>SOLLEFTEÅ</t>
        </is>
      </c>
      <c r="F187" t="inlineStr">
        <is>
          <t>SCA</t>
        </is>
      </c>
      <c r="G187" t="n">
        <v>11.9</v>
      </c>
      <c r="H187" t="n">
        <v>0</v>
      </c>
      <c r="I187" t="n">
        <v>1</v>
      </c>
      <c r="J187" t="n">
        <v>3</v>
      </c>
      <c r="K187" t="n">
        <v>0</v>
      </c>
      <c r="L187" t="n">
        <v>0</v>
      </c>
      <c r="M187" t="n">
        <v>0</v>
      </c>
      <c r="N187" t="n">
        <v>0</v>
      </c>
      <c r="O187" t="n">
        <v>3</v>
      </c>
      <c r="P187" t="n">
        <v>0</v>
      </c>
      <c r="Q187" t="n">
        <v>4</v>
      </c>
      <c r="R187" s="2" t="inlineStr">
        <is>
          <t>Garnlav
Kolflarnlav
Vedskivlav
Stuplav</t>
        </is>
      </c>
      <c r="S187">
        <f>HYPERLINK("https://klasma.github.io/Logging_2283/artfynd/A 29561-2025 artfynd.xlsx", "A 29561-2025")</f>
        <v/>
      </c>
      <c r="T187">
        <f>HYPERLINK("https://klasma.github.io/Logging_2283/kartor/A 29561-2025 karta.png", "A 29561-2025")</f>
        <v/>
      </c>
      <c r="V187">
        <f>HYPERLINK("https://klasma.github.io/Logging_2283/klagomål/A 29561-2025 FSC-klagomål.docx", "A 29561-2025")</f>
        <v/>
      </c>
      <c r="W187">
        <f>HYPERLINK("https://klasma.github.io/Logging_2283/klagomålsmail/A 29561-2025 FSC-klagomål mail.docx", "A 29561-2025")</f>
        <v/>
      </c>
      <c r="X187">
        <f>HYPERLINK("https://klasma.github.io/Logging_2283/tillsyn/A 29561-2025 tillsynsbegäran.docx", "A 29561-2025")</f>
        <v/>
      </c>
      <c r="Y187">
        <f>HYPERLINK("https://klasma.github.io/Logging_2283/tillsynsmail/A 29561-2025 tillsynsbegäran mail.docx", "A 29561-2025")</f>
        <v/>
      </c>
    </row>
    <row r="188" ht="15" customHeight="1">
      <c r="A188" t="inlineStr">
        <is>
          <t>A 2409-2023</t>
        </is>
      </c>
      <c r="B188" s="1" t="n">
        <v>44942</v>
      </c>
      <c r="C188" s="1" t="n">
        <v>46048</v>
      </c>
      <c r="D188" t="inlineStr">
        <is>
          <t>VÄSTERNORRLANDS LÄN</t>
        </is>
      </c>
      <c r="E188" t="inlineStr">
        <is>
          <t>SOLLEFTEÅ</t>
        </is>
      </c>
      <c r="F188" t="inlineStr">
        <is>
          <t>SCA</t>
        </is>
      </c>
      <c r="G188" t="n">
        <v>2</v>
      </c>
      <c r="H188" t="n">
        <v>0</v>
      </c>
      <c r="I188" t="n">
        <v>1</v>
      </c>
      <c r="J188" t="n">
        <v>3</v>
      </c>
      <c r="K188" t="n">
        <v>0</v>
      </c>
      <c r="L188" t="n">
        <v>0</v>
      </c>
      <c r="M188" t="n">
        <v>0</v>
      </c>
      <c r="N188" t="n">
        <v>0</v>
      </c>
      <c r="O188" t="n">
        <v>3</v>
      </c>
      <c r="P188" t="n">
        <v>0</v>
      </c>
      <c r="Q188" t="n">
        <v>4</v>
      </c>
      <c r="R188" s="2" t="inlineStr">
        <is>
          <t>Rosenticka
Tallticka
Ullticka
Dropptaggsvamp</t>
        </is>
      </c>
      <c r="S188">
        <f>HYPERLINK("https://klasma.github.io/Logging_2283/artfynd/A 2409-2023 artfynd.xlsx", "A 2409-2023")</f>
        <v/>
      </c>
      <c r="T188">
        <f>HYPERLINK("https://klasma.github.io/Logging_2283/kartor/A 2409-2023 karta.png", "A 2409-2023")</f>
        <v/>
      </c>
      <c r="V188">
        <f>HYPERLINK("https://klasma.github.io/Logging_2283/klagomål/A 2409-2023 FSC-klagomål.docx", "A 2409-2023")</f>
        <v/>
      </c>
      <c r="W188">
        <f>HYPERLINK("https://klasma.github.io/Logging_2283/klagomålsmail/A 2409-2023 FSC-klagomål mail.docx", "A 2409-2023")</f>
        <v/>
      </c>
      <c r="X188">
        <f>HYPERLINK("https://klasma.github.io/Logging_2283/tillsyn/A 2409-2023 tillsynsbegäran.docx", "A 2409-2023")</f>
        <v/>
      </c>
      <c r="Y188">
        <f>HYPERLINK("https://klasma.github.io/Logging_2283/tillsynsmail/A 2409-2023 tillsynsbegäran mail.docx", "A 2409-2023")</f>
        <v/>
      </c>
    </row>
    <row r="189" ht="15" customHeight="1">
      <c r="A189" t="inlineStr">
        <is>
          <t>A 20572-2025</t>
        </is>
      </c>
      <c r="B189" s="1" t="n">
        <v>45775.67054398148</v>
      </c>
      <c r="C189" s="1" t="n">
        <v>46048</v>
      </c>
      <c r="D189" t="inlineStr">
        <is>
          <t>VÄSTERNORRLANDS LÄN</t>
        </is>
      </c>
      <c r="E189" t="inlineStr">
        <is>
          <t>SOLLEFTEÅ</t>
        </is>
      </c>
      <c r="G189" t="n">
        <v>1.6</v>
      </c>
      <c r="H189" t="n">
        <v>4</v>
      </c>
      <c r="I189" t="n">
        <v>0</v>
      </c>
      <c r="J189" t="n">
        <v>2</v>
      </c>
      <c r="K189" t="n">
        <v>0</v>
      </c>
      <c r="L189" t="n">
        <v>0</v>
      </c>
      <c r="M189" t="n">
        <v>0</v>
      </c>
      <c r="N189" t="n">
        <v>0</v>
      </c>
      <c r="O189" t="n">
        <v>2</v>
      </c>
      <c r="P189" t="n">
        <v>0</v>
      </c>
      <c r="Q189" t="n">
        <v>4</v>
      </c>
      <c r="R189" s="2" t="inlineStr">
        <is>
          <t>Blå kärrhök
Spillkråka
Göktyta
Sångsvan</t>
        </is>
      </c>
      <c r="S189">
        <f>HYPERLINK("https://klasma.github.io/Logging_2283/artfynd/A 20572-2025 artfynd.xlsx", "A 20572-2025")</f>
        <v/>
      </c>
      <c r="T189">
        <f>HYPERLINK("https://klasma.github.io/Logging_2283/kartor/A 20572-2025 karta.png", "A 20572-2025")</f>
        <v/>
      </c>
      <c r="V189">
        <f>HYPERLINK("https://klasma.github.io/Logging_2283/klagomål/A 20572-2025 FSC-klagomål.docx", "A 20572-2025")</f>
        <v/>
      </c>
      <c r="W189">
        <f>HYPERLINK("https://klasma.github.io/Logging_2283/klagomålsmail/A 20572-2025 FSC-klagomål mail.docx", "A 20572-2025")</f>
        <v/>
      </c>
      <c r="X189">
        <f>HYPERLINK("https://klasma.github.io/Logging_2283/tillsyn/A 20572-2025 tillsynsbegäran.docx", "A 20572-2025")</f>
        <v/>
      </c>
      <c r="Y189">
        <f>HYPERLINK("https://klasma.github.io/Logging_2283/tillsynsmail/A 20572-2025 tillsynsbegäran mail.docx", "A 20572-2025")</f>
        <v/>
      </c>
      <c r="Z189">
        <f>HYPERLINK("https://klasma.github.io/Logging_2283/fåglar/A 20572-2025 prioriterade fågelarter.docx", "A 20572-2025")</f>
        <v/>
      </c>
    </row>
    <row r="190" ht="15" customHeight="1">
      <c r="A190" t="inlineStr">
        <is>
          <t>A 5018-2025</t>
        </is>
      </c>
      <c r="B190" s="1" t="n">
        <v>45691</v>
      </c>
      <c r="C190" s="1" t="n">
        <v>46048</v>
      </c>
      <c r="D190" t="inlineStr">
        <is>
          <t>VÄSTERNORRLANDS LÄN</t>
        </is>
      </c>
      <c r="E190" t="inlineStr">
        <is>
          <t>SOLLEFTEÅ</t>
        </is>
      </c>
      <c r="G190" t="n">
        <v>11.5</v>
      </c>
      <c r="H190" t="n">
        <v>1</v>
      </c>
      <c r="I190" t="n">
        <v>0</v>
      </c>
      <c r="J190" t="n">
        <v>3</v>
      </c>
      <c r="K190" t="n">
        <v>0</v>
      </c>
      <c r="L190" t="n">
        <v>0</v>
      </c>
      <c r="M190" t="n">
        <v>0</v>
      </c>
      <c r="N190" t="n">
        <v>0</v>
      </c>
      <c r="O190" t="n">
        <v>3</v>
      </c>
      <c r="P190" t="n">
        <v>0</v>
      </c>
      <c r="Q190" t="n">
        <v>4</v>
      </c>
      <c r="R190" s="2" t="inlineStr">
        <is>
          <t>Garnlav
Granticka
Rosenticka
Tjäder</t>
        </is>
      </c>
      <c r="S190">
        <f>HYPERLINK("https://klasma.github.io/Logging_2283/artfynd/A 5018-2025 artfynd.xlsx", "A 5018-2025")</f>
        <v/>
      </c>
      <c r="T190">
        <f>HYPERLINK("https://klasma.github.io/Logging_2283/kartor/A 5018-2025 karta.png", "A 5018-2025")</f>
        <v/>
      </c>
      <c r="V190">
        <f>HYPERLINK("https://klasma.github.io/Logging_2283/klagomål/A 5018-2025 FSC-klagomål.docx", "A 5018-2025")</f>
        <v/>
      </c>
      <c r="W190">
        <f>HYPERLINK("https://klasma.github.io/Logging_2283/klagomålsmail/A 5018-2025 FSC-klagomål mail.docx", "A 5018-2025")</f>
        <v/>
      </c>
      <c r="X190">
        <f>HYPERLINK("https://klasma.github.io/Logging_2283/tillsyn/A 5018-2025 tillsynsbegäran.docx", "A 5018-2025")</f>
        <v/>
      </c>
      <c r="Y190">
        <f>HYPERLINK("https://klasma.github.io/Logging_2283/tillsynsmail/A 5018-2025 tillsynsbegäran mail.docx", "A 5018-2025")</f>
        <v/>
      </c>
      <c r="Z190">
        <f>HYPERLINK("https://klasma.github.io/Logging_2283/fåglar/A 5018-2025 prioriterade fågelarter.docx", "A 5018-2025")</f>
        <v/>
      </c>
    </row>
    <row r="191" ht="15" customHeight="1">
      <c r="A191" t="inlineStr">
        <is>
          <t>A 50839-2023</t>
        </is>
      </c>
      <c r="B191" s="1" t="n">
        <v>45217</v>
      </c>
      <c r="C191" s="1" t="n">
        <v>46048</v>
      </c>
      <c r="D191" t="inlineStr">
        <is>
          <t>VÄSTERNORRLANDS LÄN</t>
        </is>
      </c>
      <c r="E191" t="inlineStr">
        <is>
          <t>SOLLEFTEÅ</t>
        </is>
      </c>
      <c r="F191" t="inlineStr">
        <is>
          <t>SCA</t>
        </is>
      </c>
      <c r="G191" t="n">
        <v>2.8</v>
      </c>
      <c r="H191" t="n">
        <v>0</v>
      </c>
      <c r="I191" t="n">
        <v>1</v>
      </c>
      <c r="J191" t="n">
        <v>3</v>
      </c>
      <c r="K191" t="n">
        <v>0</v>
      </c>
      <c r="L191" t="n">
        <v>0</v>
      </c>
      <c r="M191" t="n">
        <v>0</v>
      </c>
      <c r="N191" t="n">
        <v>0</v>
      </c>
      <c r="O191" t="n">
        <v>3</v>
      </c>
      <c r="P191" t="n">
        <v>0</v>
      </c>
      <c r="Q191" t="n">
        <v>4</v>
      </c>
      <c r="R191" s="2" t="inlineStr">
        <is>
          <t>Garnlav
Granticka
Vitskaftad svartspik
Gulnål</t>
        </is>
      </c>
      <c r="S191">
        <f>HYPERLINK("https://klasma.github.io/Logging_2283/artfynd/A 50839-2023 artfynd.xlsx", "A 50839-2023")</f>
        <v/>
      </c>
      <c r="T191">
        <f>HYPERLINK("https://klasma.github.io/Logging_2283/kartor/A 50839-2023 karta.png", "A 50839-2023")</f>
        <v/>
      </c>
      <c r="V191">
        <f>HYPERLINK("https://klasma.github.io/Logging_2283/klagomål/A 50839-2023 FSC-klagomål.docx", "A 50839-2023")</f>
        <v/>
      </c>
      <c r="W191">
        <f>HYPERLINK("https://klasma.github.io/Logging_2283/klagomålsmail/A 50839-2023 FSC-klagomål mail.docx", "A 50839-2023")</f>
        <v/>
      </c>
      <c r="X191">
        <f>HYPERLINK("https://klasma.github.io/Logging_2283/tillsyn/A 50839-2023 tillsynsbegäran.docx", "A 50839-2023")</f>
        <v/>
      </c>
      <c r="Y191">
        <f>HYPERLINK("https://klasma.github.io/Logging_2283/tillsynsmail/A 50839-2023 tillsynsbegäran mail.docx", "A 50839-2023")</f>
        <v/>
      </c>
    </row>
    <row r="192" ht="15" customHeight="1">
      <c r="A192" t="inlineStr">
        <is>
          <t>A 59381-2024</t>
        </is>
      </c>
      <c r="B192" s="1" t="n">
        <v>45638</v>
      </c>
      <c r="C192" s="1" t="n">
        <v>46048</v>
      </c>
      <c r="D192" t="inlineStr">
        <is>
          <t>VÄSTERNORRLANDS LÄN</t>
        </is>
      </c>
      <c r="E192" t="inlineStr">
        <is>
          <t>SOLLEFTEÅ</t>
        </is>
      </c>
      <c r="G192" t="n">
        <v>5.4</v>
      </c>
      <c r="H192" t="n">
        <v>2</v>
      </c>
      <c r="I192" t="n">
        <v>0</v>
      </c>
      <c r="J192" t="n">
        <v>3</v>
      </c>
      <c r="K192" t="n">
        <v>0</v>
      </c>
      <c r="L192" t="n">
        <v>0</v>
      </c>
      <c r="M192" t="n">
        <v>0</v>
      </c>
      <c r="N192" t="n">
        <v>0</v>
      </c>
      <c r="O192" t="n">
        <v>3</v>
      </c>
      <c r="P192" t="n">
        <v>0</v>
      </c>
      <c r="Q192" t="n">
        <v>4</v>
      </c>
      <c r="R192" s="2" t="inlineStr">
        <is>
          <t>Rosenticka
Talltita
Ullticka
Fläcknycklar</t>
        </is>
      </c>
      <c r="S192">
        <f>HYPERLINK("https://klasma.github.io/Logging_2283/artfynd/A 59381-2024 artfynd.xlsx", "A 59381-2024")</f>
        <v/>
      </c>
      <c r="T192">
        <f>HYPERLINK("https://klasma.github.io/Logging_2283/kartor/A 59381-2024 karta.png", "A 59381-2024")</f>
        <v/>
      </c>
      <c r="U192">
        <f>HYPERLINK("https://klasma.github.io/Logging_2283/knärot/A 59381-2024 karta knärot.png", "A 59381-2024")</f>
        <v/>
      </c>
      <c r="V192">
        <f>HYPERLINK("https://klasma.github.io/Logging_2283/klagomål/A 59381-2024 FSC-klagomål.docx", "A 59381-2024")</f>
        <v/>
      </c>
      <c r="W192">
        <f>HYPERLINK("https://klasma.github.io/Logging_2283/klagomålsmail/A 59381-2024 FSC-klagomål mail.docx", "A 59381-2024")</f>
        <v/>
      </c>
      <c r="X192">
        <f>HYPERLINK("https://klasma.github.io/Logging_2283/tillsyn/A 59381-2024 tillsynsbegäran.docx", "A 59381-2024")</f>
        <v/>
      </c>
      <c r="Y192">
        <f>HYPERLINK("https://klasma.github.io/Logging_2283/tillsynsmail/A 59381-2024 tillsynsbegäran mail.docx", "A 59381-2024")</f>
        <v/>
      </c>
      <c r="Z192">
        <f>HYPERLINK("https://klasma.github.io/Logging_2283/fåglar/A 59381-2024 prioriterade fågelarter.docx", "A 59381-2024")</f>
        <v/>
      </c>
    </row>
    <row r="193" ht="15" customHeight="1">
      <c r="A193" t="inlineStr">
        <is>
          <t>A 26467-2024</t>
        </is>
      </c>
      <c r="B193" s="1" t="n">
        <v>45469</v>
      </c>
      <c r="C193" s="1" t="n">
        <v>46048</v>
      </c>
      <c r="D193" t="inlineStr">
        <is>
          <t>VÄSTERNORRLANDS LÄN</t>
        </is>
      </c>
      <c r="E193" t="inlineStr">
        <is>
          <t>SOLLEFTEÅ</t>
        </is>
      </c>
      <c r="G193" t="n">
        <v>1.1</v>
      </c>
      <c r="H193" t="n">
        <v>2</v>
      </c>
      <c r="I193" t="n">
        <v>1</v>
      </c>
      <c r="J193" t="n">
        <v>1</v>
      </c>
      <c r="K193" t="n">
        <v>0</v>
      </c>
      <c r="L193" t="n">
        <v>0</v>
      </c>
      <c r="M193" t="n">
        <v>0</v>
      </c>
      <c r="N193" t="n">
        <v>0</v>
      </c>
      <c r="O193" t="n">
        <v>1</v>
      </c>
      <c r="P193" t="n">
        <v>0</v>
      </c>
      <c r="Q193" t="n">
        <v>4</v>
      </c>
      <c r="R193" s="2" t="inlineStr">
        <is>
          <t>Rosenticka
Springkorn
Skogsrör
Revlummer</t>
        </is>
      </c>
      <c r="S193">
        <f>HYPERLINK("https://klasma.github.io/Logging_2283/artfynd/A 26467-2024 artfynd.xlsx", "A 26467-2024")</f>
        <v/>
      </c>
      <c r="T193">
        <f>HYPERLINK("https://klasma.github.io/Logging_2283/kartor/A 26467-2024 karta.png", "A 26467-2024")</f>
        <v/>
      </c>
      <c r="V193">
        <f>HYPERLINK("https://klasma.github.io/Logging_2283/klagomål/A 26467-2024 FSC-klagomål.docx", "A 26467-2024")</f>
        <v/>
      </c>
      <c r="W193">
        <f>HYPERLINK("https://klasma.github.io/Logging_2283/klagomålsmail/A 26467-2024 FSC-klagomål mail.docx", "A 26467-2024")</f>
        <v/>
      </c>
      <c r="X193">
        <f>HYPERLINK("https://klasma.github.io/Logging_2283/tillsyn/A 26467-2024 tillsynsbegäran.docx", "A 26467-2024")</f>
        <v/>
      </c>
      <c r="Y193">
        <f>HYPERLINK("https://klasma.github.io/Logging_2283/tillsynsmail/A 26467-2024 tillsynsbegäran mail.docx", "A 26467-2024")</f>
        <v/>
      </c>
    </row>
    <row r="194" ht="15" customHeight="1">
      <c r="A194" t="inlineStr">
        <is>
          <t>A 36943-2025</t>
        </is>
      </c>
      <c r="B194" s="1" t="n">
        <v>45874.59422453704</v>
      </c>
      <c r="C194" s="1" t="n">
        <v>46048</v>
      </c>
      <c r="D194" t="inlineStr">
        <is>
          <t>VÄSTERNORRLANDS LÄN</t>
        </is>
      </c>
      <c r="E194" t="inlineStr">
        <is>
          <t>SOLLEFTEÅ</t>
        </is>
      </c>
      <c r="F194" t="inlineStr">
        <is>
          <t>SCA</t>
        </is>
      </c>
      <c r="G194" t="n">
        <v>5.3</v>
      </c>
      <c r="H194" t="n">
        <v>1</v>
      </c>
      <c r="I194" t="n">
        <v>1</v>
      </c>
      <c r="J194" t="n">
        <v>2</v>
      </c>
      <c r="K194" t="n">
        <v>1</v>
      </c>
      <c r="L194" t="n">
        <v>0</v>
      </c>
      <c r="M194" t="n">
        <v>0</v>
      </c>
      <c r="N194" t="n">
        <v>0</v>
      </c>
      <c r="O194" t="n">
        <v>3</v>
      </c>
      <c r="P194" t="n">
        <v>1</v>
      </c>
      <c r="Q194" t="n">
        <v>4</v>
      </c>
      <c r="R194" s="2" t="inlineStr">
        <is>
          <t>Doftticka
Garnlav
Lunglav
Luddlav</t>
        </is>
      </c>
      <c r="S194">
        <f>HYPERLINK("https://klasma.github.io/Logging_2283/artfynd/A 36943-2025 artfynd.xlsx", "A 36943-2025")</f>
        <v/>
      </c>
      <c r="T194">
        <f>HYPERLINK("https://klasma.github.io/Logging_2283/kartor/A 36943-2025 karta.png", "A 36943-2025")</f>
        <v/>
      </c>
      <c r="V194">
        <f>HYPERLINK("https://klasma.github.io/Logging_2283/klagomål/A 36943-2025 FSC-klagomål.docx", "A 36943-2025")</f>
        <v/>
      </c>
      <c r="W194">
        <f>HYPERLINK("https://klasma.github.io/Logging_2283/klagomålsmail/A 36943-2025 FSC-klagomål mail.docx", "A 36943-2025")</f>
        <v/>
      </c>
      <c r="X194">
        <f>HYPERLINK("https://klasma.github.io/Logging_2283/tillsyn/A 36943-2025 tillsynsbegäran.docx", "A 36943-2025")</f>
        <v/>
      </c>
      <c r="Y194">
        <f>HYPERLINK("https://klasma.github.io/Logging_2283/tillsynsmail/A 36943-2025 tillsynsbegäran mail.docx", "A 36943-2025")</f>
        <v/>
      </c>
    </row>
    <row r="195" ht="15" customHeight="1">
      <c r="A195" t="inlineStr">
        <is>
          <t>A 53130-2022</t>
        </is>
      </c>
      <c r="B195" s="1" t="n">
        <v>44873</v>
      </c>
      <c r="C195" s="1" t="n">
        <v>46048</v>
      </c>
      <c r="D195" t="inlineStr">
        <is>
          <t>VÄSTERNORRLANDS LÄN</t>
        </is>
      </c>
      <c r="E195" t="inlineStr">
        <is>
          <t>SOLLEFTEÅ</t>
        </is>
      </c>
      <c r="G195" t="n">
        <v>19.8</v>
      </c>
      <c r="H195" t="n">
        <v>2</v>
      </c>
      <c r="I195" t="n">
        <v>1</v>
      </c>
      <c r="J195" t="n">
        <v>2</v>
      </c>
      <c r="K195" t="n">
        <v>0</v>
      </c>
      <c r="L195" t="n">
        <v>0</v>
      </c>
      <c r="M195" t="n">
        <v>0</v>
      </c>
      <c r="N195" t="n">
        <v>0</v>
      </c>
      <c r="O195" t="n">
        <v>2</v>
      </c>
      <c r="P195" t="n">
        <v>0</v>
      </c>
      <c r="Q195" t="n">
        <v>4</v>
      </c>
      <c r="R195" s="2" t="inlineStr">
        <is>
          <t>Lunglav
Myrbräcka
Bårdlav
Fläcknycklar</t>
        </is>
      </c>
      <c r="S195">
        <f>HYPERLINK("https://klasma.github.io/Logging_2283/artfynd/A 53130-2022 artfynd.xlsx", "A 53130-2022")</f>
        <v/>
      </c>
      <c r="T195">
        <f>HYPERLINK("https://klasma.github.io/Logging_2283/kartor/A 53130-2022 karta.png", "A 53130-2022")</f>
        <v/>
      </c>
      <c r="V195">
        <f>HYPERLINK("https://klasma.github.io/Logging_2283/klagomål/A 53130-2022 FSC-klagomål.docx", "A 53130-2022")</f>
        <v/>
      </c>
      <c r="W195">
        <f>HYPERLINK("https://klasma.github.io/Logging_2283/klagomålsmail/A 53130-2022 FSC-klagomål mail.docx", "A 53130-2022")</f>
        <v/>
      </c>
      <c r="X195">
        <f>HYPERLINK("https://klasma.github.io/Logging_2283/tillsyn/A 53130-2022 tillsynsbegäran.docx", "A 53130-2022")</f>
        <v/>
      </c>
      <c r="Y195">
        <f>HYPERLINK("https://klasma.github.io/Logging_2283/tillsynsmail/A 53130-2022 tillsynsbegäran mail.docx", "A 53130-2022")</f>
        <v/>
      </c>
    </row>
    <row r="196" ht="15" customHeight="1">
      <c r="A196" t="inlineStr">
        <is>
          <t>A 62364-2023</t>
        </is>
      </c>
      <c r="B196" s="1" t="n">
        <v>45267.95166666667</v>
      </c>
      <c r="C196" s="1" t="n">
        <v>46048</v>
      </c>
      <c r="D196" t="inlineStr">
        <is>
          <t>VÄSTERNORRLANDS LÄN</t>
        </is>
      </c>
      <c r="E196" t="inlineStr">
        <is>
          <t>SOLLEFTEÅ</t>
        </is>
      </c>
      <c r="F196" t="inlineStr">
        <is>
          <t>SCA</t>
        </is>
      </c>
      <c r="G196" t="n">
        <v>22.1</v>
      </c>
      <c r="H196" t="n">
        <v>1</v>
      </c>
      <c r="I196" t="n">
        <v>0</v>
      </c>
      <c r="J196" t="n">
        <v>3</v>
      </c>
      <c r="K196" t="n">
        <v>0</v>
      </c>
      <c r="L196" t="n">
        <v>0</v>
      </c>
      <c r="M196" t="n">
        <v>0</v>
      </c>
      <c r="N196" t="n">
        <v>0</v>
      </c>
      <c r="O196" t="n">
        <v>3</v>
      </c>
      <c r="P196" t="n">
        <v>0</v>
      </c>
      <c r="Q196" t="n">
        <v>4</v>
      </c>
      <c r="R196" s="2" t="inlineStr">
        <is>
          <t>Granticka
Harticka
Skogshare
Tjäder</t>
        </is>
      </c>
      <c r="S196">
        <f>HYPERLINK("https://klasma.github.io/Logging_2283/artfynd/A 62364-2023 artfynd.xlsx", "A 62364-2023")</f>
        <v/>
      </c>
      <c r="T196">
        <f>HYPERLINK("https://klasma.github.io/Logging_2283/kartor/A 62364-2023 karta.png", "A 62364-2023")</f>
        <v/>
      </c>
      <c r="V196">
        <f>HYPERLINK("https://klasma.github.io/Logging_2283/klagomål/A 62364-2023 FSC-klagomål.docx", "A 62364-2023")</f>
        <v/>
      </c>
      <c r="W196">
        <f>HYPERLINK("https://klasma.github.io/Logging_2283/klagomålsmail/A 62364-2023 FSC-klagomål mail.docx", "A 62364-2023")</f>
        <v/>
      </c>
      <c r="X196">
        <f>HYPERLINK("https://klasma.github.io/Logging_2283/tillsyn/A 62364-2023 tillsynsbegäran.docx", "A 62364-2023")</f>
        <v/>
      </c>
      <c r="Y196">
        <f>HYPERLINK("https://klasma.github.io/Logging_2283/tillsynsmail/A 62364-2023 tillsynsbegäran mail.docx", "A 62364-2023")</f>
        <v/>
      </c>
      <c r="Z196">
        <f>HYPERLINK("https://klasma.github.io/Logging_2283/fåglar/A 62364-2023 prioriterade fågelarter.docx", "A 62364-2023")</f>
        <v/>
      </c>
    </row>
    <row r="197" ht="15" customHeight="1">
      <c r="A197" t="inlineStr">
        <is>
          <t>A 31560-2024</t>
        </is>
      </c>
      <c r="B197" s="1" t="n">
        <v>45505</v>
      </c>
      <c r="C197" s="1" t="n">
        <v>46048</v>
      </c>
      <c r="D197" t="inlineStr">
        <is>
          <t>VÄSTERNORRLANDS LÄN</t>
        </is>
      </c>
      <c r="E197" t="inlineStr">
        <is>
          <t>SOLLEFTEÅ</t>
        </is>
      </c>
      <c r="F197" t="inlineStr">
        <is>
          <t>SCA</t>
        </is>
      </c>
      <c r="G197" t="n">
        <v>6</v>
      </c>
      <c r="H197" t="n">
        <v>0</v>
      </c>
      <c r="I197" t="n">
        <v>0</v>
      </c>
      <c r="J197" t="n">
        <v>2</v>
      </c>
      <c r="K197" t="n">
        <v>2</v>
      </c>
      <c r="L197" t="n">
        <v>0</v>
      </c>
      <c r="M197" t="n">
        <v>0</v>
      </c>
      <c r="N197" t="n">
        <v>0</v>
      </c>
      <c r="O197" t="n">
        <v>4</v>
      </c>
      <c r="P197" t="n">
        <v>2</v>
      </c>
      <c r="Q197" t="n">
        <v>4</v>
      </c>
      <c r="R197" s="2" t="inlineStr">
        <is>
          <t>Lappticka
Rynkskinn
Rosenticka
Ullticka</t>
        </is>
      </c>
      <c r="S197">
        <f>HYPERLINK("https://klasma.github.io/Logging_2283/artfynd/A 31560-2024 artfynd.xlsx", "A 31560-2024")</f>
        <v/>
      </c>
      <c r="T197">
        <f>HYPERLINK("https://klasma.github.io/Logging_2283/kartor/A 31560-2024 karta.png", "A 31560-2024")</f>
        <v/>
      </c>
      <c r="V197">
        <f>HYPERLINK("https://klasma.github.io/Logging_2283/klagomål/A 31560-2024 FSC-klagomål.docx", "A 31560-2024")</f>
        <v/>
      </c>
      <c r="W197">
        <f>HYPERLINK("https://klasma.github.io/Logging_2283/klagomålsmail/A 31560-2024 FSC-klagomål mail.docx", "A 31560-2024")</f>
        <v/>
      </c>
      <c r="X197">
        <f>HYPERLINK("https://klasma.github.io/Logging_2283/tillsyn/A 31560-2024 tillsynsbegäran.docx", "A 31560-2024")</f>
        <v/>
      </c>
      <c r="Y197">
        <f>HYPERLINK("https://klasma.github.io/Logging_2283/tillsynsmail/A 31560-2024 tillsynsbegäran mail.docx", "A 31560-2024")</f>
        <v/>
      </c>
    </row>
    <row r="198" ht="15" customHeight="1">
      <c r="A198" t="inlineStr">
        <is>
          <t>A 40740-2025</t>
        </is>
      </c>
      <c r="B198" s="1" t="n">
        <v>45897.36840277778</v>
      </c>
      <c r="C198" s="1" t="n">
        <v>46048</v>
      </c>
      <c r="D198" t="inlineStr">
        <is>
          <t>VÄSTERNORRLANDS LÄN</t>
        </is>
      </c>
      <c r="E198" t="inlineStr">
        <is>
          <t>SOLLEFTEÅ</t>
        </is>
      </c>
      <c r="G198" t="n">
        <v>6.3</v>
      </c>
      <c r="H198" t="n">
        <v>0</v>
      </c>
      <c r="I198" t="n">
        <v>0</v>
      </c>
      <c r="J198" t="n">
        <v>4</v>
      </c>
      <c r="K198" t="n">
        <v>0</v>
      </c>
      <c r="L198" t="n">
        <v>0</v>
      </c>
      <c r="M198" t="n">
        <v>0</v>
      </c>
      <c r="N198" t="n">
        <v>0</v>
      </c>
      <c r="O198" t="n">
        <v>4</v>
      </c>
      <c r="P198" t="n">
        <v>0</v>
      </c>
      <c r="Q198" t="n">
        <v>4</v>
      </c>
      <c r="R198" s="2" t="inlineStr">
        <is>
          <t>Garnlav
Kolflarnlav
Vedflamlav
Vedskivlav</t>
        </is>
      </c>
      <c r="S198">
        <f>HYPERLINK("https://klasma.github.io/Logging_2283/artfynd/A 40740-2025 artfynd.xlsx", "A 40740-2025")</f>
        <v/>
      </c>
      <c r="T198">
        <f>HYPERLINK("https://klasma.github.io/Logging_2283/kartor/A 40740-2025 karta.png", "A 40740-2025")</f>
        <v/>
      </c>
      <c r="V198">
        <f>HYPERLINK("https://klasma.github.io/Logging_2283/klagomål/A 40740-2025 FSC-klagomål.docx", "A 40740-2025")</f>
        <v/>
      </c>
      <c r="W198">
        <f>HYPERLINK("https://klasma.github.io/Logging_2283/klagomålsmail/A 40740-2025 FSC-klagomål mail.docx", "A 40740-2025")</f>
        <v/>
      </c>
      <c r="X198">
        <f>HYPERLINK("https://klasma.github.io/Logging_2283/tillsyn/A 40740-2025 tillsynsbegäran.docx", "A 40740-2025")</f>
        <v/>
      </c>
      <c r="Y198">
        <f>HYPERLINK("https://klasma.github.io/Logging_2283/tillsynsmail/A 40740-2025 tillsynsbegäran mail.docx", "A 40740-2025")</f>
        <v/>
      </c>
    </row>
    <row r="199" ht="15" customHeight="1">
      <c r="A199" t="inlineStr">
        <is>
          <t>A 45030-2025</t>
        </is>
      </c>
      <c r="B199" s="1" t="n">
        <v>45918.69851851852</v>
      </c>
      <c r="C199" s="1" t="n">
        <v>46048</v>
      </c>
      <c r="D199" t="inlineStr">
        <is>
          <t>VÄSTERNORRLANDS LÄN</t>
        </is>
      </c>
      <c r="E199" t="inlineStr">
        <is>
          <t>SOLLEFTEÅ</t>
        </is>
      </c>
      <c r="F199" t="inlineStr">
        <is>
          <t>SCA</t>
        </is>
      </c>
      <c r="G199" t="n">
        <v>8.1</v>
      </c>
      <c r="H199" t="n">
        <v>3</v>
      </c>
      <c r="I199" t="n">
        <v>1</v>
      </c>
      <c r="J199" t="n">
        <v>2</v>
      </c>
      <c r="K199" t="n">
        <v>0</v>
      </c>
      <c r="L199" t="n">
        <v>0</v>
      </c>
      <c r="M199" t="n">
        <v>0</v>
      </c>
      <c r="N199" t="n">
        <v>0</v>
      </c>
      <c r="O199" t="n">
        <v>2</v>
      </c>
      <c r="P199" t="n">
        <v>0</v>
      </c>
      <c r="Q199" t="n">
        <v>4</v>
      </c>
      <c r="R199" s="2" t="inlineStr">
        <is>
          <t>Garnlav
Talltita
Korallrot
Revlummer</t>
        </is>
      </c>
      <c r="S199">
        <f>HYPERLINK("https://klasma.github.io/Logging_2283/artfynd/A 45030-2025 artfynd.xlsx", "A 45030-2025")</f>
        <v/>
      </c>
      <c r="T199">
        <f>HYPERLINK("https://klasma.github.io/Logging_2283/kartor/A 45030-2025 karta.png", "A 45030-2025")</f>
        <v/>
      </c>
      <c r="V199">
        <f>HYPERLINK("https://klasma.github.io/Logging_2283/klagomål/A 45030-2025 FSC-klagomål.docx", "A 45030-2025")</f>
        <v/>
      </c>
      <c r="W199">
        <f>HYPERLINK("https://klasma.github.io/Logging_2283/klagomålsmail/A 45030-2025 FSC-klagomål mail.docx", "A 45030-2025")</f>
        <v/>
      </c>
      <c r="X199">
        <f>HYPERLINK("https://klasma.github.io/Logging_2283/tillsyn/A 45030-2025 tillsynsbegäran.docx", "A 45030-2025")</f>
        <v/>
      </c>
      <c r="Y199">
        <f>HYPERLINK("https://klasma.github.io/Logging_2283/tillsynsmail/A 45030-2025 tillsynsbegäran mail.docx", "A 45030-2025")</f>
        <v/>
      </c>
      <c r="Z199">
        <f>HYPERLINK("https://klasma.github.io/Logging_2283/fåglar/A 45030-2025 prioriterade fågelarter.docx", "A 45030-2025")</f>
        <v/>
      </c>
    </row>
    <row r="200" ht="15" customHeight="1">
      <c r="A200" t="inlineStr">
        <is>
          <t>A 62632-2022</t>
        </is>
      </c>
      <c r="B200" s="1" t="n">
        <v>44925</v>
      </c>
      <c r="C200" s="1" t="n">
        <v>46048</v>
      </c>
      <c r="D200" t="inlineStr">
        <is>
          <t>VÄSTERNORRLANDS LÄN</t>
        </is>
      </c>
      <c r="E200" t="inlineStr">
        <is>
          <t>SOLLEFTEÅ</t>
        </is>
      </c>
      <c r="F200" t="inlineStr">
        <is>
          <t>Holmen skog AB</t>
        </is>
      </c>
      <c r="G200" t="n">
        <v>4.4</v>
      </c>
      <c r="H200" t="n">
        <v>1</v>
      </c>
      <c r="I200" t="n">
        <v>1</v>
      </c>
      <c r="J200" t="n">
        <v>2</v>
      </c>
      <c r="K200" t="n">
        <v>1</v>
      </c>
      <c r="L200" t="n">
        <v>0</v>
      </c>
      <c r="M200" t="n">
        <v>0</v>
      </c>
      <c r="N200" t="n">
        <v>0</v>
      </c>
      <c r="O200" t="n">
        <v>3</v>
      </c>
      <c r="P200" t="n">
        <v>1</v>
      </c>
      <c r="Q200" t="n">
        <v>4</v>
      </c>
      <c r="R200" s="2" t="inlineStr">
        <is>
          <t>Bitter taggsvamp
Blå taggsvamp
Orange taggsvamp
Plattlummer</t>
        </is>
      </c>
      <c r="S200">
        <f>HYPERLINK("https://klasma.github.io/Logging_2283/artfynd/A 62632-2022 artfynd.xlsx", "A 62632-2022")</f>
        <v/>
      </c>
      <c r="T200">
        <f>HYPERLINK("https://klasma.github.io/Logging_2283/kartor/A 62632-2022 karta.png", "A 62632-2022")</f>
        <v/>
      </c>
      <c r="V200">
        <f>HYPERLINK("https://klasma.github.io/Logging_2283/klagomål/A 62632-2022 FSC-klagomål.docx", "A 62632-2022")</f>
        <v/>
      </c>
      <c r="W200">
        <f>HYPERLINK("https://klasma.github.io/Logging_2283/klagomålsmail/A 62632-2022 FSC-klagomål mail.docx", "A 62632-2022")</f>
        <v/>
      </c>
      <c r="X200">
        <f>HYPERLINK("https://klasma.github.io/Logging_2283/tillsyn/A 62632-2022 tillsynsbegäran.docx", "A 62632-2022")</f>
        <v/>
      </c>
      <c r="Y200">
        <f>HYPERLINK("https://klasma.github.io/Logging_2283/tillsynsmail/A 62632-2022 tillsynsbegäran mail.docx", "A 62632-2022")</f>
        <v/>
      </c>
    </row>
    <row r="201" ht="15" customHeight="1">
      <c r="A201" t="inlineStr">
        <is>
          <t>A 26338-2025</t>
        </is>
      </c>
      <c r="B201" s="1" t="n">
        <v>45805.69841435185</v>
      </c>
      <c r="C201" s="1" t="n">
        <v>46048</v>
      </c>
      <c r="D201" t="inlineStr">
        <is>
          <t>VÄSTERNORRLANDS LÄN</t>
        </is>
      </c>
      <c r="E201" t="inlineStr">
        <is>
          <t>SOLLEFTEÅ</t>
        </is>
      </c>
      <c r="F201" t="inlineStr">
        <is>
          <t>SCA</t>
        </is>
      </c>
      <c r="G201" t="n">
        <v>2.7</v>
      </c>
      <c r="H201" t="n">
        <v>2</v>
      </c>
      <c r="I201" t="n">
        <v>0</v>
      </c>
      <c r="J201" t="n">
        <v>4</v>
      </c>
      <c r="K201" t="n">
        <v>0</v>
      </c>
      <c r="L201" t="n">
        <v>0</v>
      </c>
      <c r="M201" t="n">
        <v>0</v>
      </c>
      <c r="N201" t="n">
        <v>0</v>
      </c>
      <c r="O201" t="n">
        <v>4</v>
      </c>
      <c r="P201" t="n">
        <v>0</v>
      </c>
      <c r="Q201" t="n">
        <v>4</v>
      </c>
      <c r="R201" s="2" t="inlineStr">
        <is>
          <t>Lunglav
Motaggsvamp
Talltita
Tretåig hackspett</t>
        </is>
      </c>
      <c r="S201">
        <f>HYPERLINK("https://klasma.github.io/Logging_2283/artfynd/A 26338-2025 artfynd.xlsx", "A 26338-2025")</f>
        <v/>
      </c>
      <c r="T201">
        <f>HYPERLINK("https://klasma.github.io/Logging_2283/kartor/A 26338-2025 karta.png", "A 26338-2025")</f>
        <v/>
      </c>
      <c r="V201">
        <f>HYPERLINK("https://klasma.github.io/Logging_2283/klagomål/A 26338-2025 FSC-klagomål.docx", "A 26338-2025")</f>
        <v/>
      </c>
      <c r="W201">
        <f>HYPERLINK("https://klasma.github.io/Logging_2283/klagomålsmail/A 26338-2025 FSC-klagomål mail.docx", "A 26338-2025")</f>
        <v/>
      </c>
      <c r="X201">
        <f>HYPERLINK("https://klasma.github.io/Logging_2283/tillsyn/A 26338-2025 tillsynsbegäran.docx", "A 26338-2025")</f>
        <v/>
      </c>
      <c r="Y201">
        <f>HYPERLINK("https://klasma.github.io/Logging_2283/tillsynsmail/A 26338-2025 tillsynsbegäran mail.docx", "A 26338-2025")</f>
        <v/>
      </c>
      <c r="Z201">
        <f>HYPERLINK("https://klasma.github.io/Logging_2283/fåglar/A 26338-2025 prioriterade fågelarter.docx", "A 26338-2025")</f>
        <v/>
      </c>
    </row>
    <row r="202" ht="15" customHeight="1">
      <c r="A202" t="inlineStr">
        <is>
          <t>A 25954-2025</t>
        </is>
      </c>
      <c r="B202" s="1" t="n">
        <v>45804</v>
      </c>
      <c r="C202" s="1" t="n">
        <v>46048</v>
      </c>
      <c r="D202" t="inlineStr">
        <is>
          <t>VÄSTERNORRLANDS LÄN</t>
        </is>
      </c>
      <c r="E202" t="inlineStr">
        <is>
          <t>SOLLEFTEÅ</t>
        </is>
      </c>
      <c r="G202" t="n">
        <v>3.2</v>
      </c>
      <c r="H202" t="n">
        <v>1</v>
      </c>
      <c r="I202" t="n">
        <v>3</v>
      </c>
      <c r="J202" t="n">
        <v>0</v>
      </c>
      <c r="K202" t="n">
        <v>0</v>
      </c>
      <c r="L202" t="n">
        <v>0</v>
      </c>
      <c r="M202" t="n">
        <v>0</v>
      </c>
      <c r="N202" t="n">
        <v>0</v>
      </c>
      <c r="O202" t="n">
        <v>0</v>
      </c>
      <c r="P202" t="n">
        <v>0</v>
      </c>
      <c r="Q202" t="n">
        <v>4</v>
      </c>
      <c r="R202" s="2" t="inlineStr">
        <is>
          <t>Dvärghäxört
Springkorn
Svart trolldruva
Revlummer</t>
        </is>
      </c>
      <c r="S202">
        <f>HYPERLINK("https://klasma.github.io/Logging_2283/artfynd/A 25954-2025 artfynd.xlsx", "A 25954-2025")</f>
        <v/>
      </c>
      <c r="T202">
        <f>HYPERLINK("https://klasma.github.io/Logging_2283/kartor/A 25954-2025 karta.png", "A 25954-2025")</f>
        <v/>
      </c>
      <c r="V202">
        <f>HYPERLINK("https://klasma.github.io/Logging_2283/klagomål/A 25954-2025 FSC-klagomål.docx", "A 25954-2025")</f>
        <v/>
      </c>
      <c r="W202">
        <f>HYPERLINK("https://klasma.github.io/Logging_2283/klagomålsmail/A 25954-2025 FSC-klagomål mail.docx", "A 25954-2025")</f>
        <v/>
      </c>
      <c r="X202">
        <f>HYPERLINK("https://klasma.github.io/Logging_2283/tillsyn/A 25954-2025 tillsynsbegäran.docx", "A 25954-2025")</f>
        <v/>
      </c>
      <c r="Y202">
        <f>HYPERLINK("https://klasma.github.io/Logging_2283/tillsynsmail/A 25954-2025 tillsynsbegäran mail.docx", "A 25954-2025")</f>
        <v/>
      </c>
    </row>
    <row r="203" ht="15" customHeight="1">
      <c r="A203" t="inlineStr">
        <is>
          <t>A 60260-2025</t>
        </is>
      </c>
      <c r="B203" s="1" t="n">
        <v>45994.61025462963</v>
      </c>
      <c r="C203" s="1" t="n">
        <v>46048</v>
      </c>
      <c r="D203" t="inlineStr">
        <is>
          <t>VÄSTERNORRLANDS LÄN</t>
        </is>
      </c>
      <c r="E203" t="inlineStr">
        <is>
          <t>SOLLEFTEÅ</t>
        </is>
      </c>
      <c r="G203" t="n">
        <v>2.2</v>
      </c>
      <c r="H203" t="n">
        <v>0</v>
      </c>
      <c r="I203" t="n">
        <v>1</v>
      </c>
      <c r="J203" t="n">
        <v>1</v>
      </c>
      <c r="K203" t="n">
        <v>2</v>
      </c>
      <c r="L203" t="n">
        <v>0</v>
      </c>
      <c r="M203" t="n">
        <v>0</v>
      </c>
      <c r="N203" t="n">
        <v>0</v>
      </c>
      <c r="O203" t="n">
        <v>3</v>
      </c>
      <c r="P203" t="n">
        <v>2</v>
      </c>
      <c r="Q203" t="n">
        <v>4</v>
      </c>
      <c r="R203" s="2" t="inlineStr">
        <is>
          <t>Liten aspgelélav
Sprickporing
Lunglav
Korallblylav</t>
        </is>
      </c>
      <c r="S203">
        <f>HYPERLINK("https://klasma.github.io/Logging_2283/artfynd/A 60260-2025 artfynd.xlsx", "A 60260-2025")</f>
        <v/>
      </c>
      <c r="T203">
        <f>HYPERLINK("https://klasma.github.io/Logging_2283/kartor/A 60260-2025 karta.png", "A 60260-2025")</f>
        <v/>
      </c>
      <c r="V203">
        <f>HYPERLINK("https://klasma.github.io/Logging_2283/klagomål/A 60260-2025 FSC-klagomål.docx", "A 60260-2025")</f>
        <v/>
      </c>
      <c r="W203">
        <f>HYPERLINK("https://klasma.github.io/Logging_2283/klagomålsmail/A 60260-2025 FSC-klagomål mail.docx", "A 60260-2025")</f>
        <v/>
      </c>
      <c r="X203">
        <f>HYPERLINK("https://klasma.github.io/Logging_2283/tillsyn/A 60260-2025 tillsynsbegäran.docx", "A 60260-2025")</f>
        <v/>
      </c>
      <c r="Y203">
        <f>HYPERLINK("https://klasma.github.io/Logging_2283/tillsynsmail/A 60260-2025 tillsynsbegäran mail.docx", "A 60260-2025")</f>
        <v/>
      </c>
    </row>
    <row r="204" ht="15" customHeight="1">
      <c r="A204" t="inlineStr">
        <is>
          <t>A 58155-2025</t>
        </is>
      </c>
      <c r="B204" s="1" t="n">
        <v>45982</v>
      </c>
      <c r="C204" s="1" t="n">
        <v>46048</v>
      </c>
      <c r="D204" t="inlineStr">
        <is>
          <t>VÄSTERNORRLANDS LÄN</t>
        </is>
      </c>
      <c r="E204" t="inlineStr">
        <is>
          <t>SOLLEFTEÅ</t>
        </is>
      </c>
      <c r="G204" t="n">
        <v>16.1</v>
      </c>
      <c r="H204" t="n">
        <v>1</v>
      </c>
      <c r="I204" t="n">
        <v>1</v>
      </c>
      <c r="J204" t="n">
        <v>3</v>
      </c>
      <c r="K204" t="n">
        <v>0</v>
      </c>
      <c r="L204" t="n">
        <v>0</v>
      </c>
      <c r="M204" t="n">
        <v>0</v>
      </c>
      <c r="N204" t="n">
        <v>0</v>
      </c>
      <c r="O204" t="n">
        <v>3</v>
      </c>
      <c r="P204" t="n">
        <v>0</v>
      </c>
      <c r="Q204" t="n">
        <v>4</v>
      </c>
      <c r="R204" s="2" t="inlineStr">
        <is>
          <t>Garnlav
Järpe
Ullticka
Dropptaggsvamp</t>
        </is>
      </c>
      <c r="S204">
        <f>HYPERLINK("https://klasma.github.io/Logging_2283/artfynd/A 58155-2025 artfynd.xlsx", "A 58155-2025")</f>
        <v/>
      </c>
      <c r="T204">
        <f>HYPERLINK("https://klasma.github.io/Logging_2283/kartor/A 58155-2025 karta.png", "A 58155-2025")</f>
        <v/>
      </c>
      <c r="V204">
        <f>HYPERLINK("https://klasma.github.io/Logging_2283/klagomål/A 58155-2025 FSC-klagomål.docx", "A 58155-2025")</f>
        <v/>
      </c>
      <c r="W204">
        <f>HYPERLINK("https://klasma.github.io/Logging_2283/klagomålsmail/A 58155-2025 FSC-klagomål mail.docx", "A 58155-2025")</f>
        <v/>
      </c>
      <c r="X204">
        <f>HYPERLINK("https://klasma.github.io/Logging_2283/tillsyn/A 58155-2025 tillsynsbegäran.docx", "A 58155-2025")</f>
        <v/>
      </c>
      <c r="Y204">
        <f>HYPERLINK("https://klasma.github.io/Logging_2283/tillsynsmail/A 58155-2025 tillsynsbegäran mail.docx", "A 58155-2025")</f>
        <v/>
      </c>
      <c r="Z204">
        <f>HYPERLINK("https://klasma.github.io/Logging_2283/fåglar/A 58155-2025 prioriterade fågelarter.docx", "A 58155-2025")</f>
        <v/>
      </c>
    </row>
    <row r="205" ht="15" customHeight="1">
      <c r="A205" t="inlineStr">
        <is>
          <t>A 39095-2025</t>
        </is>
      </c>
      <c r="B205" s="1" t="n">
        <v>45888</v>
      </c>
      <c r="C205" s="1" t="n">
        <v>46048</v>
      </c>
      <c r="D205" t="inlineStr">
        <is>
          <t>VÄSTERNORRLANDS LÄN</t>
        </is>
      </c>
      <c r="E205" t="inlineStr">
        <is>
          <t>SOLLEFTEÅ</t>
        </is>
      </c>
      <c r="F205" t="inlineStr">
        <is>
          <t>Holmen skog AB</t>
        </is>
      </c>
      <c r="G205" t="n">
        <v>1.3</v>
      </c>
      <c r="H205" t="n">
        <v>3</v>
      </c>
      <c r="I205" t="n">
        <v>0</v>
      </c>
      <c r="J205" t="n">
        <v>3</v>
      </c>
      <c r="K205" t="n">
        <v>0</v>
      </c>
      <c r="L205" t="n">
        <v>0</v>
      </c>
      <c r="M205" t="n">
        <v>0</v>
      </c>
      <c r="N205" t="n">
        <v>0</v>
      </c>
      <c r="O205" t="n">
        <v>3</v>
      </c>
      <c r="P205" t="n">
        <v>0</v>
      </c>
      <c r="Q205" t="n">
        <v>4</v>
      </c>
      <c r="R205" s="2" t="inlineStr">
        <is>
          <t>Garnlav
Talltita
Tretåig hackspett
Tjäder</t>
        </is>
      </c>
      <c r="S205">
        <f>HYPERLINK("https://klasma.github.io/Logging_2283/artfynd/A 39095-2025 artfynd.xlsx", "A 39095-2025")</f>
        <v/>
      </c>
      <c r="T205">
        <f>HYPERLINK("https://klasma.github.io/Logging_2283/kartor/A 39095-2025 karta.png", "A 39095-2025")</f>
        <v/>
      </c>
      <c r="V205">
        <f>HYPERLINK("https://klasma.github.io/Logging_2283/klagomål/A 39095-2025 FSC-klagomål.docx", "A 39095-2025")</f>
        <v/>
      </c>
      <c r="W205">
        <f>HYPERLINK("https://klasma.github.io/Logging_2283/klagomålsmail/A 39095-2025 FSC-klagomål mail.docx", "A 39095-2025")</f>
        <v/>
      </c>
      <c r="X205">
        <f>HYPERLINK("https://klasma.github.io/Logging_2283/tillsyn/A 39095-2025 tillsynsbegäran.docx", "A 39095-2025")</f>
        <v/>
      </c>
      <c r="Y205">
        <f>HYPERLINK("https://klasma.github.io/Logging_2283/tillsynsmail/A 39095-2025 tillsynsbegäran mail.docx", "A 39095-2025")</f>
        <v/>
      </c>
      <c r="Z205">
        <f>HYPERLINK("https://klasma.github.io/Logging_2283/fåglar/A 39095-2025 prioriterade fågelarter.docx", "A 39095-2025")</f>
        <v/>
      </c>
    </row>
    <row r="206" ht="15" customHeight="1">
      <c r="A206" t="inlineStr">
        <is>
          <t>A 31354-2021</t>
        </is>
      </c>
      <c r="B206" s="1" t="n">
        <v>44368.93938657407</v>
      </c>
      <c r="C206" s="1" t="n">
        <v>46048</v>
      </c>
      <c r="D206" t="inlineStr">
        <is>
          <t>VÄSTERNORRLANDS LÄN</t>
        </is>
      </c>
      <c r="E206" t="inlineStr">
        <is>
          <t>SOLLEFTEÅ</t>
        </is>
      </c>
      <c r="F206" t="inlineStr">
        <is>
          <t>SCA</t>
        </is>
      </c>
      <c r="G206" t="n">
        <v>1.5</v>
      </c>
      <c r="H206" t="n">
        <v>1</v>
      </c>
      <c r="I206" t="n">
        <v>1</v>
      </c>
      <c r="J206" t="n">
        <v>1</v>
      </c>
      <c r="K206" t="n">
        <v>1</v>
      </c>
      <c r="L206" t="n">
        <v>0</v>
      </c>
      <c r="M206" t="n">
        <v>0</v>
      </c>
      <c r="N206" t="n">
        <v>0</v>
      </c>
      <c r="O206" t="n">
        <v>2</v>
      </c>
      <c r="P206" t="n">
        <v>1</v>
      </c>
      <c r="Q206" t="n">
        <v>3</v>
      </c>
      <c r="R206" s="2" t="inlineStr">
        <is>
          <t>Knärot
Garnlav
Norrlandslav</t>
        </is>
      </c>
      <c r="S206">
        <f>HYPERLINK("https://klasma.github.io/Logging_2283/artfynd/A 31354-2021 artfynd.xlsx", "A 31354-2021")</f>
        <v/>
      </c>
      <c r="T206">
        <f>HYPERLINK("https://klasma.github.io/Logging_2283/kartor/A 31354-2021 karta.png", "A 31354-2021")</f>
        <v/>
      </c>
      <c r="U206">
        <f>HYPERLINK("https://klasma.github.io/Logging_2283/knärot/A 31354-2021 karta knärot.png", "A 31354-2021")</f>
        <v/>
      </c>
      <c r="V206">
        <f>HYPERLINK("https://klasma.github.io/Logging_2283/klagomål/A 31354-2021 FSC-klagomål.docx", "A 31354-2021")</f>
        <v/>
      </c>
      <c r="W206">
        <f>HYPERLINK("https://klasma.github.io/Logging_2283/klagomålsmail/A 31354-2021 FSC-klagomål mail.docx", "A 31354-2021")</f>
        <v/>
      </c>
      <c r="X206">
        <f>HYPERLINK("https://klasma.github.io/Logging_2283/tillsyn/A 31354-2021 tillsynsbegäran.docx", "A 31354-2021")</f>
        <v/>
      </c>
      <c r="Y206">
        <f>HYPERLINK("https://klasma.github.io/Logging_2283/tillsynsmail/A 31354-2021 tillsynsbegäran mail.docx", "A 31354-2021")</f>
        <v/>
      </c>
    </row>
    <row r="207" ht="15" customHeight="1">
      <c r="A207" t="inlineStr">
        <is>
          <t>A 44599-2021</t>
        </is>
      </c>
      <c r="B207" s="1" t="n">
        <v>44435.94106481481</v>
      </c>
      <c r="C207" s="1" t="n">
        <v>46048</v>
      </c>
      <c r="D207" t="inlineStr">
        <is>
          <t>VÄSTERNORRLANDS LÄN</t>
        </is>
      </c>
      <c r="E207" t="inlineStr">
        <is>
          <t>SOLLEFTEÅ</t>
        </is>
      </c>
      <c r="F207" t="inlineStr">
        <is>
          <t>SCA</t>
        </is>
      </c>
      <c r="G207" t="n">
        <v>6.1</v>
      </c>
      <c r="H207" t="n">
        <v>0</v>
      </c>
      <c r="I207" t="n">
        <v>2</v>
      </c>
      <c r="J207" t="n">
        <v>1</v>
      </c>
      <c r="K207" t="n">
        <v>0</v>
      </c>
      <c r="L207" t="n">
        <v>0</v>
      </c>
      <c r="M207" t="n">
        <v>0</v>
      </c>
      <c r="N207" t="n">
        <v>0</v>
      </c>
      <c r="O207" t="n">
        <v>1</v>
      </c>
      <c r="P207" t="n">
        <v>0</v>
      </c>
      <c r="Q207" t="n">
        <v>3</v>
      </c>
      <c r="R207" s="2" t="inlineStr">
        <is>
          <t>Rosenticka
Strutbräken
Stuplav</t>
        </is>
      </c>
      <c r="S207">
        <f>HYPERLINK("https://klasma.github.io/Logging_2283/artfynd/A 44599-2021 artfynd.xlsx", "A 44599-2021")</f>
        <v/>
      </c>
      <c r="T207">
        <f>HYPERLINK("https://klasma.github.io/Logging_2283/kartor/A 44599-2021 karta.png", "A 44599-2021")</f>
        <v/>
      </c>
      <c r="V207">
        <f>HYPERLINK("https://klasma.github.io/Logging_2283/klagomål/A 44599-2021 FSC-klagomål.docx", "A 44599-2021")</f>
        <v/>
      </c>
      <c r="W207">
        <f>HYPERLINK("https://klasma.github.io/Logging_2283/klagomålsmail/A 44599-2021 FSC-klagomål mail.docx", "A 44599-2021")</f>
        <v/>
      </c>
      <c r="X207">
        <f>HYPERLINK("https://klasma.github.io/Logging_2283/tillsyn/A 44599-2021 tillsynsbegäran.docx", "A 44599-2021")</f>
        <v/>
      </c>
      <c r="Y207">
        <f>HYPERLINK("https://klasma.github.io/Logging_2283/tillsynsmail/A 44599-2021 tillsynsbegäran mail.docx", "A 44599-2021")</f>
        <v/>
      </c>
    </row>
    <row r="208" ht="15" customHeight="1">
      <c r="A208" t="inlineStr">
        <is>
          <t>A 15098-2021</t>
        </is>
      </c>
      <c r="B208" s="1" t="n">
        <v>44281</v>
      </c>
      <c r="C208" s="1" t="n">
        <v>46048</v>
      </c>
      <c r="D208" t="inlineStr">
        <is>
          <t>VÄSTERNORRLANDS LÄN</t>
        </is>
      </c>
      <c r="E208" t="inlineStr">
        <is>
          <t>SOLLEFTEÅ</t>
        </is>
      </c>
      <c r="F208" t="inlineStr">
        <is>
          <t>SCA</t>
        </is>
      </c>
      <c r="G208" t="n">
        <v>4</v>
      </c>
      <c r="H208" t="n">
        <v>1</v>
      </c>
      <c r="I208" t="n">
        <v>0</v>
      </c>
      <c r="J208" t="n">
        <v>2</v>
      </c>
      <c r="K208" t="n">
        <v>0</v>
      </c>
      <c r="L208" t="n">
        <v>0</v>
      </c>
      <c r="M208" t="n">
        <v>0</v>
      </c>
      <c r="N208" t="n">
        <v>0</v>
      </c>
      <c r="O208" t="n">
        <v>2</v>
      </c>
      <c r="P208" t="n">
        <v>0</v>
      </c>
      <c r="Q208" t="n">
        <v>3</v>
      </c>
      <c r="R208" s="2" t="inlineStr">
        <is>
          <t>Garnlav
Lunglav
Lavskrika</t>
        </is>
      </c>
      <c r="S208">
        <f>HYPERLINK("https://klasma.github.io/Logging_2283/artfynd/A 15098-2021 artfynd.xlsx", "A 15098-2021")</f>
        <v/>
      </c>
      <c r="T208">
        <f>HYPERLINK("https://klasma.github.io/Logging_2283/kartor/A 15098-2021 karta.png", "A 15098-2021")</f>
        <v/>
      </c>
      <c r="V208">
        <f>HYPERLINK("https://klasma.github.io/Logging_2283/klagomål/A 15098-2021 FSC-klagomål.docx", "A 15098-2021")</f>
        <v/>
      </c>
      <c r="W208">
        <f>HYPERLINK("https://klasma.github.io/Logging_2283/klagomålsmail/A 15098-2021 FSC-klagomål mail.docx", "A 15098-2021")</f>
        <v/>
      </c>
      <c r="X208">
        <f>HYPERLINK("https://klasma.github.io/Logging_2283/tillsyn/A 15098-2021 tillsynsbegäran.docx", "A 15098-2021")</f>
        <v/>
      </c>
      <c r="Y208">
        <f>HYPERLINK("https://klasma.github.io/Logging_2283/tillsynsmail/A 15098-2021 tillsynsbegäran mail.docx", "A 15098-2021")</f>
        <v/>
      </c>
      <c r="Z208">
        <f>HYPERLINK("https://klasma.github.io/Logging_2283/fåglar/A 15098-2021 prioriterade fågelarter.docx", "A 15098-2021")</f>
        <v/>
      </c>
    </row>
    <row r="209" ht="15" customHeight="1">
      <c r="A209" t="inlineStr">
        <is>
          <t>A 42301-2022</t>
        </is>
      </c>
      <c r="B209" s="1" t="n">
        <v>44830.95461805556</v>
      </c>
      <c r="C209" s="1" t="n">
        <v>46048</v>
      </c>
      <c r="D209" t="inlineStr">
        <is>
          <t>VÄSTERNORRLANDS LÄN</t>
        </is>
      </c>
      <c r="E209" t="inlineStr">
        <is>
          <t>SOLLEFTEÅ</t>
        </is>
      </c>
      <c r="F209" t="inlineStr">
        <is>
          <t>SCA</t>
        </is>
      </c>
      <c r="G209" t="n">
        <v>0.8</v>
      </c>
      <c r="H209" t="n">
        <v>1</v>
      </c>
      <c r="I209" t="n">
        <v>0</v>
      </c>
      <c r="J209" t="n">
        <v>3</v>
      </c>
      <c r="K209" t="n">
        <v>0</v>
      </c>
      <c r="L209" t="n">
        <v>0</v>
      </c>
      <c r="M209" t="n">
        <v>0</v>
      </c>
      <c r="N209" t="n">
        <v>0</v>
      </c>
      <c r="O209" t="n">
        <v>3</v>
      </c>
      <c r="P209" t="n">
        <v>0</v>
      </c>
      <c r="Q209" t="n">
        <v>3</v>
      </c>
      <c r="R209" s="2" t="inlineStr">
        <is>
          <t>Gammelgransskål
Harticka
Tretåig hackspett</t>
        </is>
      </c>
      <c r="S209">
        <f>HYPERLINK("https://klasma.github.io/Logging_2283/artfynd/A 42301-2022 artfynd.xlsx", "A 42301-2022")</f>
        <v/>
      </c>
      <c r="T209">
        <f>HYPERLINK("https://klasma.github.io/Logging_2283/kartor/A 42301-2022 karta.png", "A 42301-2022")</f>
        <v/>
      </c>
      <c r="V209">
        <f>HYPERLINK("https://klasma.github.io/Logging_2283/klagomål/A 42301-2022 FSC-klagomål.docx", "A 42301-2022")</f>
        <v/>
      </c>
      <c r="W209">
        <f>HYPERLINK("https://klasma.github.io/Logging_2283/klagomålsmail/A 42301-2022 FSC-klagomål mail.docx", "A 42301-2022")</f>
        <v/>
      </c>
      <c r="X209">
        <f>HYPERLINK("https://klasma.github.io/Logging_2283/tillsyn/A 42301-2022 tillsynsbegäran.docx", "A 42301-2022")</f>
        <v/>
      </c>
      <c r="Y209">
        <f>HYPERLINK("https://klasma.github.io/Logging_2283/tillsynsmail/A 42301-2022 tillsynsbegäran mail.docx", "A 42301-2022")</f>
        <v/>
      </c>
      <c r="Z209">
        <f>HYPERLINK("https://klasma.github.io/Logging_2283/fåglar/A 42301-2022 prioriterade fågelarter.docx", "A 42301-2022")</f>
        <v/>
      </c>
    </row>
    <row r="210" ht="15" customHeight="1">
      <c r="A210" t="inlineStr">
        <is>
          <t>A 59046-2022</t>
        </is>
      </c>
      <c r="B210" s="1" t="n">
        <v>44903</v>
      </c>
      <c r="C210" s="1" t="n">
        <v>46048</v>
      </c>
      <c r="D210" t="inlineStr">
        <is>
          <t>VÄSTERNORRLANDS LÄN</t>
        </is>
      </c>
      <c r="E210" t="inlineStr">
        <is>
          <t>SOLLEFTEÅ</t>
        </is>
      </c>
      <c r="F210" t="inlineStr">
        <is>
          <t>SCA</t>
        </is>
      </c>
      <c r="G210" t="n">
        <v>10.3</v>
      </c>
      <c r="H210" t="n">
        <v>1</v>
      </c>
      <c r="I210" t="n">
        <v>0</v>
      </c>
      <c r="J210" t="n">
        <v>3</v>
      </c>
      <c r="K210" t="n">
        <v>0</v>
      </c>
      <c r="L210" t="n">
        <v>0</v>
      </c>
      <c r="M210" t="n">
        <v>0</v>
      </c>
      <c r="N210" t="n">
        <v>0</v>
      </c>
      <c r="O210" t="n">
        <v>3</v>
      </c>
      <c r="P210" t="n">
        <v>0</v>
      </c>
      <c r="Q210" t="n">
        <v>3</v>
      </c>
      <c r="R210" s="2" t="inlineStr">
        <is>
          <t>Lunglav
Orange taggsvamp
Tretåig hackspett</t>
        </is>
      </c>
      <c r="S210">
        <f>HYPERLINK("https://klasma.github.io/Logging_2283/artfynd/A 59046-2022 artfynd.xlsx", "A 59046-2022")</f>
        <v/>
      </c>
      <c r="T210">
        <f>HYPERLINK("https://klasma.github.io/Logging_2283/kartor/A 59046-2022 karta.png", "A 59046-2022")</f>
        <v/>
      </c>
      <c r="V210">
        <f>HYPERLINK("https://klasma.github.io/Logging_2283/klagomål/A 59046-2022 FSC-klagomål.docx", "A 59046-2022")</f>
        <v/>
      </c>
      <c r="W210">
        <f>HYPERLINK("https://klasma.github.io/Logging_2283/klagomålsmail/A 59046-2022 FSC-klagomål mail.docx", "A 59046-2022")</f>
        <v/>
      </c>
      <c r="X210">
        <f>HYPERLINK("https://klasma.github.io/Logging_2283/tillsyn/A 59046-2022 tillsynsbegäran.docx", "A 59046-2022")</f>
        <v/>
      </c>
      <c r="Y210">
        <f>HYPERLINK("https://klasma.github.io/Logging_2283/tillsynsmail/A 59046-2022 tillsynsbegäran mail.docx", "A 59046-2022")</f>
        <v/>
      </c>
      <c r="Z210">
        <f>HYPERLINK("https://klasma.github.io/Logging_2283/fåglar/A 59046-2022 prioriterade fågelarter.docx", "A 59046-2022")</f>
        <v/>
      </c>
    </row>
    <row r="211" ht="15" customHeight="1">
      <c r="A211" t="inlineStr">
        <is>
          <t>A 20781-2023</t>
        </is>
      </c>
      <c r="B211" s="1" t="n">
        <v>45058</v>
      </c>
      <c r="C211" s="1" t="n">
        <v>46048</v>
      </c>
      <c r="D211" t="inlineStr">
        <is>
          <t>VÄSTERNORRLANDS LÄN</t>
        </is>
      </c>
      <c r="E211" t="inlineStr">
        <is>
          <t>SOLLEFTEÅ</t>
        </is>
      </c>
      <c r="F211" t="inlineStr">
        <is>
          <t>Kyrkan</t>
        </is>
      </c>
      <c r="G211" t="n">
        <v>11.1</v>
      </c>
      <c r="H211" t="n">
        <v>1</v>
      </c>
      <c r="I211" t="n">
        <v>0</v>
      </c>
      <c r="J211" t="n">
        <v>2</v>
      </c>
      <c r="K211" t="n">
        <v>1</v>
      </c>
      <c r="L211" t="n">
        <v>0</v>
      </c>
      <c r="M211" t="n">
        <v>0</v>
      </c>
      <c r="N211" t="n">
        <v>0</v>
      </c>
      <c r="O211" t="n">
        <v>3</v>
      </c>
      <c r="P211" t="n">
        <v>1</v>
      </c>
      <c r="Q211" t="n">
        <v>3</v>
      </c>
      <c r="R211" s="2" t="inlineStr">
        <is>
          <t>Knärot
Garnlav
Ullticka</t>
        </is>
      </c>
      <c r="S211">
        <f>HYPERLINK("https://klasma.github.io/Logging_2283/artfynd/A 20781-2023 artfynd.xlsx", "A 20781-2023")</f>
        <v/>
      </c>
      <c r="T211">
        <f>HYPERLINK("https://klasma.github.io/Logging_2283/kartor/A 20781-2023 karta.png", "A 20781-2023")</f>
        <v/>
      </c>
      <c r="U211">
        <f>HYPERLINK("https://klasma.github.io/Logging_2283/knärot/A 20781-2023 karta knärot.png", "A 20781-2023")</f>
        <v/>
      </c>
      <c r="V211">
        <f>HYPERLINK("https://klasma.github.io/Logging_2283/klagomål/A 20781-2023 FSC-klagomål.docx", "A 20781-2023")</f>
        <v/>
      </c>
      <c r="W211">
        <f>HYPERLINK("https://klasma.github.io/Logging_2283/klagomålsmail/A 20781-2023 FSC-klagomål mail.docx", "A 20781-2023")</f>
        <v/>
      </c>
      <c r="X211">
        <f>HYPERLINK("https://klasma.github.io/Logging_2283/tillsyn/A 20781-2023 tillsynsbegäran.docx", "A 20781-2023")</f>
        <v/>
      </c>
      <c r="Y211">
        <f>HYPERLINK("https://klasma.github.io/Logging_2283/tillsynsmail/A 20781-2023 tillsynsbegäran mail.docx", "A 20781-2023")</f>
        <v/>
      </c>
    </row>
    <row r="212" ht="15" customHeight="1">
      <c r="A212" t="inlineStr">
        <is>
          <t>A 13877-2025</t>
        </is>
      </c>
      <c r="B212" s="1" t="n">
        <v>45737.59407407408</v>
      </c>
      <c r="C212" s="1" t="n">
        <v>46048</v>
      </c>
      <c r="D212" t="inlineStr">
        <is>
          <t>VÄSTERNORRLANDS LÄN</t>
        </is>
      </c>
      <c r="E212" t="inlineStr">
        <is>
          <t>SOLLEFTEÅ</t>
        </is>
      </c>
      <c r="F212" t="inlineStr">
        <is>
          <t>SCA</t>
        </is>
      </c>
      <c r="G212" t="n">
        <v>3.9</v>
      </c>
      <c r="H212" t="n">
        <v>2</v>
      </c>
      <c r="I212" t="n">
        <v>0</v>
      </c>
      <c r="J212" t="n">
        <v>2</v>
      </c>
      <c r="K212" t="n">
        <v>0</v>
      </c>
      <c r="L212" t="n">
        <v>0</v>
      </c>
      <c r="M212" t="n">
        <v>0</v>
      </c>
      <c r="N212" t="n">
        <v>0</v>
      </c>
      <c r="O212" t="n">
        <v>2</v>
      </c>
      <c r="P212" t="n">
        <v>0</v>
      </c>
      <c r="Q212" t="n">
        <v>3</v>
      </c>
      <c r="R212" s="2" t="inlineStr">
        <is>
          <t>Granticka
Spillkråka
Revlummer</t>
        </is>
      </c>
      <c r="S212">
        <f>HYPERLINK("https://klasma.github.io/Logging_2283/artfynd/A 13877-2025 artfynd.xlsx", "A 13877-2025")</f>
        <v/>
      </c>
      <c r="T212">
        <f>HYPERLINK("https://klasma.github.io/Logging_2283/kartor/A 13877-2025 karta.png", "A 13877-2025")</f>
        <v/>
      </c>
      <c r="V212">
        <f>HYPERLINK("https://klasma.github.io/Logging_2283/klagomål/A 13877-2025 FSC-klagomål.docx", "A 13877-2025")</f>
        <v/>
      </c>
      <c r="W212">
        <f>HYPERLINK("https://klasma.github.io/Logging_2283/klagomålsmail/A 13877-2025 FSC-klagomål mail.docx", "A 13877-2025")</f>
        <v/>
      </c>
      <c r="X212">
        <f>HYPERLINK("https://klasma.github.io/Logging_2283/tillsyn/A 13877-2025 tillsynsbegäran.docx", "A 13877-2025")</f>
        <v/>
      </c>
      <c r="Y212">
        <f>HYPERLINK("https://klasma.github.io/Logging_2283/tillsynsmail/A 13877-2025 tillsynsbegäran mail.docx", "A 13877-2025")</f>
        <v/>
      </c>
      <c r="Z212">
        <f>HYPERLINK("https://klasma.github.io/Logging_2283/fåglar/A 13877-2025 prioriterade fågelarter.docx", "A 13877-2025")</f>
        <v/>
      </c>
    </row>
    <row r="213" ht="15" customHeight="1">
      <c r="A213" t="inlineStr">
        <is>
          <t>A 40866-2023</t>
        </is>
      </c>
      <c r="B213" s="1" t="n">
        <v>45173</v>
      </c>
      <c r="C213" s="1" t="n">
        <v>46048</v>
      </c>
      <c r="D213" t="inlineStr">
        <is>
          <t>VÄSTERNORRLANDS LÄN</t>
        </is>
      </c>
      <c r="E213" t="inlineStr">
        <is>
          <t>SOLLEFTEÅ</t>
        </is>
      </c>
      <c r="G213" t="n">
        <v>1.7</v>
      </c>
      <c r="H213" t="n">
        <v>2</v>
      </c>
      <c r="I213" t="n">
        <v>1</v>
      </c>
      <c r="J213" t="n">
        <v>1</v>
      </c>
      <c r="K213" t="n">
        <v>0</v>
      </c>
      <c r="L213" t="n">
        <v>0</v>
      </c>
      <c r="M213" t="n">
        <v>0</v>
      </c>
      <c r="N213" t="n">
        <v>0</v>
      </c>
      <c r="O213" t="n">
        <v>1</v>
      </c>
      <c r="P213" t="n">
        <v>0</v>
      </c>
      <c r="Q213" t="n">
        <v>3</v>
      </c>
      <c r="R213" s="2" t="inlineStr">
        <is>
          <t>Spillkråka
Tibast
Skogsödla</t>
        </is>
      </c>
      <c r="S213">
        <f>HYPERLINK("https://klasma.github.io/Logging_2283/artfynd/A 40866-2023 artfynd.xlsx", "A 40866-2023")</f>
        <v/>
      </c>
      <c r="T213">
        <f>HYPERLINK("https://klasma.github.io/Logging_2283/kartor/A 40866-2023 karta.png", "A 40866-2023")</f>
        <v/>
      </c>
      <c r="V213">
        <f>HYPERLINK("https://klasma.github.io/Logging_2283/klagomål/A 40866-2023 FSC-klagomål.docx", "A 40866-2023")</f>
        <v/>
      </c>
      <c r="W213">
        <f>HYPERLINK("https://klasma.github.io/Logging_2283/klagomålsmail/A 40866-2023 FSC-klagomål mail.docx", "A 40866-2023")</f>
        <v/>
      </c>
      <c r="X213">
        <f>HYPERLINK("https://klasma.github.io/Logging_2283/tillsyn/A 40866-2023 tillsynsbegäran.docx", "A 40866-2023")</f>
        <v/>
      </c>
      <c r="Y213">
        <f>HYPERLINK("https://klasma.github.io/Logging_2283/tillsynsmail/A 40866-2023 tillsynsbegäran mail.docx", "A 40866-2023")</f>
        <v/>
      </c>
      <c r="Z213">
        <f>HYPERLINK("https://klasma.github.io/Logging_2283/fåglar/A 40866-2023 prioriterade fågelarter.docx", "A 40866-2023")</f>
        <v/>
      </c>
    </row>
    <row r="214" ht="15" customHeight="1">
      <c r="A214" t="inlineStr">
        <is>
          <t>A 22183-2025</t>
        </is>
      </c>
      <c r="B214" s="1" t="n">
        <v>45785.61677083333</v>
      </c>
      <c r="C214" s="1" t="n">
        <v>46048</v>
      </c>
      <c r="D214" t="inlineStr">
        <is>
          <t>VÄSTERNORRLANDS LÄN</t>
        </is>
      </c>
      <c r="E214" t="inlineStr">
        <is>
          <t>SOLLEFTEÅ</t>
        </is>
      </c>
      <c r="F214" t="inlineStr">
        <is>
          <t>SCA</t>
        </is>
      </c>
      <c r="G214" t="n">
        <v>0.3</v>
      </c>
      <c r="H214" t="n">
        <v>0</v>
      </c>
      <c r="I214" t="n">
        <v>1</v>
      </c>
      <c r="J214" t="n">
        <v>2</v>
      </c>
      <c r="K214" t="n">
        <v>0</v>
      </c>
      <c r="L214" t="n">
        <v>0</v>
      </c>
      <c r="M214" t="n">
        <v>0</v>
      </c>
      <c r="N214" t="n">
        <v>0</v>
      </c>
      <c r="O214" t="n">
        <v>2</v>
      </c>
      <c r="P214" t="n">
        <v>0</v>
      </c>
      <c r="Q214" t="n">
        <v>3</v>
      </c>
      <c r="R214" s="2" t="inlineStr">
        <is>
          <t>Garnlav
Rosenticka
Trådticka</t>
        </is>
      </c>
      <c r="S214">
        <f>HYPERLINK("https://klasma.github.io/Logging_2283/artfynd/A 22183-2025 artfynd.xlsx", "A 22183-2025")</f>
        <v/>
      </c>
      <c r="T214">
        <f>HYPERLINK("https://klasma.github.io/Logging_2283/kartor/A 22183-2025 karta.png", "A 22183-2025")</f>
        <v/>
      </c>
      <c r="V214">
        <f>HYPERLINK("https://klasma.github.io/Logging_2283/klagomål/A 22183-2025 FSC-klagomål.docx", "A 22183-2025")</f>
        <v/>
      </c>
      <c r="W214">
        <f>HYPERLINK("https://klasma.github.io/Logging_2283/klagomålsmail/A 22183-2025 FSC-klagomål mail.docx", "A 22183-2025")</f>
        <v/>
      </c>
      <c r="X214">
        <f>HYPERLINK("https://klasma.github.io/Logging_2283/tillsyn/A 22183-2025 tillsynsbegäran.docx", "A 22183-2025")</f>
        <v/>
      </c>
      <c r="Y214">
        <f>HYPERLINK("https://klasma.github.io/Logging_2283/tillsynsmail/A 22183-2025 tillsynsbegäran mail.docx", "A 22183-2025")</f>
        <v/>
      </c>
    </row>
    <row r="215" ht="15" customHeight="1">
      <c r="A215" t="inlineStr">
        <is>
          <t>A 18012-2022</t>
        </is>
      </c>
      <c r="B215" s="1" t="n">
        <v>44683</v>
      </c>
      <c r="C215" s="1" t="n">
        <v>46048</v>
      </c>
      <c r="D215" t="inlineStr">
        <is>
          <t>VÄSTERNORRLANDS LÄN</t>
        </is>
      </c>
      <c r="E215" t="inlineStr">
        <is>
          <t>SOLLEFTEÅ</t>
        </is>
      </c>
      <c r="F215" t="inlineStr">
        <is>
          <t>SCA</t>
        </is>
      </c>
      <c r="G215" t="n">
        <v>1.7</v>
      </c>
      <c r="H215" t="n">
        <v>2</v>
      </c>
      <c r="I215" t="n">
        <v>0</v>
      </c>
      <c r="J215" t="n">
        <v>2</v>
      </c>
      <c r="K215" t="n">
        <v>1</v>
      </c>
      <c r="L215" t="n">
        <v>0</v>
      </c>
      <c r="M215" t="n">
        <v>0</v>
      </c>
      <c r="N215" t="n">
        <v>0</v>
      </c>
      <c r="O215" t="n">
        <v>3</v>
      </c>
      <c r="P215" t="n">
        <v>1</v>
      </c>
      <c r="Q215" t="n">
        <v>3</v>
      </c>
      <c r="R215" s="2" t="inlineStr">
        <is>
          <t>Knärot
Garnlav
Tretåig hackspett</t>
        </is>
      </c>
      <c r="S215">
        <f>HYPERLINK("https://klasma.github.io/Logging_2283/artfynd/A 18012-2022 artfynd.xlsx", "A 18012-2022")</f>
        <v/>
      </c>
      <c r="T215">
        <f>HYPERLINK("https://klasma.github.io/Logging_2283/kartor/A 18012-2022 karta.png", "A 18012-2022")</f>
        <v/>
      </c>
      <c r="U215">
        <f>HYPERLINK("https://klasma.github.io/Logging_2283/knärot/A 18012-2022 karta knärot.png", "A 18012-2022")</f>
        <v/>
      </c>
      <c r="V215">
        <f>HYPERLINK("https://klasma.github.io/Logging_2283/klagomål/A 18012-2022 FSC-klagomål.docx", "A 18012-2022")</f>
        <v/>
      </c>
      <c r="W215">
        <f>HYPERLINK("https://klasma.github.io/Logging_2283/klagomålsmail/A 18012-2022 FSC-klagomål mail.docx", "A 18012-2022")</f>
        <v/>
      </c>
      <c r="X215">
        <f>HYPERLINK("https://klasma.github.io/Logging_2283/tillsyn/A 18012-2022 tillsynsbegäran.docx", "A 18012-2022")</f>
        <v/>
      </c>
      <c r="Y215">
        <f>HYPERLINK("https://klasma.github.io/Logging_2283/tillsynsmail/A 18012-2022 tillsynsbegäran mail.docx", "A 18012-2022")</f>
        <v/>
      </c>
      <c r="Z215">
        <f>HYPERLINK("https://klasma.github.io/Logging_2283/fåglar/A 18012-2022 prioriterade fågelarter.docx", "A 18012-2022")</f>
        <v/>
      </c>
    </row>
    <row r="216" ht="15" customHeight="1">
      <c r="A216" t="inlineStr">
        <is>
          <t>A 5121-2025</t>
        </is>
      </c>
      <c r="B216" s="1" t="n">
        <v>45691</v>
      </c>
      <c r="C216" s="1" t="n">
        <v>46048</v>
      </c>
      <c r="D216" t="inlineStr">
        <is>
          <t>VÄSTERNORRLANDS LÄN</t>
        </is>
      </c>
      <c r="E216" t="inlineStr">
        <is>
          <t>SOLLEFTEÅ</t>
        </is>
      </c>
      <c r="G216" t="n">
        <v>3.4</v>
      </c>
      <c r="H216" t="n">
        <v>1</v>
      </c>
      <c r="I216" t="n">
        <v>0</v>
      </c>
      <c r="J216" t="n">
        <v>3</v>
      </c>
      <c r="K216" t="n">
        <v>0</v>
      </c>
      <c r="L216" t="n">
        <v>0</v>
      </c>
      <c r="M216" t="n">
        <v>0</v>
      </c>
      <c r="N216" t="n">
        <v>0</v>
      </c>
      <c r="O216" t="n">
        <v>3</v>
      </c>
      <c r="P216" t="n">
        <v>0</v>
      </c>
      <c r="Q216" t="n">
        <v>3</v>
      </c>
      <c r="R216" s="2" t="inlineStr">
        <is>
          <t>Granticka
Tretåig hackspett
Ullticka</t>
        </is>
      </c>
      <c r="S216">
        <f>HYPERLINK("https://klasma.github.io/Logging_2283/artfynd/A 5121-2025 artfynd.xlsx", "A 5121-2025")</f>
        <v/>
      </c>
      <c r="T216">
        <f>HYPERLINK("https://klasma.github.io/Logging_2283/kartor/A 5121-2025 karta.png", "A 5121-2025")</f>
        <v/>
      </c>
      <c r="V216">
        <f>HYPERLINK("https://klasma.github.io/Logging_2283/klagomål/A 5121-2025 FSC-klagomål.docx", "A 5121-2025")</f>
        <v/>
      </c>
      <c r="W216">
        <f>HYPERLINK("https://klasma.github.io/Logging_2283/klagomålsmail/A 5121-2025 FSC-klagomål mail.docx", "A 5121-2025")</f>
        <v/>
      </c>
      <c r="X216">
        <f>HYPERLINK("https://klasma.github.io/Logging_2283/tillsyn/A 5121-2025 tillsynsbegäran.docx", "A 5121-2025")</f>
        <v/>
      </c>
      <c r="Y216">
        <f>HYPERLINK("https://klasma.github.io/Logging_2283/tillsynsmail/A 5121-2025 tillsynsbegäran mail.docx", "A 5121-2025")</f>
        <v/>
      </c>
      <c r="Z216">
        <f>HYPERLINK("https://klasma.github.io/Logging_2283/fåglar/A 5121-2025 prioriterade fågelarter.docx", "A 5121-2025")</f>
        <v/>
      </c>
    </row>
    <row r="217" ht="15" customHeight="1">
      <c r="A217" t="inlineStr">
        <is>
          <t>A 38096-2024</t>
        </is>
      </c>
      <c r="B217" s="1" t="n">
        <v>45545.345</v>
      </c>
      <c r="C217" s="1" t="n">
        <v>46048</v>
      </c>
      <c r="D217" t="inlineStr">
        <is>
          <t>VÄSTERNORRLANDS LÄN</t>
        </is>
      </c>
      <c r="E217" t="inlineStr">
        <is>
          <t>SOLLEFTEÅ</t>
        </is>
      </c>
      <c r="F217" t="inlineStr">
        <is>
          <t>SCA</t>
        </is>
      </c>
      <c r="G217" t="n">
        <v>5.2</v>
      </c>
      <c r="H217" t="n">
        <v>1</v>
      </c>
      <c r="I217" t="n">
        <v>2</v>
      </c>
      <c r="J217" t="n">
        <v>1</v>
      </c>
      <c r="K217" t="n">
        <v>0</v>
      </c>
      <c r="L217" t="n">
        <v>0</v>
      </c>
      <c r="M217" t="n">
        <v>0</v>
      </c>
      <c r="N217" t="n">
        <v>0</v>
      </c>
      <c r="O217" t="n">
        <v>1</v>
      </c>
      <c r="P217" t="n">
        <v>0</v>
      </c>
      <c r="Q217" t="n">
        <v>3</v>
      </c>
      <c r="R217" s="2" t="inlineStr">
        <is>
          <t>Lunglav
Bollvitmossa
Lappranunkel</t>
        </is>
      </c>
      <c r="S217">
        <f>HYPERLINK("https://klasma.github.io/Logging_2283/artfynd/A 38096-2024 artfynd.xlsx", "A 38096-2024")</f>
        <v/>
      </c>
      <c r="T217">
        <f>HYPERLINK("https://klasma.github.io/Logging_2283/kartor/A 38096-2024 karta.png", "A 38096-2024")</f>
        <v/>
      </c>
      <c r="V217">
        <f>HYPERLINK("https://klasma.github.io/Logging_2283/klagomål/A 38096-2024 FSC-klagomål.docx", "A 38096-2024")</f>
        <v/>
      </c>
      <c r="W217">
        <f>HYPERLINK("https://klasma.github.io/Logging_2283/klagomålsmail/A 38096-2024 FSC-klagomål mail.docx", "A 38096-2024")</f>
        <v/>
      </c>
      <c r="X217">
        <f>HYPERLINK("https://klasma.github.io/Logging_2283/tillsyn/A 38096-2024 tillsynsbegäran.docx", "A 38096-2024")</f>
        <v/>
      </c>
      <c r="Y217">
        <f>HYPERLINK("https://klasma.github.io/Logging_2283/tillsynsmail/A 38096-2024 tillsynsbegäran mail.docx", "A 38096-2024")</f>
        <v/>
      </c>
    </row>
    <row r="218" ht="15" customHeight="1">
      <c r="A218" t="inlineStr">
        <is>
          <t>A 61481-2021</t>
        </is>
      </c>
      <c r="B218" s="1" t="n">
        <v>44500</v>
      </c>
      <c r="C218" s="1" t="n">
        <v>46048</v>
      </c>
      <c r="D218" t="inlineStr">
        <is>
          <t>VÄSTERNORRLANDS LÄN</t>
        </is>
      </c>
      <c r="E218" t="inlineStr">
        <is>
          <t>SOLLEFTEÅ</t>
        </is>
      </c>
      <c r="F218" t="inlineStr">
        <is>
          <t>SCA</t>
        </is>
      </c>
      <c r="G218" t="n">
        <v>6.8</v>
      </c>
      <c r="H218" t="n">
        <v>0</v>
      </c>
      <c r="I218" t="n">
        <v>1</v>
      </c>
      <c r="J218" t="n">
        <v>2</v>
      </c>
      <c r="K218" t="n">
        <v>0</v>
      </c>
      <c r="L218" t="n">
        <v>0</v>
      </c>
      <c r="M218" t="n">
        <v>0</v>
      </c>
      <c r="N218" t="n">
        <v>0</v>
      </c>
      <c r="O218" t="n">
        <v>2</v>
      </c>
      <c r="P218" t="n">
        <v>0</v>
      </c>
      <c r="Q218" t="n">
        <v>3</v>
      </c>
      <c r="R218" s="2" t="inlineStr">
        <is>
          <t>Lunglav
Skrovellav
Kambräken</t>
        </is>
      </c>
      <c r="S218">
        <f>HYPERLINK("https://klasma.github.io/Logging_2283/artfynd/A 61481-2021 artfynd.xlsx", "A 61481-2021")</f>
        <v/>
      </c>
      <c r="T218">
        <f>HYPERLINK("https://klasma.github.io/Logging_2283/kartor/A 61481-2021 karta.png", "A 61481-2021")</f>
        <v/>
      </c>
      <c r="V218">
        <f>HYPERLINK("https://klasma.github.io/Logging_2283/klagomål/A 61481-2021 FSC-klagomål.docx", "A 61481-2021")</f>
        <v/>
      </c>
      <c r="W218">
        <f>HYPERLINK("https://klasma.github.io/Logging_2283/klagomålsmail/A 61481-2021 FSC-klagomål mail.docx", "A 61481-2021")</f>
        <v/>
      </c>
      <c r="X218">
        <f>HYPERLINK("https://klasma.github.io/Logging_2283/tillsyn/A 61481-2021 tillsynsbegäran.docx", "A 61481-2021")</f>
        <v/>
      </c>
      <c r="Y218">
        <f>HYPERLINK("https://klasma.github.io/Logging_2283/tillsynsmail/A 61481-2021 tillsynsbegäran mail.docx", "A 61481-2021")</f>
        <v/>
      </c>
    </row>
    <row r="219" ht="15" customHeight="1">
      <c r="A219" t="inlineStr">
        <is>
          <t>A 25707-2025</t>
        </is>
      </c>
      <c r="B219" s="1" t="n">
        <v>45803.67806712963</v>
      </c>
      <c r="C219" s="1" t="n">
        <v>46048</v>
      </c>
      <c r="D219" t="inlineStr">
        <is>
          <t>VÄSTERNORRLANDS LÄN</t>
        </is>
      </c>
      <c r="E219" t="inlineStr">
        <is>
          <t>SOLLEFTEÅ</t>
        </is>
      </c>
      <c r="F219" t="inlineStr">
        <is>
          <t>SCA</t>
        </is>
      </c>
      <c r="G219" t="n">
        <v>2.6</v>
      </c>
      <c r="H219" t="n">
        <v>1</v>
      </c>
      <c r="I219" t="n">
        <v>1</v>
      </c>
      <c r="J219" t="n">
        <v>2</v>
      </c>
      <c r="K219" t="n">
        <v>0</v>
      </c>
      <c r="L219" t="n">
        <v>0</v>
      </c>
      <c r="M219" t="n">
        <v>0</v>
      </c>
      <c r="N219" t="n">
        <v>0</v>
      </c>
      <c r="O219" t="n">
        <v>2</v>
      </c>
      <c r="P219" t="n">
        <v>0</v>
      </c>
      <c r="Q219" t="n">
        <v>3</v>
      </c>
      <c r="R219" s="2" t="inlineStr">
        <is>
          <t>Kolflarnlav
Talltita
Norrlandslav</t>
        </is>
      </c>
      <c r="S219">
        <f>HYPERLINK("https://klasma.github.io/Logging_2283/artfynd/A 25707-2025 artfynd.xlsx", "A 25707-2025")</f>
        <v/>
      </c>
      <c r="T219">
        <f>HYPERLINK("https://klasma.github.io/Logging_2283/kartor/A 25707-2025 karta.png", "A 25707-2025")</f>
        <v/>
      </c>
      <c r="V219">
        <f>HYPERLINK("https://klasma.github.io/Logging_2283/klagomål/A 25707-2025 FSC-klagomål.docx", "A 25707-2025")</f>
        <v/>
      </c>
      <c r="W219">
        <f>HYPERLINK("https://klasma.github.io/Logging_2283/klagomålsmail/A 25707-2025 FSC-klagomål mail.docx", "A 25707-2025")</f>
        <v/>
      </c>
      <c r="X219">
        <f>HYPERLINK("https://klasma.github.io/Logging_2283/tillsyn/A 25707-2025 tillsynsbegäran.docx", "A 25707-2025")</f>
        <v/>
      </c>
      <c r="Y219">
        <f>HYPERLINK("https://klasma.github.io/Logging_2283/tillsynsmail/A 25707-2025 tillsynsbegäran mail.docx", "A 25707-2025")</f>
        <v/>
      </c>
      <c r="Z219">
        <f>HYPERLINK("https://klasma.github.io/Logging_2283/fåglar/A 25707-2025 prioriterade fågelarter.docx", "A 25707-2025")</f>
        <v/>
      </c>
    </row>
    <row r="220" ht="15" customHeight="1">
      <c r="A220" t="inlineStr">
        <is>
          <t>A 51212-2022</t>
        </is>
      </c>
      <c r="B220" s="1" t="n">
        <v>44868.62265046296</v>
      </c>
      <c r="C220" s="1" t="n">
        <v>46048</v>
      </c>
      <c r="D220" t="inlineStr">
        <is>
          <t>VÄSTERNORRLANDS LÄN</t>
        </is>
      </c>
      <c r="E220" t="inlineStr">
        <is>
          <t>SOLLEFTEÅ</t>
        </is>
      </c>
      <c r="F220" t="inlineStr">
        <is>
          <t>Holmen skog AB</t>
        </is>
      </c>
      <c r="G220" t="n">
        <v>18.3</v>
      </c>
      <c r="H220" t="n">
        <v>1</v>
      </c>
      <c r="I220" t="n">
        <v>1</v>
      </c>
      <c r="J220" t="n">
        <v>1</v>
      </c>
      <c r="K220" t="n">
        <v>1</v>
      </c>
      <c r="L220" t="n">
        <v>0</v>
      </c>
      <c r="M220" t="n">
        <v>0</v>
      </c>
      <c r="N220" t="n">
        <v>0</v>
      </c>
      <c r="O220" t="n">
        <v>2</v>
      </c>
      <c r="P220" t="n">
        <v>1</v>
      </c>
      <c r="Q220" t="n">
        <v>3</v>
      </c>
      <c r="R220" s="2" t="inlineStr">
        <is>
          <t>Doftticka
Lunglav
Stuplav</t>
        </is>
      </c>
      <c r="S220">
        <f>HYPERLINK("https://klasma.github.io/Logging_2283/artfynd/A 51212-2022 artfynd.xlsx", "A 51212-2022")</f>
        <v/>
      </c>
      <c r="T220">
        <f>HYPERLINK("https://klasma.github.io/Logging_2283/kartor/A 51212-2022 karta.png", "A 51212-2022")</f>
        <v/>
      </c>
      <c r="V220">
        <f>HYPERLINK("https://klasma.github.io/Logging_2283/klagomål/A 51212-2022 FSC-klagomål.docx", "A 51212-2022")</f>
        <v/>
      </c>
      <c r="W220">
        <f>HYPERLINK("https://klasma.github.io/Logging_2283/klagomålsmail/A 51212-2022 FSC-klagomål mail.docx", "A 51212-2022")</f>
        <v/>
      </c>
      <c r="X220">
        <f>HYPERLINK("https://klasma.github.io/Logging_2283/tillsyn/A 51212-2022 tillsynsbegäran.docx", "A 51212-2022")</f>
        <v/>
      </c>
      <c r="Y220">
        <f>HYPERLINK("https://klasma.github.io/Logging_2283/tillsynsmail/A 51212-2022 tillsynsbegäran mail.docx", "A 51212-2022")</f>
        <v/>
      </c>
    </row>
    <row r="221" ht="15" customHeight="1">
      <c r="A221" t="inlineStr">
        <is>
          <t>A 48017-2024</t>
        </is>
      </c>
      <c r="B221" s="1" t="n">
        <v>45589.46935185185</v>
      </c>
      <c r="C221" s="1" t="n">
        <v>46048</v>
      </c>
      <c r="D221" t="inlineStr">
        <is>
          <t>VÄSTERNORRLANDS LÄN</t>
        </is>
      </c>
      <c r="E221" t="inlineStr">
        <is>
          <t>SOLLEFTEÅ</t>
        </is>
      </c>
      <c r="F221" t="inlineStr">
        <is>
          <t>SCA</t>
        </is>
      </c>
      <c r="G221" t="n">
        <v>1.4</v>
      </c>
      <c r="H221" t="n">
        <v>0</v>
      </c>
      <c r="I221" t="n">
        <v>1</v>
      </c>
      <c r="J221" t="n">
        <v>2</v>
      </c>
      <c r="K221" t="n">
        <v>0</v>
      </c>
      <c r="L221" t="n">
        <v>0</v>
      </c>
      <c r="M221" t="n">
        <v>0</v>
      </c>
      <c r="N221" t="n">
        <v>0</v>
      </c>
      <c r="O221" t="n">
        <v>2</v>
      </c>
      <c r="P221" t="n">
        <v>0</v>
      </c>
      <c r="Q221" t="n">
        <v>3</v>
      </c>
      <c r="R221" s="2" t="inlineStr">
        <is>
          <t>Garnlav
Kolflarnlav
Dropptaggsvamp</t>
        </is>
      </c>
      <c r="S221">
        <f>HYPERLINK("https://klasma.github.io/Logging_2283/artfynd/A 48017-2024 artfynd.xlsx", "A 48017-2024")</f>
        <v/>
      </c>
      <c r="T221">
        <f>HYPERLINK("https://klasma.github.io/Logging_2283/kartor/A 48017-2024 karta.png", "A 48017-2024")</f>
        <v/>
      </c>
      <c r="V221">
        <f>HYPERLINK("https://klasma.github.io/Logging_2283/klagomål/A 48017-2024 FSC-klagomål.docx", "A 48017-2024")</f>
        <v/>
      </c>
      <c r="W221">
        <f>HYPERLINK("https://klasma.github.io/Logging_2283/klagomålsmail/A 48017-2024 FSC-klagomål mail.docx", "A 48017-2024")</f>
        <v/>
      </c>
      <c r="X221">
        <f>HYPERLINK("https://klasma.github.io/Logging_2283/tillsyn/A 48017-2024 tillsynsbegäran.docx", "A 48017-2024")</f>
        <v/>
      </c>
      <c r="Y221">
        <f>HYPERLINK("https://klasma.github.io/Logging_2283/tillsynsmail/A 48017-2024 tillsynsbegäran mail.docx", "A 48017-2024")</f>
        <v/>
      </c>
    </row>
    <row r="222" ht="15" customHeight="1">
      <c r="A222" t="inlineStr">
        <is>
          <t>A 32256-2024</t>
        </is>
      </c>
      <c r="B222" s="1" t="n">
        <v>45511</v>
      </c>
      <c r="C222" s="1" t="n">
        <v>46048</v>
      </c>
      <c r="D222" t="inlineStr">
        <is>
          <t>VÄSTERNORRLANDS LÄN</t>
        </is>
      </c>
      <c r="E222" t="inlineStr">
        <is>
          <t>SOLLEFTEÅ</t>
        </is>
      </c>
      <c r="F222" t="inlineStr">
        <is>
          <t>SCA</t>
        </is>
      </c>
      <c r="G222" t="n">
        <v>3.9</v>
      </c>
      <c r="H222" t="n">
        <v>1</v>
      </c>
      <c r="I222" t="n">
        <v>1</v>
      </c>
      <c r="J222" t="n">
        <v>2</v>
      </c>
      <c r="K222" t="n">
        <v>0</v>
      </c>
      <c r="L222" t="n">
        <v>0</v>
      </c>
      <c r="M222" t="n">
        <v>0</v>
      </c>
      <c r="N222" t="n">
        <v>0</v>
      </c>
      <c r="O222" t="n">
        <v>2</v>
      </c>
      <c r="P222" t="n">
        <v>0</v>
      </c>
      <c r="Q222" t="n">
        <v>3</v>
      </c>
      <c r="R222" s="2" t="inlineStr">
        <is>
          <t>Tretåig hackspett
Vedtrappmossa
Fjällig taggsvamp s.str.</t>
        </is>
      </c>
      <c r="S222">
        <f>HYPERLINK("https://klasma.github.io/Logging_2283/artfynd/A 32256-2024 artfynd.xlsx", "A 32256-2024")</f>
        <v/>
      </c>
      <c r="T222">
        <f>HYPERLINK("https://klasma.github.io/Logging_2283/kartor/A 32256-2024 karta.png", "A 32256-2024")</f>
        <v/>
      </c>
      <c r="V222">
        <f>HYPERLINK("https://klasma.github.io/Logging_2283/klagomål/A 32256-2024 FSC-klagomål.docx", "A 32256-2024")</f>
        <v/>
      </c>
      <c r="W222">
        <f>HYPERLINK("https://klasma.github.io/Logging_2283/klagomålsmail/A 32256-2024 FSC-klagomål mail.docx", "A 32256-2024")</f>
        <v/>
      </c>
      <c r="X222">
        <f>HYPERLINK("https://klasma.github.io/Logging_2283/tillsyn/A 32256-2024 tillsynsbegäran.docx", "A 32256-2024")</f>
        <v/>
      </c>
      <c r="Y222">
        <f>HYPERLINK("https://klasma.github.io/Logging_2283/tillsynsmail/A 32256-2024 tillsynsbegäran mail.docx", "A 32256-2024")</f>
        <v/>
      </c>
      <c r="Z222">
        <f>HYPERLINK("https://klasma.github.io/Logging_2283/fåglar/A 32256-2024 prioriterade fågelarter.docx", "A 32256-2024")</f>
        <v/>
      </c>
    </row>
    <row r="223" ht="15" customHeight="1">
      <c r="A223" t="inlineStr">
        <is>
          <t>A 21097-2024</t>
        </is>
      </c>
      <c r="B223" s="1" t="n">
        <v>45439</v>
      </c>
      <c r="C223" s="1" t="n">
        <v>46048</v>
      </c>
      <c r="D223" t="inlineStr">
        <is>
          <t>VÄSTERNORRLANDS LÄN</t>
        </is>
      </c>
      <c r="E223" t="inlineStr">
        <is>
          <t>SOLLEFTEÅ</t>
        </is>
      </c>
      <c r="F223" t="inlineStr">
        <is>
          <t>SCA</t>
        </is>
      </c>
      <c r="G223" t="n">
        <v>7.7</v>
      </c>
      <c r="H223" t="n">
        <v>1</v>
      </c>
      <c r="I223" t="n">
        <v>1</v>
      </c>
      <c r="J223" t="n">
        <v>2</v>
      </c>
      <c r="K223" t="n">
        <v>0</v>
      </c>
      <c r="L223" t="n">
        <v>0</v>
      </c>
      <c r="M223" t="n">
        <v>0</v>
      </c>
      <c r="N223" t="n">
        <v>0</v>
      </c>
      <c r="O223" t="n">
        <v>2</v>
      </c>
      <c r="P223" t="n">
        <v>0</v>
      </c>
      <c r="Q223" t="n">
        <v>3</v>
      </c>
      <c r="R223" s="2" t="inlineStr">
        <is>
          <t>Lunglav
Ullticka
Lappranunkel</t>
        </is>
      </c>
      <c r="S223">
        <f>HYPERLINK("https://klasma.github.io/Logging_2283/artfynd/A 21097-2024 artfynd.xlsx", "A 21097-2024")</f>
        <v/>
      </c>
      <c r="T223">
        <f>HYPERLINK("https://klasma.github.io/Logging_2283/kartor/A 21097-2024 karta.png", "A 21097-2024")</f>
        <v/>
      </c>
      <c r="V223">
        <f>HYPERLINK("https://klasma.github.io/Logging_2283/klagomål/A 21097-2024 FSC-klagomål.docx", "A 21097-2024")</f>
        <v/>
      </c>
      <c r="W223">
        <f>HYPERLINK("https://klasma.github.io/Logging_2283/klagomålsmail/A 21097-2024 FSC-klagomål mail.docx", "A 21097-2024")</f>
        <v/>
      </c>
      <c r="X223">
        <f>HYPERLINK("https://klasma.github.io/Logging_2283/tillsyn/A 21097-2024 tillsynsbegäran.docx", "A 21097-2024")</f>
        <v/>
      </c>
      <c r="Y223">
        <f>HYPERLINK("https://klasma.github.io/Logging_2283/tillsynsmail/A 21097-2024 tillsynsbegäran mail.docx", "A 21097-2024")</f>
        <v/>
      </c>
    </row>
    <row r="224" ht="15" customHeight="1">
      <c r="A224" t="inlineStr">
        <is>
          <t>A 26374-2023</t>
        </is>
      </c>
      <c r="B224" s="1" t="n">
        <v>45091.94403935185</v>
      </c>
      <c r="C224" s="1" t="n">
        <v>46048</v>
      </c>
      <c r="D224" t="inlineStr">
        <is>
          <t>VÄSTERNORRLANDS LÄN</t>
        </is>
      </c>
      <c r="E224" t="inlineStr">
        <is>
          <t>SOLLEFTEÅ</t>
        </is>
      </c>
      <c r="F224" t="inlineStr">
        <is>
          <t>SCA</t>
        </is>
      </c>
      <c r="G224" t="n">
        <v>0.9</v>
      </c>
      <c r="H224" t="n">
        <v>0</v>
      </c>
      <c r="I224" t="n">
        <v>0</v>
      </c>
      <c r="J224" t="n">
        <v>2</v>
      </c>
      <c r="K224" t="n">
        <v>1</v>
      </c>
      <c r="L224" t="n">
        <v>0</v>
      </c>
      <c r="M224" t="n">
        <v>0</v>
      </c>
      <c r="N224" t="n">
        <v>0</v>
      </c>
      <c r="O224" t="n">
        <v>3</v>
      </c>
      <c r="P224" t="n">
        <v>1</v>
      </c>
      <c r="Q224" t="n">
        <v>3</v>
      </c>
      <c r="R224" s="2" t="inlineStr">
        <is>
          <t>Blackticka
Granticka
Ullticka</t>
        </is>
      </c>
      <c r="S224">
        <f>HYPERLINK("https://klasma.github.io/Logging_2283/artfynd/A 26374-2023 artfynd.xlsx", "A 26374-2023")</f>
        <v/>
      </c>
      <c r="T224">
        <f>HYPERLINK("https://klasma.github.io/Logging_2283/kartor/A 26374-2023 karta.png", "A 26374-2023")</f>
        <v/>
      </c>
      <c r="V224">
        <f>HYPERLINK("https://klasma.github.io/Logging_2283/klagomål/A 26374-2023 FSC-klagomål.docx", "A 26374-2023")</f>
        <v/>
      </c>
      <c r="W224">
        <f>HYPERLINK("https://klasma.github.io/Logging_2283/klagomålsmail/A 26374-2023 FSC-klagomål mail.docx", "A 26374-2023")</f>
        <v/>
      </c>
      <c r="X224">
        <f>HYPERLINK("https://klasma.github.io/Logging_2283/tillsyn/A 26374-2023 tillsynsbegäran.docx", "A 26374-2023")</f>
        <v/>
      </c>
      <c r="Y224">
        <f>HYPERLINK("https://klasma.github.io/Logging_2283/tillsynsmail/A 26374-2023 tillsynsbegäran mail.docx", "A 26374-2023")</f>
        <v/>
      </c>
    </row>
    <row r="225" ht="15" customHeight="1">
      <c r="A225" t="inlineStr">
        <is>
          <t>A 8077-2025</t>
        </is>
      </c>
      <c r="B225" s="1" t="n">
        <v>45707.65659722222</v>
      </c>
      <c r="C225" s="1" t="n">
        <v>46048</v>
      </c>
      <c r="D225" t="inlineStr">
        <is>
          <t>VÄSTERNORRLANDS LÄN</t>
        </is>
      </c>
      <c r="E225" t="inlineStr">
        <is>
          <t>SOLLEFTEÅ</t>
        </is>
      </c>
      <c r="F225" t="inlineStr">
        <is>
          <t>SCA</t>
        </is>
      </c>
      <c r="G225" t="n">
        <v>2.7</v>
      </c>
      <c r="H225" t="n">
        <v>3</v>
      </c>
      <c r="I225" t="n">
        <v>0</v>
      </c>
      <c r="J225" t="n">
        <v>2</v>
      </c>
      <c r="K225" t="n">
        <v>0</v>
      </c>
      <c r="L225" t="n">
        <v>0</v>
      </c>
      <c r="M225" t="n">
        <v>0</v>
      </c>
      <c r="N225" t="n">
        <v>0</v>
      </c>
      <c r="O225" t="n">
        <v>2</v>
      </c>
      <c r="P225" t="n">
        <v>0</v>
      </c>
      <c r="Q225" t="n">
        <v>3</v>
      </c>
      <c r="R225" s="2" t="inlineStr">
        <is>
          <t>Spillkråka
Tretåig hackspett
Tjäder</t>
        </is>
      </c>
      <c r="S225">
        <f>HYPERLINK("https://klasma.github.io/Logging_2283/artfynd/A 8077-2025 artfynd.xlsx", "A 8077-2025")</f>
        <v/>
      </c>
      <c r="T225">
        <f>HYPERLINK("https://klasma.github.io/Logging_2283/kartor/A 8077-2025 karta.png", "A 8077-2025")</f>
        <v/>
      </c>
      <c r="V225">
        <f>HYPERLINK("https://klasma.github.io/Logging_2283/klagomål/A 8077-2025 FSC-klagomål.docx", "A 8077-2025")</f>
        <v/>
      </c>
      <c r="W225">
        <f>HYPERLINK("https://klasma.github.io/Logging_2283/klagomålsmail/A 8077-2025 FSC-klagomål mail.docx", "A 8077-2025")</f>
        <v/>
      </c>
      <c r="X225">
        <f>HYPERLINK("https://klasma.github.io/Logging_2283/tillsyn/A 8077-2025 tillsynsbegäran.docx", "A 8077-2025")</f>
        <v/>
      </c>
      <c r="Y225">
        <f>HYPERLINK("https://klasma.github.io/Logging_2283/tillsynsmail/A 8077-2025 tillsynsbegäran mail.docx", "A 8077-2025")</f>
        <v/>
      </c>
      <c r="Z225">
        <f>HYPERLINK("https://klasma.github.io/Logging_2283/fåglar/A 8077-2025 prioriterade fågelarter.docx", "A 8077-2025")</f>
        <v/>
      </c>
    </row>
    <row r="226" ht="15" customHeight="1">
      <c r="A226" t="inlineStr">
        <is>
          <t>A 32070-2025</t>
        </is>
      </c>
      <c r="B226" s="1" t="n">
        <v>45835.44885416667</v>
      </c>
      <c r="C226" s="1" t="n">
        <v>46048</v>
      </c>
      <c r="D226" t="inlineStr">
        <is>
          <t>VÄSTERNORRLANDS LÄN</t>
        </is>
      </c>
      <c r="E226" t="inlineStr">
        <is>
          <t>SOLLEFTEÅ</t>
        </is>
      </c>
      <c r="F226" t="inlineStr">
        <is>
          <t>SCA</t>
        </is>
      </c>
      <c r="G226" t="n">
        <v>6.4</v>
      </c>
      <c r="H226" t="n">
        <v>0</v>
      </c>
      <c r="I226" t="n">
        <v>1</v>
      </c>
      <c r="J226" t="n">
        <v>1</v>
      </c>
      <c r="K226" t="n">
        <v>1</v>
      </c>
      <c r="L226" t="n">
        <v>0</v>
      </c>
      <c r="M226" t="n">
        <v>0</v>
      </c>
      <c r="N226" t="n">
        <v>0</v>
      </c>
      <c r="O226" t="n">
        <v>2</v>
      </c>
      <c r="P226" t="n">
        <v>1</v>
      </c>
      <c r="Q226" t="n">
        <v>3</v>
      </c>
      <c r="R226" s="2" t="inlineStr">
        <is>
          <t>Rynkskinn
Garnlav
Vedticka</t>
        </is>
      </c>
      <c r="S226">
        <f>HYPERLINK("https://klasma.github.io/Logging_2283/artfynd/A 32070-2025 artfynd.xlsx", "A 32070-2025")</f>
        <v/>
      </c>
      <c r="T226">
        <f>HYPERLINK("https://klasma.github.io/Logging_2283/kartor/A 32070-2025 karta.png", "A 32070-2025")</f>
        <v/>
      </c>
      <c r="V226">
        <f>HYPERLINK("https://klasma.github.io/Logging_2283/klagomål/A 32070-2025 FSC-klagomål.docx", "A 32070-2025")</f>
        <v/>
      </c>
      <c r="W226">
        <f>HYPERLINK("https://klasma.github.io/Logging_2283/klagomålsmail/A 32070-2025 FSC-klagomål mail.docx", "A 32070-2025")</f>
        <v/>
      </c>
      <c r="X226">
        <f>HYPERLINK("https://klasma.github.io/Logging_2283/tillsyn/A 32070-2025 tillsynsbegäran.docx", "A 32070-2025")</f>
        <v/>
      </c>
      <c r="Y226">
        <f>HYPERLINK("https://klasma.github.io/Logging_2283/tillsynsmail/A 32070-2025 tillsynsbegäran mail.docx", "A 32070-2025")</f>
        <v/>
      </c>
    </row>
    <row r="227" ht="15" customHeight="1">
      <c r="A227" t="inlineStr">
        <is>
          <t>A 48489-2023</t>
        </is>
      </c>
      <c r="B227" s="1" t="n">
        <v>45206</v>
      </c>
      <c r="C227" s="1" t="n">
        <v>46048</v>
      </c>
      <c r="D227" t="inlineStr">
        <is>
          <t>VÄSTERNORRLANDS LÄN</t>
        </is>
      </c>
      <c r="E227" t="inlineStr">
        <is>
          <t>SOLLEFTEÅ</t>
        </is>
      </c>
      <c r="F227" t="inlineStr">
        <is>
          <t>SCA</t>
        </is>
      </c>
      <c r="G227" t="n">
        <v>51.8</v>
      </c>
      <c r="H227" t="n">
        <v>3</v>
      </c>
      <c r="I227" t="n">
        <v>0</v>
      </c>
      <c r="J227" t="n">
        <v>2</v>
      </c>
      <c r="K227" t="n">
        <v>0</v>
      </c>
      <c r="L227" t="n">
        <v>0</v>
      </c>
      <c r="M227" t="n">
        <v>0</v>
      </c>
      <c r="N227" t="n">
        <v>0</v>
      </c>
      <c r="O227" t="n">
        <v>2</v>
      </c>
      <c r="P227" t="n">
        <v>0</v>
      </c>
      <c r="Q227" t="n">
        <v>3</v>
      </c>
      <c r="R227" s="2" t="inlineStr">
        <is>
          <t>Spillkråka
Talltita
Lavskrika</t>
        </is>
      </c>
      <c r="S227">
        <f>HYPERLINK("https://klasma.github.io/Logging_2283/artfynd/A 48489-2023 artfynd.xlsx", "A 48489-2023")</f>
        <v/>
      </c>
      <c r="T227">
        <f>HYPERLINK("https://klasma.github.io/Logging_2283/kartor/A 48489-2023 karta.png", "A 48489-2023")</f>
        <v/>
      </c>
      <c r="V227">
        <f>HYPERLINK("https://klasma.github.io/Logging_2283/klagomål/A 48489-2023 FSC-klagomål.docx", "A 48489-2023")</f>
        <v/>
      </c>
      <c r="W227">
        <f>HYPERLINK("https://klasma.github.io/Logging_2283/klagomålsmail/A 48489-2023 FSC-klagomål mail.docx", "A 48489-2023")</f>
        <v/>
      </c>
      <c r="X227">
        <f>HYPERLINK("https://klasma.github.io/Logging_2283/tillsyn/A 48489-2023 tillsynsbegäran.docx", "A 48489-2023")</f>
        <v/>
      </c>
      <c r="Y227">
        <f>HYPERLINK("https://klasma.github.io/Logging_2283/tillsynsmail/A 48489-2023 tillsynsbegäran mail.docx", "A 48489-2023")</f>
        <v/>
      </c>
      <c r="Z227">
        <f>HYPERLINK("https://klasma.github.io/Logging_2283/fåglar/A 48489-2023 prioriterade fågelarter.docx", "A 48489-2023")</f>
        <v/>
      </c>
    </row>
    <row r="228" ht="15" customHeight="1">
      <c r="A228" t="inlineStr">
        <is>
          <t>A 53852-2024</t>
        </is>
      </c>
      <c r="B228" s="1" t="n">
        <v>45615.63590277778</v>
      </c>
      <c r="C228" s="1" t="n">
        <v>46048</v>
      </c>
      <c r="D228" t="inlineStr">
        <is>
          <t>VÄSTERNORRLANDS LÄN</t>
        </is>
      </c>
      <c r="E228" t="inlineStr">
        <is>
          <t>SOLLEFTEÅ</t>
        </is>
      </c>
      <c r="F228" t="inlineStr">
        <is>
          <t>SCA</t>
        </is>
      </c>
      <c r="G228" t="n">
        <v>0.7</v>
      </c>
      <c r="H228" t="n">
        <v>1</v>
      </c>
      <c r="I228" t="n">
        <v>2</v>
      </c>
      <c r="J228" t="n">
        <v>1</v>
      </c>
      <c r="K228" t="n">
        <v>0</v>
      </c>
      <c r="L228" t="n">
        <v>0</v>
      </c>
      <c r="M228" t="n">
        <v>0</v>
      </c>
      <c r="N228" t="n">
        <v>0</v>
      </c>
      <c r="O228" t="n">
        <v>1</v>
      </c>
      <c r="P228" t="n">
        <v>0</v>
      </c>
      <c r="Q228" t="n">
        <v>3</v>
      </c>
      <c r="R228" s="2" t="inlineStr">
        <is>
          <t>Garnlav
Korallrot
Ögonpyrola</t>
        </is>
      </c>
      <c r="S228">
        <f>HYPERLINK("https://klasma.github.io/Logging_2283/artfynd/A 53852-2024 artfynd.xlsx", "A 53852-2024")</f>
        <v/>
      </c>
      <c r="T228">
        <f>HYPERLINK("https://klasma.github.io/Logging_2283/kartor/A 53852-2024 karta.png", "A 53852-2024")</f>
        <v/>
      </c>
      <c r="V228">
        <f>HYPERLINK("https://klasma.github.io/Logging_2283/klagomål/A 53852-2024 FSC-klagomål.docx", "A 53852-2024")</f>
        <v/>
      </c>
      <c r="W228">
        <f>HYPERLINK("https://klasma.github.io/Logging_2283/klagomålsmail/A 53852-2024 FSC-klagomål mail.docx", "A 53852-2024")</f>
        <v/>
      </c>
      <c r="X228">
        <f>HYPERLINK("https://klasma.github.io/Logging_2283/tillsyn/A 53852-2024 tillsynsbegäran.docx", "A 53852-2024")</f>
        <v/>
      </c>
      <c r="Y228">
        <f>HYPERLINK("https://klasma.github.io/Logging_2283/tillsynsmail/A 53852-2024 tillsynsbegäran mail.docx", "A 53852-2024")</f>
        <v/>
      </c>
    </row>
    <row r="229" ht="15" customHeight="1">
      <c r="A229" t="inlineStr">
        <is>
          <t>A 23939-2024</t>
        </is>
      </c>
      <c r="B229" s="1" t="n">
        <v>45455.96303240741</v>
      </c>
      <c r="C229" s="1" t="n">
        <v>46048</v>
      </c>
      <c r="D229" t="inlineStr">
        <is>
          <t>VÄSTERNORRLANDS LÄN</t>
        </is>
      </c>
      <c r="E229" t="inlineStr">
        <is>
          <t>SOLLEFTEÅ</t>
        </is>
      </c>
      <c r="F229" t="inlineStr">
        <is>
          <t>SCA</t>
        </is>
      </c>
      <c r="G229" t="n">
        <v>3</v>
      </c>
      <c r="H229" t="n">
        <v>1</v>
      </c>
      <c r="I229" t="n">
        <v>1</v>
      </c>
      <c r="J229" t="n">
        <v>2</v>
      </c>
      <c r="K229" t="n">
        <v>0</v>
      </c>
      <c r="L229" t="n">
        <v>0</v>
      </c>
      <c r="M229" t="n">
        <v>0</v>
      </c>
      <c r="N229" t="n">
        <v>0</v>
      </c>
      <c r="O229" t="n">
        <v>2</v>
      </c>
      <c r="P229" t="n">
        <v>0</v>
      </c>
      <c r="Q229" t="n">
        <v>3</v>
      </c>
      <c r="R229" s="2" t="inlineStr">
        <is>
          <t>Lunglav
Talltita
Stuplav</t>
        </is>
      </c>
      <c r="S229">
        <f>HYPERLINK("https://klasma.github.io/Logging_2283/artfynd/A 23939-2024 artfynd.xlsx", "A 23939-2024")</f>
        <v/>
      </c>
      <c r="T229">
        <f>HYPERLINK("https://klasma.github.io/Logging_2283/kartor/A 23939-2024 karta.png", "A 23939-2024")</f>
        <v/>
      </c>
      <c r="V229">
        <f>HYPERLINK("https://klasma.github.io/Logging_2283/klagomål/A 23939-2024 FSC-klagomål.docx", "A 23939-2024")</f>
        <v/>
      </c>
      <c r="W229">
        <f>HYPERLINK("https://klasma.github.io/Logging_2283/klagomålsmail/A 23939-2024 FSC-klagomål mail.docx", "A 23939-2024")</f>
        <v/>
      </c>
      <c r="X229">
        <f>HYPERLINK("https://klasma.github.io/Logging_2283/tillsyn/A 23939-2024 tillsynsbegäran.docx", "A 23939-2024")</f>
        <v/>
      </c>
      <c r="Y229">
        <f>HYPERLINK("https://klasma.github.io/Logging_2283/tillsynsmail/A 23939-2024 tillsynsbegäran mail.docx", "A 23939-2024")</f>
        <v/>
      </c>
      <c r="Z229">
        <f>HYPERLINK("https://klasma.github.io/Logging_2283/fåglar/A 23939-2024 prioriterade fågelarter.docx", "A 23939-2024")</f>
        <v/>
      </c>
    </row>
    <row r="230" ht="15" customHeight="1">
      <c r="A230" t="inlineStr">
        <is>
          <t>A 54624-2024</t>
        </is>
      </c>
      <c r="B230" s="1" t="n">
        <v>45617</v>
      </c>
      <c r="C230" s="1" t="n">
        <v>46048</v>
      </c>
      <c r="D230" t="inlineStr">
        <is>
          <t>VÄSTERNORRLANDS LÄN</t>
        </is>
      </c>
      <c r="E230" t="inlineStr">
        <is>
          <t>SOLLEFTEÅ</t>
        </is>
      </c>
      <c r="G230" t="n">
        <v>11.5</v>
      </c>
      <c r="H230" t="n">
        <v>0</v>
      </c>
      <c r="I230" t="n">
        <v>2</v>
      </c>
      <c r="J230" t="n">
        <v>1</v>
      </c>
      <c r="K230" t="n">
        <v>0</v>
      </c>
      <c r="L230" t="n">
        <v>0</v>
      </c>
      <c r="M230" t="n">
        <v>0</v>
      </c>
      <c r="N230" t="n">
        <v>0</v>
      </c>
      <c r="O230" t="n">
        <v>1</v>
      </c>
      <c r="P230" t="n">
        <v>0</v>
      </c>
      <c r="Q230" t="n">
        <v>3</v>
      </c>
      <c r="R230" s="2" t="inlineStr">
        <is>
          <t>Ullticka
Stuplav
Vedticka</t>
        </is>
      </c>
      <c r="S230">
        <f>HYPERLINK("https://klasma.github.io/Logging_2283/artfynd/A 54624-2024 artfynd.xlsx", "A 54624-2024")</f>
        <v/>
      </c>
      <c r="T230">
        <f>HYPERLINK("https://klasma.github.io/Logging_2283/kartor/A 54624-2024 karta.png", "A 54624-2024")</f>
        <v/>
      </c>
      <c r="V230">
        <f>HYPERLINK("https://klasma.github.io/Logging_2283/klagomål/A 54624-2024 FSC-klagomål.docx", "A 54624-2024")</f>
        <v/>
      </c>
      <c r="W230">
        <f>HYPERLINK("https://klasma.github.io/Logging_2283/klagomålsmail/A 54624-2024 FSC-klagomål mail.docx", "A 54624-2024")</f>
        <v/>
      </c>
      <c r="X230">
        <f>HYPERLINK("https://klasma.github.io/Logging_2283/tillsyn/A 54624-2024 tillsynsbegäran.docx", "A 54624-2024")</f>
        <v/>
      </c>
      <c r="Y230">
        <f>HYPERLINK("https://klasma.github.io/Logging_2283/tillsynsmail/A 54624-2024 tillsynsbegäran mail.docx", "A 54624-2024")</f>
        <v/>
      </c>
    </row>
    <row r="231" ht="15" customHeight="1">
      <c r="A231" t="inlineStr">
        <is>
          <t>A 50838-2023</t>
        </is>
      </c>
      <c r="B231" s="1" t="n">
        <v>45217</v>
      </c>
      <c r="C231" s="1" t="n">
        <v>46048</v>
      </c>
      <c r="D231" t="inlineStr">
        <is>
          <t>VÄSTERNORRLANDS LÄN</t>
        </is>
      </c>
      <c r="E231" t="inlineStr">
        <is>
          <t>SOLLEFTEÅ</t>
        </is>
      </c>
      <c r="F231" t="inlineStr">
        <is>
          <t>SCA</t>
        </is>
      </c>
      <c r="G231" t="n">
        <v>2.1</v>
      </c>
      <c r="H231" t="n">
        <v>2</v>
      </c>
      <c r="I231" t="n">
        <v>0</v>
      </c>
      <c r="J231" t="n">
        <v>1</v>
      </c>
      <c r="K231" t="n">
        <v>2</v>
      </c>
      <c r="L231" t="n">
        <v>0</v>
      </c>
      <c r="M231" t="n">
        <v>0</v>
      </c>
      <c r="N231" t="n">
        <v>0</v>
      </c>
      <c r="O231" t="n">
        <v>3</v>
      </c>
      <c r="P231" t="n">
        <v>2</v>
      </c>
      <c r="Q231" t="n">
        <v>3</v>
      </c>
      <c r="R231" s="2" t="inlineStr">
        <is>
          <t>Doftticka
Knärot
Lunglav</t>
        </is>
      </c>
      <c r="S231">
        <f>HYPERLINK("https://klasma.github.io/Logging_2283/artfynd/A 50838-2023 artfynd.xlsx", "A 50838-2023")</f>
        <v/>
      </c>
      <c r="T231">
        <f>HYPERLINK("https://klasma.github.io/Logging_2283/kartor/A 50838-2023 karta.png", "A 50838-2023")</f>
        <v/>
      </c>
      <c r="U231">
        <f>HYPERLINK("https://klasma.github.io/Logging_2283/knärot/A 50838-2023 karta knärot.png", "A 50838-2023")</f>
        <v/>
      </c>
      <c r="V231">
        <f>HYPERLINK("https://klasma.github.io/Logging_2283/klagomål/A 50838-2023 FSC-klagomål.docx", "A 50838-2023")</f>
        <v/>
      </c>
      <c r="W231">
        <f>HYPERLINK("https://klasma.github.io/Logging_2283/klagomålsmail/A 50838-2023 FSC-klagomål mail.docx", "A 50838-2023")</f>
        <v/>
      </c>
      <c r="X231">
        <f>HYPERLINK("https://klasma.github.io/Logging_2283/tillsyn/A 50838-2023 tillsynsbegäran.docx", "A 50838-2023")</f>
        <v/>
      </c>
      <c r="Y231">
        <f>HYPERLINK("https://klasma.github.io/Logging_2283/tillsynsmail/A 50838-2023 tillsynsbegäran mail.docx", "A 50838-2023")</f>
        <v/>
      </c>
    </row>
    <row r="232" ht="15" customHeight="1">
      <c r="A232" t="inlineStr">
        <is>
          <t>A 6235-2023</t>
        </is>
      </c>
      <c r="B232" s="1" t="n">
        <v>44964</v>
      </c>
      <c r="C232" s="1" t="n">
        <v>46048</v>
      </c>
      <c r="D232" t="inlineStr">
        <is>
          <t>VÄSTERNORRLANDS LÄN</t>
        </is>
      </c>
      <c r="E232" t="inlineStr">
        <is>
          <t>SOLLEFTEÅ</t>
        </is>
      </c>
      <c r="F232" t="inlineStr">
        <is>
          <t>SCA</t>
        </is>
      </c>
      <c r="G232" t="n">
        <v>0.6</v>
      </c>
      <c r="H232" t="n">
        <v>2</v>
      </c>
      <c r="I232" t="n">
        <v>0</v>
      </c>
      <c r="J232" t="n">
        <v>2</v>
      </c>
      <c r="K232" t="n">
        <v>0</v>
      </c>
      <c r="L232" t="n">
        <v>0</v>
      </c>
      <c r="M232" t="n">
        <v>0</v>
      </c>
      <c r="N232" t="n">
        <v>0</v>
      </c>
      <c r="O232" t="n">
        <v>2</v>
      </c>
      <c r="P232" t="n">
        <v>0</v>
      </c>
      <c r="Q232" t="n">
        <v>3</v>
      </c>
      <c r="R232" s="2" t="inlineStr">
        <is>
          <t>Harticka
Tretåig hackspett
Tjäder</t>
        </is>
      </c>
      <c r="S232">
        <f>HYPERLINK("https://klasma.github.io/Logging_2283/artfynd/A 6235-2023 artfynd.xlsx", "A 6235-2023")</f>
        <v/>
      </c>
      <c r="T232">
        <f>HYPERLINK("https://klasma.github.io/Logging_2283/kartor/A 6235-2023 karta.png", "A 6235-2023")</f>
        <v/>
      </c>
      <c r="V232">
        <f>HYPERLINK("https://klasma.github.io/Logging_2283/klagomål/A 6235-2023 FSC-klagomål.docx", "A 6235-2023")</f>
        <v/>
      </c>
      <c r="W232">
        <f>HYPERLINK("https://klasma.github.io/Logging_2283/klagomålsmail/A 6235-2023 FSC-klagomål mail.docx", "A 6235-2023")</f>
        <v/>
      </c>
      <c r="X232">
        <f>HYPERLINK("https://klasma.github.io/Logging_2283/tillsyn/A 6235-2023 tillsynsbegäran.docx", "A 6235-2023")</f>
        <v/>
      </c>
      <c r="Y232">
        <f>HYPERLINK("https://klasma.github.io/Logging_2283/tillsynsmail/A 6235-2023 tillsynsbegäran mail.docx", "A 6235-2023")</f>
        <v/>
      </c>
      <c r="Z232">
        <f>HYPERLINK("https://klasma.github.io/Logging_2283/fåglar/A 6235-2023 prioriterade fågelarter.docx", "A 6235-2023")</f>
        <v/>
      </c>
    </row>
    <row r="233" ht="15" customHeight="1">
      <c r="A233" t="inlineStr">
        <is>
          <t>A 45007-2023</t>
        </is>
      </c>
      <c r="B233" s="1" t="n">
        <v>45190</v>
      </c>
      <c r="C233" s="1" t="n">
        <v>46048</v>
      </c>
      <c r="D233" t="inlineStr">
        <is>
          <t>VÄSTERNORRLANDS LÄN</t>
        </is>
      </c>
      <c r="E233" t="inlineStr">
        <is>
          <t>SOLLEFTEÅ</t>
        </is>
      </c>
      <c r="F233" t="inlineStr">
        <is>
          <t>SCA</t>
        </is>
      </c>
      <c r="G233" t="n">
        <v>2.1</v>
      </c>
      <c r="H233" t="n">
        <v>2</v>
      </c>
      <c r="I233" t="n">
        <v>0</v>
      </c>
      <c r="J233" t="n">
        <v>3</v>
      </c>
      <c r="K233" t="n">
        <v>0</v>
      </c>
      <c r="L233" t="n">
        <v>0</v>
      </c>
      <c r="M233" t="n">
        <v>0</v>
      </c>
      <c r="N233" t="n">
        <v>0</v>
      </c>
      <c r="O233" t="n">
        <v>3</v>
      </c>
      <c r="P233" t="n">
        <v>0</v>
      </c>
      <c r="Q233" t="n">
        <v>3</v>
      </c>
      <c r="R233" s="2" t="inlineStr">
        <is>
          <t>Spillkråka
Tretåig hackspett
Ullticka</t>
        </is>
      </c>
      <c r="S233">
        <f>HYPERLINK("https://klasma.github.io/Logging_2283/artfynd/A 45007-2023 artfynd.xlsx", "A 45007-2023")</f>
        <v/>
      </c>
      <c r="T233">
        <f>HYPERLINK("https://klasma.github.io/Logging_2283/kartor/A 45007-2023 karta.png", "A 45007-2023")</f>
        <v/>
      </c>
      <c r="V233">
        <f>HYPERLINK("https://klasma.github.io/Logging_2283/klagomål/A 45007-2023 FSC-klagomål.docx", "A 45007-2023")</f>
        <v/>
      </c>
      <c r="W233">
        <f>HYPERLINK("https://klasma.github.io/Logging_2283/klagomålsmail/A 45007-2023 FSC-klagomål mail.docx", "A 45007-2023")</f>
        <v/>
      </c>
      <c r="X233">
        <f>HYPERLINK("https://klasma.github.io/Logging_2283/tillsyn/A 45007-2023 tillsynsbegäran.docx", "A 45007-2023")</f>
        <v/>
      </c>
      <c r="Y233">
        <f>HYPERLINK("https://klasma.github.io/Logging_2283/tillsynsmail/A 45007-2023 tillsynsbegäran mail.docx", "A 45007-2023")</f>
        <v/>
      </c>
      <c r="Z233">
        <f>HYPERLINK("https://klasma.github.io/Logging_2283/fåglar/A 45007-2023 prioriterade fågelarter.docx", "A 45007-2023")</f>
        <v/>
      </c>
    </row>
    <row r="234" ht="15" customHeight="1">
      <c r="A234" t="inlineStr">
        <is>
          <t>A 43279-2025</t>
        </is>
      </c>
      <c r="B234" s="1" t="n">
        <v>45910.59446759259</v>
      </c>
      <c r="C234" s="1" t="n">
        <v>46048</v>
      </c>
      <c r="D234" t="inlineStr">
        <is>
          <t>VÄSTERNORRLANDS LÄN</t>
        </is>
      </c>
      <c r="E234" t="inlineStr">
        <is>
          <t>SOLLEFTEÅ</t>
        </is>
      </c>
      <c r="F234" t="inlineStr">
        <is>
          <t>SCA</t>
        </is>
      </c>
      <c r="G234" t="n">
        <v>1.7</v>
      </c>
      <c r="H234" t="n">
        <v>0</v>
      </c>
      <c r="I234" t="n">
        <v>1</v>
      </c>
      <c r="J234" t="n">
        <v>2</v>
      </c>
      <c r="K234" t="n">
        <v>0</v>
      </c>
      <c r="L234" t="n">
        <v>0</v>
      </c>
      <c r="M234" t="n">
        <v>0</v>
      </c>
      <c r="N234" t="n">
        <v>0</v>
      </c>
      <c r="O234" t="n">
        <v>2</v>
      </c>
      <c r="P234" t="n">
        <v>0</v>
      </c>
      <c r="Q234" t="n">
        <v>3</v>
      </c>
      <c r="R234" s="2" t="inlineStr">
        <is>
          <t>Garnlav
Orange taggsvamp
Dropptaggsvamp</t>
        </is>
      </c>
      <c r="S234">
        <f>HYPERLINK("https://klasma.github.io/Logging_2283/artfynd/A 43279-2025 artfynd.xlsx", "A 43279-2025")</f>
        <v/>
      </c>
      <c r="T234">
        <f>HYPERLINK("https://klasma.github.io/Logging_2283/kartor/A 43279-2025 karta.png", "A 43279-2025")</f>
        <v/>
      </c>
      <c r="V234">
        <f>HYPERLINK("https://klasma.github.io/Logging_2283/klagomål/A 43279-2025 FSC-klagomål.docx", "A 43279-2025")</f>
        <v/>
      </c>
      <c r="W234">
        <f>HYPERLINK("https://klasma.github.io/Logging_2283/klagomålsmail/A 43279-2025 FSC-klagomål mail.docx", "A 43279-2025")</f>
        <v/>
      </c>
      <c r="X234">
        <f>HYPERLINK("https://klasma.github.io/Logging_2283/tillsyn/A 43279-2025 tillsynsbegäran.docx", "A 43279-2025")</f>
        <v/>
      </c>
      <c r="Y234">
        <f>HYPERLINK("https://klasma.github.io/Logging_2283/tillsynsmail/A 43279-2025 tillsynsbegäran mail.docx", "A 43279-2025")</f>
        <v/>
      </c>
    </row>
    <row r="235" ht="15" customHeight="1">
      <c r="A235" t="inlineStr">
        <is>
          <t>A 53682-2024</t>
        </is>
      </c>
      <c r="B235" s="1" t="n">
        <v>45615</v>
      </c>
      <c r="C235" s="1" t="n">
        <v>46048</v>
      </c>
      <c r="D235" t="inlineStr">
        <is>
          <t>VÄSTERNORRLANDS LÄN</t>
        </is>
      </c>
      <c r="E235" t="inlineStr">
        <is>
          <t>SOLLEFTEÅ</t>
        </is>
      </c>
      <c r="F235" t="inlineStr">
        <is>
          <t>SCA</t>
        </is>
      </c>
      <c r="G235" t="n">
        <v>9.5</v>
      </c>
      <c r="H235" t="n">
        <v>0</v>
      </c>
      <c r="I235" t="n">
        <v>0</v>
      </c>
      <c r="J235" t="n">
        <v>2</v>
      </c>
      <c r="K235" t="n">
        <v>1</v>
      </c>
      <c r="L235" t="n">
        <v>0</v>
      </c>
      <c r="M235" t="n">
        <v>0</v>
      </c>
      <c r="N235" t="n">
        <v>0</v>
      </c>
      <c r="O235" t="n">
        <v>3</v>
      </c>
      <c r="P235" t="n">
        <v>1</v>
      </c>
      <c r="Q235" t="n">
        <v>3</v>
      </c>
      <c r="R235" s="2" t="inlineStr">
        <is>
          <t>Tallgråticka
Blå taggsvamp
Skrovlig taggsvamp</t>
        </is>
      </c>
      <c r="S235">
        <f>HYPERLINK("https://klasma.github.io/Logging_2283/artfynd/A 53682-2024 artfynd.xlsx", "A 53682-2024")</f>
        <v/>
      </c>
      <c r="T235">
        <f>HYPERLINK("https://klasma.github.io/Logging_2283/kartor/A 53682-2024 karta.png", "A 53682-2024")</f>
        <v/>
      </c>
      <c r="V235">
        <f>HYPERLINK("https://klasma.github.io/Logging_2283/klagomål/A 53682-2024 FSC-klagomål.docx", "A 53682-2024")</f>
        <v/>
      </c>
      <c r="W235">
        <f>HYPERLINK("https://klasma.github.io/Logging_2283/klagomålsmail/A 53682-2024 FSC-klagomål mail.docx", "A 53682-2024")</f>
        <v/>
      </c>
      <c r="X235">
        <f>HYPERLINK("https://klasma.github.io/Logging_2283/tillsyn/A 53682-2024 tillsynsbegäran.docx", "A 53682-2024")</f>
        <v/>
      </c>
      <c r="Y235">
        <f>HYPERLINK("https://klasma.github.io/Logging_2283/tillsynsmail/A 53682-2024 tillsynsbegäran mail.docx", "A 53682-2024")</f>
        <v/>
      </c>
    </row>
    <row r="236" ht="15" customHeight="1">
      <c r="A236" t="inlineStr">
        <is>
          <t>A 24757-2024</t>
        </is>
      </c>
      <c r="B236" s="1" t="n">
        <v>45460.67375</v>
      </c>
      <c r="C236" s="1" t="n">
        <v>46048</v>
      </c>
      <c r="D236" t="inlineStr">
        <is>
          <t>VÄSTERNORRLANDS LÄN</t>
        </is>
      </c>
      <c r="E236" t="inlineStr">
        <is>
          <t>SOLLEFTEÅ</t>
        </is>
      </c>
      <c r="G236" t="n">
        <v>1.4</v>
      </c>
      <c r="H236" t="n">
        <v>1</v>
      </c>
      <c r="I236" t="n">
        <v>0</v>
      </c>
      <c r="J236" t="n">
        <v>2</v>
      </c>
      <c r="K236" t="n">
        <v>0</v>
      </c>
      <c r="L236" t="n">
        <v>0</v>
      </c>
      <c r="M236" t="n">
        <v>0</v>
      </c>
      <c r="N236" t="n">
        <v>0</v>
      </c>
      <c r="O236" t="n">
        <v>2</v>
      </c>
      <c r="P236" t="n">
        <v>0</v>
      </c>
      <c r="Q236" t="n">
        <v>3</v>
      </c>
      <c r="R236" s="2" t="inlineStr">
        <is>
          <t>Harticka
Lunglav
Revlummer</t>
        </is>
      </c>
      <c r="S236">
        <f>HYPERLINK("https://klasma.github.io/Logging_2283/artfynd/A 24757-2024 artfynd.xlsx", "A 24757-2024")</f>
        <v/>
      </c>
      <c r="T236">
        <f>HYPERLINK("https://klasma.github.io/Logging_2283/kartor/A 24757-2024 karta.png", "A 24757-2024")</f>
        <v/>
      </c>
      <c r="V236">
        <f>HYPERLINK("https://klasma.github.io/Logging_2283/klagomål/A 24757-2024 FSC-klagomål.docx", "A 24757-2024")</f>
        <v/>
      </c>
      <c r="W236">
        <f>HYPERLINK("https://klasma.github.io/Logging_2283/klagomålsmail/A 24757-2024 FSC-klagomål mail.docx", "A 24757-2024")</f>
        <v/>
      </c>
      <c r="X236">
        <f>HYPERLINK("https://klasma.github.io/Logging_2283/tillsyn/A 24757-2024 tillsynsbegäran.docx", "A 24757-2024")</f>
        <v/>
      </c>
      <c r="Y236">
        <f>HYPERLINK("https://klasma.github.io/Logging_2283/tillsynsmail/A 24757-2024 tillsynsbegäran mail.docx", "A 24757-2024")</f>
        <v/>
      </c>
    </row>
    <row r="237" ht="15" customHeight="1">
      <c r="A237" t="inlineStr">
        <is>
          <t>A 26341-2025</t>
        </is>
      </c>
      <c r="B237" s="1" t="n">
        <v>45805.69878472222</v>
      </c>
      <c r="C237" s="1" t="n">
        <v>46048</v>
      </c>
      <c r="D237" t="inlineStr">
        <is>
          <t>VÄSTERNORRLANDS LÄN</t>
        </is>
      </c>
      <c r="E237" t="inlineStr">
        <is>
          <t>SOLLEFTEÅ</t>
        </is>
      </c>
      <c r="F237" t="inlineStr">
        <is>
          <t>SCA</t>
        </is>
      </c>
      <c r="G237" t="n">
        <v>3.2</v>
      </c>
      <c r="H237" t="n">
        <v>3</v>
      </c>
      <c r="I237" t="n">
        <v>0</v>
      </c>
      <c r="J237" t="n">
        <v>2</v>
      </c>
      <c r="K237" t="n">
        <v>0</v>
      </c>
      <c r="L237" t="n">
        <v>0</v>
      </c>
      <c r="M237" t="n">
        <v>0</v>
      </c>
      <c r="N237" t="n">
        <v>0</v>
      </c>
      <c r="O237" t="n">
        <v>2</v>
      </c>
      <c r="P237" t="n">
        <v>0</v>
      </c>
      <c r="Q237" t="n">
        <v>3</v>
      </c>
      <c r="R237" s="2" t="inlineStr">
        <is>
          <t>Talltita
Tretåig hackspett
Lavskrika</t>
        </is>
      </c>
      <c r="S237">
        <f>HYPERLINK("https://klasma.github.io/Logging_2283/artfynd/A 26341-2025 artfynd.xlsx", "A 26341-2025")</f>
        <v/>
      </c>
      <c r="T237">
        <f>HYPERLINK("https://klasma.github.io/Logging_2283/kartor/A 26341-2025 karta.png", "A 26341-2025")</f>
        <v/>
      </c>
      <c r="V237">
        <f>HYPERLINK("https://klasma.github.io/Logging_2283/klagomål/A 26341-2025 FSC-klagomål.docx", "A 26341-2025")</f>
        <v/>
      </c>
      <c r="W237">
        <f>HYPERLINK("https://klasma.github.io/Logging_2283/klagomålsmail/A 26341-2025 FSC-klagomål mail.docx", "A 26341-2025")</f>
        <v/>
      </c>
      <c r="X237">
        <f>HYPERLINK("https://klasma.github.io/Logging_2283/tillsyn/A 26341-2025 tillsynsbegäran.docx", "A 26341-2025")</f>
        <v/>
      </c>
      <c r="Y237">
        <f>HYPERLINK("https://klasma.github.io/Logging_2283/tillsynsmail/A 26341-2025 tillsynsbegäran mail.docx", "A 26341-2025")</f>
        <v/>
      </c>
      <c r="Z237">
        <f>HYPERLINK("https://klasma.github.io/Logging_2283/fåglar/A 26341-2025 prioriterade fågelarter.docx", "A 26341-2025")</f>
        <v/>
      </c>
    </row>
    <row r="238" ht="15" customHeight="1">
      <c r="A238" t="inlineStr">
        <is>
          <t>A 25919-2025</t>
        </is>
      </c>
      <c r="B238" s="1" t="n">
        <v>45804</v>
      </c>
      <c r="C238" s="1" t="n">
        <v>46048</v>
      </c>
      <c r="D238" t="inlineStr">
        <is>
          <t>VÄSTERNORRLANDS LÄN</t>
        </is>
      </c>
      <c r="E238" t="inlineStr">
        <is>
          <t>SOLLEFTEÅ</t>
        </is>
      </c>
      <c r="G238" t="n">
        <v>8.5</v>
      </c>
      <c r="H238" t="n">
        <v>0</v>
      </c>
      <c r="I238" t="n">
        <v>2</v>
      </c>
      <c r="J238" t="n">
        <v>1</v>
      </c>
      <c r="K238" t="n">
        <v>0</v>
      </c>
      <c r="L238" t="n">
        <v>0</v>
      </c>
      <c r="M238" t="n">
        <v>0</v>
      </c>
      <c r="N238" t="n">
        <v>0</v>
      </c>
      <c r="O238" t="n">
        <v>1</v>
      </c>
      <c r="P238" t="n">
        <v>0</v>
      </c>
      <c r="Q238" t="n">
        <v>3</v>
      </c>
      <c r="R238" s="2" t="inlineStr">
        <is>
          <t>Granticka
Svart trolldruva
Vårärt</t>
        </is>
      </c>
      <c r="S238">
        <f>HYPERLINK("https://klasma.github.io/Logging_2283/artfynd/A 25919-2025 artfynd.xlsx", "A 25919-2025")</f>
        <v/>
      </c>
      <c r="T238">
        <f>HYPERLINK("https://klasma.github.io/Logging_2283/kartor/A 25919-2025 karta.png", "A 25919-2025")</f>
        <v/>
      </c>
      <c r="V238">
        <f>HYPERLINK("https://klasma.github.io/Logging_2283/klagomål/A 25919-2025 FSC-klagomål.docx", "A 25919-2025")</f>
        <v/>
      </c>
      <c r="W238">
        <f>HYPERLINK("https://klasma.github.io/Logging_2283/klagomålsmail/A 25919-2025 FSC-klagomål mail.docx", "A 25919-2025")</f>
        <v/>
      </c>
      <c r="X238">
        <f>HYPERLINK("https://klasma.github.io/Logging_2283/tillsyn/A 25919-2025 tillsynsbegäran.docx", "A 25919-2025")</f>
        <v/>
      </c>
      <c r="Y238">
        <f>HYPERLINK("https://klasma.github.io/Logging_2283/tillsynsmail/A 25919-2025 tillsynsbegäran mail.docx", "A 25919-2025")</f>
        <v/>
      </c>
    </row>
    <row r="239" ht="15" customHeight="1">
      <c r="A239" t="inlineStr">
        <is>
          <t>A 54254-2025</t>
        </is>
      </c>
      <c r="B239" s="1" t="n">
        <v>45964.65668981482</v>
      </c>
      <c r="C239" s="1" t="n">
        <v>46048</v>
      </c>
      <c r="D239" t="inlineStr">
        <is>
          <t>VÄSTERNORRLANDS LÄN</t>
        </is>
      </c>
      <c r="E239" t="inlineStr">
        <is>
          <t>SOLLEFTEÅ</t>
        </is>
      </c>
      <c r="F239" t="inlineStr">
        <is>
          <t>SCA</t>
        </is>
      </c>
      <c r="G239" t="n">
        <v>2.2</v>
      </c>
      <c r="H239" t="n">
        <v>0</v>
      </c>
      <c r="I239" t="n">
        <v>2</v>
      </c>
      <c r="J239" t="n">
        <v>1</v>
      </c>
      <c r="K239" t="n">
        <v>0</v>
      </c>
      <c r="L239" t="n">
        <v>0</v>
      </c>
      <c r="M239" t="n">
        <v>0</v>
      </c>
      <c r="N239" t="n">
        <v>0</v>
      </c>
      <c r="O239" t="n">
        <v>1</v>
      </c>
      <c r="P239" t="n">
        <v>0</v>
      </c>
      <c r="Q239" t="n">
        <v>3</v>
      </c>
      <c r="R239" s="2" t="inlineStr">
        <is>
          <t>Garnlav
Norrlandslav
Skarp dropptaggsvamp</t>
        </is>
      </c>
      <c r="S239">
        <f>HYPERLINK("https://klasma.github.io/Logging_2283/artfynd/A 54254-2025 artfynd.xlsx", "A 54254-2025")</f>
        <v/>
      </c>
      <c r="T239">
        <f>HYPERLINK("https://klasma.github.io/Logging_2283/kartor/A 54254-2025 karta.png", "A 54254-2025")</f>
        <v/>
      </c>
      <c r="V239">
        <f>HYPERLINK("https://klasma.github.io/Logging_2283/klagomål/A 54254-2025 FSC-klagomål.docx", "A 54254-2025")</f>
        <v/>
      </c>
      <c r="W239">
        <f>HYPERLINK("https://klasma.github.io/Logging_2283/klagomålsmail/A 54254-2025 FSC-klagomål mail.docx", "A 54254-2025")</f>
        <v/>
      </c>
      <c r="X239">
        <f>HYPERLINK("https://klasma.github.io/Logging_2283/tillsyn/A 54254-2025 tillsynsbegäran.docx", "A 54254-2025")</f>
        <v/>
      </c>
      <c r="Y239">
        <f>HYPERLINK("https://klasma.github.io/Logging_2283/tillsynsmail/A 54254-2025 tillsynsbegäran mail.docx", "A 54254-2025")</f>
        <v/>
      </c>
    </row>
    <row r="240" ht="15" customHeight="1">
      <c r="A240" t="inlineStr">
        <is>
          <t>A 62197-2025</t>
        </is>
      </c>
      <c r="B240" s="1" t="n">
        <v>46006.55293981481</v>
      </c>
      <c r="C240" s="1" t="n">
        <v>46048</v>
      </c>
      <c r="D240" t="inlineStr">
        <is>
          <t>VÄSTERNORRLANDS LÄN</t>
        </is>
      </c>
      <c r="E240" t="inlineStr">
        <is>
          <t>SOLLEFTEÅ</t>
        </is>
      </c>
      <c r="F240" t="inlineStr">
        <is>
          <t>SCA</t>
        </is>
      </c>
      <c r="G240" t="n">
        <v>12.2</v>
      </c>
      <c r="H240" t="n">
        <v>1</v>
      </c>
      <c r="I240" t="n">
        <v>1</v>
      </c>
      <c r="J240" t="n">
        <v>2</v>
      </c>
      <c r="K240" t="n">
        <v>0</v>
      </c>
      <c r="L240" t="n">
        <v>0</v>
      </c>
      <c r="M240" t="n">
        <v>0</v>
      </c>
      <c r="N240" t="n">
        <v>0</v>
      </c>
      <c r="O240" t="n">
        <v>2</v>
      </c>
      <c r="P240" t="n">
        <v>0</v>
      </c>
      <c r="Q240" t="n">
        <v>3</v>
      </c>
      <c r="R240" s="2" t="inlineStr">
        <is>
          <t>Granticka
Ullticka
Plattlummer</t>
        </is>
      </c>
      <c r="S240">
        <f>HYPERLINK("https://klasma.github.io/Logging_2283/artfynd/A 62197-2025 artfynd.xlsx", "A 62197-2025")</f>
        <v/>
      </c>
      <c r="T240">
        <f>HYPERLINK("https://klasma.github.io/Logging_2283/kartor/A 62197-2025 karta.png", "A 62197-2025")</f>
        <v/>
      </c>
      <c r="V240">
        <f>HYPERLINK("https://klasma.github.io/Logging_2283/klagomål/A 62197-2025 FSC-klagomål.docx", "A 62197-2025")</f>
        <v/>
      </c>
      <c r="W240">
        <f>HYPERLINK("https://klasma.github.io/Logging_2283/klagomålsmail/A 62197-2025 FSC-klagomål mail.docx", "A 62197-2025")</f>
        <v/>
      </c>
      <c r="X240">
        <f>HYPERLINK("https://klasma.github.io/Logging_2283/tillsyn/A 62197-2025 tillsynsbegäran.docx", "A 62197-2025")</f>
        <v/>
      </c>
      <c r="Y240">
        <f>HYPERLINK("https://klasma.github.io/Logging_2283/tillsynsmail/A 62197-2025 tillsynsbegäran mail.docx", "A 62197-2025")</f>
        <v/>
      </c>
    </row>
    <row r="241" ht="15" customHeight="1">
      <c r="A241" t="inlineStr">
        <is>
          <t>A 55125-2025</t>
        </is>
      </c>
      <c r="B241" s="1" t="n">
        <v>45968.40688657408</v>
      </c>
      <c r="C241" s="1" t="n">
        <v>46048</v>
      </c>
      <c r="D241" t="inlineStr">
        <is>
          <t>VÄSTERNORRLANDS LÄN</t>
        </is>
      </c>
      <c r="E241" t="inlineStr">
        <is>
          <t>SOLLEFTEÅ</t>
        </is>
      </c>
      <c r="F241" t="inlineStr">
        <is>
          <t>SCA</t>
        </is>
      </c>
      <c r="G241" t="n">
        <v>6.1</v>
      </c>
      <c r="H241" t="n">
        <v>2</v>
      </c>
      <c r="I241" t="n">
        <v>0</v>
      </c>
      <c r="J241" t="n">
        <v>3</v>
      </c>
      <c r="K241" t="n">
        <v>0</v>
      </c>
      <c r="L241" t="n">
        <v>0</v>
      </c>
      <c r="M241" t="n">
        <v>0</v>
      </c>
      <c r="N241" t="n">
        <v>0</v>
      </c>
      <c r="O241" t="n">
        <v>3</v>
      </c>
      <c r="P241" t="n">
        <v>0</v>
      </c>
      <c r="Q241" t="n">
        <v>3</v>
      </c>
      <c r="R241" s="2" t="inlineStr">
        <is>
          <t>Harticka
Talltita
Tretåig hackspett</t>
        </is>
      </c>
      <c r="S241">
        <f>HYPERLINK("https://klasma.github.io/Logging_2283/artfynd/A 55125-2025 artfynd.xlsx", "A 55125-2025")</f>
        <v/>
      </c>
      <c r="T241">
        <f>HYPERLINK("https://klasma.github.io/Logging_2283/kartor/A 55125-2025 karta.png", "A 55125-2025")</f>
        <v/>
      </c>
      <c r="V241">
        <f>HYPERLINK("https://klasma.github.io/Logging_2283/klagomål/A 55125-2025 FSC-klagomål.docx", "A 55125-2025")</f>
        <v/>
      </c>
      <c r="W241">
        <f>HYPERLINK("https://klasma.github.io/Logging_2283/klagomålsmail/A 55125-2025 FSC-klagomål mail.docx", "A 55125-2025")</f>
        <v/>
      </c>
      <c r="X241">
        <f>HYPERLINK("https://klasma.github.io/Logging_2283/tillsyn/A 55125-2025 tillsynsbegäran.docx", "A 55125-2025")</f>
        <v/>
      </c>
      <c r="Y241">
        <f>HYPERLINK("https://klasma.github.io/Logging_2283/tillsynsmail/A 55125-2025 tillsynsbegäran mail.docx", "A 55125-2025")</f>
        <v/>
      </c>
      <c r="Z241">
        <f>HYPERLINK("https://klasma.github.io/Logging_2283/fåglar/A 55125-2025 prioriterade fågelarter.docx", "A 55125-2025")</f>
        <v/>
      </c>
    </row>
    <row r="242" ht="15" customHeight="1">
      <c r="A242" t="inlineStr">
        <is>
          <t>A 56783-2025</t>
        </is>
      </c>
      <c r="B242" s="1" t="n">
        <v>45978.40695601852</v>
      </c>
      <c r="C242" s="1" t="n">
        <v>46048</v>
      </c>
      <c r="D242" t="inlineStr">
        <is>
          <t>VÄSTERNORRLANDS LÄN</t>
        </is>
      </c>
      <c r="E242" t="inlineStr">
        <is>
          <t>SOLLEFTEÅ</t>
        </is>
      </c>
      <c r="F242" t="inlineStr">
        <is>
          <t>SCA</t>
        </is>
      </c>
      <c r="G242" t="n">
        <v>2.5</v>
      </c>
      <c r="H242" t="n">
        <v>0</v>
      </c>
      <c r="I242" t="n">
        <v>0</v>
      </c>
      <c r="J242" t="n">
        <v>3</v>
      </c>
      <c r="K242" t="n">
        <v>0</v>
      </c>
      <c r="L242" t="n">
        <v>0</v>
      </c>
      <c r="M242" t="n">
        <v>0</v>
      </c>
      <c r="N242" t="n">
        <v>0</v>
      </c>
      <c r="O242" t="n">
        <v>3</v>
      </c>
      <c r="P242" t="n">
        <v>0</v>
      </c>
      <c r="Q242" t="n">
        <v>3</v>
      </c>
      <c r="R242" s="2" t="inlineStr">
        <is>
          <t>Kolflarnlav
Lunglav
Orange taggsvamp</t>
        </is>
      </c>
      <c r="S242">
        <f>HYPERLINK("https://klasma.github.io/Logging_2283/artfynd/A 56783-2025 artfynd.xlsx", "A 56783-2025")</f>
        <v/>
      </c>
      <c r="T242">
        <f>HYPERLINK("https://klasma.github.io/Logging_2283/kartor/A 56783-2025 karta.png", "A 56783-2025")</f>
        <v/>
      </c>
      <c r="V242">
        <f>HYPERLINK("https://klasma.github.io/Logging_2283/klagomål/A 56783-2025 FSC-klagomål.docx", "A 56783-2025")</f>
        <v/>
      </c>
      <c r="W242">
        <f>HYPERLINK("https://klasma.github.io/Logging_2283/klagomålsmail/A 56783-2025 FSC-klagomål mail.docx", "A 56783-2025")</f>
        <v/>
      </c>
      <c r="X242">
        <f>HYPERLINK("https://klasma.github.io/Logging_2283/tillsyn/A 56783-2025 tillsynsbegäran.docx", "A 56783-2025")</f>
        <v/>
      </c>
      <c r="Y242">
        <f>HYPERLINK("https://klasma.github.io/Logging_2283/tillsynsmail/A 56783-2025 tillsynsbegäran mail.docx", "A 56783-2025")</f>
        <v/>
      </c>
    </row>
    <row r="243" ht="15" customHeight="1">
      <c r="A243" t="inlineStr">
        <is>
          <t>A 751-2026</t>
        </is>
      </c>
      <c r="B243" s="1" t="n">
        <v>46029.67748842593</v>
      </c>
      <c r="C243" s="1" t="n">
        <v>46048</v>
      </c>
      <c r="D243" t="inlineStr">
        <is>
          <t>VÄSTERNORRLANDS LÄN</t>
        </is>
      </c>
      <c r="E243" t="inlineStr">
        <is>
          <t>SOLLEFTEÅ</t>
        </is>
      </c>
      <c r="G243" t="n">
        <v>15.6</v>
      </c>
      <c r="H243" t="n">
        <v>1</v>
      </c>
      <c r="I243" t="n">
        <v>1</v>
      </c>
      <c r="J243" t="n">
        <v>2</v>
      </c>
      <c r="K243" t="n">
        <v>0</v>
      </c>
      <c r="L243" t="n">
        <v>0</v>
      </c>
      <c r="M243" t="n">
        <v>0</v>
      </c>
      <c r="N243" t="n">
        <v>0</v>
      </c>
      <c r="O243" t="n">
        <v>2</v>
      </c>
      <c r="P243" t="n">
        <v>0</v>
      </c>
      <c r="Q243" t="n">
        <v>3</v>
      </c>
      <c r="R243" s="2" t="inlineStr">
        <is>
          <t>Lunglav
Tretåig hackspett
Stuplav</t>
        </is>
      </c>
      <c r="S243">
        <f>HYPERLINK("https://klasma.github.io/Logging_2283/artfynd/A 751-2026 artfynd.xlsx", "A 751-2026")</f>
        <v/>
      </c>
      <c r="T243">
        <f>HYPERLINK("https://klasma.github.io/Logging_2283/kartor/A 751-2026 karta.png", "A 751-2026")</f>
        <v/>
      </c>
      <c r="V243">
        <f>HYPERLINK("https://klasma.github.io/Logging_2283/klagomål/A 751-2026 FSC-klagomål.docx", "A 751-2026")</f>
        <v/>
      </c>
      <c r="W243">
        <f>HYPERLINK("https://klasma.github.io/Logging_2283/klagomålsmail/A 751-2026 FSC-klagomål mail.docx", "A 751-2026")</f>
        <v/>
      </c>
      <c r="X243">
        <f>HYPERLINK("https://klasma.github.io/Logging_2283/tillsyn/A 751-2026 tillsynsbegäran.docx", "A 751-2026")</f>
        <v/>
      </c>
      <c r="Y243">
        <f>HYPERLINK("https://klasma.github.io/Logging_2283/tillsynsmail/A 751-2026 tillsynsbegäran mail.docx", "A 751-2026")</f>
        <v/>
      </c>
      <c r="Z243">
        <f>HYPERLINK("https://klasma.github.io/Logging_2283/fåglar/A 751-2026 prioriterade fågelarter.docx", "A 751-2026")</f>
        <v/>
      </c>
    </row>
    <row r="244" ht="15" customHeight="1">
      <c r="A244" t="inlineStr">
        <is>
          <t>A 61676-2025</t>
        </is>
      </c>
      <c r="B244" s="1" t="n">
        <v>46002</v>
      </c>
      <c r="C244" s="1" t="n">
        <v>46048</v>
      </c>
      <c r="D244" t="inlineStr">
        <is>
          <t>VÄSTERNORRLANDS LÄN</t>
        </is>
      </c>
      <c r="E244" t="inlineStr">
        <is>
          <t>SOLLEFTEÅ</t>
        </is>
      </c>
      <c r="G244" t="n">
        <v>2.9</v>
      </c>
      <c r="H244" t="n">
        <v>1</v>
      </c>
      <c r="I244" t="n">
        <v>0</v>
      </c>
      <c r="J244" t="n">
        <v>3</v>
      </c>
      <c r="K244" t="n">
        <v>0</v>
      </c>
      <c r="L244" t="n">
        <v>0</v>
      </c>
      <c r="M244" t="n">
        <v>0</v>
      </c>
      <c r="N244" t="n">
        <v>0</v>
      </c>
      <c r="O244" t="n">
        <v>3</v>
      </c>
      <c r="P244" t="n">
        <v>0</v>
      </c>
      <c r="Q244" t="n">
        <v>3</v>
      </c>
      <c r="R244" s="2" t="inlineStr">
        <is>
          <t>Garnlav
Mörk kolflarnlav
Tretåig hackspett</t>
        </is>
      </c>
      <c r="S244">
        <f>HYPERLINK("https://klasma.github.io/Logging_2283/artfynd/A 61676-2025 artfynd.xlsx", "A 61676-2025")</f>
        <v/>
      </c>
      <c r="T244">
        <f>HYPERLINK("https://klasma.github.io/Logging_2283/kartor/A 61676-2025 karta.png", "A 61676-2025")</f>
        <v/>
      </c>
      <c r="V244">
        <f>HYPERLINK("https://klasma.github.io/Logging_2283/klagomål/A 61676-2025 FSC-klagomål.docx", "A 61676-2025")</f>
        <v/>
      </c>
      <c r="W244">
        <f>HYPERLINK("https://klasma.github.io/Logging_2283/klagomålsmail/A 61676-2025 FSC-klagomål mail.docx", "A 61676-2025")</f>
        <v/>
      </c>
      <c r="X244">
        <f>HYPERLINK("https://klasma.github.io/Logging_2283/tillsyn/A 61676-2025 tillsynsbegäran.docx", "A 61676-2025")</f>
        <v/>
      </c>
      <c r="Y244">
        <f>HYPERLINK("https://klasma.github.io/Logging_2283/tillsynsmail/A 61676-2025 tillsynsbegäran mail.docx", "A 61676-2025")</f>
        <v/>
      </c>
      <c r="Z244">
        <f>HYPERLINK("https://klasma.github.io/Logging_2283/fåglar/A 61676-2025 prioriterade fågelarter.docx", "A 61676-2025")</f>
        <v/>
      </c>
    </row>
    <row r="245" ht="15" customHeight="1">
      <c r="A245" t="inlineStr">
        <is>
          <t>A 3808-2026</t>
        </is>
      </c>
      <c r="B245" s="1" t="n">
        <v>46043.58349537037</v>
      </c>
      <c r="C245" s="1" t="n">
        <v>46048</v>
      </c>
      <c r="D245" t="inlineStr">
        <is>
          <t>VÄSTERNORRLANDS LÄN</t>
        </is>
      </c>
      <c r="E245" t="inlineStr">
        <is>
          <t>SOLLEFTEÅ</t>
        </is>
      </c>
      <c r="F245" t="inlineStr">
        <is>
          <t>SCA</t>
        </is>
      </c>
      <c r="G245" t="n">
        <v>1.6</v>
      </c>
      <c r="H245" t="n">
        <v>0</v>
      </c>
      <c r="I245" t="n">
        <v>0</v>
      </c>
      <c r="J245" t="n">
        <v>3</v>
      </c>
      <c r="K245" t="n">
        <v>0</v>
      </c>
      <c r="L245" t="n">
        <v>0</v>
      </c>
      <c r="M245" t="n">
        <v>0</v>
      </c>
      <c r="N245" t="n">
        <v>0</v>
      </c>
      <c r="O245" t="n">
        <v>3</v>
      </c>
      <c r="P245" t="n">
        <v>0</v>
      </c>
      <c r="Q245" t="n">
        <v>3</v>
      </c>
      <c r="R245" s="2" t="inlineStr">
        <is>
          <t>Dvärgbägarlav
Garnlav
Vedflamlav</t>
        </is>
      </c>
      <c r="S245">
        <f>HYPERLINK("https://klasma.github.io/Logging_2283/artfynd/A 3808-2026 artfynd.xlsx", "A 3808-2026")</f>
        <v/>
      </c>
      <c r="T245">
        <f>HYPERLINK("https://klasma.github.io/Logging_2283/kartor/A 3808-2026 karta.png", "A 3808-2026")</f>
        <v/>
      </c>
      <c r="V245">
        <f>HYPERLINK("https://klasma.github.io/Logging_2283/klagomål/A 3808-2026 FSC-klagomål.docx", "A 3808-2026")</f>
        <v/>
      </c>
      <c r="W245">
        <f>HYPERLINK("https://klasma.github.io/Logging_2283/klagomålsmail/A 3808-2026 FSC-klagomål mail.docx", "A 3808-2026")</f>
        <v/>
      </c>
      <c r="X245">
        <f>HYPERLINK("https://klasma.github.io/Logging_2283/tillsyn/A 3808-2026 tillsynsbegäran.docx", "A 3808-2026")</f>
        <v/>
      </c>
      <c r="Y245">
        <f>HYPERLINK("https://klasma.github.io/Logging_2283/tillsynsmail/A 3808-2026 tillsynsbegäran mail.docx", "A 3808-2026")</f>
        <v/>
      </c>
    </row>
    <row r="246" ht="15" customHeight="1">
      <c r="A246" t="inlineStr">
        <is>
          <t>A 3222-2026</t>
        </is>
      </c>
      <c r="B246" s="1" t="n">
        <v>46041</v>
      </c>
      <c r="C246" s="1" t="n">
        <v>46048</v>
      </c>
      <c r="D246" t="inlineStr">
        <is>
          <t>VÄSTERNORRLANDS LÄN</t>
        </is>
      </c>
      <c r="E246" t="inlineStr">
        <is>
          <t>SOLLEFTEÅ</t>
        </is>
      </c>
      <c r="F246" t="inlineStr">
        <is>
          <t>SCA</t>
        </is>
      </c>
      <c r="G246" t="n">
        <v>11.7</v>
      </c>
      <c r="H246" t="n">
        <v>2</v>
      </c>
      <c r="I246" t="n">
        <v>1</v>
      </c>
      <c r="J246" t="n">
        <v>2</v>
      </c>
      <c r="K246" t="n">
        <v>0</v>
      </c>
      <c r="L246" t="n">
        <v>0</v>
      </c>
      <c r="M246" t="n">
        <v>0</v>
      </c>
      <c r="N246" t="n">
        <v>0</v>
      </c>
      <c r="O246" t="n">
        <v>2</v>
      </c>
      <c r="P246" t="n">
        <v>0</v>
      </c>
      <c r="Q246" t="n">
        <v>3</v>
      </c>
      <c r="R246" s="2" t="inlineStr">
        <is>
          <t>Granticka
Tretåig hackspett
Lappranunkel</t>
        </is>
      </c>
      <c r="S246">
        <f>HYPERLINK("https://klasma.github.io/Logging_2283/artfynd/A 3222-2026 artfynd.xlsx", "A 3222-2026")</f>
        <v/>
      </c>
      <c r="T246">
        <f>HYPERLINK("https://klasma.github.io/Logging_2283/kartor/A 3222-2026 karta.png", "A 3222-2026")</f>
        <v/>
      </c>
      <c r="V246">
        <f>HYPERLINK("https://klasma.github.io/Logging_2283/klagomål/A 3222-2026 FSC-klagomål.docx", "A 3222-2026")</f>
        <v/>
      </c>
      <c r="W246">
        <f>HYPERLINK("https://klasma.github.io/Logging_2283/klagomålsmail/A 3222-2026 FSC-klagomål mail.docx", "A 3222-2026")</f>
        <v/>
      </c>
      <c r="X246">
        <f>HYPERLINK("https://klasma.github.io/Logging_2283/tillsyn/A 3222-2026 tillsynsbegäran.docx", "A 3222-2026")</f>
        <v/>
      </c>
      <c r="Y246">
        <f>HYPERLINK("https://klasma.github.io/Logging_2283/tillsynsmail/A 3222-2026 tillsynsbegäran mail.docx", "A 3222-2026")</f>
        <v/>
      </c>
      <c r="Z246">
        <f>HYPERLINK("https://klasma.github.io/Logging_2283/fåglar/A 3222-2026 prioriterade fågelarter.docx", "A 3222-2026")</f>
        <v/>
      </c>
    </row>
    <row r="247" ht="15" customHeight="1">
      <c r="A247" t="inlineStr">
        <is>
          <t>A 61670-2025</t>
        </is>
      </c>
      <c r="B247" s="1" t="n">
        <v>46002.47004629629</v>
      </c>
      <c r="C247" s="1" t="n">
        <v>46048</v>
      </c>
      <c r="D247" t="inlineStr">
        <is>
          <t>VÄSTERNORRLANDS LÄN</t>
        </is>
      </c>
      <c r="E247" t="inlineStr">
        <is>
          <t>SOLLEFTEÅ</t>
        </is>
      </c>
      <c r="G247" t="n">
        <v>4.5</v>
      </c>
      <c r="H247" t="n">
        <v>0</v>
      </c>
      <c r="I247" t="n">
        <v>1</v>
      </c>
      <c r="J247" t="n">
        <v>2</v>
      </c>
      <c r="K247" t="n">
        <v>0</v>
      </c>
      <c r="L247" t="n">
        <v>0</v>
      </c>
      <c r="M247" t="n">
        <v>0</v>
      </c>
      <c r="N247" t="n">
        <v>0</v>
      </c>
      <c r="O247" t="n">
        <v>2</v>
      </c>
      <c r="P247" t="n">
        <v>0</v>
      </c>
      <c r="Q247" t="n">
        <v>3</v>
      </c>
      <c r="R247" s="2" t="inlineStr">
        <is>
          <t>Garnlav
Rosenticka
Vedticka</t>
        </is>
      </c>
      <c r="S247">
        <f>HYPERLINK("https://klasma.github.io/Logging_2283/artfynd/A 61670-2025 artfynd.xlsx", "A 61670-2025")</f>
        <v/>
      </c>
      <c r="T247">
        <f>HYPERLINK("https://klasma.github.io/Logging_2283/kartor/A 61670-2025 karta.png", "A 61670-2025")</f>
        <v/>
      </c>
      <c r="V247">
        <f>HYPERLINK("https://klasma.github.io/Logging_2283/klagomål/A 61670-2025 FSC-klagomål.docx", "A 61670-2025")</f>
        <v/>
      </c>
      <c r="W247">
        <f>HYPERLINK("https://klasma.github.io/Logging_2283/klagomålsmail/A 61670-2025 FSC-klagomål mail.docx", "A 61670-2025")</f>
        <v/>
      </c>
      <c r="X247">
        <f>HYPERLINK("https://klasma.github.io/Logging_2283/tillsyn/A 61670-2025 tillsynsbegäran.docx", "A 61670-2025")</f>
        <v/>
      </c>
      <c r="Y247">
        <f>HYPERLINK("https://klasma.github.io/Logging_2283/tillsynsmail/A 61670-2025 tillsynsbegäran mail.docx", "A 61670-2025")</f>
        <v/>
      </c>
    </row>
    <row r="248" ht="15" customHeight="1">
      <c r="A248" t="inlineStr">
        <is>
          <t>A 13059-2022</t>
        </is>
      </c>
      <c r="B248" s="1" t="n">
        <v>44643</v>
      </c>
      <c r="C248" s="1" t="n">
        <v>46048</v>
      </c>
      <c r="D248" t="inlineStr">
        <is>
          <t>VÄSTERNORRLANDS LÄN</t>
        </is>
      </c>
      <c r="E248" t="inlineStr">
        <is>
          <t>SOLLEFTEÅ</t>
        </is>
      </c>
      <c r="G248" t="n">
        <v>9.9</v>
      </c>
      <c r="H248" t="n">
        <v>0</v>
      </c>
      <c r="I248" t="n">
        <v>0</v>
      </c>
      <c r="J248" t="n">
        <v>2</v>
      </c>
      <c r="K248" t="n">
        <v>0</v>
      </c>
      <c r="L248" t="n">
        <v>0</v>
      </c>
      <c r="M248" t="n">
        <v>0</v>
      </c>
      <c r="N248" t="n">
        <v>0</v>
      </c>
      <c r="O248" t="n">
        <v>2</v>
      </c>
      <c r="P248" t="n">
        <v>0</v>
      </c>
      <c r="Q248" t="n">
        <v>2</v>
      </c>
      <c r="R248" s="2" t="inlineStr">
        <is>
          <t>Garnlav
Ullticka</t>
        </is>
      </c>
      <c r="S248">
        <f>HYPERLINK("https://klasma.github.io/Logging_2283/artfynd/A 13059-2022 artfynd.xlsx", "A 13059-2022")</f>
        <v/>
      </c>
      <c r="T248">
        <f>HYPERLINK("https://klasma.github.io/Logging_2283/kartor/A 13059-2022 karta.png", "A 13059-2022")</f>
        <v/>
      </c>
      <c r="V248">
        <f>HYPERLINK("https://klasma.github.io/Logging_2283/klagomål/A 13059-2022 FSC-klagomål.docx", "A 13059-2022")</f>
        <v/>
      </c>
      <c r="W248">
        <f>HYPERLINK("https://klasma.github.io/Logging_2283/klagomålsmail/A 13059-2022 FSC-klagomål mail.docx", "A 13059-2022")</f>
        <v/>
      </c>
      <c r="X248">
        <f>HYPERLINK("https://klasma.github.io/Logging_2283/tillsyn/A 13059-2022 tillsynsbegäran.docx", "A 13059-2022")</f>
        <v/>
      </c>
      <c r="Y248">
        <f>HYPERLINK("https://klasma.github.io/Logging_2283/tillsynsmail/A 13059-2022 tillsynsbegäran mail.docx", "A 13059-2022")</f>
        <v/>
      </c>
    </row>
    <row r="249" ht="15" customHeight="1">
      <c r="A249" t="inlineStr">
        <is>
          <t>A 9583-2022</t>
        </is>
      </c>
      <c r="B249" s="1" t="n">
        <v>44617</v>
      </c>
      <c r="C249" s="1" t="n">
        <v>46048</v>
      </c>
      <c r="D249" t="inlineStr">
        <is>
          <t>VÄSTERNORRLANDS LÄN</t>
        </is>
      </c>
      <c r="E249" t="inlineStr">
        <is>
          <t>SOLLEFTEÅ</t>
        </is>
      </c>
      <c r="F249" t="inlineStr">
        <is>
          <t>Övriga Aktiebolag</t>
        </is>
      </c>
      <c r="G249" t="n">
        <v>2.3</v>
      </c>
      <c r="H249" t="n">
        <v>0</v>
      </c>
      <c r="I249" t="n">
        <v>0</v>
      </c>
      <c r="J249" t="n">
        <v>2</v>
      </c>
      <c r="K249" t="n">
        <v>0</v>
      </c>
      <c r="L249" t="n">
        <v>0</v>
      </c>
      <c r="M249" t="n">
        <v>0</v>
      </c>
      <c r="N249" t="n">
        <v>0</v>
      </c>
      <c r="O249" t="n">
        <v>2</v>
      </c>
      <c r="P249" t="n">
        <v>0</v>
      </c>
      <c r="Q249" t="n">
        <v>2</v>
      </c>
      <c r="R249" s="2" t="inlineStr">
        <is>
          <t>Garnlav
Lunglav</t>
        </is>
      </c>
      <c r="S249">
        <f>HYPERLINK("https://klasma.github.io/Logging_2283/artfynd/A 9583-2022 artfynd.xlsx", "A 9583-2022")</f>
        <v/>
      </c>
      <c r="T249">
        <f>HYPERLINK("https://klasma.github.io/Logging_2283/kartor/A 9583-2022 karta.png", "A 9583-2022")</f>
        <v/>
      </c>
      <c r="V249">
        <f>HYPERLINK("https://klasma.github.io/Logging_2283/klagomål/A 9583-2022 FSC-klagomål.docx", "A 9583-2022")</f>
        <v/>
      </c>
      <c r="W249">
        <f>HYPERLINK("https://klasma.github.io/Logging_2283/klagomålsmail/A 9583-2022 FSC-klagomål mail.docx", "A 9583-2022")</f>
        <v/>
      </c>
      <c r="X249">
        <f>HYPERLINK("https://klasma.github.io/Logging_2283/tillsyn/A 9583-2022 tillsynsbegäran.docx", "A 9583-2022")</f>
        <v/>
      </c>
      <c r="Y249">
        <f>HYPERLINK("https://klasma.github.io/Logging_2283/tillsynsmail/A 9583-2022 tillsynsbegäran mail.docx", "A 9583-2022")</f>
        <v/>
      </c>
    </row>
    <row r="250" ht="15" customHeight="1">
      <c r="A250" t="inlineStr">
        <is>
          <t>A 45213-2021</t>
        </is>
      </c>
      <c r="B250" s="1" t="n">
        <v>44431</v>
      </c>
      <c r="C250" s="1" t="n">
        <v>46048</v>
      </c>
      <c r="D250" t="inlineStr">
        <is>
          <t>VÄSTERNORRLANDS LÄN</t>
        </is>
      </c>
      <c r="E250" t="inlineStr">
        <is>
          <t>SOLLEFTEÅ</t>
        </is>
      </c>
      <c r="F250" t="inlineStr">
        <is>
          <t>SCA</t>
        </is>
      </c>
      <c r="G250" t="n">
        <v>2.3</v>
      </c>
      <c r="H250" t="n">
        <v>0</v>
      </c>
      <c r="I250" t="n">
        <v>0</v>
      </c>
      <c r="J250" t="n">
        <v>2</v>
      </c>
      <c r="K250" t="n">
        <v>0</v>
      </c>
      <c r="L250" t="n">
        <v>0</v>
      </c>
      <c r="M250" t="n">
        <v>0</v>
      </c>
      <c r="N250" t="n">
        <v>0</v>
      </c>
      <c r="O250" t="n">
        <v>2</v>
      </c>
      <c r="P250" t="n">
        <v>0</v>
      </c>
      <c r="Q250" t="n">
        <v>2</v>
      </c>
      <c r="R250" s="2" t="inlineStr">
        <is>
          <t>Garnlav
Granticka</t>
        </is>
      </c>
      <c r="S250">
        <f>HYPERLINK("https://klasma.github.io/Logging_2283/artfynd/A 45213-2021 artfynd.xlsx", "A 45213-2021")</f>
        <v/>
      </c>
      <c r="T250">
        <f>HYPERLINK("https://klasma.github.io/Logging_2283/kartor/A 45213-2021 karta.png", "A 45213-2021")</f>
        <v/>
      </c>
      <c r="V250">
        <f>HYPERLINK("https://klasma.github.io/Logging_2283/klagomål/A 45213-2021 FSC-klagomål.docx", "A 45213-2021")</f>
        <v/>
      </c>
      <c r="W250">
        <f>HYPERLINK("https://klasma.github.io/Logging_2283/klagomålsmail/A 45213-2021 FSC-klagomål mail.docx", "A 45213-2021")</f>
        <v/>
      </c>
      <c r="X250">
        <f>HYPERLINK("https://klasma.github.io/Logging_2283/tillsyn/A 45213-2021 tillsynsbegäran.docx", "A 45213-2021")</f>
        <v/>
      </c>
      <c r="Y250">
        <f>HYPERLINK("https://klasma.github.io/Logging_2283/tillsynsmail/A 45213-2021 tillsynsbegäran mail.docx", "A 45213-2021")</f>
        <v/>
      </c>
    </row>
    <row r="251" ht="15" customHeight="1">
      <c r="A251" t="inlineStr">
        <is>
          <t>A 24321-2022</t>
        </is>
      </c>
      <c r="B251" s="1" t="n">
        <v>44725</v>
      </c>
      <c r="C251" s="1" t="n">
        <v>46048</v>
      </c>
      <c r="D251" t="inlineStr">
        <is>
          <t>VÄSTERNORRLANDS LÄN</t>
        </is>
      </c>
      <c r="E251" t="inlineStr">
        <is>
          <t>SOLLEFTEÅ</t>
        </is>
      </c>
      <c r="F251" t="inlineStr">
        <is>
          <t>SCA</t>
        </is>
      </c>
      <c r="G251" t="n">
        <v>1.1</v>
      </c>
      <c r="H251" t="n">
        <v>1</v>
      </c>
      <c r="I251" t="n">
        <v>0</v>
      </c>
      <c r="J251" t="n">
        <v>1</v>
      </c>
      <c r="K251" t="n">
        <v>1</v>
      </c>
      <c r="L251" t="n">
        <v>0</v>
      </c>
      <c r="M251" t="n">
        <v>0</v>
      </c>
      <c r="N251" t="n">
        <v>0</v>
      </c>
      <c r="O251" t="n">
        <v>2</v>
      </c>
      <c r="P251" t="n">
        <v>1</v>
      </c>
      <c r="Q251" t="n">
        <v>2</v>
      </c>
      <c r="R251" s="2" t="inlineStr">
        <is>
          <t>Knärot
Garnlav</t>
        </is>
      </c>
      <c r="S251">
        <f>HYPERLINK("https://klasma.github.io/Logging_2283/artfynd/A 24321-2022 artfynd.xlsx", "A 24321-2022")</f>
        <v/>
      </c>
      <c r="T251">
        <f>HYPERLINK("https://klasma.github.io/Logging_2283/kartor/A 24321-2022 karta.png", "A 24321-2022")</f>
        <v/>
      </c>
      <c r="U251">
        <f>HYPERLINK("https://klasma.github.io/Logging_2283/knärot/A 24321-2022 karta knärot.png", "A 24321-2022")</f>
        <v/>
      </c>
      <c r="V251">
        <f>HYPERLINK("https://klasma.github.io/Logging_2283/klagomål/A 24321-2022 FSC-klagomål.docx", "A 24321-2022")</f>
        <v/>
      </c>
      <c r="W251">
        <f>HYPERLINK("https://klasma.github.io/Logging_2283/klagomålsmail/A 24321-2022 FSC-klagomål mail.docx", "A 24321-2022")</f>
        <v/>
      </c>
      <c r="X251">
        <f>HYPERLINK("https://klasma.github.io/Logging_2283/tillsyn/A 24321-2022 tillsynsbegäran.docx", "A 24321-2022")</f>
        <v/>
      </c>
      <c r="Y251">
        <f>HYPERLINK("https://klasma.github.io/Logging_2283/tillsynsmail/A 24321-2022 tillsynsbegäran mail.docx", "A 24321-2022")</f>
        <v/>
      </c>
    </row>
    <row r="252" ht="15" customHeight="1">
      <c r="A252" t="inlineStr">
        <is>
          <t>A 18019-2022</t>
        </is>
      </c>
      <c r="B252" s="1" t="n">
        <v>44683.94377314814</v>
      </c>
      <c r="C252" s="1" t="n">
        <v>46048</v>
      </c>
      <c r="D252" t="inlineStr">
        <is>
          <t>VÄSTERNORRLANDS LÄN</t>
        </is>
      </c>
      <c r="E252" t="inlineStr">
        <is>
          <t>SOLLEFTEÅ</t>
        </is>
      </c>
      <c r="F252" t="inlineStr">
        <is>
          <t>SCA</t>
        </is>
      </c>
      <c r="G252" t="n">
        <v>2.6</v>
      </c>
      <c r="H252" t="n">
        <v>0</v>
      </c>
      <c r="I252" t="n">
        <v>0</v>
      </c>
      <c r="J252" t="n">
        <v>2</v>
      </c>
      <c r="K252" t="n">
        <v>0</v>
      </c>
      <c r="L252" t="n">
        <v>0</v>
      </c>
      <c r="M252" t="n">
        <v>0</v>
      </c>
      <c r="N252" t="n">
        <v>0</v>
      </c>
      <c r="O252" t="n">
        <v>2</v>
      </c>
      <c r="P252" t="n">
        <v>0</v>
      </c>
      <c r="Q252" t="n">
        <v>2</v>
      </c>
      <c r="R252" s="2" t="inlineStr">
        <is>
          <t>Gammelgransskål
Ullticka</t>
        </is>
      </c>
      <c r="S252">
        <f>HYPERLINK("https://klasma.github.io/Logging_2283/artfynd/A 18019-2022 artfynd.xlsx", "A 18019-2022")</f>
        <v/>
      </c>
      <c r="T252">
        <f>HYPERLINK("https://klasma.github.io/Logging_2283/kartor/A 18019-2022 karta.png", "A 18019-2022")</f>
        <v/>
      </c>
      <c r="V252">
        <f>HYPERLINK("https://klasma.github.io/Logging_2283/klagomål/A 18019-2022 FSC-klagomål.docx", "A 18019-2022")</f>
        <v/>
      </c>
      <c r="W252">
        <f>HYPERLINK("https://klasma.github.io/Logging_2283/klagomålsmail/A 18019-2022 FSC-klagomål mail.docx", "A 18019-2022")</f>
        <v/>
      </c>
      <c r="X252">
        <f>HYPERLINK("https://klasma.github.io/Logging_2283/tillsyn/A 18019-2022 tillsynsbegäran.docx", "A 18019-2022")</f>
        <v/>
      </c>
      <c r="Y252">
        <f>HYPERLINK("https://klasma.github.io/Logging_2283/tillsynsmail/A 18019-2022 tillsynsbegäran mail.docx", "A 18019-2022")</f>
        <v/>
      </c>
    </row>
    <row r="253" ht="15" customHeight="1">
      <c r="A253" t="inlineStr">
        <is>
          <t>A 65419-2021</t>
        </is>
      </c>
      <c r="B253" s="1" t="n">
        <v>44515</v>
      </c>
      <c r="C253" s="1" t="n">
        <v>46048</v>
      </c>
      <c r="D253" t="inlineStr">
        <is>
          <t>VÄSTERNORRLANDS LÄN</t>
        </is>
      </c>
      <c r="E253" t="inlineStr">
        <is>
          <t>SOLLEFTEÅ</t>
        </is>
      </c>
      <c r="F253" t="inlineStr">
        <is>
          <t>SCA</t>
        </is>
      </c>
      <c r="G253" t="n">
        <v>2.3</v>
      </c>
      <c r="H253" t="n">
        <v>0</v>
      </c>
      <c r="I253" t="n">
        <v>0</v>
      </c>
      <c r="J253" t="n">
        <v>2</v>
      </c>
      <c r="K253" t="n">
        <v>0</v>
      </c>
      <c r="L253" t="n">
        <v>0</v>
      </c>
      <c r="M253" t="n">
        <v>0</v>
      </c>
      <c r="N253" t="n">
        <v>0</v>
      </c>
      <c r="O253" t="n">
        <v>2</v>
      </c>
      <c r="P253" t="n">
        <v>0</v>
      </c>
      <c r="Q253" t="n">
        <v>2</v>
      </c>
      <c r="R253" s="2" t="inlineStr">
        <is>
          <t>Garnlav
Granticka</t>
        </is>
      </c>
      <c r="S253">
        <f>HYPERLINK("https://klasma.github.io/Logging_2283/artfynd/A 65419-2021 artfynd.xlsx", "A 65419-2021")</f>
        <v/>
      </c>
      <c r="T253">
        <f>HYPERLINK("https://klasma.github.io/Logging_2283/kartor/A 65419-2021 karta.png", "A 65419-2021")</f>
        <v/>
      </c>
      <c r="V253">
        <f>HYPERLINK("https://klasma.github.io/Logging_2283/klagomål/A 65419-2021 FSC-klagomål.docx", "A 65419-2021")</f>
        <v/>
      </c>
      <c r="W253">
        <f>HYPERLINK("https://klasma.github.io/Logging_2283/klagomålsmail/A 65419-2021 FSC-klagomål mail.docx", "A 65419-2021")</f>
        <v/>
      </c>
      <c r="X253">
        <f>HYPERLINK("https://klasma.github.io/Logging_2283/tillsyn/A 65419-2021 tillsynsbegäran.docx", "A 65419-2021")</f>
        <v/>
      </c>
      <c r="Y253">
        <f>HYPERLINK("https://klasma.github.io/Logging_2283/tillsynsmail/A 65419-2021 tillsynsbegäran mail.docx", "A 65419-2021")</f>
        <v/>
      </c>
    </row>
    <row r="254" ht="15" customHeight="1">
      <c r="A254" t="inlineStr">
        <is>
          <t>A 33087-2022</t>
        </is>
      </c>
      <c r="B254" s="1" t="n">
        <v>44785</v>
      </c>
      <c r="C254" s="1" t="n">
        <v>46048</v>
      </c>
      <c r="D254" t="inlineStr">
        <is>
          <t>VÄSTERNORRLANDS LÄN</t>
        </is>
      </c>
      <c r="E254" t="inlineStr">
        <is>
          <t>SOLLEFTEÅ</t>
        </is>
      </c>
      <c r="G254" t="n">
        <v>0.5</v>
      </c>
      <c r="H254" t="n">
        <v>0</v>
      </c>
      <c r="I254" t="n">
        <v>0</v>
      </c>
      <c r="J254" t="n">
        <v>2</v>
      </c>
      <c r="K254" t="n">
        <v>0</v>
      </c>
      <c r="L254" t="n">
        <v>0</v>
      </c>
      <c r="M254" t="n">
        <v>0</v>
      </c>
      <c r="N254" t="n">
        <v>0</v>
      </c>
      <c r="O254" t="n">
        <v>2</v>
      </c>
      <c r="P254" t="n">
        <v>0</v>
      </c>
      <c r="Q254" t="n">
        <v>2</v>
      </c>
      <c r="R254" s="2" t="inlineStr">
        <is>
          <t>Garnlav
Lunglav</t>
        </is>
      </c>
      <c r="S254">
        <f>HYPERLINK("https://klasma.github.io/Logging_2283/artfynd/A 33087-2022 artfynd.xlsx", "A 33087-2022")</f>
        <v/>
      </c>
      <c r="T254">
        <f>HYPERLINK("https://klasma.github.io/Logging_2283/kartor/A 33087-2022 karta.png", "A 33087-2022")</f>
        <v/>
      </c>
      <c r="V254">
        <f>HYPERLINK("https://klasma.github.io/Logging_2283/klagomål/A 33087-2022 FSC-klagomål.docx", "A 33087-2022")</f>
        <v/>
      </c>
      <c r="W254">
        <f>HYPERLINK("https://klasma.github.io/Logging_2283/klagomålsmail/A 33087-2022 FSC-klagomål mail.docx", "A 33087-2022")</f>
        <v/>
      </c>
      <c r="X254">
        <f>HYPERLINK("https://klasma.github.io/Logging_2283/tillsyn/A 33087-2022 tillsynsbegäran.docx", "A 33087-2022")</f>
        <v/>
      </c>
      <c r="Y254">
        <f>HYPERLINK("https://klasma.github.io/Logging_2283/tillsynsmail/A 33087-2022 tillsynsbegäran mail.docx", "A 33087-2022")</f>
        <v/>
      </c>
    </row>
    <row r="255" ht="15" customHeight="1">
      <c r="A255" t="inlineStr">
        <is>
          <t>A 68863-2021</t>
        </is>
      </c>
      <c r="B255" s="1" t="n">
        <v>44530</v>
      </c>
      <c r="C255" s="1" t="n">
        <v>46048</v>
      </c>
      <c r="D255" t="inlineStr">
        <is>
          <t>VÄSTERNORRLANDS LÄN</t>
        </is>
      </c>
      <c r="E255" t="inlineStr">
        <is>
          <t>SOLLEFTEÅ</t>
        </is>
      </c>
      <c r="F255" t="inlineStr">
        <is>
          <t>Holmen skog AB</t>
        </is>
      </c>
      <c r="G255" t="n">
        <v>16.8</v>
      </c>
      <c r="H255" t="n">
        <v>2</v>
      </c>
      <c r="I255" t="n">
        <v>0</v>
      </c>
      <c r="J255" t="n">
        <v>1</v>
      </c>
      <c r="K255" t="n">
        <v>0</v>
      </c>
      <c r="L255" t="n">
        <v>0</v>
      </c>
      <c r="M255" t="n">
        <v>0</v>
      </c>
      <c r="N255" t="n">
        <v>0</v>
      </c>
      <c r="O255" t="n">
        <v>1</v>
      </c>
      <c r="P255" t="n">
        <v>0</v>
      </c>
      <c r="Q255" t="n">
        <v>2</v>
      </c>
      <c r="R255" s="2" t="inlineStr">
        <is>
          <t>Tretåig hackspett
Lavskrika</t>
        </is>
      </c>
      <c r="S255">
        <f>HYPERLINK("https://klasma.github.io/Logging_2283/artfynd/A 68863-2021 artfynd.xlsx", "A 68863-2021")</f>
        <v/>
      </c>
      <c r="T255">
        <f>HYPERLINK("https://klasma.github.io/Logging_2283/kartor/A 68863-2021 karta.png", "A 68863-2021")</f>
        <v/>
      </c>
      <c r="V255">
        <f>HYPERLINK("https://klasma.github.io/Logging_2283/klagomål/A 68863-2021 FSC-klagomål.docx", "A 68863-2021")</f>
        <v/>
      </c>
      <c r="W255">
        <f>HYPERLINK("https://klasma.github.io/Logging_2283/klagomålsmail/A 68863-2021 FSC-klagomål mail.docx", "A 68863-2021")</f>
        <v/>
      </c>
      <c r="X255">
        <f>HYPERLINK("https://klasma.github.io/Logging_2283/tillsyn/A 68863-2021 tillsynsbegäran.docx", "A 68863-2021")</f>
        <v/>
      </c>
      <c r="Y255">
        <f>HYPERLINK("https://klasma.github.io/Logging_2283/tillsynsmail/A 68863-2021 tillsynsbegäran mail.docx", "A 68863-2021")</f>
        <v/>
      </c>
      <c r="Z255">
        <f>HYPERLINK("https://klasma.github.io/Logging_2283/fåglar/A 68863-2021 prioriterade fågelarter.docx", "A 68863-2021")</f>
        <v/>
      </c>
    </row>
    <row r="256" ht="15" customHeight="1">
      <c r="A256" t="inlineStr">
        <is>
          <t>A 51024-2021</t>
        </is>
      </c>
      <c r="B256" s="1" t="n">
        <v>44460.94056712963</v>
      </c>
      <c r="C256" s="1" t="n">
        <v>46048</v>
      </c>
      <c r="D256" t="inlineStr">
        <is>
          <t>VÄSTERNORRLANDS LÄN</t>
        </is>
      </c>
      <c r="E256" t="inlineStr">
        <is>
          <t>SOLLEFTEÅ</t>
        </is>
      </c>
      <c r="F256" t="inlineStr">
        <is>
          <t>SCA</t>
        </is>
      </c>
      <c r="G256" t="n">
        <v>7.1</v>
      </c>
      <c r="H256" t="n">
        <v>0</v>
      </c>
      <c r="I256" t="n">
        <v>0</v>
      </c>
      <c r="J256" t="n">
        <v>2</v>
      </c>
      <c r="K256" t="n">
        <v>0</v>
      </c>
      <c r="L256" t="n">
        <v>0</v>
      </c>
      <c r="M256" t="n">
        <v>0</v>
      </c>
      <c r="N256" t="n">
        <v>0</v>
      </c>
      <c r="O256" t="n">
        <v>2</v>
      </c>
      <c r="P256" t="n">
        <v>0</v>
      </c>
      <c r="Q256" t="n">
        <v>2</v>
      </c>
      <c r="R256" s="2" t="inlineStr">
        <is>
          <t>Tallticka
Ullticka</t>
        </is>
      </c>
      <c r="S256">
        <f>HYPERLINK("https://klasma.github.io/Logging_2283/artfynd/A 51024-2021 artfynd.xlsx", "A 51024-2021")</f>
        <v/>
      </c>
      <c r="T256">
        <f>HYPERLINK("https://klasma.github.io/Logging_2283/kartor/A 51024-2021 karta.png", "A 51024-2021")</f>
        <v/>
      </c>
      <c r="V256">
        <f>HYPERLINK("https://klasma.github.io/Logging_2283/klagomål/A 51024-2021 FSC-klagomål.docx", "A 51024-2021")</f>
        <v/>
      </c>
      <c r="W256">
        <f>HYPERLINK("https://klasma.github.io/Logging_2283/klagomålsmail/A 51024-2021 FSC-klagomål mail.docx", "A 51024-2021")</f>
        <v/>
      </c>
      <c r="X256">
        <f>HYPERLINK("https://klasma.github.io/Logging_2283/tillsyn/A 51024-2021 tillsynsbegäran.docx", "A 51024-2021")</f>
        <v/>
      </c>
      <c r="Y256">
        <f>HYPERLINK("https://klasma.github.io/Logging_2283/tillsynsmail/A 51024-2021 tillsynsbegäran mail.docx", "A 51024-2021")</f>
        <v/>
      </c>
    </row>
    <row r="257" ht="15" customHeight="1">
      <c r="A257" t="inlineStr">
        <is>
          <t>A 39329-2021</t>
        </is>
      </c>
      <c r="B257" s="1" t="n">
        <v>44413.9345949074</v>
      </c>
      <c r="C257" s="1" t="n">
        <v>46048</v>
      </c>
      <c r="D257" t="inlineStr">
        <is>
          <t>VÄSTERNORRLANDS LÄN</t>
        </is>
      </c>
      <c r="E257" t="inlineStr">
        <is>
          <t>SOLLEFTEÅ</t>
        </is>
      </c>
      <c r="F257" t="inlineStr">
        <is>
          <t>SCA</t>
        </is>
      </c>
      <c r="G257" t="n">
        <v>2.7</v>
      </c>
      <c r="H257" t="n">
        <v>0</v>
      </c>
      <c r="I257" t="n">
        <v>1</v>
      </c>
      <c r="J257" t="n">
        <v>1</v>
      </c>
      <c r="K257" t="n">
        <v>0</v>
      </c>
      <c r="L257" t="n">
        <v>0</v>
      </c>
      <c r="M257" t="n">
        <v>0</v>
      </c>
      <c r="N257" t="n">
        <v>0</v>
      </c>
      <c r="O257" t="n">
        <v>1</v>
      </c>
      <c r="P257" t="n">
        <v>0</v>
      </c>
      <c r="Q257" t="n">
        <v>2</v>
      </c>
      <c r="R257" s="2" t="inlineStr">
        <is>
          <t>Mörk kolflarnlav
Bollvitmossa</t>
        </is>
      </c>
      <c r="S257">
        <f>HYPERLINK("https://klasma.github.io/Logging_2283/artfynd/A 39329-2021 artfynd.xlsx", "A 39329-2021")</f>
        <v/>
      </c>
      <c r="T257">
        <f>HYPERLINK("https://klasma.github.io/Logging_2283/kartor/A 39329-2021 karta.png", "A 39329-2021")</f>
        <v/>
      </c>
      <c r="V257">
        <f>HYPERLINK("https://klasma.github.io/Logging_2283/klagomål/A 39329-2021 FSC-klagomål.docx", "A 39329-2021")</f>
        <v/>
      </c>
      <c r="W257">
        <f>HYPERLINK("https://klasma.github.io/Logging_2283/klagomålsmail/A 39329-2021 FSC-klagomål mail.docx", "A 39329-2021")</f>
        <v/>
      </c>
      <c r="X257">
        <f>HYPERLINK("https://klasma.github.io/Logging_2283/tillsyn/A 39329-2021 tillsynsbegäran.docx", "A 39329-2021")</f>
        <v/>
      </c>
      <c r="Y257">
        <f>HYPERLINK("https://klasma.github.io/Logging_2283/tillsynsmail/A 39329-2021 tillsynsbegäran mail.docx", "A 39329-2021")</f>
        <v/>
      </c>
    </row>
    <row r="258" ht="15" customHeight="1">
      <c r="A258" t="inlineStr">
        <is>
          <t>A 13658-2022</t>
        </is>
      </c>
      <c r="B258" s="1" t="n">
        <v>44648</v>
      </c>
      <c r="C258" s="1" t="n">
        <v>46048</v>
      </c>
      <c r="D258" t="inlineStr">
        <is>
          <t>VÄSTERNORRLANDS LÄN</t>
        </is>
      </c>
      <c r="E258" t="inlineStr">
        <is>
          <t>SOLLEFTEÅ</t>
        </is>
      </c>
      <c r="G258" t="n">
        <v>7.4</v>
      </c>
      <c r="H258" t="n">
        <v>2</v>
      </c>
      <c r="I258" t="n">
        <v>0</v>
      </c>
      <c r="J258" t="n">
        <v>1</v>
      </c>
      <c r="K258" t="n">
        <v>0</v>
      </c>
      <c r="L258" t="n">
        <v>0</v>
      </c>
      <c r="M258" t="n">
        <v>0</v>
      </c>
      <c r="N258" t="n">
        <v>0</v>
      </c>
      <c r="O258" t="n">
        <v>1</v>
      </c>
      <c r="P258" t="n">
        <v>0</v>
      </c>
      <c r="Q258" t="n">
        <v>2</v>
      </c>
      <c r="R258" s="2" t="inlineStr">
        <is>
          <t>Nordfladdermus
Vattenfladdermus</t>
        </is>
      </c>
      <c r="S258">
        <f>HYPERLINK("https://klasma.github.io/Logging_2283/artfynd/A 13658-2022 artfynd.xlsx", "A 13658-2022")</f>
        <v/>
      </c>
      <c r="T258">
        <f>HYPERLINK("https://klasma.github.io/Logging_2283/kartor/A 13658-2022 karta.png", "A 13658-2022")</f>
        <v/>
      </c>
      <c r="V258">
        <f>HYPERLINK("https://klasma.github.io/Logging_2283/klagomål/A 13658-2022 FSC-klagomål.docx", "A 13658-2022")</f>
        <v/>
      </c>
      <c r="W258">
        <f>HYPERLINK("https://klasma.github.io/Logging_2283/klagomålsmail/A 13658-2022 FSC-klagomål mail.docx", "A 13658-2022")</f>
        <v/>
      </c>
      <c r="X258">
        <f>HYPERLINK("https://klasma.github.io/Logging_2283/tillsyn/A 13658-2022 tillsynsbegäran.docx", "A 13658-2022")</f>
        <v/>
      </c>
      <c r="Y258">
        <f>HYPERLINK("https://klasma.github.io/Logging_2283/tillsynsmail/A 13658-2022 tillsynsbegäran mail.docx", "A 13658-2022")</f>
        <v/>
      </c>
    </row>
    <row r="259" ht="15" customHeight="1">
      <c r="A259" t="inlineStr">
        <is>
          <t>A 45119-2022</t>
        </is>
      </c>
      <c r="B259" s="1" t="n">
        <v>44843</v>
      </c>
      <c r="C259" s="1" t="n">
        <v>46048</v>
      </c>
      <c r="D259" t="inlineStr">
        <is>
          <t>VÄSTERNORRLANDS LÄN</t>
        </is>
      </c>
      <c r="E259" t="inlineStr">
        <is>
          <t>SOLLEFTEÅ</t>
        </is>
      </c>
      <c r="F259" t="inlineStr">
        <is>
          <t>SCA</t>
        </is>
      </c>
      <c r="G259" t="n">
        <v>1.3</v>
      </c>
      <c r="H259" t="n">
        <v>1</v>
      </c>
      <c r="I259" t="n">
        <v>0</v>
      </c>
      <c r="J259" t="n">
        <v>1</v>
      </c>
      <c r="K259" t="n">
        <v>1</v>
      </c>
      <c r="L259" t="n">
        <v>0</v>
      </c>
      <c r="M259" t="n">
        <v>0</v>
      </c>
      <c r="N259" t="n">
        <v>0</v>
      </c>
      <c r="O259" t="n">
        <v>2</v>
      </c>
      <c r="P259" t="n">
        <v>1</v>
      </c>
      <c r="Q259" t="n">
        <v>2</v>
      </c>
      <c r="R259" s="2" t="inlineStr">
        <is>
          <t>Knärot
Garnlav</t>
        </is>
      </c>
      <c r="S259">
        <f>HYPERLINK("https://klasma.github.io/Logging_2283/artfynd/A 45119-2022 artfynd.xlsx", "A 45119-2022")</f>
        <v/>
      </c>
      <c r="T259">
        <f>HYPERLINK("https://klasma.github.io/Logging_2283/kartor/A 45119-2022 karta.png", "A 45119-2022")</f>
        <v/>
      </c>
      <c r="U259">
        <f>HYPERLINK("https://klasma.github.io/Logging_2283/knärot/A 45119-2022 karta knärot.png", "A 45119-2022")</f>
        <v/>
      </c>
      <c r="V259">
        <f>HYPERLINK("https://klasma.github.io/Logging_2283/klagomål/A 45119-2022 FSC-klagomål.docx", "A 45119-2022")</f>
        <v/>
      </c>
      <c r="W259">
        <f>HYPERLINK("https://klasma.github.io/Logging_2283/klagomålsmail/A 45119-2022 FSC-klagomål mail.docx", "A 45119-2022")</f>
        <v/>
      </c>
      <c r="X259">
        <f>HYPERLINK("https://klasma.github.io/Logging_2283/tillsyn/A 45119-2022 tillsynsbegäran.docx", "A 45119-2022")</f>
        <v/>
      </c>
      <c r="Y259">
        <f>HYPERLINK("https://klasma.github.io/Logging_2283/tillsynsmail/A 45119-2022 tillsynsbegäran mail.docx", "A 45119-2022")</f>
        <v/>
      </c>
    </row>
    <row r="260" ht="15" customHeight="1">
      <c r="A260" t="inlineStr">
        <is>
          <t>A 13309-2022</t>
        </is>
      </c>
      <c r="B260" s="1" t="n">
        <v>44644.93670138889</v>
      </c>
      <c r="C260" s="1" t="n">
        <v>46048</v>
      </c>
      <c r="D260" t="inlineStr">
        <is>
          <t>VÄSTERNORRLANDS LÄN</t>
        </is>
      </c>
      <c r="E260" t="inlineStr">
        <is>
          <t>SOLLEFTEÅ</t>
        </is>
      </c>
      <c r="F260" t="inlineStr">
        <is>
          <t>SCA</t>
        </is>
      </c>
      <c r="G260" t="n">
        <v>2.3</v>
      </c>
      <c r="H260" t="n">
        <v>0</v>
      </c>
      <c r="I260" t="n">
        <v>0</v>
      </c>
      <c r="J260" t="n">
        <v>1</v>
      </c>
      <c r="K260" t="n">
        <v>1</v>
      </c>
      <c r="L260" t="n">
        <v>0</v>
      </c>
      <c r="M260" t="n">
        <v>0</v>
      </c>
      <c r="N260" t="n">
        <v>0</v>
      </c>
      <c r="O260" t="n">
        <v>2</v>
      </c>
      <c r="P260" t="n">
        <v>1</v>
      </c>
      <c r="Q260" t="n">
        <v>2</v>
      </c>
      <c r="R260" s="2" t="inlineStr">
        <is>
          <t>Rynkskinn
Koralltaggsvamp</t>
        </is>
      </c>
      <c r="S260">
        <f>HYPERLINK("https://klasma.github.io/Logging_2283/artfynd/A 13309-2022 artfynd.xlsx", "A 13309-2022")</f>
        <v/>
      </c>
      <c r="T260">
        <f>HYPERLINK("https://klasma.github.io/Logging_2283/kartor/A 13309-2022 karta.png", "A 13309-2022")</f>
        <v/>
      </c>
      <c r="V260">
        <f>HYPERLINK("https://klasma.github.io/Logging_2283/klagomål/A 13309-2022 FSC-klagomål.docx", "A 13309-2022")</f>
        <v/>
      </c>
      <c r="W260">
        <f>HYPERLINK("https://klasma.github.io/Logging_2283/klagomålsmail/A 13309-2022 FSC-klagomål mail.docx", "A 13309-2022")</f>
        <v/>
      </c>
      <c r="X260">
        <f>HYPERLINK("https://klasma.github.io/Logging_2283/tillsyn/A 13309-2022 tillsynsbegäran.docx", "A 13309-2022")</f>
        <v/>
      </c>
      <c r="Y260">
        <f>HYPERLINK("https://klasma.github.io/Logging_2283/tillsynsmail/A 13309-2022 tillsynsbegäran mail.docx", "A 13309-2022")</f>
        <v/>
      </c>
    </row>
    <row r="261" ht="15" customHeight="1">
      <c r="A261" t="inlineStr">
        <is>
          <t>A 35071-2021</t>
        </is>
      </c>
      <c r="B261" s="1" t="n">
        <v>44383</v>
      </c>
      <c r="C261" s="1" t="n">
        <v>46048</v>
      </c>
      <c r="D261" t="inlineStr">
        <is>
          <t>VÄSTERNORRLANDS LÄN</t>
        </is>
      </c>
      <c r="E261" t="inlineStr">
        <is>
          <t>SOLLEFTEÅ</t>
        </is>
      </c>
      <c r="F261" t="inlineStr">
        <is>
          <t>SCA</t>
        </is>
      </c>
      <c r="G261" t="n">
        <v>1.8</v>
      </c>
      <c r="H261" t="n">
        <v>0</v>
      </c>
      <c r="I261" t="n">
        <v>2</v>
      </c>
      <c r="J261" t="n">
        <v>0</v>
      </c>
      <c r="K261" t="n">
        <v>0</v>
      </c>
      <c r="L261" t="n">
        <v>0</v>
      </c>
      <c r="M261" t="n">
        <v>0</v>
      </c>
      <c r="N261" t="n">
        <v>0</v>
      </c>
      <c r="O261" t="n">
        <v>0</v>
      </c>
      <c r="P261" t="n">
        <v>0</v>
      </c>
      <c r="Q261" t="n">
        <v>2</v>
      </c>
      <c r="R261" s="2" t="inlineStr">
        <is>
          <t>Norrlandslav
Vedticka</t>
        </is>
      </c>
      <c r="S261">
        <f>HYPERLINK("https://klasma.github.io/Logging_2283/artfynd/A 35071-2021 artfynd.xlsx", "A 35071-2021")</f>
        <v/>
      </c>
      <c r="T261">
        <f>HYPERLINK("https://klasma.github.io/Logging_2283/kartor/A 35071-2021 karta.png", "A 35071-2021")</f>
        <v/>
      </c>
      <c r="V261">
        <f>HYPERLINK("https://klasma.github.io/Logging_2283/klagomål/A 35071-2021 FSC-klagomål.docx", "A 35071-2021")</f>
        <v/>
      </c>
      <c r="W261">
        <f>HYPERLINK("https://klasma.github.io/Logging_2283/klagomålsmail/A 35071-2021 FSC-klagomål mail.docx", "A 35071-2021")</f>
        <v/>
      </c>
      <c r="X261">
        <f>HYPERLINK("https://klasma.github.io/Logging_2283/tillsyn/A 35071-2021 tillsynsbegäran.docx", "A 35071-2021")</f>
        <v/>
      </c>
      <c r="Y261">
        <f>HYPERLINK("https://klasma.github.io/Logging_2283/tillsynsmail/A 35071-2021 tillsynsbegäran mail.docx", "A 35071-2021")</f>
        <v/>
      </c>
    </row>
    <row r="262" ht="15" customHeight="1">
      <c r="A262" t="inlineStr">
        <is>
          <t>A 54486-2024</t>
        </is>
      </c>
      <c r="B262" s="1" t="n">
        <v>45617</v>
      </c>
      <c r="C262" s="1" t="n">
        <v>46048</v>
      </c>
      <c r="D262" t="inlineStr">
        <is>
          <t>VÄSTERNORRLANDS LÄN</t>
        </is>
      </c>
      <c r="E262" t="inlineStr">
        <is>
          <t>SOLLEFTEÅ</t>
        </is>
      </c>
      <c r="G262" t="n">
        <v>18.3</v>
      </c>
      <c r="H262" t="n">
        <v>2</v>
      </c>
      <c r="I262" t="n">
        <v>1</v>
      </c>
      <c r="J262" t="n">
        <v>0</v>
      </c>
      <c r="K262" t="n">
        <v>0</v>
      </c>
      <c r="L262" t="n">
        <v>0</v>
      </c>
      <c r="M262" t="n">
        <v>0</v>
      </c>
      <c r="N262" t="n">
        <v>0</v>
      </c>
      <c r="O262" t="n">
        <v>0</v>
      </c>
      <c r="P262" t="n">
        <v>0</v>
      </c>
      <c r="Q262" t="n">
        <v>2</v>
      </c>
      <c r="R262" s="2" t="inlineStr">
        <is>
          <t>Tvåblad
Ängsnycklar</t>
        </is>
      </c>
      <c r="S262">
        <f>HYPERLINK("https://klasma.github.io/Logging_2283/artfynd/A 54486-2024 artfynd.xlsx", "A 54486-2024")</f>
        <v/>
      </c>
      <c r="T262">
        <f>HYPERLINK("https://klasma.github.io/Logging_2283/kartor/A 54486-2024 karta.png", "A 54486-2024")</f>
        <v/>
      </c>
      <c r="V262">
        <f>HYPERLINK("https://klasma.github.io/Logging_2283/klagomål/A 54486-2024 FSC-klagomål.docx", "A 54486-2024")</f>
        <v/>
      </c>
      <c r="W262">
        <f>HYPERLINK("https://klasma.github.io/Logging_2283/klagomålsmail/A 54486-2024 FSC-klagomål mail.docx", "A 54486-2024")</f>
        <v/>
      </c>
      <c r="X262">
        <f>HYPERLINK("https://klasma.github.io/Logging_2283/tillsyn/A 54486-2024 tillsynsbegäran.docx", "A 54486-2024")</f>
        <v/>
      </c>
      <c r="Y262">
        <f>HYPERLINK("https://klasma.github.io/Logging_2283/tillsynsmail/A 54486-2024 tillsynsbegäran mail.docx", "A 54486-2024")</f>
        <v/>
      </c>
    </row>
    <row r="263" ht="15" customHeight="1">
      <c r="A263" t="inlineStr">
        <is>
          <t>A 58880-2024</t>
        </is>
      </c>
      <c r="B263" s="1" t="n">
        <v>45636.44836805556</v>
      </c>
      <c r="C263" s="1" t="n">
        <v>46048</v>
      </c>
      <c r="D263" t="inlineStr">
        <is>
          <t>VÄSTERNORRLANDS LÄN</t>
        </is>
      </c>
      <c r="E263" t="inlineStr">
        <is>
          <t>SOLLEFTEÅ</t>
        </is>
      </c>
      <c r="F263" t="inlineStr">
        <is>
          <t>SCA</t>
        </is>
      </c>
      <c r="G263" t="n">
        <v>2</v>
      </c>
      <c r="H263" t="n">
        <v>0</v>
      </c>
      <c r="I263" t="n">
        <v>0</v>
      </c>
      <c r="J263" t="n">
        <v>2</v>
      </c>
      <c r="K263" t="n">
        <v>0</v>
      </c>
      <c r="L263" t="n">
        <v>0</v>
      </c>
      <c r="M263" t="n">
        <v>0</v>
      </c>
      <c r="N263" t="n">
        <v>0</v>
      </c>
      <c r="O263" t="n">
        <v>2</v>
      </c>
      <c r="P263" t="n">
        <v>0</v>
      </c>
      <c r="Q263" t="n">
        <v>2</v>
      </c>
      <c r="R263" s="2" t="inlineStr">
        <is>
          <t>Gammelgransskål
Garnlav</t>
        </is>
      </c>
      <c r="S263">
        <f>HYPERLINK("https://klasma.github.io/Logging_2283/artfynd/A 58880-2024 artfynd.xlsx", "A 58880-2024")</f>
        <v/>
      </c>
      <c r="T263">
        <f>HYPERLINK("https://klasma.github.io/Logging_2283/kartor/A 58880-2024 karta.png", "A 58880-2024")</f>
        <v/>
      </c>
      <c r="V263">
        <f>HYPERLINK("https://klasma.github.io/Logging_2283/klagomål/A 58880-2024 FSC-klagomål.docx", "A 58880-2024")</f>
        <v/>
      </c>
      <c r="W263">
        <f>HYPERLINK("https://klasma.github.io/Logging_2283/klagomålsmail/A 58880-2024 FSC-klagomål mail.docx", "A 58880-2024")</f>
        <v/>
      </c>
      <c r="X263">
        <f>HYPERLINK("https://klasma.github.io/Logging_2283/tillsyn/A 58880-2024 tillsynsbegäran.docx", "A 58880-2024")</f>
        <v/>
      </c>
      <c r="Y263">
        <f>HYPERLINK("https://klasma.github.io/Logging_2283/tillsynsmail/A 58880-2024 tillsynsbegäran mail.docx", "A 58880-2024")</f>
        <v/>
      </c>
    </row>
    <row r="264" ht="15" customHeight="1">
      <c r="A264" t="inlineStr">
        <is>
          <t>A 31491-2024</t>
        </is>
      </c>
      <c r="B264" s="1" t="n">
        <v>45505</v>
      </c>
      <c r="C264" s="1" t="n">
        <v>46048</v>
      </c>
      <c r="D264" t="inlineStr">
        <is>
          <t>VÄSTERNORRLANDS LÄN</t>
        </is>
      </c>
      <c r="E264" t="inlineStr">
        <is>
          <t>SOLLEFTEÅ</t>
        </is>
      </c>
      <c r="F264" t="inlineStr">
        <is>
          <t>SCA</t>
        </is>
      </c>
      <c r="G264" t="n">
        <v>17.2</v>
      </c>
      <c r="H264" t="n">
        <v>1</v>
      </c>
      <c r="I264" t="n">
        <v>0</v>
      </c>
      <c r="J264" t="n">
        <v>2</v>
      </c>
      <c r="K264" t="n">
        <v>0</v>
      </c>
      <c r="L264" t="n">
        <v>0</v>
      </c>
      <c r="M264" t="n">
        <v>0</v>
      </c>
      <c r="N264" t="n">
        <v>0</v>
      </c>
      <c r="O264" t="n">
        <v>2</v>
      </c>
      <c r="P264" t="n">
        <v>0</v>
      </c>
      <c r="Q264" t="n">
        <v>2</v>
      </c>
      <c r="R264" s="2" t="inlineStr">
        <is>
          <t>Lunglav
Tretåig hackspett</t>
        </is>
      </c>
      <c r="S264">
        <f>HYPERLINK("https://klasma.github.io/Logging_2283/artfynd/A 31491-2024 artfynd.xlsx", "A 31491-2024")</f>
        <v/>
      </c>
      <c r="T264">
        <f>HYPERLINK("https://klasma.github.io/Logging_2283/kartor/A 31491-2024 karta.png", "A 31491-2024")</f>
        <v/>
      </c>
      <c r="V264">
        <f>HYPERLINK("https://klasma.github.io/Logging_2283/klagomål/A 31491-2024 FSC-klagomål.docx", "A 31491-2024")</f>
        <v/>
      </c>
      <c r="W264">
        <f>HYPERLINK("https://klasma.github.io/Logging_2283/klagomålsmail/A 31491-2024 FSC-klagomål mail.docx", "A 31491-2024")</f>
        <v/>
      </c>
      <c r="X264">
        <f>HYPERLINK("https://klasma.github.io/Logging_2283/tillsyn/A 31491-2024 tillsynsbegäran.docx", "A 31491-2024")</f>
        <v/>
      </c>
      <c r="Y264">
        <f>HYPERLINK("https://klasma.github.io/Logging_2283/tillsynsmail/A 31491-2024 tillsynsbegäran mail.docx", "A 31491-2024")</f>
        <v/>
      </c>
      <c r="Z264">
        <f>HYPERLINK("https://klasma.github.io/Logging_2283/fåglar/A 31491-2024 prioriterade fågelarter.docx", "A 31491-2024")</f>
        <v/>
      </c>
    </row>
    <row r="265" ht="15" customHeight="1">
      <c r="A265" t="inlineStr">
        <is>
          <t>A 6698-2024</t>
        </is>
      </c>
      <c r="B265" s="1" t="n">
        <v>45341</v>
      </c>
      <c r="C265" s="1" t="n">
        <v>46048</v>
      </c>
      <c r="D265" t="inlineStr">
        <is>
          <t>VÄSTERNORRLANDS LÄN</t>
        </is>
      </c>
      <c r="E265" t="inlineStr">
        <is>
          <t>SOLLEFTEÅ</t>
        </is>
      </c>
      <c r="F265" t="inlineStr">
        <is>
          <t>SCA</t>
        </is>
      </c>
      <c r="G265" t="n">
        <v>3</v>
      </c>
      <c r="H265" t="n">
        <v>0</v>
      </c>
      <c r="I265" t="n">
        <v>0</v>
      </c>
      <c r="J265" t="n">
        <v>2</v>
      </c>
      <c r="K265" t="n">
        <v>0</v>
      </c>
      <c r="L265" t="n">
        <v>0</v>
      </c>
      <c r="M265" t="n">
        <v>0</v>
      </c>
      <c r="N265" t="n">
        <v>0</v>
      </c>
      <c r="O265" t="n">
        <v>2</v>
      </c>
      <c r="P265" t="n">
        <v>0</v>
      </c>
      <c r="Q265" t="n">
        <v>2</v>
      </c>
      <c r="R265" s="2" t="inlineStr">
        <is>
          <t>Granticka
Harticka</t>
        </is>
      </c>
      <c r="S265">
        <f>HYPERLINK("https://klasma.github.io/Logging_2283/artfynd/A 6698-2024 artfynd.xlsx", "A 6698-2024")</f>
        <v/>
      </c>
      <c r="T265">
        <f>HYPERLINK("https://klasma.github.io/Logging_2283/kartor/A 6698-2024 karta.png", "A 6698-2024")</f>
        <v/>
      </c>
      <c r="V265">
        <f>HYPERLINK("https://klasma.github.io/Logging_2283/klagomål/A 6698-2024 FSC-klagomål.docx", "A 6698-2024")</f>
        <v/>
      </c>
      <c r="W265">
        <f>HYPERLINK("https://klasma.github.io/Logging_2283/klagomålsmail/A 6698-2024 FSC-klagomål mail.docx", "A 6698-2024")</f>
        <v/>
      </c>
      <c r="X265">
        <f>HYPERLINK("https://klasma.github.io/Logging_2283/tillsyn/A 6698-2024 tillsynsbegäran.docx", "A 6698-2024")</f>
        <v/>
      </c>
      <c r="Y265">
        <f>HYPERLINK("https://klasma.github.io/Logging_2283/tillsynsmail/A 6698-2024 tillsynsbegäran mail.docx", "A 6698-2024")</f>
        <v/>
      </c>
    </row>
    <row r="266" ht="15" customHeight="1">
      <c r="A266" t="inlineStr">
        <is>
          <t>A 27644-2024</t>
        </is>
      </c>
      <c r="B266" s="1" t="n">
        <v>45474</v>
      </c>
      <c r="C266" s="1" t="n">
        <v>46048</v>
      </c>
      <c r="D266" t="inlineStr">
        <is>
          <t>VÄSTERNORRLANDS LÄN</t>
        </is>
      </c>
      <c r="E266" t="inlineStr">
        <is>
          <t>SOLLEFTEÅ</t>
        </is>
      </c>
      <c r="F266" t="inlineStr">
        <is>
          <t>SCA</t>
        </is>
      </c>
      <c r="G266" t="n">
        <v>2.8</v>
      </c>
      <c r="H266" t="n">
        <v>1</v>
      </c>
      <c r="I266" t="n">
        <v>0</v>
      </c>
      <c r="J266" t="n">
        <v>1</v>
      </c>
      <c r="K266" t="n">
        <v>0</v>
      </c>
      <c r="L266" t="n">
        <v>0</v>
      </c>
      <c r="M266" t="n">
        <v>0</v>
      </c>
      <c r="N266" t="n">
        <v>0</v>
      </c>
      <c r="O266" t="n">
        <v>1</v>
      </c>
      <c r="P266" t="n">
        <v>0</v>
      </c>
      <c r="Q266" t="n">
        <v>2</v>
      </c>
      <c r="R266" s="2" t="inlineStr">
        <is>
          <t>Granticka
Fläcknycklar</t>
        </is>
      </c>
      <c r="S266">
        <f>HYPERLINK("https://klasma.github.io/Logging_2283/artfynd/A 27644-2024 artfynd.xlsx", "A 27644-2024")</f>
        <v/>
      </c>
      <c r="T266">
        <f>HYPERLINK("https://klasma.github.io/Logging_2283/kartor/A 27644-2024 karta.png", "A 27644-2024")</f>
        <v/>
      </c>
      <c r="V266">
        <f>HYPERLINK("https://klasma.github.io/Logging_2283/klagomål/A 27644-2024 FSC-klagomål.docx", "A 27644-2024")</f>
        <v/>
      </c>
      <c r="W266">
        <f>HYPERLINK("https://klasma.github.io/Logging_2283/klagomålsmail/A 27644-2024 FSC-klagomål mail.docx", "A 27644-2024")</f>
        <v/>
      </c>
      <c r="X266">
        <f>HYPERLINK("https://klasma.github.io/Logging_2283/tillsyn/A 27644-2024 tillsynsbegäran.docx", "A 27644-2024")</f>
        <v/>
      </c>
      <c r="Y266">
        <f>HYPERLINK("https://klasma.github.io/Logging_2283/tillsynsmail/A 27644-2024 tillsynsbegäran mail.docx", "A 27644-2024")</f>
        <v/>
      </c>
    </row>
    <row r="267" ht="15" customHeight="1">
      <c r="A267" t="inlineStr">
        <is>
          <t>A 21742-2025</t>
        </is>
      </c>
      <c r="B267" s="1" t="n">
        <v>45783.59428240741</v>
      </c>
      <c r="C267" s="1" t="n">
        <v>46048</v>
      </c>
      <c r="D267" t="inlineStr">
        <is>
          <t>VÄSTERNORRLANDS LÄN</t>
        </is>
      </c>
      <c r="E267" t="inlineStr">
        <is>
          <t>SOLLEFTEÅ</t>
        </is>
      </c>
      <c r="F267" t="inlineStr">
        <is>
          <t>SCA</t>
        </is>
      </c>
      <c r="G267" t="n">
        <v>1.5</v>
      </c>
      <c r="H267" t="n">
        <v>1</v>
      </c>
      <c r="I267" t="n">
        <v>0</v>
      </c>
      <c r="J267" t="n">
        <v>1</v>
      </c>
      <c r="K267" t="n">
        <v>0</v>
      </c>
      <c r="L267" t="n">
        <v>0</v>
      </c>
      <c r="M267" t="n">
        <v>0</v>
      </c>
      <c r="N267" t="n">
        <v>0</v>
      </c>
      <c r="O267" t="n">
        <v>1</v>
      </c>
      <c r="P267" t="n">
        <v>0</v>
      </c>
      <c r="Q267" t="n">
        <v>2</v>
      </c>
      <c r="R267" s="2" t="inlineStr">
        <is>
          <t>Garnlav
Revlummer</t>
        </is>
      </c>
      <c r="S267">
        <f>HYPERLINK("https://klasma.github.io/Logging_2283/artfynd/A 21742-2025 artfynd.xlsx", "A 21742-2025")</f>
        <v/>
      </c>
      <c r="T267">
        <f>HYPERLINK("https://klasma.github.io/Logging_2283/kartor/A 21742-2025 karta.png", "A 21742-2025")</f>
        <v/>
      </c>
      <c r="V267">
        <f>HYPERLINK("https://klasma.github.io/Logging_2283/klagomål/A 21742-2025 FSC-klagomål.docx", "A 21742-2025")</f>
        <v/>
      </c>
      <c r="W267">
        <f>HYPERLINK("https://klasma.github.io/Logging_2283/klagomålsmail/A 21742-2025 FSC-klagomål mail.docx", "A 21742-2025")</f>
        <v/>
      </c>
      <c r="X267">
        <f>HYPERLINK("https://klasma.github.io/Logging_2283/tillsyn/A 21742-2025 tillsynsbegäran.docx", "A 21742-2025")</f>
        <v/>
      </c>
      <c r="Y267">
        <f>HYPERLINK("https://klasma.github.io/Logging_2283/tillsynsmail/A 21742-2025 tillsynsbegäran mail.docx", "A 21742-2025")</f>
        <v/>
      </c>
    </row>
    <row r="268" ht="15" customHeight="1">
      <c r="A268" t="inlineStr">
        <is>
          <t>A 21485-2025</t>
        </is>
      </c>
      <c r="B268" s="1" t="n">
        <v>45782.59512731482</v>
      </c>
      <c r="C268" s="1" t="n">
        <v>46048</v>
      </c>
      <c r="D268" t="inlineStr">
        <is>
          <t>VÄSTERNORRLANDS LÄN</t>
        </is>
      </c>
      <c r="E268" t="inlineStr">
        <is>
          <t>SOLLEFTEÅ</t>
        </is>
      </c>
      <c r="F268" t="inlineStr">
        <is>
          <t>SCA</t>
        </is>
      </c>
      <c r="G268" t="n">
        <v>5.4</v>
      </c>
      <c r="H268" t="n">
        <v>0</v>
      </c>
      <c r="I268" t="n">
        <v>1</v>
      </c>
      <c r="J268" t="n">
        <v>1</v>
      </c>
      <c r="K268" t="n">
        <v>0</v>
      </c>
      <c r="L268" t="n">
        <v>0</v>
      </c>
      <c r="M268" t="n">
        <v>0</v>
      </c>
      <c r="N268" t="n">
        <v>0</v>
      </c>
      <c r="O268" t="n">
        <v>1</v>
      </c>
      <c r="P268" t="n">
        <v>0</v>
      </c>
      <c r="Q268" t="n">
        <v>2</v>
      </c>
      <c r="R268" s="2" t="inlineStr">
        <is>
          <t>Garnlav
Vågbandad barkbock</t>
        </is>
      </c>
      <c r="S268">
        <f>HYPERLINK("https://klasma.github.io/Logging_2283/artfynd/A 21485-2025 artfynd.xlsx", "A 21485-2025")</f>
        <v/>
      </c>
      <c r="T268">
        <f>HYPERLINK("https://klasma.github.io/Logging_2283/kartor/A 21485-2025 karta.png", "A 21485-2025")</f>
        <v/>
      </c>
      <c r="V268">
        <f>HYPERLINK("https://klasma.github.io/Logging_2283/klagomål/A 21485-2025 FSC-klagomål.docx", "A 21485-2025")</f>
        <v/>
      </c>
      <c r="W268">
        <f>HYPERLINK("https://klasma.github.io/Logging_2283/klagomålsmail/A 21485-2025 FSC-klagomål mail.docx", "A 21485-2025")</f>
        <v/>
      </c>
      <c r="X268">
        <f>HYPERLINK("https://klasma.github.io/Logging_2283/tillsyn/A 21485-2025 tillsynsbegäran.docx", "A 21485-2025")</f>
        <v/>
      </c>
      <c r="Y268">
        <f>HYPERLINK("https://klasma.github.io/Logging_2283/tillsynsmail/A 21485-2025 tillsynsbegäran mail.docx", "A 21485-2025")</f>
        <v/>
      </c>
    </row>
    <row r="269" ht="15" customHeight="1">
      <c r="A269" t="inlineStr">
        <is>
          <t>A 34812-2024</t>
        </is>
      </c>
      <c r="B269" s="1" t="n">
        <v>45526</v>
      </c>
      <c r="C269" s="1" t="n">
        <v>46048</v>
      </c>
      <c r="D269" t="inlineStr">
        <is>
          <t>VÄSTERNORRLANDS LÄN</t>
        </is>
      </c>
      <c r="E269" t="inlineStr">
        <is>
          <t>SOLLEFTEÅ</t>
        </is>
      </c>
      <c r="G269" t="n">
        <v>8.1</v>
      </c>
      <c r="H269" t="n">
        <v>0</v>
      </c>
      <c r="I269" t="n">
        <v>1</v>
      </c>
      <c r="J269" t="n">
        <v>1</v>
      </c>
      <c r="K269" t="n">
        <v>0</v>
      </c>
      <c r="L269" t="n">
        <v>0</v>
      </c>
      <c r="M269" t="n">
        <v>0</v>
      </c>
      <c r="N269" t="n">
        <v>0</v>
      </c>
      <c r="O269" t="n">
        <v>1</v>
      </c>
      <c r="P269" t="n">
        <v>0</v>
      </c>
      <c r="Q269" t="n">
        <v>2</v>
      </c>
      <c r="R269" s="2" t="inlineStr">
        <is>
          <t>Garnlav
Dropptaggsvamp</t>
        </is>
      </c>
      <c r="S269">
        <f>HYPERLINK("https://klasma.github.io/Logging_2283/artfynd/A 34812-2024 artfynd.xlsx", "A 34812-2024")</f>
        <v/>
      </c>
      <c r="T269">
        <f>HYPERLINK("https://klasma.github.io/Logging_2283/kartor/A 34812-2024 karta.png", "A 34812-2024")</f>
        <v/>
      </c>
      <c r="V269">
        <f>HYPERLINK("https://klasma.github.io/Logging_2283/klagomål/A 34812-2024 FSC-klagomål.docx", "A 34812-2024")</f>
        <v/>
      </c>
      <c r="W269">
        <f>HYPERLINK("https://klasma.github.io/Logging_2283/klagomålsmail/A 34812-2024 FSC-klagomål mail.docx", "A 34812-2024")</f>
        <v/>
      </c>
      <c r="X269">
        <f>HYPERLINK("https://klasma.github.io/Logging_2283/tillsyn/A 34812-2024 tillsynsbegäran.docx", "A 34812-2024")</f>
        <v/>
      </c>
      <c r="Y269">
        <f>HYPERLINK("https://klasma.github.io/Logging_2283/tillsynsmail/A 34812-2024 tillsynsbegäran mail.docx", "A 34812-2024")</f>
        <v/>
      </c>
    </row>
    <row r="270" ht="15" customHeight="1">
      <c r="A270" t="inlineStr">
        <is>
          <t>A 22220-2025</t>
        </is>
      </c>
      <c r="B270" s="1" t="n">
        <v>45785.65862268519</v>
      </c>
      <c r="C270" s="1" t="n">
        <v>46048</v>
      </c>
      <c r="D270" t="inlineStr">
        <is>
          <t>VÄSTERNORRLANDS LÄN</t>
        </is>
      </c>
      <c r="E270" t="inlineStr">
        <is>
          <t>SOLLEFTEÅ</t>
        </is>
      </c>
      <c r="F270" t="inlineStr">
        <is>
          <t>SCA</t>
        </is>
      </c>
      <c r="G270" t="n">
        <v>4.6</v>
      </c>
      <c r="H270" t="n">
        <v>0</v>
      </c>
      <c r="I270" t="n">
        <v>1</v>
      </c>
      <c r="J270" t="n">
        <v>1</v>
      </c>
      <c r="K270" t="n">
        <v>0</v>
      </c>
      <c r="L270" t="n">
        <v>0</v>
      </c>
      <c r="M270" t="n">
        <v>0</v>
      </c>
      <c r="N270" t="n">
        <v>0</v>
      </c>
      <c r="O270" t="n">
        <v>1</v>
      </c>
      <c r="P270" t="n">
        <v>0</v>
      </c>
      <c r="Q270" t="n">
        <v>2</v>
      </c>
      <c r="R270" s="2" t="inlineStr">
        <is>
          <t>Lunglav
Stor aspticka</t>
        </is>
      </c>
      <c r="S270">
        <f>HYPERLINK("https://klasma.github.io/Logging_2283/artfynd/A 22220-2025 artfynd.xlsx", "A 22220-2025")</f>
        <v/>
      </c>
      <c r="T270">
        <f>HYPERLINK("https://klasma.github.io/Logging_2283/kartor/A 22220-2025 karta.png", "A 22220-2025")</f>
        <v/>
      </c>
      <c r="V270">
        <f>HYPERLINK("https://klasma.github.io/Logging_2283/klagomål/A 22220-2025 FSC-klagomål.docx", "A 22220-2025")</f>
        <v/>
      </c>
      <c r="W270">
        <f>HYPERLINK("https://klasma.github.io/Logging_2283/klagomålsmail/A 22220-2025 FSC-klagomål mail.docx", "A 22220-2025")</f>
        <v/>
      </c>
      <c r="X270">
        <f>HYPERLINK("https://klasma.github.io/Logging_2283/tillsyn/A 22220-2025 tillsynsbegäran.docx", "A 22220-2025")</f>
        <v/>
      </c>
      <c r="Y270">
        <f>HYPERLINK("https://klasma.github.io/Logging_2283/tillsynsmail/A 22220-2025 tillsynsbegäran mail.docx", "A 22220-2025")</f>
        <v/>
      </c>
    </row>
    <row r="271" ht="15" customHeight="1">
      <c r="A271" t="inlineStr">
        <is>
          <t>A 22518-2025</t>
        </is>
      </c>
      <c r="B271" s="1" t="n">
        <v>45786.67831018518</v>
      </c>
      <c r="C271" s="1" t="n">
        <v>46048</v>
      </c>
      <c r="D271" t="inlineStr">
        <is>
          <t>VÄSTERNORRLANDS LÄN</t>
        </is>
      </c>
      <c r="E271" t="inlineStr">
        <is>
          <t>SOLLEFTEÅ</t>
        </is>
      </c>
      <c r="F271" t="inlineStr">
        <is>
          <t>SCA</t>
        </is>
      </c>
      <c r="G271" t="n">
        <v>4</v>
      </c>
      <c r="H271" t="n">
        <v>0</v>
      </c>
      <c r="I271" t="n">
        <v>0</v>
      </c>
      <c r="J271" t="n">
        <v>2</v>
      </c>
      <c r="K271" t="n">
        <v>0</v>
      </c>
      <c r="L271" t="n">
        <v>0</v>
      </c>
      <c r="M271" t="n">
        <v>0</v>
      </c>
      <c r="N271" t="n">
        <v>0</v>
      </c>
      <c r="O271" t="n">
        <v>2</v>
      </c>
      <c r="P271" t="n">
        <v>0</v>
      </c>
      <c r="Q271" t="n">
        <v>2</v>
      </c>
      <c r="R271" s="2" t="inlineStr">
        <is>
          <t>Garnlav
Ullticka</t>
        </is>
      </c>
      <c r="S271">
        <f>HYPERLINK("https://klasma.github.io/Logging_2283/artfynd/A 22518-2025 artfynd.xlsx", "A 22518-2025")</f>
        <v/>
      </c>
      <c r="T271">
        <f>HYPERLINK("https://klasma.github.io/Logging_2283/kartor/A 22518-2025 karta.png", "A 22518-2025")</f>
        <v/>
      </c>
      <c r="V271">
        <f>HYPERLINK("https://klasma.github.io/Logging_2283/klagomål/A 22518-2025 FSC-klagomål.docx", "A 22518-2025")</f>
        <v/>
      </c>
      <c r="W271">
        <f>HYPERLINK("https://klasma.github.io/Logging_2283/klagomålsmail/A 22518-2025 FSC-klagomål mail.docx", "A 22518-2025")</f>
        <v/>
      </c>
      <c r="X271">
        <f>HYPERLINK("https://klasma.github.io/Logging_2283/tillsyn/A 22518-2025 tillsynsbegäran.docx", "A 22518-2025")</f>
        <v/>
      </c>
      <c r="Y271">
        <f>HYPERLINK("https://klasma.github.io/Logging_2283/tillsynsmail/A 22518-2025 tillsynsbegäran mail.docx", "A 22518-2025")</f>
        <v/>
      </c>
    </row>
    <row r="272" ht="15" customHeight="1">
      <c r="A272" t="inlineStr">
        <is>
          <t>A 22808-2025</t>
        </is>
      </c>
      <c r="B272" s="1" t="n">
        <v>45789</v>
      </c>
      <c r="C272" s="1" t="n">
        <v>46048</v>
      </c>
      <c r="D272" t="inlineStr">
        <is>
          <t>VÄSTERNORRLANDS LÄN</t>
        </is>
      </c>
      <c r="E272" t="inlineStr">
        <is>
          <t>SOLLEFTEÅ</t>
        </is>
      </c>
      <c r="G272" t="n">
        <v>0.7</v>
      </c>
      <c r="H272" t="n">
        <v>0</v>
      </c>
      <c r="I272" t="n">
        <v>1</v>
      </c>
      <c r="J272" t="n">
        <v>1</v>
      </c>
      <c r="K272" t="n">
        <v>0</v>
      </c>
      <c r="L272" t="n">
        <v>0</v>
      </c>
      <c r="M272" t="n">
        <v>0</v>
      </c>
      <c r="N272" t="n">
        <v>0</v>
      </c>
      <c r="O272" t="n">
        <v>1</v>
      </c>
      <c r="P272" t="n">
        <v>0</v>
      </c>
      <c r="Q272" t="n">
        <v>2</v>
      </c>
      <c r="R272" s="2" t="inlineStr">
        <is>
          <t>Lunglav
Bårdlav</t>
        </is>
      </c>
      <c r="S272">
        <f>HYPERLINK("https://klasma.github.io/Logging_2283/artfynd/A 22808-2025 artfynd.xlsx", "A 22808-2025")</f>
        <v/>
      </c>
      <c r="T272">
        <f>HYPERLINK("https://klasma.github.io/Logging_2283/kartor/A 22808-2025 karta.png", "A 22808-2025")</f>
        <v/>
      </c>
      <c r="V272">
        <f>HYPERLINK("https://klasma.github.io/Logging_2283/klagomål/A 22808-2025 FSC-klagomål.docx", "A 22808-2025")</f>
        <v/>
      </c>
      <c r="W272">
        <f>HYPERLINK("https://klasma.github.io/Logging_2283/klagomålsmail/A 22808-2025 FSC-klagomål mail.docx", "A 22808-2025")</f>
        <v/>
      </c>
      <c r="X272">
        <f>HYPERLINK("https://klasma.github.io/Logging_2283/tillsyn/A 22808-2025 tillsynsbegäran.docx", "A 22808-2025")</f>
        <v/>
      </c>
      <c r="Y272">
        <f>HYPERLINK("https://klasma.github.io/Logging_2283/tillsynsmail/A 22808-2025 tillsynsbegäran mail.docx", "A 22808-2025")</f>
        <v/>
      </c>
    </row>
    <row r="273" ht="15" customHeight="1">
      <c r="A273" t="inlineStr">
        <is>
          <t>A 11578-2025</t>
        </is>
      </c>
      <c r="B273" s="1" t="n">
        <v>45727.38609953703</v>
      </c>
      <c r="C273" s="1" t="n">
        <v>46048</v>
      </c>
      <c r="D273" t="inlineStr">
        <is>
          <t>VÄSTERNORRLANDS LÄN</t>
        </is>
      </c>
      <c r="E273" t="inlineStr">
        <is>
          <t>SOLLEFTEÅ</t>
        </is>
      </c>
      <c r="F273" t="inlineStr">
        <is>
          <t>SCA</t>
        </is>
      </c>
      <c r="G273" t="n">
        <v>1</v>
      </c>
      <c r="H273" t="n">
        <v>2</v>
      </c>
      <c r="I273" t="n">
        <v>0</v>
      </c>
      <c r="J273" t="n">
        <v>2</v>
      </c>
      <c r="K273" t="n">
        <v>0</v>
      </c>
      <c r="L273" t="n">
        <v>0</v>
      </c>
      <c r="M273" t="n">
        <v>0</v>
      </c>
      <c r="N273" t="n">
        <v>0</v>
      </c>
      <c r="O273" t="n">
        <v>2</v>
      </c>
      <c r="P273" t="n">
        <v>0</v>
      </c>
      <c r="Q273" t="n">
        <v>2</v>
      </c>
      <c r="R273" s="2" t="inlineStr">
        <is>
          <t>Spillkråka
Tretåig hackspett</t>
        </is>
      </c>
      <c r="S273">
        <f>HYPERLINK("https://klasma.github.io/Logging_2283/artfynd/A 11578-2025 artfynd.xlsx", "A 11578-2025")</f>
        <v/>
      </c>
      <c r="T273">
        <f>HYPERLINK("https://klasma.github.io/Logging_2283/kartor/A 11578-2025 karta.png", "A 11578-2025")</f>
        <v/>
      </c>
      <c r="U273">
        <f>HYPERLINK("https://klasma.github.io/Logging_2283/knärot/A 11578-2025 karta knärot.png", "A 11578-2025")</f>
        <v/>
      </c>
      <c r="V273">
        <f>HYPERLINK("https://klasma.github.io/Logging_2283/klagomål/A 11578-2025 FSC-klagomål.docx", "A 11578-2025")</f>
        <v/>
      </c>
      <c r="W273">
        <f>HYPERLINK("https://klasma.github.io/Logging_2283/klagomålsmail/A 11578-2025 FSC-klagomål mail.docx", "A 11578-2025")</f>
        <v/>
      </c>
      <c r="X273">
        <f>HYPERLINK("https://klasma.github.io/Logging_2283/tillsyn/A 11578-2025 tillsynsbegäran.docx", "A 11578-2025")</f>
        <v/>
      </c>
      <c r="Y273">
        <f>HYPERLINK("https://klasma.github.io/Logging_2283/tillsynsmail/A 11578-2025 tillsynsbegäran mail.docx", "A 11578-2025")</f>
        <v/>
      </c>
      <c r="Z273">
        <f>HYPERLINK("https://klasma.github.io/Logging_2283/fåglar/A 11578-2025 prioriterade fågelarter.docx", "A 11578-2025")</f>
        <v/>
      </c>
    </row>
    <row r="274" ht="15" customHeight="1">
      <c r="A274" t="inlineStr">
        <is>
          <t>A 13743-2025</t>
        </is>
      </c>
      <c r="B274" s="1" t="n">
        <v>45737.40663194445</v>
      </c>
      <c r="C274" s="1" t="n">
        <v>46048</v>
      </c>
      <c r="D274" t="inlineStr">
        <is>
          <t>VÄSTERNORRLANDS LÄN</t>
        </is>
      </c>
      <c r="E274" t="inlineStr">
        <is>
          <t>SOLLEFTEÅ</t>
        </is>
      </c>
      <c r="F274" t="inlineStr">
        <is>
          <t>SCA</t>
        </is>
      </c>
      <c r="G274" t="n">
        <v>2.1</v>
      </c>
      <c r="H274" t="n">
        <v>2</v>
      </c>
      <c r="I274" t="n">
        <v>0</v>
      </c>
      <c r="J274" t="n">
        <v>0</v>
      </c>
      <c r="K274" t="n">
        <v>0</v>
      </c>
      <c r="L274" t="n">
        <v>0</v>
      </c>
      <c r="M274" t="n">
        <v>0</v>
      </c>
      <c r="N274" t="n">
        <v>0</v>
      </c>
      <c r="O274" t="n">
        <v>0</v>
      </c>
      <c r="P274" t="n">
        <v>0</v>
      </c>
      <c r="Q274" t="n">
        <v>2</v>
      </c>
      <c r="R274" s="2" t="inlineStr">
        <is>
          <t>Vanlig groda
Revlummer</t>
        </is>
      </c>
      <c r="S274">
        <f>HYPERLINK("https://klasma.github.io/Logging_2283/artfynd/A 13743-2025 artfynd.xlsx", "A 13743-2025")</f>
        <v/>
      </c>
      <c r="T274">
        <f>HYPERLINK("https://klasma.github.io/Logging_2283/kartor/A 13743-2025 karta.png", "A 13743-2025")</f>
        <v/>
      </c>
      <c r="V274">
        <f>HYPERLINK("https://klasma.github.io/Logging_2283/klagomål/A 13743-2025 FSC-klagomål.docx", "A 13743-2025")</f>
        <v/>
      </c>
      <c r="W274">
        <f>HYPERLINK("https://klasma.github.io/Logging_2283/klagomålsmail/A 13743-2025 FSC-klagomål mail.docx", "A 13743-2025")</f>
        <v/>
      </c>
      <c r="X274">
        <f>HYPERLINK("https://klasma.github.io/Logging_2283/tillsyn/A 13743-2025 tillsynsbegäran.docx", "A 13743-2025")</f>
        <v/>
      </c>
      <c r="Y274">
        <f>HYPERLINK("https://klasma.github.io/Logging_2283/tillsynsmail/A 13743-2025 tillsynsbegäran mail.docx", "A 13743-2025")</f>
        <v/>
      </c>
    </row>
    <row r="275" ht="15" customHeight="1">
      <c r="A275" t="inlineStr">
        <is>
          <t>A 45016-2023</t>
        </is>
      </c>
      <c r="B275" s="1" t="n">
        <v>45190.96188657408</v>
      </c>
      <c r="C275" s="1" t="n">
        <v>46048</v>
      </c>
      <c r="D275" t="inlineStr">
        <is>
          <t>VÄSTERNORRLANDS LÄN</t>
        </is>
      </c>
      <c r="E275" t="inlineStr">
        <is>
          <t>SOLLEFTEÅ</t>
        </is>
      </c>
      <c r="F275" t="inlineStr">
        <is>
          <t>SCA</t>
        </is>
      </c>
      <c r="G275" t="n">
        <v>1.5</v>
      </c>
      <c r="H275" t="n">
        <v>0</v>
      </c>
      <c r="I275" t="n">
        <v>0</v>
      </c>
      <c r="J275" t="n">
        <v>2</v>
      </c>
      <c r="K275" t="n">
        <v>0</v>
      </c>
      <c r="L275" t="n">
        <v>0</v>
      </c>
      <c r="M275" t="n">
        <v>0</v>
      </c>
      <c r="N275" t="n">
        <v>0</v>
      </c>
      <c r="O275" t="n">
        <v>2</v>
      </c>
      <c r="P275" t="n">
        <v>0</v>
      </c>
      <c r="Q275" t="n">
        <v>2</v>
      </c>
      <c r="R275" s="2" t="inlineStr">
        <is>
          <t>Garnlav
Lunglav</t>
        </is>
      </c>
      <c r="S275">
        <f>HYPERLINK("https://klasma.github.io/Logging_2283/artfynd/A 45016-2023 artfynd.xlsx", "A 45016-2023")</f>
        <v/>
      </c>
      <c r="T275">
        <f>HYPERLINK("https://klasma.github.io/Logging_2283/kartor/A 45016-2023 karta.png", "A 45016-2023")</f>
        <v/>
      </c>
      <c r="V275">
        <f>HYPERLINK("https://klasma.github.io/Logging_2283/klagomål/A 45016-2023 FSC-klagomål.docx", "A 45016-2023")</f>
        <v/>
      </c>
      <c r="W275">
        <f>HYPERLINK("https://klasma.github.io/Logging_2283/klagomålsmail/A 45016-2023 FSC-klagomål mail.docx", "A 45016-2023")</f>
        <v/>
      </c>
      <c r="X275">
        <f>HYPERLINK("https://klasma.github.io/Logging_2283/tillsyn/A 45016-2023 tillsynsbegäran.docx", "A 45016-2023")</f>
        <v/>
      </c>
      <c r="Y275">
        <f>HYPERLINK("https://klasma.github.io/Logging_2283/tillsynsmail/A 45016-2023 tillsynsbegäran mail.docx", "A 45016-2023")</f>
        <v/>
      </c>
    </row>
    <row r="276" ht="15" customHeight="1">
      <c r="A276" t="inlineStr">
        <is>
          <t>A 59997-2024</t>
        </is>
      </c>
      <c r="B276" s="1" t="n">
        <v>45642.40715277778</v>
      </c>
      <c r="C276" s="1" t="n">
        <v>46048</v>
      </c>
      <c r="D276" t="inlineStr">
        <is>
          <t>VÄSTERNORRLANDS LÄN</t>
        </is>
      </c>
      <c r="E276" t="inlineStr">
        <is>
          <t>SOLLEFTEÅ</t>
        </is>
      </c>
      <c r="F276" t="inlineStr">
        <is>
          <t>SCA</t>
        </is>
      </c>
      <c r="G276" t="n">
        <v>2.8</v>
      </c>
      <c r="H276" t="n">
        <v>1</v>
      </c>
      <c r="I276" t="n">
        <v>0</v>
      </c>
      <c r="J276" t="n">
        <v>1</v>
      </c>
      <c r="K276" t="n">
        <v>1</v>
      </c>
      <c r="L276" t="n">
        <v>0</v>
      </c>
      <c r="M276" t="n">
        <v>0</v>
      </c>
      <c r="N276" t="n">
        <v>0</v>
      </c>
      <c r="O276" t="n">
        <v>2</v>
      </c>
      <c r="P276" t="n">
        <v>1</v>
      </c>
      <c r="Q276" t="n">
        <v>2</v>
      </c>
      <c r="R276" s="2" t="inlineStr">
        <is>
          <t>Knärot
Garnlav</t>
        </is>
      </c>
      <c r="S276">
        <f>HYPERLINK("https://klasma.github.io/Logging_2283/artfynd/A 59997-2024 artfynd.xlsx", "A 59997-2024")</f>
        <v/>
      </c>
      <c r="T276">
        <f>HYPERLINK("https://klasma.github.io/Logging_2283/kartor/A 59997-2024 karta.png", "A 59997-2024")</f>
        <v/>
      </c>
      <c r="U276">
        <f>HYPERLINK("https://klasma.github.io/Logging_2283/knärot/A 59997-2024 karta knärot.png", "A 59997-2024")</f>
        <v/>
      </c>
      <c r="V276">
        <f>HYPERLINK("https://klasma.github.io/Logging_2283/klagomål/A 59997-2024 FSC-klagomål.docx", "A 59997-2024")</f>
        <v/>
      </c>
      <c r="W276">
        <f>HYPERLINK("https://klasma.github.io/Logging_2283/klagomålsmail/A 59997-2024 FSC-klagomål mail.docx", "A 59997-2024")</f>
        <v/>
      </c>
      <c r="X276">
        <f>HYPERLINK("https://klasma.github.io/Logging_2283/tillsyn/A 59997-2024 tillsynsbegäran.docx", "A 59997-2024")</f>
        <v/>
      </c>
      <c r="Y276">
        <f>HYPERLINK("https://klasma.github.io/Logging_2283/tillsynsmail/A 59997-2024 tillsynsbegäran mail.docx", "A 59997-2024")</f>
        <v/>
      </c>
    </row>
    <row r="277" ht="15" customHeight="1">
      <c r="A277" t="inlineStr">
        <is>
          <t>A 25522-2025</t>
        </is>
      </c>
      <c r="B277" s="1" t="n">
        <v>45803.38619212963</v>
      </c>
      <c r="C277" s="1" t="n">
        <v>46048</v>
      </c>
      <c r="D277" t="inlineStr">
        <is>
          <t>VÄSTERNORRLANDS LÄN</t>
        </is>
      </c>
      <c r="E277" t="inlineStr">
        <is>
          <t>SOLLEFTEÅ</t>
        </is>
      </c>
      <c r="F277" t="inlineStr">
        <is>
          <t>SCA</t>
        </is>
      </c>
      <c r="G277" t="n">
        <v>0.8</v>
      </c>
      <c r="H277" t="n">
        <v>0</v>
      </c>
      <c r="I277" t="n">
        <v>0</v>
      </c>
      <c r="J277" t="n">
        <v>2</v>
      </c>
      <c r="K277" t="n">
        <v>0</v>
      </c>
      <c r="L277" t="n">
        <v>0</v>
      </c>
      <c r="M277" t="n">
        <v>0</v>
      </c>
      <c r="N277" t="n">
        <v>0</v>
      </c>
      <c r="O277" t="n">
        <v>2</v>
      </c>
      <c r="P277" t="n">
        <v>0</v>
      </c>
      <c r="Q277" t="n">
        <v>2</v>
      </c>
      <c r="R277" s="2" t="inlineStr">
        <is>
          <t>Garnlav
Granticka</t>
        </is>
      </c>
      <c r="S277">
        <f>HYPERLINK("https://klasma.github.io/Logging_2283/artfynd/A 25522-2025 artfynd.xlsx", "A 25522-2025")</f>
        <v/>
      </c>
      <c r="T277">
        <f>HYPERLINK("https://klasma.github.io/Logging_2283/kartor/A 25522-2025 karta.png", "A 25522-2025")</f>
        <v/>
      </c>
      <c r="V277">
        <f>HYPERLINK("https://klasma.github.io/Logging_2283/klagomål/A 25522-2025 FSC-klagomål.docx", "A 25522-2025")</f>
        <v/>
      </c>
      <c r="W277">
        <f>HYPERLINK("https://klasma.github.io/Logging_2283/klagomålsmail/A 25522-2025 FSC-klagomål mail.docx", "A 25522-2025")</f>
        <v/>
      </c>
      <c r="X277">
        <f>HYPERLINK("https://klasma.github.io/Logging_2283/tillsyn/A 25522-2025 tillsynsbegäran.docx", "A 25522-2025")</f>
        <v/>
      </c>
      <c r="Y277">
        <f>HYPERLINK("https://klasma.github.io/Logging_2283/tillsynsmail/A 25522-2025 tillsynsbegäran mail.docx", "A 25522-2025")</f>
        <v/>
      </c>
    </row>
    <row r="278" ht="15" customHeight="1">
      <c r="A278" t="inlineStr">
        <is>
          <t>A 58314-2024</t>
        </is>
      </c>
      <c r="B278" s="1" t="n">
        <v>45632.61516203704</v>
      </c>
      <c r="C278" s="1" t="n">
        <v>46048</v>
      </c>
      <c r="D278" t="inlineStr">
        <is>
          <t>VÄSTERNORRLANDS LÄN</t>
        </is>
      </c>
      <c r="E278" t="inlineStr">
        <is>
          <t>SOLLEFTEÅ</t>
        </is>
      </c>
      <c r="F278" t="inlineStr">
        <is>
          <t>SCA</t>
        </is>
      </c>
      <c r="G278" t="n">
        <v>3.3</v>
      </c>
      <c r="H278" t="n">
        <v>0</v>
      </c>
      <c r="I278" t="n">
        <v>0</v>
      </c>
      <c r="J278" t="n">
        <v>2</v>
      </c>
      <c r="K278" t="n">
        <v>0</v>
      </c>
      <c r="L278" t="n">
        <v>0</v>
      </c>
      <c r="M278" t="n">
        <v>0</v>
      </c>
      <c r="N278" t="n">
        <v>0</v>
      </c>
      <c r="O278" t="n">
        <v>2</v>
      </c>
      <c r="P278" t="n">
        <v>0</v>
      </c>
      <c r="Q278" t="n">
        <v>2</v>
      </c>
      <c r="R278" s="2" t="inlineStr">
        <is>
          <t>Garnlav
Gränsticka</t>
        </is>
      </c>
      <c r="S278">
        <f>HYPERLINK("https://klasma.github.io/Logging_2283/artfynd/A 58314-2024 artfynd.xlsx", "A 58314-2024")</f>
        <v/>
      </c>
      <c r="T278">
        <f>HYPERLINK("https://klasma.github.io/Logging_2283/kartor/A 58314-2024 karta.png", "A 58314-2024")</f>
        <v/>
      </c>
      <c r="V278">
        <f>HYPERLINK("https://klasma.github.io/Logging_2283/klagomål/A 58314-2024 FSC-klagomål.docx", "A 58314-2024")</f>
        <v/>
      </c>
      <c r="W278">
        <f>HYPERLINK("https://klasma.github.io/Logging_2283/klagomålsmail/A 58314-2024 FSC-klagomål mail.docx", "A 58314-2024")</f>
        <v/>
      </c>
      <c r="X278">
        <f>HYPERLINK("https://klasma.github.io/Logging_2283/tillsyn/A 58314-2024 tillsynsbegäran.docx", "A 58314-2024")</f>
        <v/>
      </c>
      <c r="Y278">
        <f>HYPERLINK("https://klasma.github.io/Logging_2283/tillsynsmail/A 58314-2024 tillsynsbegäran mail.docx", "A 58314-2024")</f>
        <v/>
      </c>
    </row>
    <row r="279" ht="15" customHeight="1">
      <c r="A279" t="inlineStr">
        <is>
          <t>A 48016-2024</t>
        </is>
      </c>
      <c r="B279" s="1" t="n">
        <v>45589.46909722222</v>
      </c>
      <c r="C279" s="1" t="n">
        <v>46048</v>
      </c>
      <c r="D279" t="inlineStr">
        <is>
          <t>VÄSTERNORRLANDS LÄN</t>
        </is>
      </c>
      <c r="E279" t="inlineStr">
        <is>
          <t>SOLLEFTEÅ</t>
        </is>
      </c>
      <c r="F279" t="inlineStr">
        <is>
          <t>SCA</t>
        </is>
      </c>
      <c r="G279" t="n">
        <v>2.6</v>
      </c>
      <c r="H279" t="n">
        <v>1</v>
      </c>
      <c r="I279" t="n">
        <v>0</v>
      </c>
      <c r="J279" t="n">
        <v>2</v>
      </c>
      <c r="K279" t="n">
        <v>0</v>
      </c>
      <c r="L279" t="n">
        <v>0</v>
      </c>
      <c r="M279" t="n">
        <v>0</v>
      </c>
      <c r="N279" t="n">
        <v>0</v>
      </c>
      <c r="O279" t="n">
        <v>2</v>
      </c>
      <c r="P279" t="n">
        <v>0</v>
      </c>
      <c r="Q279" t="n">
        <v>2</v>
      </c>
      <c r="R279" s="2" t="inlineStr">
        <is>
          <t>Järpe
Ullticka</t>
        </is>
      </c>
      <c r="S279">
        <f>HYPERLINK("https://klasma.github.io/Logging_2283/artfynd/A 48016-2024 artfynd.xlsx", "A 48016-2024")</f>
        <v/>
      </c>
      <c r="T279">
        <f>HYPERLINK("https://klasma.github.io/Logging_2283/kartor/A 48016-2024 karta.png", "A 48016-2024")</f>
        <v/>
      </c>
      <c r="V279">
        <f>HYPERLINK("https://klasma.github.io/Logging_2283/klagomål/A 48016-2024 FSC-klagomål.docx", "A 48016-2024")</f>
        <v/>
      </c>
      <c r="W279">
        <f>HYPERLINK("https://klasma.github.io/Logging_2283/klagomålsmail/A 48016-2024 FSC-klagomål mail.docx", "A 48016-2024")</f>
        <v/>
      </c>
      <c r="X279">
        <f>HYPERLINK("https://klasma.github.io/Logging_2283/tillsyn/A 48016-2024 tillsynsbegäran.docx", "A 48016-2024")</f>
        <v/>
      </c>
      <c r="Y279">
        <f>HYPERLINK("https://klasma.github.io/Logging_2283/tillsynsmail/A 48016-2024 tillsynsbegäran mail.docx", "A 48016-2024")</f>
        <v/>
      </c>
      <c r="Z279">
        <f>HYPERLINK("https://klasma.github.io/Logging_2283/fåglar/A 48016-2024 prioriterade fågelarter.docx", "A 48016-2024")</f>
        <v/>
      </c>
    </row>
    <row r="280" ht="15" customHeight="1">
      <c r="A280" t="inlineStr">
        <is>
          <t>A 20836-2021</t>
        </is>
      </c>
      <c r="B280" s="1" t="n">
        <v>44318</v>
      </c>
      <c r="C280" s="1" t="n">
        <v>46048</v>
      </c>
      <c r="D280" t="inlineStr">
        <is>
          <t>VÄSTERNORRLANDS LÄN</t>
        </is>
      </c>
      <c r="E280" t="inlineStr">
        <is>
          <t>SOLLEFTEÅ</t>
        </is>
      </c>
      <c r="F280" t="inlineStr">
        <is>
          <t>SCA</t>
        </is>
      </c>
      <c r="G280" t="n">
        <v>4.8</v>
      </c>
      <c r="H280" t="n">
        <v>1</v>
      </c>
      <c r="I280" t="n">
        <v>0</v>
      </c>
      <c r="J280" t="n">
        <v>2</v>
      </c>
      <c r="K280" t="n">
        <v>0</v>
      </c>
      <c r="L280" t="n">
        <v>0</v>
      </c>
      <c r="M280" t="n">
        <v>0</v>
      </c>
      <c r="N280" t="n">
        <v>0</v>
      </c>
      <c r="O280" t="n">
        <v>2</v>
      </c>
      <c r="P280" t="n">
        <v>0</v>
      </c>
      <c r="Q280" t="n">
        <v>2</v>
      </c>
      <c r="R280" s="2" t="inlineStr">
        <is>
          <t>Garnlav
Talltita</t>
        </is>
      </c>
      <c r="S280">
        <f>HYPERLINK("https://klasma.github.io/Logging_2283/artfynd/A 20836-2021 artfynd.xlsx", "A 20836-2021")</f>
        <v/>
      </c>
      <c r="T280">
        <f>HYPERLINK("https://klasma.github.io/Logging_2283/kartor/A 20836-2021 karta.png", "A 20836-2021")</f>
        <v/>
      </c>
      <c r="V280">
        <f>HYPERLINK("https://klasma.github.io/Logging_2283/klagomål/A 20836-2021 FSC-klagomål.docx", "A 20836-2021")</f>
        <v/>
      </c>
      <c r="W280">
        <f>HYPERLINK("https://klasma.github.io/Logging_2283/klagomålsmail/A 20836-2021 FSC-klagomål mail.docx", "A 20836-2021")</f>
        <v/>
      </c>
      <c r="X280">
        <f>HYPERLINK("https://klasma.github.io/Logging_2283/tillsyn/A 20836-2021 tillsynsbegäran.docx", "A 20836-2021")</f>
        <v/>
      </c>
      <c r="Y280">
        <f>HYPERLINK("https://klasma.github.io/Logging_2283/tillsynsmail/A 20836-2021 tillsynsbegäran mail.docx", "A 20836-2021")</f>
        <v/>
      </c>
      <c r="Z280">
        <f>HYPERLINK("https://klasma.github.io/Logging_2283/fåglar/A 20836-2021 prioriterade fågelarter.docx", "A 20836-2021")</f>
        <v/>
      </c>
    </row>
    <row r="281" ht="15" customHeight="1">
      <c r="A281" t="inlineStr">
        <is>
          <t>A 38017-2024</t>
        </is>
      </c>
      <c r="B281" s="1" t="n">
        <v>45544</v>
      </c>
      <c r="C281" s="1" t="n">
        <v>46048</v>
      </c>
      <c r="D281" t="inlineStr">
        <is>
          <t>VÄSTERNORRLANDS LÄN</t>
        </is>
      </c>
      <c r="E281" t="inlineStr">
        <is>
          <t>SOLLEFTEÅ</t>
        </is>
      </c>
      <c r="F281" t="inlineStr">
        <is>
          <t>SCA</t>
        </is>
      </c>
      <c r="G281" t="n">
        <v>1.9</v>
      </c>
      <c r="H281" t="n">
        <v>0</v>
      </c>
      <c r="I281" t="n">
        <v>1</v>
      </c>
      <c r="J281" t="n">
        <v>1</v>
      </c>
      <c r="K281" t="n">
        <v>0</v>
      </c>
      <c r="L281" t="n">
        <v>0</v>
      </c>
      <c r="M281" t="n">
        <v>0</v>
      </c>
      <c r="N281" t="n">
        <v>0</v>
      </c>
      <c r="O281" t="n">
        <v>1</v>
      </c>
      <c r="P281" t="n">
        <v>0</v>
      </c>
      <c r="Q281" t="n">
        <v>2</v>
      </c>
      <c r="R281" s="2" t="inlineStr">
        <is>
          <t>Garnlav
Bårdlav</t>
        </is>
      </c>
      <c r="S281">
        <f>HYPERLINK("https://klasma.github.io/Logging_2283/artfynd/A 38017-2024 artfynd.xlsx", "A 38017-2024")</f>
        <v/>
      </c>
      <c r="T281">
        <f>HYPERLINK("https://klasma.github.io/Logging_2283/kartor/A 38017-2024 karta.png", "A 38017-2024")</f>
        <v/>
      </c>
      <c r="V281">
        <f>HYPERLINK("https://klasma.github.io/Logging_2283/klagomål/A 38017-2024 FSC-klagomål.docx", "A 38017-2024")</f>
        <v/>
      </c>
      <c r="W281">
        <f>HYPERLINK("https://klasma.github.io/Logging_2283/klagomålsmail/A 38017-2024 FSC-klagomål mail.docx", "A 38017-2024")</f>
        <v/>
      </c>
      <c r="X281">
        <f>HYPERLINK("https://klasma.github.io/Logging_2283/tillsyn/A 38017-2024 tillsynsbegäran.docx", "A 38017-2024")</f>
        <v/>
      </c>
      <c r="Y281">
        <f>HYPERLINK("https://klasma.github.io/Logging_2283/tillsynsmail/A 38017-2024 tillsynsbegäran mail.docx", "A 38017-2024")</f>
        <v/>
      </c>
    </row>
    <row r="282" ht="15" customHeight="1">
      <c r="A282" t="inlineStr">
        <is>
          <t>A 34814-2024</t>
        </is>
      </c>
      <c r="B282" s="1" t="n">
        <v>45526.70703703703</v>
      </c>
      <c r="C282" s="1" t="n">
        <v>46048</v>
      </c>
      <c r="D282" t="inlineStr">
        <is>
          <t>VÄSTERNORRLANDS LÄN</t>
        </is>
      </c>
      <c r="E282" t="inlineStr">
        <is>
          <t>SOLLEFTEÅ</t>
        </is>
      </c>
      <c r="F282" t="inlineStr">
        <is>
          <t>SCA</t>
        </is>
      </c>
      <c r="G282" t="n">
        <v>6.9</v>
      </c>
      <c r="H282" t="n">
        <v>0</v>
      </c>
      <c r="I282" t="n">
        <v>0</v>
      </c>
      <c r="J282" t="n">
        <v>2</v>
      </c>
      <c r="K282" t="n">
        <v>0</v>
      </c>
      <c r="L282" t="n">
        <v>0</v>
      </c>
      <c r="M282" t="n">
        <v>0</v>
      </c>
      <c r="N282" t="n">
        <v>0</v>
      </c>
      <c r="O282" t="n">
        <v>2</v>
      </c>
      <c r="P282" t="n">
        <v>0</v>
      </c>
      <c r="Q282" t="n">
        <v>2</v>
      </c>
      <c r="R282" s="2" t="inlineStr">
        <is>
          <t>Kolflarnlav
Lunglav</t>
        </is>
      </c>
      <c r="S282">
        <f>HYPERLINK("https://klasma.github.io/Logging_2283/artfynd/A 34814-2024 artfynd.xlsx", "A 34814-2024")</f>
        <v/>
      </c>
      <c r="T282">
        <f>HYPERLINK("https://klasma.github.io/Logging_2283/kartor/A 34814-2024 karta.png", "A 34814-2024")</f>
        <v/>
      </c>
      <c r="V282">
        <f>HYPERLINK("https://klasma.github.io/Logging_2283/klagomål/A 34814-2024 FSC-klagomål.docx", "A 34814-2024")</f>
        <v/>
      </c>
      <c r="W282">
        <f>HYPERLINK("https://klasma.github.io/Logging_2283/klagomålsmail/A 34814-2024 FSC-klagomål mail.docx", "A 34814-2024")</f>
        <v/>
      </c>
      <c r="X282">
        <f>HYPERLINK("https://klasma.github.io/Logging_2283/tillsyn/A 34814-2024 tillsynsbegäran.docx", "A 34814-2024")</f>
        <v/>
      </c>
      <c r="Y282">
        <f>HYPERLINK("https://klasma.github.io/Logging_2283/tillsynsmail/A 34814-2024 tillsynsbegäran mail.docx", "A 34814-2024")</f>
        <v/>
      </c>
    </row>
    <row r="283" ht="15" customHeight="1">
      <c r="A283" t="inlineStr">
        <is>
          <t>A 17377-2021</t>
        </is>
      </c>
      <c r="B283" s="1" t="n">
        <v>44298</v>
      </c>
      <c r="C283" s="1" t="n">
        <v>46048</v>
      </c>
      <c r="D283" t="inlineStr">
        <is>
          <t>VÄSTERNORRLANDS LÄN</t>
        </is>
      </c>
      <c r="E283" t="inlineStr">
        <is>
          <t>SOLLEFTEÅ</t>
        </is>
      </c>
      <c r="G283" t="n">
        <v>5.1</v>
      </c>
      <c r="H283" t="n">
        <v>1</v>
      </c>
      <c r="I283" t="n">
        <v>0</v>
      </c>
      <c r="J283" t="n">
        <v>2</v>
      </c>
      <c r="K283" t="n">
        <v>0</v>
      </c>
      <c r="L283" t="n">
        <v>0</v>
      </c>
      <c r="M283" t="n">
        <v>0</v>
      </c>
      <c r="N283" t="n">
        <v>0</v>
      </c>
      <c r="O283" t="n">
        <v>2</v>
      </c>
      <c r="P283" t="n">
        <v>0</v>
      </c>
      <c r="Q283" t="n">
        <v>2</v>
      </c>
      <c r="R283" s="2" t="inlineStr">
        <is>
          <t>Tretåig hackspett
Ullticka</t>
        </is>
      </c>
      <c r="S283">
        <f>HYPERLINK("https://klasma.github.io/Logging_2283/artfynd/A 17377-2021 artfynd.xlsx", "A 17377-2021")</f>
        <v/>
      </c>
      <c r="T283">
        <f>HYPERLINK("https://klasma.github.io/Logging_2283/kartor/A 17377-2021 karta.png", "A 17377-2021")</f>
        <v/>
      </c>
      <c r="V283">
        <f>HYPERLINK("https://klasma.github.io/Logging_2283/klagomål/A 17377-2021 FSC-klagomål.docx", "A 17377-2021")</f>
        <v/>
      </c>
      <c r="W283">
        <f>HYPERLINK("https://klasma.github.io/Logging_2283/klagomålsmail/A 17377-2021 FSC-klagomål mail.docx", "A 17377-2021")</f>
        <v/>
      </c>
      <c r="X283">
        <f>HYPERLINK("https://klasma.github.io/Logging_2283/tillsyn/A 17377-2021 tillsynsbegäran.docx", "A 17377-2021")</f>
        <v/>
      </c>
      <c r="Y283">
        <f>HYPERLINK("https://klasma.github.io/Logging_2283/tillsynsmail/A 17377-2021 tillsynsbegäran mail.docx", "A 17377-2021")</f>
        <v/>
      </c>
      <c r="Z283">
        <f>HYPERLINK("https://klasma.github.io/Logging_2283/fåglar/A 17377-2021 prioriterade fågelarter.docx", "A 17377-2021")</f>
        <v/>
      </c>
    </row>
    <row r="284" ht="15" customHeight="1">
      <c r="A284" t="inlineStr">
        <is>
          <t>A 54153-2021</t>
        </is>
      </c>
      <c r="B284" s="1" t="n">
        <v>44469</v>
      </c>
      <c r="C284" s="1" t="n">
        <v>46048</v>
      </c>
      <c r="D284" t="inlineStr">
        <is>
          <t>VÄSTERNORRLANDS LÄN</t>
        </is>
      </c>
      <c r="E284" t="inlineStr">
        <is>
          <t>SOLLEFTEÅ</t>
        </is>
      </c>
      <c r="G284" t="n">
        <v>1.4</v>
      </c>
      <c r="H284" t="n">
        <v>0</v>
      </c>
      <c r="I284" t="n">
        <v>0</v>
      </c>
      <c r="J284" t="n">
        <v>2</v>
      </c>
      <c r="K284" t="n">
        <v>0</v>
      </c>
      <c r="L284" t="n">
        <v>0</v>
      </c>
      <c r="M284" t="n">
        <v>0</v>
      </c>
      <c r="N284" t="n">
        <v>0</v>
      </c>
      <c r="O284" t="n">
        <v>2</v>
      </c>
      <c r="P284" t="n">
        <v>0</v>
      </c>
      <c r="Q284" t="n">
        <v>2</v>
      </c>
      <c r="R284" s="2" t="inlineStr">
        <is>
          <t>Garnlav
Rosenticka</t>
        </is>
      </c>
      <c r="S284">
        <f>HYPERLINK("https://klasma.github.io/Logging_2283/artfynd/A 54153-2021 artfynd.xlsx", "A 54153-2021")</f>
        <v/>
      </c>
      <c r="T284">
        <f>HYPERLINK("https://klasma.github.io/Logging_2283/kartor/A 54153-2021 karta.png", "A 54153-2021")</f>
        <v/>
      </c>
      <c r="V284">
        <f>HYPERLINK("https://klasma.github.io/Logging_2283/klagomål/A 54153-2021 FSC-klagomål.docx", "A 54153-2021")</f>
        <v/>
      </c>
      <c r="W284">
        <f>HYPERLINK("https://klasma.github.io/Logging_2283/klagomålsmail/A 54153-2021 FSC-klagomål mail.docx", "A 54153-2021")</f>
        <v/>
      </c>
      <c r="X284">
        <f>HYPERLINK("https://klasma.github.io/Logging_2283/tillsyn/A 54153-2021 tillsynsbegäran.docx", "A 54153-2021")</f>
        <v/>
      </c>
      <c r="Y284">
        <f>HYPERLINK("https://klasma.github.io/Logging_2283/tillsynsmail/A 54153-2021 tillsynsbegäran mail.docx", "A 54153-2021")</f>
        <v/>
      </c>
    </row>
    <row r="285" ht="15" customHeight="1">
      <c r="A285" t="inlineStr">
        <is>
          <t>A 27983-2021</t>
        </is>
      </c>
      <c r="B285" s="1" t="n">
        <v>44354</v>
      </c>
      <c r="C285" s="1" t="n">
        <v>46048</v>
      </c>
      <c r="D285" t="inlineStr">
        <is>
          <t>VÄSTERNORRLANDS LÄN</t>
        </is>
      </c>
      <c r="E285" t="inlineStr">
        <is>
          <t>SOLLEFTEÅ</t>
        </is>
      </c>
      <c r="F285" t="inlineStr">
        <is>
          <t>SCA</t>
        </is>
      </c>
      <c r="G285" t="n">
        <v>5.4</v>
      </c>
      <c r="H285" t="n">
        <v>0</v>
      </c>
      <c r="I285" t="n">
        <v>0</v>
      </c>
      <c r="J285" t="n">
        <v>2</v>
      </c>
      <c r="K285" t="n">
        <v>0</v>
      </c>
      <c r="L285" t="n">
        <v>0</v>
      </c>
      <c r="M285" t="n">
        <v>0</v>
      </c>
      <c r="N285" t="n">
        <v>0</v>
      </c>
      <c r="O285" t="n">
        <v>2</v>
      </c>
      <c r="P285" t="n">
        <v>0</v>
      </c>
      <c r="Q285" t="n">
        <v>2</v>
      </c>
      <c r="R285" s="2" t="inlineStr">
        <is>
          <t>Rosenticka
Ullticka</t>
        </is>
      </c>
      <c r="S285">
        <f>HYPERLINK("https://klasma.github.io/Logging_2283/artfynd/A 27983-2021 artfynd.xlsx", "A 27983-2021")</f>
        <v/>
      </c>
      <c r="T285">
        <f>HYPERLINK("https://klasma.github.io/Logging_2283/kartor/A 27983-2021 karta.png", "A 27983-2021")</f>
        <v/>
      </c>
      <c r="V285">
        <f>HYPERLINK("https://klasma.github.io/Logging_2283/klagomål/A 27983-2021 FSC-klagomål.docx", "A 27983-2021")</f>
        <v/>
      </c>
      <c r="W285">
        <f>HYPERLINK("https://klasma.github.io/Logging_2283/klagomålsmail/A 27983-2021 FSC-klagomål mail.docx", "A 27983-2021")</f>
        <v/>
      </c>
      <c r="X285">
        <f>HYPERLINK("https://klasma.github.io/Logging_2283/tillsyn/A 27983-2021 tillsynsbegäran.docx", "A 27983-2021")</f>
        <v/>
      </c>
      <c r="Y285">
        <f>HYPERLINK("https://klasma.github.io/Logging_2283/tillsynsmail/A 27983-2021 tillsynsbegäran mail.docx", "A 27983-2021")</f>
        <v/>
      </c>
    </row>
    <row r="286" ht="15" customHeight="1">
      <c r="A286" t="inlineStr">
        <is>
          <t>A 20347-2025</t>
        </is>
      </c>
      <c r="B286" s="1" t="n">
        <v>45775</v>
      </c>
      <c r="C286" s="1" t="n">
        <v>46048</v>
      </c>
      <c r="D286" t="inlineStr">
        <is>
          <t>VÄSTERNORRLANDS LÄN</t>
        </is>
      </c>
      <c r="E286" t="inlineStr">
        <is>
          <t>SOLLEFTEÅ</t>
        </is>
      </c>
      <c r="G286" t="n">
        <v>8.699999999999999</v>
      </c>
      <c r="H286" t="n">
        <v>1</v>
      </c>
      <c r="I286" t="n">
        <v>1</v>
      </c>
      <c r="J286" t="n">
        <v>0</v>
      </c>
      <c r="K286" t="n">
        <v>0</v>
      </c>
      <c r="L286" t="n">
        <v>0</v>
      </c>
      <c r="M286" t="n">
        <v>0</v>
      </c>
      <c r="N286" t="n">
        <v>0</v>
      </c>
      <c r="O286" t="n">
        <v>0</v>
      </c>
      <c r="P286" t="n">
        <v>0</v>
      </c>
      <c r="Q286" t="n">
        <v>2</v>
      </c>
      <c r="R286" s="2" t="inlineStr">
        <is>
          <t>Gräsull
Fläcknycklar</t>
        </is>
      </c>
      <c r="S286">
        <f>HYPERLINK("https://klasma.github.io/Logging_2283/artfynd/A 20347-2025 artfynd.xlsx", "A 20347-2025")</f>
        <v/>
      </c>
      <c r="T286">
        <f>HYPERLINK("https://klasma.github.io/Logging_2283/kartor/A 20347-2025 karta.png", "A 20347-2025")</f>
        <v/>
      </c>
      <c r="V286">
        <f>HYPERLINK("https://klasma.github.io/Logging_2283/klagomål/A 20347-2025 FSC-klagomål.docx", "A 20347-2025")</f>
        <v/>
      </c>
      <c r="W286">
        <f>HYPERLINK("https://klasma.github.io/Logging_2283/klagomålsmail/A 20347-2025 FSC-klagomål mail.docx", "A 20347-2025")</f>
        <v/>
      </c>
      <c r="X286">
        <f>HYPERLINK("https://klasma.github.io/Logging_2283/tillsyn/A 20347-2025 tillsynsbegäran.docx", "A 20347-2025")</f>
        <v/>
      </c>
      <c r="Y286">
        <f>HYPERLINK("https://klasma.github.io/Logging_2283/tillsynsmail/A 20347-2025 tillsynsbegäran mail.docx", "A 20347-2025")</f>
        <v/>
      </c>
    </row>
    <row r="287" ht="15" customHeight="1">
      <c r="A287" t="inlineStr">
        <is>
          <t>A 30972-2025</t>
        </is>
      </c>
      <c r="B287" s="1" t="n">
        <v>45832.4615625</v>
      </c>
      <c r="C287" s="1" t="n">
        <v>46048</v>
      </c>
      <c r="D287" t="inlineStr">
        <is>
          <t>VÄSTERNORRLANDS LÄN</t>
        </is>
      </c>
      <c r="E287" t="inlineStr">
        <is>
          <t>SOLLEFTEÅ</t>
        </is>
      </c>
      <c r="G287" t="n">
        <v>0.6</v>
      </c>
      <c r="H287" t="n">
        <v>0</v>
      </c>
      <c r="I287" t="n">
        <v>0</v>
      </c>
      <c r="J287" t="n">
        <v>2</v>
      </c>
      <c r="K287" t="n">
        <v>0</v>
      </c>
      <c r="L287" t="n">
        <v>0</v>
      </c>
      <c r="M287" t="n">
        <v>0</v>
      </c>
      <c r="N287" t="n">
        <v>0</v>
      </c>
      <c r="O287" t="n">
        <v>2</v>
      </c>
      <c r="P287" t="n">
        <v>0</v>
      </c>
      <c r="Q287" t="n">
        <v>2</v>
      </c>
      <c r="R287" s="2" t="inlineStr">
        <is>
          <t>Rosenticka
Ullticka</t>
        </is>
      </c>
      <c r="S287">
        <f>HYPERLINK("https://klasma.github.io/Logging_2283/artfynd/A 30972-2025 artfynd.xlsx", "A 30972-2025")</f>
        <v/>
      </c>
      <c r="T287">
        <f>HYPERLINK("https://klasma.github.io/Logging_2283/kartor/A 30972-2025 karta.png", "A 30972-2025")</f>
        <v/>
      </c>
      <c r="V287">
        <f>HYPERLINK("https://klasma.github.io/Logging_2283/klagomål/A 30972-2025 FSC-klagomål.docx", "A 30972-2025")</f>
        <v/>
      </c>
      <c r="W287">
        <f>HYPERLINK("https://klasma.github.io/Logging_2283/klagomålsmail/A 30972-2025 FSC-klagomål mail.docx", "A 30972-2025")</f>
        <v/>
      </c>
      <c r="X287">
        <f>HYPERLINK("https://klasma.github.io/Logging_2283/tillsyn/A 30972-2025 tillsynsbegäran.docx", "A 30972-2025")</f>
        <v/>
      </c>
      <c r="Y287">
        <f>HYPERLINK("https://klasma.github.io/Logging_2283/tillsynsmail/A 30972-2025 tillsynsbegäran mail.docx", "A 30972-2025")</f>
        <v/>
      </c>
    </row>
    <row r="288" ht="15" customHeight="1">
      <c r="A288" t="inlineStr">
        <is>
          <t>A 31503-2025</t>
        </is>
      </c>
      <c r="B288" s="1" t="n">
        <v>45833.59417824074</v>
      </c>
      <c r="C288" s="1" t="n">
        <v>46048</v>
      </c>
      <c r="D288" t="inlineStr">
        <is>
          <t>VÄSTERNORRLANDS LÄN</t>
        </is>
      </c>
      <c r="E288" t="inlineStr">
        <is>
          <t>SOLLEFTEÅ</t>
        </is>
      </c>
      <c r="F288" t="inlineStr">
        <is>
          <t>SCA</t>
        </is>
      </c>
      <c r="G288" t="n">
        <v>22.8</v>
      </c>
      <c r="H288" t="n">
        <v>2</v>
      </c>
      <c r="I288" t="n">
        <v>1</v>
      </c>
      <c r="J288" t="n">
        <v>0</v>
      </c>
      <c r="K288" t="n">
        <v>1</v>
      </c>
      <c r="L288" t="n">
        <v>0</v>
      </c>
      <c r="M288" t="n">
        <v>0</v>
      </c>
      <c r="N288" t="n">
        <v>0</v>
      </c>
      <c r="O288" t="n">
        <v>1</v>
      </c>
      <c r="P288" t="n">
        <v>1</v>
      </c>
      <c r="Q288" t="n">
        <v>2</v>
      </c>
      <c r="R288" s="2" t="inlineStr">
        <is>
          <t>Knärot
Plattlummer</t>
        </is>
      </c>
      <c r="S288">
        <f>HYPERLINK("https://klasma.github.io/Logging_2283/artfynd/A 31503-2025 artfynd.xlsx", "A 31503-2025")</f>
        <v/>
      </c>
      <c r="T288">
        <f>HYPERLINK("https://klasma.github.io/Logging_2283/kartor/A 31503-2025 karta.png", "A 31503-2025")</f>
        <v/>
      </c>
      <c r="U288">
        <f>HYPERLINK("https://klasma.github.io/Logging_2283/knärot/A 31503-2025 karta knärot.png", "A 31503-2025")</f>
        <v/>
      </c>
      <c r="V288">
        <f>HYPERLINK("https://klasma.github.io/Logging_2283/klagomål/A 31503-2025 FSC-klagomål.docx", "A 31503-2025")</f>
        <v/>
      </c>
      <c r="W288">
        <f>HYPERLINK("https://klasma.github.io/Logging_2283/klagomålsmail/A 31503-2025 FSC-klagomål mail.docx", "A 31503-2025")</f>
        <v/>
      </c>
      <c r="X288">
        <f>HYPERLINK("https://klasma.github.io/Logging_2283/tillsyn/A 31503-2025 tillsynsbegäran.docx", "A 31503-2025")</f>
        <v/>
      </c>
      <c r="Y288">
        <f>HYPERLINK("https://klasma.github.io/Logging_2283/tillsynsmail/A 31503-2025 tillsynsbegäran mail.docx", "A 31503-2025")</f>
        <v/>
      </c>
    </row>
    <row r="289" ht="15" customHeight="1">
      <c r="A289" t="inlineStr">
        <is>
          <t>A 32738-2025</t>
        </is>
      </c>
      <c r="B289" s="1" t="n">
        <v>45839.41827546297</v>
      </c>
      <c r="C289" s="1" t="n">
        <v>46048</v>
      </c>
      <c r="D289" t="inlineStr">
        <is>
          <t>VÄSTERNORRLANDS LÄN</t>
        </is>
      </c>
      <c r="E289" t="inlineStr">
        <is>
          <t>SOLLEFTEÅ</t>
        </is>
      </c>
      <c r="G289" t="n">
        <v>3.1</v>
      </c>
      <c r="H289" t="n">
        <v>2</v>
      </c>
      <c r="I289" t="n">
        <v>0</v>
      </c>
      <c r="J289" t="n">
        <v>1</v>
      </c>
      <c r="K289" t="n">
        <v>0</v>
      </c>
      <c r="L289" t="n">
        <v>0</v>
      </c>
      <c r="M289" t="n">
        <v>0</v>
      </c>
      <c r="N289" t="n">
        <v>0</v>
      </c>
      <c r="O289" t="n">
        <v>1</v>
      </c>
      <c r="P289" t="n">
        <v>0</v>
      </c>
      <c r="Q289" t="n">
        <v>2</v>
      </c>
      <c r="R289" s="2" t="inlineStr">
        <is>
          <t>Spillkråka
Tjäder</t>
        </is>
      </c>
      <c r="S289">
        <f>HYPERLINK("https://klasma.github.io/Logging_2283/artfynd/A 32738-2025 artfynd.xlsx", "A 32738-2025")</f>
        <v/>
      </c>
      <c r="T289">
        <f>HYPERLINK("https://klasma.github.io/Logging_2283/kartor/A 32738-2025 karta.png", "A 32738-2025")</f>
        <v/>
      </c>
      <c r="V289">
        <f>HYPERLINK("https://klasma.github.io/Logging_2283/klagomål/A 32738-2025 FSC-klagomål.docx", "A 32738-2025")</f>
        <v/>
      </c>
      <c r="W289">
        <f>HYPERLINK("https://klasma.github.io/Logging_2283/klagomålsmail/A 32738-2025 FSC-klagomål mail.docx", "A 32738-2025")</f>
        <v/>
      </c>
      <c r="X289">
        <f>HYPERLINK("https://klasma.github.io/Logging_2283/tillsyn/A 32738-2025 tillsynsbegäran.docx", "A 32738-2025")</f>
        <v/>
      </c>
      <c r="Y289">
        <f>HYPERLINK("https://klasma.github.io/Logging_2283/tillsynsmail/A 32738-2025 tillsynsbegäran mail.docx", "A 32738-2025")</f>
        <v/>
      </c>
      <c r="Z289">
        <f>HYPERLINK("https://klasma.github.io/Logging_2283/fåglar/A 32738-2025 prioriterade fågelarter.docx", "A 32738-2025")</f>
        <v/>
      </c>
    </row>
    <row r="290" ht="15" customHeight="1">
      <c r="A290" t="inlineStr">
        <is>
          <t>A 20329-2025</t>
        </is>
      </c>
      <c r="B290" s="1" t="n">
        <v>45775</v>
      </c>
      <c r="C290" s="1" t="n">
        <v>46048</v>
      </c>
      <c r="D290" t="inlineStr">
        <is>
          <t>VÄSTERNORRLANDS LÄN</t>
        </is>
      </c>
      <c r="E290" t="inlineStr">
        <is>
          <t>SOLLEFTEÅ</t>
        </is>
      </c>
      <c r="G290" t="n">
        <v>9.5</v>
      </c>
      <c r="H290" t="n">
        <v>2</v>
      </c>
      <c r="I290" t="n">
        <v>1</v>
      </c>
      <c r="J290" t="n">
        <v>0</v>
      </c>
      <c r="K290" t="n">
        <v>0</v>
      </c>
      <c r="L290" t="n">
        <v>0</v>
      </c>
      <c r="M290" t="n">
        <v>0</v>
      </c>
      <c r="N290" t="n">
        <v>0</v>
      </c>
      <c r="O290" t="n">
        <v>0</v>
      </c>
      <c r="P290" t="n">
        <v>0</v>
      </c>
      <c r="Q290" t="n">
        <v>2</v>
      </c>
      <c r="R290" s="2" t="inlineStr">
        <is>
          <t>Tvåblad
Fläcknycklar</t>
        </is>
      </c>
      <c r="S290">
        <f>HYPERLINK("https://klasma.github.io/Logging_2283/artfynd/A 20329-2025 artfynd.xlsx", "A 20329-2025")</f>
        <v/>
      </c>
      <c r="T290">
        <f>HYPERLINK("https://klasma.github.io/Logging_2283/kartor/A 20329-2025 karta.png", "A 20329-2025")</f>
        <v/>
      </c>
      <c r="V290">
        <f>HYPERLINK("https://klasma.github.io/Logging_2283/klagomål/A 20329-2025 FSC-klagomål.docx", "A 20329-2025")</f>
        <v/>
      </c>
      <c r="W290">
        <f>HYPERLINK("https://klasma.github.io/Logging_2283/klagomålsmail/A 20329-2025 FSC-klagomål mail.docx", "A 20329-2025")</f>
        <v/>
      </c>
      <c r="X290">
        <f>HYPERLINK("https://klasma.github.io/Logging_2283/tillsyn/A 20329-2025 tillsynsbegäran.docx", "A 20329-2025")</f>
        <v/>
      </c>
      <c r="Y290">
        <f>HYPERLINK("https://klasma.github.io/Logging_2283/tillsynsmail/A 20329-2025 tillsynsbegäran mail.docx", "A 20329-2025")</f>
        <v/>
      </c>
    </row>
    <row r="291" ht="15" customHeight="1">
      <c r="A291" t="inlineStr">
        <is>
          <t>A 50751-2024</t>
        </is>
      </c>
      <c r="B291" s="1" t="n">
        <v>45602</v>
      </c>
      <c r="C291" s="1" t="n">
        <v>46048</v>
      </c>
      <c r="D291" t="inlineStr">
        <is>
          <t>VÄSTERNORRLANDS LÄN</t>
        </is>
      </c>
      <c r="E291" t="inlineStr">
        <is>
          <t>SOLLEFTEÅ</t>
        </is>
      </c>
      <c r="G291" t="n">
        <v>4.4</v>
      </c>
      <c r="H291" t="n">
        <v>0</v>
      </c>
      <c r="I291" t="n">
        <v>1</v>
      </c>
      <c r="J291" t="n">
        <v>1</v>
      </c>
      <c r="K291" t="n">
        <v>0</v>
      </c>
      <c r="L291" t="n">
        <v>0</v>
      </c>
      <c r="M291" t="n">
        <v>0</v>
      </c>
      <c r="N291" t="n">
        <v>0</v>
      </c>
      <c r="O291" t="n">
        <v>1</v>
      </c>
      <c r="P291" t="n">
        <v>0</v>
      </c>
      <c r="Q291" t="n">
        <v>2</v>
      </c>
      <c r="R291" s="2" t="inlineStr">
        <is>
          <t>Garnlav
Norrlandslav</t>
        </is>
      </c>
      <c r="S291">
        <f>HYPERLINK("https://klasma.github.io/Logging_2283/artfynd/A 50751-2024 artfynd.xlsx", "A 50751-2024")</f>
        <v/>
      </c>
      <c r="T291">
        <f>HYPERLINK("https://klasma.github.io/Logging_2283/kartor/A 50751-2024 karta.png", "A 50751-2024")</f>
        <v/>
      </c>
      <c r="V291">
        <f>HYPERLINK("https://klasma.github.io/Logging_2283/klagomål/A 50751-2024 FSC-klagomål.docx", "A 50751-2024")</f>
        <v/>
      </c>
      <c r="W291">
        <f>HYPERLINK("https://klasma.github.io/Logging_2283/klagomålsmail/A 50751-2024 FSC-klagomål mail.docx", "A 50751-2024")</f>
        <v/>
      </c>
      <c r="X291">
        <f>HYPERLINK("https://klasma.github.io/Logging_2283/tillsyn/A 50751-2024 tillsynsbegäran.docx", "A 50751-2024")</f>
        <v/>
      </c>
      <c r="Y291">
        <f>HYPERLINK("https://klasma.github.io/Logging_2283/tillsynsmail/A 50751-2024 tillsynsbegäran mail.docx", "A 50751-2024")</f>
        <v/>
      </c>
    </row>
    <row r="292" ht="15" customHeight="1">
      <c r="A292" t="inlineStr">
        <is>
          <t>A 36912-2024</t>
        </is>
      </c>
      <c r="B292" s="1" t="n">
        <v>45538.63604166666</v>
      </c>
      <c r="C292" s="1" t="n">
        <v>46048</v>
      </c>
      <c r="D292" t="inlineStr">
        <is>
          <t>VÄSTERNORRLANDS LÄN</t>
        </is>
      </c>
      <c r="E292" t="inlineStr">
        <is>
          <t>SOLLEFTEÅ</t>
        </is>
      </c>
      <c r="F292" t="inlineStr">
        <is>
          <t>SCA</t>
        </is>
      </c>
      <c r="G292" t="n">
        <v>2</v>
      </c>
      <c r="H292" t="n">
        <v>1</v>
      </c>
      <c r="I292" t="n">
        <v>0</v>
      </c>
      <c r="J292" t="n">
        <v>2</v>
      </c>
      <c r="K292" t="n">
        <v>0</v>
      </c>
      <c r="L292" t="n">
        <v>0</v>
      </c>
      <c r="M292" t="n">
        <v>0</v>
      </c>
      <c r="N292" t="n">
        <v>0</v>
      </c>
      <c r="O292" t="n">
        <v>2</v>
      </c>
      <c r="P292" t="n">
        <v>0</v>
      </c>
      <c r="Q292" t="n">
        <v>2</v>
      </c>
      <c r="R292" s="2" t="inlineStr">
        <is>
          <t>Talltita
Ullticka</t>
        </is>
      </c>
      <c r="S292">
        <f>HYPERLINK("https://klasma.github.io/Logging_2283/artfynd/A 36912-2024 artfynd.xlsx", "A 36912-2024")</f>
        <v/>
      </c>
      <c r="T292">
        <f>HYPERLINK("https://klasma.github.io/Logging_2283/kartor/A 36912-2024 karta.png", "A 36912-2024")</f>
        <v/>
      </c>
      <c r="V292">
        <f>HYPERLINK("https://klasma.github.io/Logging_2283/klagomål/A 36912-2024 FSC-klagomål.docx", "A 36912-2024")</f>
        <v/>
      </c>
      <c r="W292">
        <f>HYPERLINK("https://klasma.github.io/Logging_2283/klagomålsmail/A 36912-2024 FSC-klagomål mail.docx", "A 36912-2024")</f>
        <v/>
      </c>
      <c r="X292">
        <f>HYPERLINK("https://klasma.github.io/Logging_2283/tillsyn/A 36912-2024 tillsynsbegäran.docx", "A 36912-2024")</f>
        <v/>
      </c>
      <c r="Y292">
        <f>HYPERLINK("https://klasma.github.io/Logging_2283/tillsynsmail/A 36912-2024 tillsynsbegäran mail.docx", "A 36912-2024")</f>
        <v/>
      </c>
      <c r="Z292">
        <f>HYPERLINK("https://klasma.github.io/Logging_2283/fåglar/A 36912-2024 prioriterade fågelarter.docx", "A 36912-2024")</f>
        <v/>
      </c>
    </row>
    <row r="293" ht="15" customHeight="1">
      <c r="A293" t="inlineStr">
        <is>
          <t>A 46630-2022</t>
        </is>
      </c>
      <c r="B293" s="1" t="n">
        <v>44848</v>
      </c>
      <c r="C293" s="1" t="n">
        <v>46048</v>
      </c>
      <c r="D293" t="inlineStr">
        <is>
          <t>VÄSTERNORRLANDS LÄN</t>
        </is>
      </c>
      <c r="E293" t="inlineStr">
        <is>
          <t>SOLLEFTEÅ</t>
        </is>
      </c>
      <c r="F293" t="inlineStr">
        <is>
          <t>SCA</t>
        </is>
      </c>
      <c r="G293" t="n">
        <v>3.1</v>
      </c>
      <c r="H293" t="n">
        <v>2</v>
      </c>
      <c r="I293" t="n">
        <v>0</v>
      </c>
      <c r="J293" t="n">
        <v>1</v>
      </c>
      <c r="K293" t="n">
        <v>1</v>
      </c>
      <c r="L293" t="n">
        <v>0</v>
      </c>
      <c r="M293" t="n">
        <v>0</v>
      </c>
      <c r="N293" t="n">
        <v>0</v>
      </c>
      <c r="O293" t="n">
        <v>2</v>
      </c>
      <c r="P293" t="n">
        <v>1</v>
      </c>
      <c r="Q293" t="n">
        <v>2</v>
      </c>
      <c r="R293" s="2" t="inlineStr">
        <is>
          <t>Knärot
Tretåig hackspett</t>
        </is>
      </c>
      <c r="S293">
        <f>HYPERLINK("https://klasma.github.io/Logging_2283/artfynd/A 46630-2022 artfynd.xlsx", "A 46630-2022")</f>
        <v/>
      </c>
      <c r="T293">
        <f>HYPERLINK("https://klasma.github.io/Logging_2283/kartor/A 46630-2022 karta.png", "A 46630-2022")</f>
        <v/>
      </c>
      <c r="U293">
        <f>HYPERLINK("https://klasma.github.io/Logging_2283/knärot/A 46630-2022 karta knärot.png", "A 46630-2022")</f>
        <v/>
      </c>
      <c r="V293">
        <f>HYPERLINK("https://klasma.github.io/Logging_2283/klagomål/A 46630-2022 FSC-klagomål.docx", "A 46630-2022")</f>
        <v/>
      </c>
      <c r="W293">
        <f>HYPERLINK("https://klasma.github.io/Logging_2283/klagomålsmail/A 46630-2022 FSC-klagomål mail.docx", "A 46630-2022")</f>
        <v/>
      </c>
      <c r="X293">
        <f>HYPERLINK("https://klasma.github.io/Logging_2283/tillsyn/A 46630-2022 tillsynsbegäran.docx", "A 46630-2022")</f>
        <v/>
      </c>
      <c r="Y293">
        <f>HYPERLINK("https://klasma.github.io/Logging_2283/tillsynsmail/A 46630-2022 tillsynsbegäran mail.docx", "A 46630-2022")</f>
        <v/>
      </c>
      <c r="Z293">
        <f>HYPERLINK("https://klasma.github.io/Logging_2283/fåglar/A 46630-2022 prioriterade fågelarter.docx", "A 46630-2022")</f>
        <v/>
      </c>
    </row>
    <row r="294" ht="15" customHeight="1">
      <c r="A294" t="inlineStr">
        <is>
          <t>A 36563-2025</t>
        </is>
      </c>
      <c r="B294" s="1" t="n">
        <v>45870.37332175926</v>
      </c>
      <c r="C294" s="1" t="n">
        <v>46048</v>
      </c>
      <c r="D294" t="inlineStr">
        <is>
          <t>VÄSTERNORRLANDS LÄN</t>
        </is>
      </c>
      <c r="E294" t="inlineStr">
        <is>
          <t>SOLLEFTEÅ</t>
        </is>
      </c>
      <c r="G294" t="n">
        <v>5.9</v>
      </c>
      <c r="H294" t="n">
        <v>1</v>
      </c>
      <c r="I294" t="n">
        <v>0</v>
      </c>
      <c r="J294" t="n">
        <v>0</v>
      </c>
      <c r="K294" t="n">
        <v>0</v>
      </c>
      <c r="L294" t="n">
        <v>1</v>
      </c>
      <c r="M294" t="n">
        <v>0</v>
      </c>
      <c r="N294" t="n">
        <v>0</v>
      </c>
      <c r="O294" t="n">
        <v>1</v>
      </c>
      <c r="P294" t="n">
        <v>1</v>
      </c>
      <c r="Q294" t="n">
        <v>2</v>
      </c>
      <c r="R294" s="2" t="inlineStr">
        <is>
          <t>Fältgentiana
Fläcknycklar</t>
        </is>
      </c>
      <c r="S294">
        <f>HYPERLINK("https://klasma.github.io/Logging_2283/artfynd/A 36563-2025 artfynd.xlsx", "A 36563-2025")</f>
        <v/>
      </c>
      <c r="T294">
        <f>HYPERLINK("https://klasma.github.io/Logging_2283/kartor/A 36563-2025 karta.png", "A 36563-2025")</f>
        <v/>
      </c>
      <c r="V294">
        <f>HYPERLINK("https://klasma.github.io/Logging_2283/klagomål/A 36563-2025 FSC-klagomål.docx", "A 36563-2025")</f>
        <v/>
      </c>
      <c r="W294">
        <f>HYPERLINK("https://klasma.github.io/Logging_2283/klagomålsmail/A 36563-2025 FSC-klagomål mail.docx", "A 36563-2025")</f>
        <v/>
      </c>
      <c r="X294">
        <f>HYPERLINK("https://klasma.github.io/Logging_2283/tillsyn/A 36563-2025 tillsynsbegäran.docx", "A 36563-2025")</f>
        <v/>
      </c>
      <c r="Y294">
        <f>HYPERLINK("https://klasma.github.io/Logging_2283/tillsynsmail/A 36563-2025 tillsynsbegäran mail.docx", "A 36563-2025")</f>
        <v/>
      </c>
    </row>
    <row r="295" ht="15" customHeight="1">
      <c r="A295" t="inlineStr">
        <is>
          <t>A 7108-2024</t>
        </is>
      </c>
      <c r="B295" s="1" t="n">
        <v>45343</v>
      </c>
      <c r="C295" s="1" t="n">
        <v>46048</v>
      </c>
      <c r="D295" t="inlineStr">
        <is>
          <t>VÄSTERNORRLANDS LÄN</t>
        </is>
      </c>
      <c r="E295" t="inlineStr">
        <is>
          <t>SOLLEFTEÅ</t>
        </is>
      </c>
      <c r="F295" t="inlineStr">
        <is>
          <t>SCA</t>
        </is>
      </c>
      <c r="G295" t="n">
        <v>3.8</v>
      </c>
      <c r="H295" t="n">
        <v>2</v>
      </c>
      <c r="I295" t="n">
        <v>0</v>
      </c>
      <c r="J295" t="n">
        <v>1</v>
      </c>
      <c r="K295" t="n">
        <v>0</v>
      </c>
      <c r="L295" t="n">
        <v>0</v>
      </c>
      <c r="M295" t="n">
        <v>0</v>
      </c>
      <c r="N295" t="n">
        <v>0</v>
      </c>
      <c r="O295" t="n">
        <v>1</v>
      </c>
      <c r="P295" t="n">
        <v>0</v>
      </c>
      <c r="Q295" t="n">
        <v>2</v>
      </c>
      <c r="R295" s="2" t="inlineStr">
        <is>
          <t>Nordfladdermus
Vattenfladdermus</t>
        </is>
      </c>
      <c r="S295">
        <f>HYPERLINK("https://klasma.github.io/Logging_2283/artfynd/A 7108-2024 artfynd.xlsx", "A 7108-2024")</f>
        <v/>
      </c>
      <c r="T295">
        <f>HYPERLINK("https://klasma.github.io/Logging_2283/kartor/A 7108-2024 karta.png", "A 7108-2024")</f>
        <v/>
      </c>
      <c r="V295">
        <f>HYPERLINK("https://klasma.github.io/Logging_2283/klagomål/A 7108-2024 FSC-klagomål.docx", "A 7108-2024")</f>
        <v/>
      </c>
      <c r="W295">
        <f>HYPERLINK("https://klasma.github.io/Logging_2283/klagomålsmail/A 7108-2024 FSC-klagomål mail.docx", "A 7108-2024")</f>
        <v/>
      </c>
      <c r="X295">
        <f>HYPERLINK("https://klasma.github.io/Logging_2283/tillsyn/A 7108-2024 tillsynsbegäran.docx", "A 7108-2024")</f>
        <v/>
      </c>
      <c r="Y295">
        <f>HYPERLINK("https://klasma.github.io/Logging_2283/tillsynsmail/A 7108-2024 tillsynsbegäran mail.docx", "A 7108-2024")</f>
        <v/>
      </c>
    </row>
    <row r="296" ht="15" customHeight="1">
      <c r="A296" t="inlineStr">
        <is>
          <t>A 2515-2024</t>
        </is>
      </c>
      <c r="B296" s="1" t="n">
        <v>45313</v>
      </c>
      <c r="C296" s="1" t="n">
        <v>46048</v>
      </c>
      <c r="D296" t="inlineStr">
        <is>
          <t>VÄSTERNORRLANDS LÄN</t>
        </is>
      </c>
      <c r="E296" t="inlineStr">
        <is>
          <t>SOLLEFTEÅ</t>
        </is>
      </c>
      <c r="F296" t="inlineStr">
        <is>
          <t>Kommuner</t>
        </is>
      </c>
      <c r="G296" t="n">
        <v>8.699999999999999</v>
      </c>
      <c r="H296" t="n">
        <v>1</v>
      </c>
      <c r="I296" t="n">
        <v>0</v>
      </c>
      <c r="J296" t="n">
        <v>2</v>
      </c>
      <c r="K296" t="n">
        <v>0</v>
      </c>
      <c r="L296" t="n">
        <v>0</v>
      </c>
      <c r="M296" t="n">
        <v>0</v>
      </c>
      <c r="N296" t="n">
        <v>0</v>
      </c>
      <c r="O296" t="n">
        <v>2</v>
      </c>
      <c r="P296" t="n">
        <v>0</v>
      </c>
      <c r="Q296" t="n">
        <v>2</v>
      </c>
      <c r="R296" s="2" t="inlineStr">
        <is>
          <t>Granticka
Talltita</t>
        </is>
      </c>
      <c r="S296">
        <f>HYPERLINK("https://klasma.github.io/Logging_2283/artfynd/A 2515-2024 artfynd.xlsx", "A 2515-2024")</f>
        <v/>
      </c>
      <c r="T296">
        <f>HYPERLINK("https://klasma.github.io/Logging_2283/kartor/A 2515-2024 karta.png", "A 2515-2024")</f>
        <v/>
      </c>
      <c r="V296">
        <f>HYPERLINK("https://klasma.github.io/Logging_2283/klagomål/A 2515-2024 FSC-klagomål.docx", "A 2515-2024")</f>
        <v/>
      </c>
      <c r="W296">
        <f>HYPERLINK("https://klasma.github.io/Logging_2283/klagomålsmail/A 2515-2024 FSC-klagomål mail.docx", "A 2515-2024")</f>
        <v/>
      </c>
      <c r="X296">
        <f>HYPERLINK("https://klasma.github.io/Logging_2283/tillsyn/A 2515-2024 tillsynsbegäran.docx", "A 2515-2024")</f>
        <v/>
      </c>
      <c r="Y296">
        <f>HYPERLINK("https://klasma.github.io/Logging_2283/tillsynsmail/A 2515-2024 tillsynsbegäran mail.docx", "A 2515-2024")</f>
        <v/>
      </c>
      <c r="Z296">
        <f>HYPERLINK("https://klasma.github.io/Logging_2283/fåglar/A 2515-2024 prioriterade fågelarter.docx", "A 2515-2024")</f>
        <v/>
      </c>
    </row>
    <row r="297" ht="15" customHeight="1">
      <c r="A297" t="inlineStr">
        <is>
          <t>A 38911-2025</t>
        </is>
      </c>
      <c r="B297" s="1" t="n">
        <v>45887.61534722222</v>
      </c>
      <c r="C297" s="1" t="n">
        <v>46048</v>
      </c>
      <c r="D297" t="inlineStr">
        <is>
          <t>VÄSTERNORRLANDS LÄN</t>
        </is>
      </c>
      <c r="E297" t="inlineStr">
        <is>
          <t>SOLLEFTEÅ</t>
        </is>
      </c>
      <c r="F297" t="inlineStr">
        <is>
          <t>SCA</t>
        </is>
      </c>
      <c r="G297" t="n">
        <v>10.5</v>
      </c>
      <c r="H297" t="n">
        <v>0</v>
      </c>
      <c r="I297" t="n">
        <v>1</v>
      </c>
      <c r="J297" t="n">
        <v>1</v>
      </c>
      <c r="K297" t="n">
        <v>0</v>
      </c>
      <c r="L297" t="n">
        <v>0</v>
      </c>
      <c r="M297" t="n">
        <v>0</v>
      </c>
      <c r="N297" t="n">
        <v>0</v>
      </c>
      <c r="O297" t="n">
        <v>1</v>
      </c>
      <c r="P297" t="n">
        <v>0</v>
      </c>
      <c r="Q297" t="n">
        <v>2</v>
      </c>
      <c r="R297" s="2" t="inlineStr">
        <is>
          <t>Garnlav
Vedticka</t>
        </is>
      </c>
      <c r="S297">
        <f>HYPERLINK("https://klasma.github.io/Logging_2283/artfynd/A 38911-2025 artfynd.xlsx", "A 38911-2025")</f>
        <v/>
      </c>
      <c r="T297">
        <f>HYPERLINK("https://klasma.github.io/Logging_2283/kartor/A 38911-2025 karta.png", "A 38911-2025")</f>
        <v/>
      </c>
      <c r="U297">
        <f>HYPERLINK("https://klasma.github.io/Logging_2283/knärot/A 38911-2025 karta knärot.png", "A 38911-2025")</f>
        <v/>
      </c>
      <c r="V297">
        <f>HYPERLINK("https://klasma.github.io/Logging_2283/klagomål/A 38911-2025 FSC-klagomål.docx", "A 38911-2025")</f>
        <v/>
      </c>
      <c r="W297">
        <f>HYPERLINK("https://klasma.github.io/Logging_2283/klagomålsmail/A 38911-2025 FSC-klagomål mail.docx", "A 38911-2025")</f>
        <v/>
      </c>
      <c r="X297">
        <f>HYPERLINK("https://klasma.github.io/Logging_2283/tillsyn/A 38911-2025 tillsynsbegäran.docx", "A 38911-2025")</f>
        <v/>
      </c>
      <c r="Y297">
        <f>HYPERLINK("https://klasma.github.io/Logging_2283/tillsynsmail/A 38911-2025 tillsynsbegäran mail.docx", "A 38911-2025")</f>
        <v/>
      </c>
    </row>
    <row r="298" ht="15" customHeight="1">
      <c r="A298" t="inlineStr">
        <is>
          <t>A 45083-2022</t>
        </is>
      </c>
      <c r="B298" s="1" t="n">
        <v>44841</v>
      </c>
      <c r="C298" s="1" t="n">
        <v>46048</v>
      </c>
      <c r="D298" t="inlineStr">
        <is>
          <t>VÄSTERNORRLANDS LÄN</t>
        </is>
      </c>
      <c r="E298" t="inlineStr">
        <is>
          <t>SOLLEFTEÅ</t>
        </is>
      </c>
      <c r="F298" t="inlineStr">
        <is>
          <t>SCA</t>
        </is>
      </c>
      <c r="G298" t="n">
        <v>4.3</v>
      </c>
      <c r="H298" t="n">
        <v>2</v>
      </c>
      <c r="I298" t="n">
        <v>0</v>
      </c>
      <c r="J298" t="n">
        <v>1</v>
      </c>
      <c r="K298" t="n">
        <v>0</v>
      </c>
      <c r="L298" t="n">
        <v>0</v>
      </c>
      <c r="M298" t="n">
        <v>0</v>
      </c>
      <c r="N298" t="n">
        <v>0</v>
      </c>
      <c r="O298" t="n">
        <v>1</v>
      </c>
      <c r="P298" t="n">
        <v>0</v>
      </c>
      <c r="Q298" t="n">
        <v>2</v>
      </c>
      <c r="R298" s="2" t="inlineStr">
        <is>
          <t>Talltita
Blåsippa</t>
        </is>
      </c>
      <c r="S298">
        <f>HYPERLINK("https://klasma.github.io/Logging_2283/artfynd/A 45083-2022 artfynd.xlsx", "A 45083-2022")</f>
        <v/>
      </c>
      <c r="T298">
        <f>HYPERLINK("https://klasma.github.io/Logging_2283/kartor/A 45083-2022 karta.png", "A 45083-2022")</f>
        <v/>
      </c>
      <c r="V298">
        <f>HYPERLINK("https://klasma.github.io/Logging_2283/klagomål/A 45083-2022 FSC-klagomål.docx", "A 45083-2022")</f>
        <v/>
      </c>
      <c r="W298">
        <f>HYPERLINK("https://klasma.github.io/Logging_2283/klagomålsmail/A 45083-2022 FSC-klagomål mail.docx", "A 45083-2022")</f>
        <v/>
      </c>
      <c r="X298">
        <f>HYPERLINK("https://klasma.github.io/Logging_2283/tillsyn/A 45083-2022 tillsynsbegäran.docx", "A 45083-2022")</f>
        <v/>
      </c>
      <c r="Y298">
        <f>HYPERLINK("https://klasma.github.io/Logging_2283/tillsynsmail/A 45083-2022 tillsynsbegäran mail.docx", "A 45083-2022")</f>
        <v/>
      </c>
      <c r="Z298">
        <f>HYPERLINK("https://klasma.github.io/Logging_2283/fåglar/A 45083-2022 prioriterade fågelarter.docx", "A 45083-2022")</f>
        <v/>
      </c>
    </row>
    <row r="299" ht="15" customHeight="1">
      <c r="A299" t="inlineStr">
        <is>
          <t>A 29264-2024</t>
        </is>
      </c>
      <c r="B299" s="1" t="n">
        <v>45482</v>
      </c>
      <c r="C299" s="1" t="n">
        <v>46048</v>
      </c>
      <c r="D299" t="inlineStr">
        <is>
          <t>VÄSTERNORRLANDS LÄN</t>
        </is>
      </c>
      <c r="E299" t="inlineStr">
        <is>
          <t>SOLLEFTEÅ</t>
        </is>
      </c>
      <c r="F299" t="inlineStr">
        <is>
          <t>SCA</t>
        </is>
      </c>
      <c r="G299" t="n">
        <v>3</v>
      </c>
      <c r="H299" t="n">
        <v>2</v>
      </c>
      <c r="I299" t="n">
        <v>0</v>
      </c>
      <c r="J299" t="n">
        <v>1</v>
      </c>
      <c r="K299" t="n">
        <v>0</v>
      </c>
      <c r="L299" t="n">
        <v>0</v>
      </c>
      <c r="M299" t="n">
        <v>0</v>
      </c>
      <c r="N299" t="n">
        <v>0</v>
      </c>
      <c r="O299" t="n">
        <v>1</v>
      </c>
      <c r="P299" t="n">
        <v>0</v>
      </c>
      <c r="Q299" t="n">
        <v>2</v>
      </c>
      <c r="R299" s="2" t="inlineStr">
        <is>
          <t>Tretåig hackspett
Fläcknycklar</t>
        </is>
      </c>
      <c r="S299">
        <f>HYPERLINK("https://klasma.github.io/Logging_2283/artfynd/A 29264-2024 artfynd.xlsx", "A 29264-2024")</f>
        <v/>
      </c>
      <c r="T299">
        <f>HYPERLINK("https://klasma.github.io/Logging_2283/kartor/A 29264-2024 karta.png", "A 29264-2024")</f>
        <v/>
      </c>
      <c r="V299">
        <f>HYPERLINK("https://klasma.github.io/Logging_2283/klagomål/A 29264-2024 FSC-klagomål.docx", "A 29264-2024")</f>
        <v/>
      </c>
      <c r="W299">
        <f>HYPERLINK("https://klasma.github.io/Logging_2283/klagomålsmail/A 29264-2024 FSC-klagomål mail.docx", "A 29264-2024")</f>
        <v/>
      </c>
      <c r="X299">
        <f>HYPERLINK("https://klasma.github.io/Logging_2283/tillsyn/A 29264-2024 tillsynsbegäran.docx", "A 29264-2024")</f>
        <v/>
      </c>
      <c r="Y299">
        <f>HYPERLINK("https://klasma.github.io/Logging_2283/tillsynsmail/A 29264-2024 tillsynsbegäran mail.docx", "A 29264-2024")</f>
        <v/>
      </c>
      <c r="Z299">
        <f>HYPERLINK("https://klasma.github.io/Logging_2283/fåglar/A 29264-2024 prioriterade fågelarter.docx", "A 29264-2024")</f>
        <v/>
      </c>
    </row>
    <row r="300" ht="15" customHeight="1">
      <c r="A300" t="inlineStr">
        <is>
          <t>A 53949-2023</t>
        </is>
      </c>
      <c r="B300" s="1" t="n">
        <v>45224</v>
      </c>
      <c r="C300" s="1" t="n">
        <v>46048</v>
      </c>
      <c r="D300" t="inlineStr">
        <is>
          <t>VÄSTERNORRLANDS LÄN</t>
        </is>
      </c>
      <c r="E300" t="inlineStr">
        <is>
          <t>SOLLEFTEÅ</t>
        </is>
      </c>
      <c r="G300" t="n">
        <v>4</v>
      </c>
      <c r="H300" t="n">
        <v>1</v>
      </c>
      <c r="I300" t="n">
        <v>0</v>
      </c>
      <c r="J300" t="n">
        <v>1</v>
      </c>
      <c r="K300" t="n">
        <v>0</v>
      </c>
      <c r="L300" t="n">
        <v>0</v>
      </c>
      <c r="M300" t="n">
        <v>0</v>
      </c>
      <c r="N300" t="n">
        <v>0</v>
      </c>
      <c r="O300" t="n">
        <v>1</v>
      </c>
      <c r="P300" t="n">
        <v>0</v>
      </c>
      <c r="Q300" t="n">
        <v>2</v>
      </c>
      <c r="R300" s="2" t="inlineStr">
        <is>
          <t>Granticka
Fläcknycklar</t>
        </is>
      </c>
      <c r="S300">
        <f>HYPERLINK("https://klasma.github.io/Logging_2283/artfynd/A 53949-2023 artfynd.xlsx", "A 53949-2023")</f>
        <v/>
      </c>
      <c r="T300">
        <f>HYPERLINK("https://klasma.github.io/Logging_2283/kartor/A 53949-2023 karta.png", "A 53949-2023")</f>
        <v/>
      </c>
      <c r="V300">
        <f>HYPERLINK("https://klasma.github.io/Logging_2283/klagomål/A 53949-2023 FSC-klagomål.docx", "A 53949-2023")</f>
        <v/>
      </c>
      <c r="W300">
        <f>HYPERLINK("https://klasma.github.io/Logging_2283/klagomålsmail/A 53949-2023 FSC-klagomål mail.docx", "A 53949-2023")</f>
        <v/>
      </c>
      <c r="X300">
        <f>HYPERLINK("https://klasma.github.io/Logging_2283/tillsyn/A 53949-2023 tillsynsbegäran.docx", "A 53949-2023")</f>
        <v/>
      </c>
      <c r="Y300">
        <f>HYPERLINK("https://klasma.github.io/Logging_2283/tillsynsmail/A 53949-2023 tillsynsbegäran mail.docx", "A 53949-2023")</f>
        <v/>
      </c>
    </row>
    <row r="301" ht="15" customHeight="1">
      <c r="A301" t="inlineStr">
        <is>
          <t>A 59020-2024</t>
        </is>
      </c>
      <c r="B301" s="1" t="n">
        <v>45636.67765046296</v>
      </c>
      <c r="C301" s="1" t="n">
        <v>46048</v>
      </c>
      <c r="D301" t="inlineStr">
        <is>
          <t>VÄSTERNORRLANDS LÄN</t>
        </is>
      </c>
      <c r="E301" t="inlineStr">
        <is>
          <t>SOLLEFTEÅ</t>
        </is>
      </c>
      <c r="F301" t="inlineStr">
        <is>
          <t>SCA</t>
        </is>
      </c>
      <c r="G301" t="n">
        <v>9.300000000000001</v>
      </c>
      <c r="H301" t="n">
        <v>0</v>
      </c>
      <c r="I301" t="n">
        <v>1</v>
      </c>
      <c r="J301" t="n">
        <v>1</v>
      </c>
      <c r="K301" t="n">
        <v>0</v>
      </c>
      <c r="L301" t="n">
        <v>0</v>
      </c>
      <c r="M301" t="n">
        <v>0</v>
      </c>
      <c r="N301" t="n">
        <v>0</v>
      </c>
      <c r="O301" t="n">
        <v>1</v>
      </c>
      <c r="P301" t="n">
        <v>0</v>
      </c>
      <c r="Q301" t="n">
        <v>2</v>
      </c>
      <c r="R301" s="2" t="inlineStr">
        <is>
          <t>Kortskaftad ärgspik
Bronshjon</t>
        </is>
      </c>
      <c r="S301">
        <f>HYPERLINK("https://klasma.github.io/Logging_2283/artfynd/A 59020-2024 artfynd.xlsx", "A 59020-2024")</f>
        <v/>
      </c>
      <c r="T301">
        <f>HYPERLINK("https://klasma.github.io/Logging_2283/kartor/A 59020-2024 karta.png", "A 59020-2024")</f>
        <v/>
      </c>
      <c r="V301">
        <f>HYPERLINK("https://klasma.github.io/Logging_2283/klagomål/A 59020-2024 FSC-klagomål.docx", "A 59020-2024")</f>
        <v/>
      </c>
      <c r="W301">
        <f>HYPERLINK("https://klasma.github.io/Logging_2283/klagomålsmail/A 59020-2024 FSC-klagomål mail.docx", "A 59020-2024")</f>
        <v/>
      </c>
      <c r="X301">
        <f>HYPERLINK("https://klasma.github.io/Logging_2283/tillsyn/A 59020-2024 tillsynsbegäran.docx", "A 59020-2024")</f>
        <v/>
      </c>
      <c r="Y301">
        <f>HYPERLINK("https://klasma.github.io/Logging_2283/tillsynsmail/A 59020-2024 tillsynsbegäran mail.docx", "A 59020-2024")</f>
        <v/>
      </c>
    </row>
    <row r="302" ht="15" customHeight="1">
      <c r="A302" t="inlineStr">
        <is>
          <t>A 12269-2025</t>
        </is>
      </c>
      <c r="B302" s="1" t="n">
        <v>45729.63542824074</v>
      </c>
      <c r="C302" s="1" t="n">
        <v>46048</v>
      </c>
      <c r="D302" t="inlineStr">
        <is>
          <t>VÄSTERNORRLANDS LÄN</t>
        </is>
      </c>
      <c r="E302" t="inlineStr">
        <is>
          <t>SOLLEFTEÅ</t>
        </is>
      </c>
      <c r="G302" t="n">
        <v>10.9</v>
      </c>
      <c r="H302" t="n">
        <v>0</v>
      </c>
      <c r="I302" t="n">
        <v>0</v>
      </c>
      <c r="J302" t="n">
        <v>2</v>
      </c>
      <c r="K302" t="n">
        <v>0</v>
      </c>
      <c r="L302" t="n">
        <v>0</v>
      </c>
      <c r="M302" t="n">
        <v>0</v>
      </c>
      <c r="N302" t="n">
        <v>0</v>
      </c>
      <c r="O302" t="n">
        <v>2</v>
      </c>
      <c r="P302" t="n">
        <v>0</v>
      </c>
      <c r="Q302" t="n">
        <v>2</v>
      </c>
      <c r="R302" s="2" t="inlineStr">
        <is>
          <t>Garnlav
Lunglav</t>
        </is>
      </c>
      <c r="S302">
        <f>HYPERLINK("https://klasma.github.io/Logging_2283/artfynd/A 12269-2025 artfynd.xlsx", "A 12269-2025")</f>
        <v/>
      </c>
      <c r="T302">
        <f>HYPERLINK("https://klasma.github.io/Logging_2283/kartor/A 12269-2025 karta.png", "A 12269-2025")</f>
        <v/>
      </c>
      <c r="V302">
        <f>HYPERLINK("https://klasma.github.io/Logging_2283/klagomål/A 12269-2025 FSC-klagomål.docx", "A 12269-2025")</f>
        <v/>
      </c>
      <c r="W302">
        <f>HYPERLINK("https://klasma.github.io/Logging_2283/klagomålsmail/A 12269-2025 FSC-klagomål mail.docx", "A 12269-2025")</f>
        <v/>
      </c>
      <c r="X302">
        <f>HYPERLINK("https://klasma.github.io/Logging_2283/tillsyn/A 12269-2025 tillsynsbegäran.docx", "A 12269-2025")</f>
        <v/>
      </c>
      <c r="Y302">
        <f>HYPERLINK("https://klasma.github.io/Logging_2283/tillsynsmail/A 12269-2025 tillsynsbegäran mail.docx", "A 12269-2025")</f>
        <v/>
      </c>
    </row>
    <row r="303" ht="15" customHeight="1">
      <c r="A303" t="inlineStr">
        <is>
          <t>A 2347-2025</t>
        </is>
      </c>
      <c r="B303" s="1" t="n">
        <v>45673.67782407408</v>
      </c>
      <c r="C303" s="1" t="n">
        <v>46048</v>
      </c>
      <c r="D303" t="inlineStr">
        <is>
          <t>VÄSTERNORRLANDS LÄN</t>
        </is>
      </c>
      <c r="E303" t="inlineStr">
        <is>
          <t>SOLLEFTEÅ</t>
        </is>
      </c>
      <c r="F303" t="inlineStr">
        <is>
          <t>SCA</t>
        </is>
      </c>
      <c r="G303" t="n">
        <v>3.3</v>
      </c>
      <c r="H303" t="n">
        <v>1</v>
      </c>
      <c r="I303" t="n">
        <v>0</v>
      </c>
      <c r="J303" t="n">
        <v>2</v>
      </c>
      <c r="K303" t="n">
        <v>0</v>
      </c>
      <c r="L303" t="n">
        <v>0</v>
      </c>
      <c r="M303" t="n">
        <v>0</v>
      </c>
      <c r="N303" t="n">
        <v>0</v>
      </c>
      <c r="O303" t="n">
        <v>2</v>
      </c>
      <c r="P303" t="n">
        <v>0</v>
      </c>
      <c r="Q303" t="n">
        <v>2</v>
      </c>
      <c r="R303" s="2" t="inlineStr">
        <is>
          <t>Garnlav
Spillkråka</t>
        </is>
      </c>
      <c r="S303">
        <f>HYPERLINK("https://klasma.github.io/Logging_2283/artfynd/A 2347-2025 artfynd.xlsx", "A 2347-2025")</f>
        <v/>
      </c>
      <c r="T303">
        <f>HYPERLINK("https://klasma.github.io/Logging_2283/kartor/A 2347-2025 karta.png", "A 2347-2025")</f>
        <v/>
      </c>
      <c r="V303">
        <f>HYPERLINK("https://klasma.github.io/Logging_2283/klagomål/A 2347-2025 FSC-klagomål.docx", "A 2347-2025")</f>
        <v/>
      </c>
      <c r="W303">
        <f>HYPERLINK("https://klasma.github.io/Logging_2283/klagomålsmail/A 2347-2025 FSC-klagomål mail.docx", "A 2347-2025")</f>
        <v/>
      </c>
      <c r="X303">
        <f>HYPERLINK("https://klasma.github.io/Logging_2283/tillsyn/A 2347-2025 tillsynsbegäran.docx", "A 2347-2025")</f>
        <v/>
      </c>
      <c r="Y303">
        <f>HYPERLINK("https://klasma.github.io/Logging_2283/tillsynsmail/A 2347-2025 tillsynsbegäran mail.docx", "A 2347-2025")</f>
        <v/>
      </c>
      <c r="Z303">
        <f>HYPERLINK("https://klasma.github.io/Logging_2283/fåglar/A 2347-2025 prioriterade fågelarter.docx", "A 2347-2025")</f>
        <v/>
      </c>
    </row>
    <row r="304" ht="15" customHeight="1">
      <c r="A304" t="inlineStr">
        <is>
          <t>A 7837-2025</t>
        </is>
      </c>
      <c r="B304" s="1" t="n">
        <v>45706</v>
      </c>
      <c r="C304" s="1" t="n">
        <v>46048</v>
      </c>
      <c r="D304" t="inlineStr">
        <is>
          <t>VÄSTERNORRLANDS LÄN</t>
        </is>
      </c>
      <c r="E304" t="inlineStr">
        <is>
          <t>SOLLEFTEÅ</t>
        </is>
      </c>
      <c r="F304" t="inlineStr">
        <is>
          <t>SCA</t>
        </is>
      </c>
      <c r="G304" t="n">
        <v>2</v>
      </c>
      <c r="H304" t="n">
        <v>0</v>
      </c>
      <c r="I304" t="n">
        <v>1</v>
      </c>
      <c r="J304" t="n">
        <v>1</v>
      </c>
      <c r="K304" t="n">
        <v>0</v>
      </c>
      <c r="L304" t="n">
        <v>0</v>
      </c>
      <c r="M304" t="n">
        <v>0</v>
      </c>
      <c r="N304" t="n">
        <v>0</v>
      </c>
      <c r="O304" t="n">
        <v>1</v>
      </c>
      <c r="P304" t="n">
        <v>0</v>
      </c>
      <c r="Q304" t="n">
        <v>2</v>
      </c>
      <c r="R304" s="2" t="inlineStr">
        <is>
          <t>Gammelgransskål
Norrlandslav</t>
        </is>
      </c>
      <c r="S304">
        <f>HYPERLINK("https://klasma.github.io/Logging_2283/artfynd/A 7837-2025 artfynd.xlsx", "A 7837-2025")</f>
        <v/>
      </c>
      <c r="T304">
        <f>HYPERLINK("https://klasma.github.io/Logging_2283/kartor/A 7837-2025 karta.png", "A 7837-2025")</f>
        <v/>
      </c>
      <c r="V304">
        <f>HYPERLINK("https://klasma.github.io/Logging_2283/klagomål/A 7837-2025 FSC-klagomål.docx", "A 7837-2025")</f>
        <v/>
      </c>
      <c r="W304">
        <f>HYPERLINK("https://klasma.github.io/Logging_2283/klagomålsmail/A 7837-2025 FSC-klagomål mail.docx", "A 7837-2025")</f>
        <v/>
      </c>
      <c r="X304">
        <f>HYPERLINK("https://klasma.github.io/Logging_2283/tillsyn/A 7837-2025 tillsynsbegäran.docx", "A 7837-2025")</f>
        <v/>
      </c>
      <c r="Y304">
        <f>HYPERLINK("https://klasma.github.io/Logging_2283/tillsynsmail/A 7837-2025 tillsynsbegäran mail.docx", "A 7837-2025")</f>
        <v/>
      </c>
    </row>
    <row r="305" ht="15" customHeight="1">
      <c r="A305" t="inlineStr">
        <is>
          <t>A 16718-2025</t>
        </is>
      </c>
      <c r="B305" s="1" t="n">
        <v>45754.48990740741</v>
      </c>
      <c r="C305" s="1" t="n">
        <v>46048</v>
      </c>
      <c r="D305" t="inlineStr">
        <is>
          <t>VÄSTERNORRLANDS LÄN</t>
        </is>
      </c>
      <c r="E305" t="inlineStr">
        <is>
          <t>SOLLEFTEÅ</t>
        </is>
      </c>
      <c r="G305" t="n">
        <v>3.9</v>
      </c>
      <c r="H305" t="n">
        <v>1</v>
      </c>
      <c r="I305" t="n">
        <v>0</v>
      </c>
      <c r="J305" t="n">
        <v>1</v>
      </c>
      <c r="K305" t="n">
        <v>0</v>
      </c>
      <c r="L305" t="n">
        <v>0</v>
      </c>
      <c r="M305" t="n">
        <v>0</v>
      </c>
      <c r="N305" t="n">
        <v>0</v>
      </c>
      <c r="O305" t="n">
        <v>1</v>
      </c>
      <c r="P305" t="n">
        <v>0</v>
      </c>
      <c r="Q305" t="n">
        <v>2</v>
      </c>
      <c r="R305" s="2" t="inlineStr">
        <is>
          <t>Garnlav
Lavskrika</t>
        </is>
      </c>
      <c r="S305">
        <f>HYPERLINK("https://klasma.github.io/Logging_2283/artfynd/A 16718-2025 artfynd.xlsx", "A 16718-2025")</f>
        <v/>
      </c>
      <c r="T305">
        <f>HYPERLINK("https://klasma.github.io/Logging_2283/kartor/A 16718-2025 karta.png", "A 16718-2025")</f>
        <v/>
      </c>
      <c r="V305">
        <f>HYPERLINK("https://klasma.github.io/Logging_2283/klagomål/A 16718-2025 FSC-klagomål.docx", "A 16718-2025")</f>
        <v/>
      </c>
      <c r="W305">
        <f>HYPERLINK("https://klasma.github.io/Logging_2283/klagomålsmail/A 16718-2025 FSC-klagomål mail.docx", "A 16718-2025")</f>
        <v/>
      </c>
      <c r="X305">
        <f>HYPERLINK("https://klasma.github.io/Logging_2283/tillsyn/A 16718-2025 tillsynsbegäran.docx", "A 16718-2025")</f>
        <v/>
      </c>
      <c r="Y305">
        <f>HYPERLINK("https://klasma.github.io/Logging_2283/tillsynsmail/A 16718-2025 tillsynsbegäran mail.docx", "A 16718-2025")</f>
        <v/>
      </c>
      <c r="Z305">
        <f>HYPERLINK("https://klasma.github.io/Logging_2283/fåglar/A 16718-2025 prioriterade fågelarter.docx", "A 16718-2025")</f>
        <v/>
      </c>
    </row>
    <row r="306" ht="15" customHeight="1">
      <c r="A306" t="inlineStr">
        <is>
          <t>A 47216-2025</t>
        </is>
      </c>
      <c r="B306" s="1" t="n">
        <v>45930.38612268519</v>
      </c>
      <c r="C306" s="1" t="n">
        <v>46048</v>
      </c>
      <c r="D306" t="inlineStr">
        <is>
          <t>VÄSTERNORRLANDS LÄN</t>
        </is>
      </c>
      <c r="E306" t="inlineStr">
        <is>
          <t>SOLLEFTEÅ</t>
        </is>
      </c>
      <c r="F306" t="inlineStr">
        <is>
          <t>SCA</t>
        </is>
      </c>
      <c r="G306" t="n">
        <v>13.6</v>
      </c>
      <c r="H306" t="n">
        <v>0</v>
      </c>
      <c r="I306" t="n">
        <v>0</v>
      </c>
      <c r="J306" t="n">
        <v>2</v>
      </c>
      <c r="K306" t="n">
        <v>0</v>
      </c>
      <c r="L306" t="n">
        <v>0</v>
      </c>
      <c r="M306" t="n">
        <v>0</v>
      </c>
      <c r="N306" t="n">
        <v>0</v>
      </c>
      <c r="O306" t="n">
        <v>2</v>
      </c>
      <c r="P306" t="n">
        <v>0</v>
      </c>
      <c r="Q306" t="n">
        <v>2</v>
      </c>
      <c r="R306" s="2" t="inlineStr">
        <is>
          <t>Lunglav
Skrovellav</t>
        </is>
      </c>
      <c r="S306">
        <f>HYPERLINK("https://klasma.github.io/Logging_2283/artfynd/A 47216-2025 artfynd.xlsx", "A 47216-2025")</f>
        <v/>
      </c>
      <c r="T306">
        <f>HYPERLINK("https://klasma.github.io/Logging_2283/kartor/A 47216-2025 karta.png", "A 47216-2025")</f>
        <v/>
      </c>
      <c r="V306">
        <f>HYPERLINK("https://klasma.github.io/Logging_2283/klagomål/A 47216-2025 FSC-klagomål.docx", "A 47216-2025")</f>
        <v/>
      </c>
      <c r="W306">
        <f>HYPERLINK("https://klasma.github.io/Logging_2283/klagomålsmail/A 47216-2025 FSC-klagomål mail.docx", "A 47216-2025")</f>
        <v/>
      </c>
      <c r="X306">
        <f>HYPERLINK("https://klasma.github.io/Logging_2283/tillsyn/A 47216-2025 tillsynsbegäran.docx", "A 47216-2025")</f>
        <v/>
      </c>
      <c r="Y306">
        <f>HYPERLINK("https://klasma.github.io/Logging_2283/tillsynsmail/A 47216-2025 tillsynsbegäran mail.docx", "A 47216-2025")</f>
        <v/>
      </c>
    </row>
    <row r="307" ht="15" customHeight="1">
      <c r="A307" t="inlineStr">
        <is>
          <t>A 60255-2025</t>
        </is>
      </c>
      <c r="B307" s="1" t="n">
        <v>45994.60180555555</v>
      </c>
      <c r="C307" s="1" t="n">
        <v>46048</v>
      </c>
      <c r="D307" t="inlineStr">
        <is>
          <t>VÄSTERNORRLANDS LÄN</t>
        </is>
      </c>
      <c r="E307" t="inlineStr">
        <is>
          <t>SOLLEFTEÅ</t>
        </is>
      </c>
      <c r="G307" t="n">
        <v>2.2</v>
      </c>
      <c r="H307" t="n">
        <v>1</v>
      </c>
      <c r="I307" t="n">
        <v>0</v>
      </c>
      <c r="J307" t="n">
        <v>1</v>
      </c>
      <c r="K307" t="n">
        <v>0</v>
      </c>
      <c r="L307" t="n">
        <v>0</v>
      </c>
      <c r="M307" t="n">
        <v>0</v>
      </c>
      <c r="N307" t="n">
        <v>0</v>
      </c>
      <c r="O307" t="n">
        <v>1</v>
      </c>
      <c r="P307" t="n">
        <v>0</v>
      </c>
      <c r="Q307" t="n">
        <v>2</v>
      </c>
      <c r="R307" s="2" t="inlineStr">
        <is>
          <t>Garnlav
Revlummer</t>
        </is>
      </c>
      <c r="S307">
        <f>HYPERLINK("https://klasma.github.io/Logging_2283/artfynd/A 60255-2025 artfynd.xlsx", "A 60255-2025")</f>
        <v/>
      </c>
      <c r="T307">
        <f>HYPERLINK("https://klasma.github.io/Logging_2283/kartor/A 60255-2025 karta.png", "A 60255-2025")</f>
        <v/>
      </c>
      <c r="V307">
        <f>HYPERLINK("https://klasma.github.io/Logging_2283/klagomål/A 60255-2025 FSC-klagomål.docx", "A 60255-2025")</f>
        <v/>
      </c>
      <c r="W307">
        <f>HYPERLINK("https://klasma.github.io/Logging_2283/klagomålsmail/A 60255-2025 FSC-klagomål mail.docx", "A 60255-2025")</f>
        <v/>
      </c>
      <c r="X307">
        <f>HYPERLINK("https://klasma.github.io/Logging_2283/tillsyn/A 60255-2025 tillsynsbegäran.docx", "A 60255-2025")</f>
        <v/>
      </c>
      <c r="Y307">
        <f>HYPERLINK("https://klasma.github.io/Logging_2283/tillsynsmail/A 60255-2025 tillsynsbegäran mail.docx", "A 60255-2025")</f>
        <v/>
      </c>
    </row>
    <row r="308" ht="15" customHeight="1">
      <c r="A308" t="inlineStr">
        <is>
          <t>A 60596-2025</t>
        </is>
      </c>
      <c r="B308" s="1" t="n">
        <v>45996.34466435185</v>
      </c>
      <c r="C308" s="1" t="n">
        <v>46048</v>
      </c>
      <c r="D308" t="inlineStr">
        <is>
          <t>VÄSTERNORRLANDS LÄN</t>
        </is>
      </c>
      <c r="E308" t="inlineStr">
        <is>
          <t>SOLLEFTEÅ</t>
        </is>
      </c>
      <c r="F308" t="inlineStr">
        <is>
          <t>SCA</t>
        </is>
      </c>
      <c r="G308" t="n">
        <v>2.1</v>
      </c>
      <c r="H308" t="n">
        <v>0</v>
      </c>
      <c r="I308" t="n">
        <v>0</v>
      </c>
      <c r="J308" t="n">
        <v>2</v>
      </c>
      <c r="K308" t="n">
        <v>0</v>
      </c>
      <c r="L308" t="n">
        <v>0</v>
      </c>
      <c r="M308" t="n">
        <v>0</v>
      </c>
      <c r="N308" t="n">
        <v>0</v>
      </c>
      <c r="O308" t="n">
        <v>2</v>
      </c>
      <c r="P308" t="n">
        <v>0</v>
      </c>
      <c r="Q308" t="n">
        <v>2</v>
      </c>
      <c r="R308" s="2" t="inlineStr">
        <is>
          <t>Rosenticka
Ullticka</t>
        </is>
      </c>
      <c r="S308">
        <f>HYPERLINK("https://klasma.github.io/Logging_2283/artfynd/A 60596-2025 artfynd.xlsx", "A 60596-2025")</f>
        <v/>
      </c>
      <c r="T308">
        <f>HYPERLINK("https://klasma.github.io/Logging_2283/kartor/A 60596-2025 karta.png", "A 60596-2025")</f>
        <v/>
      </c>
      <c r="V308">
        <f>HYPERLINK("https://klasma.github.io/Logging_2283/klagomål/A 60596-2025 FSC-klagomål.docx", "A 60596-2025")</f>
        <v/>
      </c>
      <c r="W308">
        <f>HYPERLINK("https://klasma.github.io/Logging_2283/klagomålsmail/A 60596-2025 FSC-klagomål mail.docx", "A 60596-2025")</f>
        <v/>
      </c>
      <c r="X308">
        <f>HYPERLINK("https://klasma.github.io/Logging_2283/tillsyn/A 60596-2025 tillsynsbegäran.docx", "A 60596-2025")</f>
        <v/>
      </c>
      <c r="Y308">
        <f>HYPERLINK("https://klasma.github.io/Logging_2283/tillsynsmail/A 60596-2025 tillsynsbegäran mail.docx", "A 60596-2025")</f>
        <v/>
      </c>
    </row>
    <row r="309" ht="15" customHeight="1">
      <c r="A309" t="inlineStr">
        <is>
          <t>A 61511-2025</t>
        </is>
      </c>
      <c r="B309" s="1" t="n">
        <v>46001.68375</v>
      </c>
      <c r="C309" s="1" t="n">
        <v>46048</v>
      </c>
      <c r="D309" t="inlineStr">
        <is>
          <t>VÄSTERNORRLANDS LÄN</t>
        </is>
      </c>
      <c r="E309" t="inlineStr">
        <is>
          <t>SOLLEFTEÅ</t>
        </is>
      </c>
      <c r="F309" t="inlineStr">
        <is>
          <t>SCA</t>
        </is>
      </c>
      <c r="G309" t="n">
        <v>5.7</v>
      </c>
      <c r="H309" t="n">
        <v>0</v>
      </c>
      <c r="I309" t="n">
        <v>0</v>
      </c>
      <c r="J309" t="n">
        <v>2</v>
      </c>
      <c r="K309" t="n">
        <v>0</v>
      </c>
      <c r="L309" t="n">
        <v>0</v>
      </c>
      <c r="M309" t="n">
        <v>0</v>
      </c>
      <c r="N309" t="n">
        <v>0</v>
      </c>
      <c r="O309" t="n">
        <v>2</v>
      </c>
      <c r="P309" t="n">
        <v>0</v>
      </c>
      <c r="Q309" t="n">
        <v>2</v>
      </c>
      <c r="R309" s="2" t="inlineStr">
        <is>
          <t>Kolflarnlav
Lunglav</t>
        </is>
      </c>
      <c r="S309">
        <f>HYPERLINK("https://klasma.github.io/Logging_2283/artfynd/A 61511-2025 artfynd.xlsx", "A 61511-2025")</f>
        <v/>
      </c>
      <c r="T309">
        <f>HYPERLINK("https://klasma.github.io/Logging_2283/kartor/A 61511-2025 karta.png", "A 61511-2025")</f>
        <v/>
      </c>
      <c r="V309">
        <f>HYPERLINK("https://klasma.github.io/Logging_2283/klagomål/A 61511-2025 FSC-klagomål.docx", "A 61511-2025")</f>
        <v/>
      </c>
      <c r="W309">
        <f>HYPERLINK("https://klasma.github.io/Logging_2283/klagomålsmail/A 61511-2025 FSC-klagomål mail.docx", "A 61511-2025")</f>
        <v/>
      </c>
      <c r="X309">
        <f>HYPERLINK("https://klasma.github.io/Logging_2283/tillsyn/A 61511-2025 tillsynsbegäran.docx", "A 61511-2025")</f>
        <v/>
      </c>
      <c r="Y309">
        <f>HYPERLINK("https://klasma.github.io/Logging_2283/tillsynsmail/A 61511-2025 tillsynsbegäran mail.docx", "A 61511-2025")</f>
        <v/>
      </c>
    </row>
    <row r="310" ht="15" customHeight="1">
      <c r="A310" t="inlineStr">
        <is>
          <t>A 58572-2021</t>
        </is>
      </c>
      <c r="B310" s="1" t="n">
        <v>44488</v>
      </c>
      <c r="C310" s="1" t="n">
        <v>46048</v>
      </c>
      <c r="D310" t="inlineStr">
        <is>
          <t>VÄSTERNORRLANDS LÄN</t>
        </is>
      </c>
      <c r="E310" t="inlineStr">
        <is>
          <t>SOLLEFTEÅ</t>
        </is>
      </c>
      <c r="G310" t="n">
        <v>0.1</v>
      </c>
      <c r="H310" t="n">
        <v>0</v>
      </c>
      <c r="I310" t="n">
        <v>0</v>
      </c>
      <c r="J310" t="n">
        <v>1</v>
      </c>
      <c r="K310" t="n">
        <v>0</v>
      </c>
      <c r="L310" t="n">
        <v>0</v>
      </c>
      <c r="M310" t="n">
        <v>0</v>
      </c>
      <c r="N310" t="n">
        <v>0</v>
      </c>
      <c r="O310" t="n">
        <v>1</v>
      </c>
      <c r="P310" t="n">
        <v>0</v>
      </c>
      <c r="Q310" t="n">
        <v>1</v>
      </c>
      <c r="R310" s="2" t="inlineStr">
        <is>
          <t>Brunklöver</t>
        </is>
      </c>
      <c r="S310">
        <f>HYPERLINK("https://klasma.github.io/Logging_2283/artfynd/A 58572-2021 artfynd.xlsx", "A 58572-2021")</f>
        <v/>
      </c>
      <c r="T310">
        <f>HYPERLINK("https://klasma.github.io/Logging_2283/kartor/A 58572-2021 karta.png", "A 58572-2021")</f>
        <v/>
      </c>
      <c r="V310">
        <f>HYPERLINK("https://klasma.github.io/Logging_2283/klagomål/A 58572-2021 FSC-klagomål.docx", "A 58572-2021")</f>
        <v/>
      </c>
      <c r="W310">
        <f>HYPERLINK("https://klasma.github.io/Logging_2283/klagomålsmail/A 58572-2021 FSC-klagomål mail.docx", "A 58572-2021")</f>
        <v/>
      </c>
      <c r="X310">
        <f>HYPERLINK("https://klasma.github.io/Logging_2283/tillsyn/A 58572-2021 tillsynsbegäran.docx", "A 58572-2021")</f>
        <v/>
      </c>
      <c r="Y310">
        <f>HYPERLINK("https://klasma.github.io/Logging_2283/tillsynsmail/A 58572-2021 tillsynsbegäran mail.docx", "A 58572-2021")</f>
        <v/>
      </c>
    </row>
    <row r="311" ht="15" customHeight="1">
      <c r="A311" t="inlineStr">
        <is>
          <t>A 29037-2022</t>
        </is>
      </c>
      <c r="B311" s="1" t="n">
        <v>44749</v>
      </c>
      <c r="C311" s="1" t="n">
        <v>46048</v>
      </c>
      <c r="D311" t="inlineStr">
        <is>
          <t>VÄSTERNORRLANDS LÄN</t>
        </is>
      </c>
      <c r="E311" t="inlineStr">
        <is>
          <t>SOLLEFTEÅ</t>
        </is>
      </c>
      <c r="F311" t="inlineStr">
        <is>
          <t>SCA</t>
        </is>
      </c>
      <c r="G311" t="n">
        <v>1</v>
      </c>
      <c r="H311" t="n">
        <v>0</v>
      </c>
      <c r="I311" t="n">
        <v>1</v>
      </c>
      <c r="J311" t="n">
        <v>0</v>
      </c>
      <c r="K311" t="n">
        <v>0</v>
      </c>
      <c r="L311" t="n">
        <v>0</v>
      </c>
      <c r="M311" t="n">
        <v>0</v>
      </c>
      <c r="N311" t="n">
        <v>0</v>
      </c>
      <c r="O311" t="n">
        <v>0</v>
      </c>
      <c r="P311" t="n">
        <v>0</v>
      </c>
      <c r="Q311" t="n">
        <v>1</v>
      </c>
      <c r="R311" s="2" t="inlineStr">
        <is>
          <t>Vanlig flatbagge</t>
        </is>
      </c>
      <c r="S311">
        <f>HYPERLINK("https://klasma.github.io/Logging_2283/artfynd/A 29037-2022 artfynd.xlsx", "A 29037-2022")</f>
        <v/>
      </c>
      <c r="T311">
        <f>HYPERLINK("https://klasma.github.io/Logging_2283/kartor/A 29037-2022 karta.png", "A 29037-2022")</f>
        <v/>
      </c>
      <c r="V311">
        <f>HYPERLINK("https://klasma.github.io/Logging_2283/klagomål/A 29037-2022 FSC-klagomål.docx", "A 29037-2022")</f>
        <v/>
      </c>
      <c r="W311">
        <f>HYPERLINK("https://klasma.github.io/Logging_2283/klagomålsmail/A 29037-2022 FSC-klagomål mail.docx", "A 29037-2022")</f>
        <v/>
      </c>
      <c r="X311">
        <f>HYPERLINK("https://klasma.github.io/Logging_2283/tillsyn/A 29037-2022 tillsynsbegäran.docx", "A 29037-2022")</f>
        <v/>
      </c>
      <c r="Y311">
        <f>HYPERLINK("https://klasma.github.io/Logging_2283/tillsynsmail/A 29037-2022 tillsynsbegäran mail.docx", "A 29037-2022")</f>
        <v/>
      </c>
    </row>
    <row r="312" ht="15" customHeight="1">
      <c r="A312" t="inlineStr">
        <is>
          <t>A 51019-2021</t>
        </is>
      </c>
      <c r="B312" s="1" t="n">
        <v>44460</v>
      </c>
      <c r="C312" s="1" t="n">
        <v>46048</v>
      </c>
      <c r="D312" t="inlineStr">
        <is>
          <t>VÄSTERNORRLANDS LÄN</t>
        </is>
      </c>
      <c r="E312" t="inlineStr">
        <is>
          <t>SOLLEFTEÅ</t>
        </is>
      </c>
      <c r="F312" t="inlineStr">
        <is>
          <t>SCA</t>
        </is>
      </c>
      <c r="G312" t="n">
        <v>2.1</v>
      </c>
      <c r="H312" t="n">
        <v>1</v>
      </c>
      <c r="I312" t="n">
        <v>0</v>
      </c>
      <c r="J312" t="n">
        <v>0</v>
      </c>
      <c r="K312" t="n">
        <v>0</v>
      </c>
      <c r="L312" t="n">
        <v>0</v>
      </c>
      <c r="M312" t="n">
        <v>0</v>
      </c>
      <c r="N312" t="n">
        <v>0</v>
      </c>
      <c r="O312" t="n">
        <v>0</v>
      </c>
      <c r="P312" t="n">
        <v>0</v>
      </c>
      <c r="Q312" t="n">
        <v>1</v>
      </c>
      <c r="R312" s="2" t="inlineStr">
        <is>
          <t>Fläcknycklar</t>
        </is>
      </c>
      <c r="S312">
        <f>HYPERLINK("https://klasma.github.io/Logging_2283/artfynd/A 51019-2021 artfynd.xlsx", "A 51019-2021")</f>
        <v/>
      </c>
      <c r="T312">
        <f>HYPERLINK("https://klasma.github.io/Logging_2283/kartor/A 51019-2021 karta.png", "A 51019-2021")</f>
        <v/>
      </c>
      <c r="V312">
        <f>HYPERLINK("https://klasma.github.io/Logging_2283/klagomål/A 51019-2021 FSC-klagomål.docx", "A 51019-2021")</f>
        <v/>
      </c>
      <c r="W312">
        <f>HYPERLINK("https://klasma.github.io/Logging_2283/klagomålsmail/A 51019-2021 FSC-klagomål mail.docx", "A 51019-2021")</f>
        <v/>
      </c>
      <c r="X312">
        <f>HYPERLINK("https://klasma.github.io/Logging_2283/tillsyn/A 51019-2021 tillsynsbegäran.docx", "A 51019-2021")</f>
        <v/>
      </c>
      <c r="Y312">
        <f>HYPERLINK("https://klasma.github.io/Logging_2283/tillsynsmail/A 51019-2021 tillsynsbegäran mail.docx", "A 51019-2021")</f>
        <v/>
      </c>
    </row>
    <row r="313" ht="15" customHeight="1">
      <c r="A313" t="inlineStr">
        <is>
          <t>A 67402-2021</t>
        </is>
      </c>
      <c r="B313" s="1" t="n">
        <v>44523</v>
      </c>
      <c r="C313" s="1" t="n">
        <v>46048</v>
      </c>
      <c r="D313" t="inlineStr">
        <is>
          <t>VÄSTERNORRLANDS LÄN</t>
        </is>
      </c>
      <c r="E313" t="inlineStr">
        <is>
          <t>SOLLEFTEÅ</t>
        </is>
      </c>
      <c r="F313" t="inlineStr">
        <is>
          <t>SCA</t>
        </is>
      </c>
      <c r="G313" t="n">
        <v>11</v>
      </c>
      <c r="H313" t="n">
        <v>1</v>
      </c>
      <c r="I313" t="n">
        <v>0</v>
      </c>
      <c r="J313" t="n">
        <v>0</v>
      </c>
      <c r="K313" t="n">
        <v>1</v>
      </c>
      <c r="L313" t="n">
        <v>0</v>
      </c>
      <c r="M313" t="n">
        <v>0</v>
      </c>
      <c r="N313" t="n">
        <v>0</v>
      </c>
      <c r="O313" t="n">
        <v>1</v>
      </c>
      <c r="P313" t="n">
        <v>1</v>
      </c>
      <c r="Q313" t="n">
        <v>1</v>
      </c>
      <c r="R313" s="2" t="inlineStr">
        <is>
          <t>Knärot</t>
        </is>
      </c>
      <c r="S313">
        <f>HYPERLINK("https://klasma.github.io/Logging_2283/artfynd/A 67402-2021 artfynd.xlsx", "A 67402-2021")</f>
        <v/>
      </c>
      <c r="T313">
        <f>HYPERLINK("https://klasma.github.io/Logging_2283/kartor/A 67402-2021 karta.png", "A 67402-2021")</f>
        <v/>
      </c>
      <c r="U313">
        <f>HYPERLINK("https://klasma.github.io/Logging_2283/knärot/A 67402-2021 karta knärot.png", "A 67402-2021")</f>
        <v/>
      </c>
      <c r="V313">
        <f>HYPERLINK("https://klasma.github.io/Logging_2283/klagomål/A 67402-2021 FSC-klagomål.docx", "A 67402-2021")</f>
        <v/>
      </c>
      <c r="W313">
        <f>HYPERLINK("https://klasma.github.io/Logging_2283/klagomålsmail/A 67402-2021 FSC-klagomål mail.docx", "A 67402-2021")</f>
        <v/>
      </c>
      <c r="X313">
        <f>HYPERLINK("https://klasma.github.io/Logging_2283/tillsyn/A 67402-2021 tillsynsbegäran.docx", "A 67402-2021")</f>
        <v/>
      </c>
      <c r="Y313">
        <f>HYPERLINK("https://klasma.github.io/Logging_2283/tillsynsmail/A 67402-2021 tillsynsbegäran mail.docx", "A 67402-2021")</f>
        <v/>
      </c>
    </row>
    <row r="314" ht="15" customHeight="1">
      <c r="A314" t="inlineStr">
        <is>
          <t>A 15101-2021</t>
        </is>
      </c>
      <c r="B314" s="1" t="n">
        <v>44281.93871527778</v>
      </c>
      <c r="C314" s="1" t="n">
        <v>46048</v>
      </c>
      <c r="D314" t="inlineStr">
        <is>
          <t>VÄSTERNORRLANDS LÄN</t>
        </is>
      </c>
      <c r="E314" t="inlineStr">
        <is>
          <t>SOLLEFTEÅ</t>
        </is>
      </c>
      <c r="F314" t="inlineStr">
        <is>
          <t>SCA</t>
        </is>
      </c>
      <c r="G314" t="n">
        <v>1.1</v>
      </c>
      <c r="H314" t="n">
        <v>0</v>
      </c>
      <c r="I314" t="n">
        <v>0</v>
      </c>
      <c r="J314" t="n">
        <v>1</v>
      </c>
      <c r="K314" t="n">
        <v>0</v>
      </c>
      <c r="L314" t="n">
        <v>0</v>
      </c>
      <c r="M314" t="n">
        <v>0</v>
      </c>
      <c r="N314" t="n">
        <v>0</v>
      </c>
      <c r="O314" t="n">
        <v>1</v>
      </c>
      <c r="P314" t="n">
        <v>0</v>
      </c>
      <c r="Q314" t="n">
        <v>1</v>
      </c>
      <c r="R314" s="2" t="inlineStr">
        <is>
          <t>Garnlav</t>
        </is>
      </c>
      <c r="S314">
        <f>HYPERLINK("https://klasma.github.io/Logging_2283/artfynd/A 15101-2021 artfynd.xlsx", "A 15101-2021")</f>
        <v/>
      </c>
      <c r="T314">
        <f>HYPERLINK("https://klasma.github.io/Logging_2283/kartor/A 15101-2021 karta.png", "A 15101-2021")</f>
        <v/>
      </c>
      <c r="V314">
        <f>HYPERLINK("https://klasma.github.io/Logging_2283/klagomål/A 15101-2021 FSC-klagomål.docx", "A 15101-2021")</f>
        <v/>
      </c>
      <c r="W314">
        <f>HYPERLINK("https://klasma.github.io/Logging_2283/klagomålsmail/A 15101-2021 FSC-klagomål mail.docx", "A 15101-2021")</f>
        <v/>
      </c>
      <c r="X314">
        <f>HYPERLINK("https://klasma.github.io/Logging_2283/tillsyn/A 15101-2021 tillsynsbegäran.docx", "A 15101-2021")</f>
        <v/>
      </c>
      <c r="Y314">
        <f>HYPERLINK("https://klasma.github.io/Logging_2283/tillsynsmail/A 15101-2021 tillsynsbegäran mail.docx", "A 15101-2021")</f>
        <v/>
      </c>
    </row>
    <row r="315" ht="15" customHeight="1">
      <c r="A315" t="inlineStr">
        <is>
          <t>A 71349-2021</t>
        </is>
      </c>
      <c r="B315" s="1" t="n">
        <v>44539</v>
      </c>
      <c r="C315" s="1" t="n">
        <v>46048</v>
      </c>
      <c r="D315" t="inlineStr">
        <is>
          <t>VÄSTERNORRLANDS LÄN</t>
        </is>
      </c>
      <c r="E315" t="inlineStr">
        <is>
          <t>SOLLEFTEÅ</t>
        </is>
      </c>
      <c r="G315" t="n">
        <v>0.5</v>
      </c>
      <c r="H315" t="n">
        <v>1</v>
      </c>
      <c r="I315" t="n">
        <v>0</v>
      </c>
      <c r="J315" t="n">
        <v>1</v>
      </c>
      <c r="K315" t="n">
        <v>0</v>
      </c>
      <c r="L315" t="n">
        <v>0</v>
      </c>
      <c r="M315" t="n">
        <v>0</v>
      </c>
      <c r="N315" t="n">
        <v>0</v>
      </c>
      <c r="O315" t="n">
        <v>1</v>
      </c>
      <c r="P315" t="n">
        <v>0</v>
      </c>
      <c r="Q315" t="n">
        <v>1</v>
      </c>
      <c r="R315" s="2" t="inlineStr">
        <is>
          <t>Björktrast</t>
        </is>
      </c>
      <c r="S315">
        <f>HYPERLINK("https://klasma.github.io/Logging_2283/artfynd/A 71349-2021 artfynd.xlsx", "A 71349-2021")</f>
        <v/>
      </c>
      <c r="T315">
        <f>HYPERLINK("https://klasma.github.io/Logging_2283/kartor/A 71349-2021 karta.png", "A 71349-2021")</f>
        <v/>
      </c>
      <c r="V315">
        <f>HYPERLINK("https://klasma.github.io/Logging_2283/klagomål/A 71349-2021 FSC-klagomål.docx", "A 71349-2021")</f>
        <v/>
      </c>
      <c r="W315">
        <f>HYPERLINK("https://klasma.github.io/Logging_2283/klagomålsmail/A 71349-2021 FSC-klagomål mail.docx", "A 71349-2021")</f>
        <v/>
      </c>
      <c r="X315">
        <f>HYPERLINK("https://klasma.github.io/Logging_2283/tillsyn/A 71349-2021 tillsynsbegäran.docx", "A 71349-2021")</f>
        <v/>
      </c>
      <c r="Y315">
        <f>HYPERLINK("https://klasma.github.io/Logging_2283/tillsynsmail/A 71349-2021 tillsynsbegäran mail.docx", "A 71349-2021")</f>
        <v/>
      </c>
      <c r="Z315">
        <f>HYPERLINK("https://klasma.github.io/Logging_2283/fåglar/A 71349-2021 prioriterade fågelarter.docx", "A 71349-2021")</f>
        <v/>
      </c>
    </row>
    <row r="316" ht="15" customHeight="1">
      <c r="A316" t="inlineStr">
        <is>
          <t>A 30047-2022</t>
        </is>
      </c>
      <c r="B316" s="1" t="n">
        <v>44756.94622685185</v>
      </c>
      <c r="C316" s="1" t="n">
        <v>46048</v>
      </c>
      <c r="D316" t="inlineStr">
        <is>
          <t>VÄSTERNORRLANDS LÄN</t>
        </is>
      </c>
      <c r="E316" t="inlineStr">
        <is>
          <t>SOLLEFTEÅ</t>
        </is>
      </c>
      <c r="F316" t="inlineStr">
        <is>
          <t>SCA</t>
        </is>
      </c>
      <c r="G316" t="n">
        <v>2.5</v>
      </c>
      <c r="H316" t="n">
        <v>0</v>
      </c>
      <c r="I316" t="n">
        <v>0</v>
      </c>
      <c r="J316" t="n">
        <v>1</v>
      </c>
      <c r="K316" t="n">
        <v>0</v>
      </c>
      <c r="L316" t="n">
        <v>0</v>
      </c>
      <c r="M316" t="n">
        <v>0</v>
      </c>
      <c r="N316" t="n">
        <v>0</v>
      </c>
      <c r="O316" t="n">
        <v>1</v>
      </c>
      <c r="P316" t="n">
        <v>0</v>
      </c>
      <c r="Q316" t="n">
        <v>1</v>
      </c>
      <c r="R316" s="2" t="inlineStr">
        <is>
          <t>Garnlav</t>
        </is>
      </c>
      <c r="S316">
        <f>HYPERLINK("https://klasma.github.io/Logging_2283/artfynd/A 30047-2022 artfynd.xlsx", "A 30047-2022")</f>
        <v/>
      </c>
      <c r="T316">
        <f>HYPERLINK("https://klasma.github.io/Logging_2283/kartor/A 30047-2022 karta.png", "A 30047-2022")</f>
        <v/>
      </c>
      <c r="V316">
        <f>HYPERLINK("https://klasma.github.io/Logging_2283/klagomål/A 30047-2022 FSC-klagomål.docx", "A 30047-2022")</f>
        <v/>
      </c>
      <c r="W316">
        <f>HYPERLINK("https://klasma.github.io/Logging_2283/klagomålsmail/A 30047-2022 FSC-klagomål mail.docx", "A 30047-2022")</f>
        <v/>
      </c>
      <c r="X316">
        <f>HYPERLINK("https://klasma.github.io/Logging_2283/tillsyn/A 30047-2022 tillsynsbegäran.docx", "A 30047-2022")</f>
        <v/>
      </c>
      <c r="Y316">
        <f>HYPERLINK("https://klasma.github.io/Logging_2283/tillsynsmail/A 30047-2022 tillsynsbegäran mail.docx", "A 30047-2022")</f>
        <v/>
      </c>
    </row>
    <row r="317" ht="15" customHeight="1">
      <c r="A317" t="inlineStr">
        <is>
          <t>A 22323-2022</t>
        </is>
      </c>
      <c r="B317" s="1" t="n">
        <v>44712.94081018519</v>
      </c>
      <c r="C317" s="1" t="n">
        <v>46048</v>
      </c>
      <c r="D317" t="inlineStr">
        <is>
          <t>VÄSTERNORRLANDS LÄN</t>
        </is>
      </c>
      <c r="E317" t="inlineStr">
        <is>
          <t>SOLLEFTEÅ</t>
        </is>
      </c>
      <c r="F317" t="inlineStr">
        <is>
          <t>SCA</t>
        </is>
      </c>
      <c r="G317" t="n">
        <v>1.8</v>
      </c>
      <c r="H317" t="n">
        <v>0</v>
      </c>
      <c r="I317" t="n">
        <v>0</v>
      </c>
      <c r="J317" t="n">
        <v>1</v>
      </c>
      <c r="K317" t="n">
        <v>0</v>
      </c>
      <c r="L317" t="n">
        <v>0</v>
      </c>
      <c r="M317" t="n">
        <v>0</v>
      </c>
      <c r="N317" t="n">
        <v>0</v>
      </c>
      <c r="O317" t="n">
        <v>1</v>
      </c>
      <c r="P317" t="n">
        <v>0</v>
      </c>
      <c r="Q317" t="n">
        <v>1</v>
      </c>
      <c r="R317" s="2" t="inlineStr">
        <is>
          <t>Granticka</t>
        </is>
      </c>
      <c r="S317">
        <f>HYPERLINK("https://klasma.github.io/Logging_2283/artfynd/A 22323-2022 artfynd.xlsx", "A 22323-2022")</f>
        <v/>
      </c>
      <c r="T317">
        <f>HYPERLINK("https://klasma.github.io/Logging_2283/kartor/A 22323-2022 karta.png", "A 22323-2022")</f>
        <v/>
      </c>
      <c r="V317">
        <f>HYPERLINK("https://klasma.github.io/Logging_2283/klagomål/A 22323-2022 FSC-klagomål.docx", "A 22323-2022")</f>
        <v/>
      </c>
      <c r="W317">
        <f>HYPERLINK("https://klasma.github.io/Logging_2283/klagomålsmail/A 22323-2022 FSC-klagomål mail.docx", "A 22323-2022")</f>
        <v/>
      </c>
      <c r="X317">
        <f>HYPERLINK("https://klasma.github.io/Logging_2283/tillsyn/A 22323-2022 tillsynsbegäran.docx", "A 22323-2022")</f>
        <v/>
      </c>
      <c r="Y317">
        <f>HYPERLINK("https://klasma.github.io/Logging_2283/tillsynsmail/A 22323-2022 tillsynsbegäran mail.docx", "A 22323-2022")</f>
        <v/>
      </c>
    </row>
    <row r="318" ht="15" customHeight="1">
      <c r="A318" t="inlineStr">
        <is>
          <t>A 40626-2022</t>
        </is>
      </c>
      <c r="B318" s="1" t="n">
        <v>44823.95071759259</v>
      </c>
      <c r="C318" s="1" t="n">
        <v>46048</v>
      </c>
      <c r="D318" t="inlineStr">
        <is>
          <t>VÄSTERNORRLANDS LÄN</t>
        </is>
      </c>
      <c r="E318" t="inlineStr">
        <is>
          <t>SOLLEFTEÅ</t>
        </is>
      </c>
      <c r="F318" t="inlineStr">
        <is>
          <t>SCA</t>
        </is>
      </c>
      <c r="G318" t="n">
        <v>2.5</v>
      </c>
      <c r="H318" t="n">
        <v>1</v>
      </c>
      <c r="I318" t="n">
        <v>0</v>
      </c>
      <c r="J318" t="n">
        <v>1</v>
      </c>
      <c r="K318" t="n">
        <v>0</v>
      </c>
      <c r="L318" t="n">
        <v>0</v>
      </c>
      <c r="M318" t="n">
        <v>0</v>
      </c>
      <c r="N318" t="n">
        <v>0</v>
      </c>
      <c r="O318" t="n">
        <v>1</v>
      </c>
      <c r="P318" t="n">
        <v>0</v>
      </c>
      <c r="Q318" t="n">
        <v>1</v>
      </c>
      <c r="R318" s="2" t="inlineStr">
        <is>
          <t>Spillkråka</t>
        </is>
      </c>
      <c r="S318">
        <f>HYPERLINK("https://klasma.github.io/Logging_2283/artfynd/A 40626-2022 artfynd.xlsx", "A 40626-2022")</f>
        <v/>
      </c>
      <c r="T318">
        <f>HYPERLINK("https://klasma.github.io/Logging_2283/kartor/A 40626-2022 karta.png", "A 40626-2022")</f>
        <v/>
      </c>
      <c r="V318">
        <f>HYPERLINK("https://klasma.github.io/Logging_2283/klagomål/A 40626-2022 FSC-klagomål.docx", "A 40626-2022")</f>
        <v/>
      </c>
      <c r="W318">
        <f>HYPERLINK("https://klasma.github.io/Logging_2283/klagomålsmail/A 40626-2022 FSC-klagomål mail.docx", "A 40626-2022")</f>
        <v/>
      </c>
      <c r="X318">
        <f>HYPERLINK("https://klasma.github.io/Logging_2283/tillsyn/A 40626-2022 tillsynsbegäran.docx", "A 40626-2022")</f>
        <v/>
      </c>
      <c r="Y318">
        <f>HYPERLINK("https://klasma.github.io/Logging_2283/tillsynsmail/A 40626-2022 tillsynsbegäran mail.docx", "A 40626-2022")</f>
        <v/>
      </c>
      <c r="Z318">
        <f>HYPERLINK("https://klasma.github.io/Logging_2283/fåglar/A 40626-2022 prioriterade fågelarter.docx", "A 40626-2022")</f>
        <v/>
      </c>
    </row>
    <row r="319" ht="15" customHeight="1">
      <c r="A319" t="inlineStr">
        <is>
          <t>A 44763-2022</t>
        </is>
      </c>
      <c r="B319" s="1" t="n">
        <v>44840</v>
      </c>
      <c r="C319" s="1" t="n">
        <v>46048</v>
      </c>
      <c r="D319" t="inlineStr">
        <is>
          <t>VÄSTERNORRLANDS LÄN</t>
        </is>
      </c>
      <c r="E319" t="inlineStr">
        <is>
          <t>SOLLEFTEÅ</t>
        </is>
      </c>
      <c r="F319" t="inlineStr">
        <is>
          <t>SCA</t>
        </is>
      </c>
      <c r="G319" t="n">
        <v>1.2</v>
      </c>
      <c r="H319" t="n">
        <v>0</v>
      </c>
      <c r="I319" t="n">
        <v>0</v>
      </c>
      <c r="J319" t="n">
        <v>1</v>
      </c>
      <c r="K319" t="n">
        <v>0</v>
      </c>
      <c r="L319" t="n">
        <v>0</v>
      </c>
      <c r="M319" t="n">
        <v>0</v>
      </c>
      <c r="N319" t="n">
        <v>0</v>
      </c>
      <c r="O319" t="n">
        <v>1</v>
      </c>
      <c r="P319" t="n">
        <v>0</v>
      </c>
      <c r="Q319" t="n">
        <v>1</v>
      </c>
      <c r="R319" s="2" t="inlineStr">
        <is>
          <t>Rosenticka</t>
        </is>
      </c>
      <c r="S319">
        <f>HYPERLINK("https://klasma.github.io/Logging_2283/artfynd/A 44763-2022 artfynd.xlsx", "A 44763-2022")</f>
        <v/>
      </c>
      <c r="T319">
        <f>HYPERLINK("https://klasma.github.io/Logging_2283/kartor/A 44763-2022 karta.png", "A 44763-2022")</f>
        <v/>
      </c>
      <c r="V319">
        <f>HYPERLINK("https://klasma.github.io/Logging_2283/klagomål/A 44763-2022 FSC-klagomål.docx", "A 44763-2022")</f>
        <v/>
      </c>
      <c r="W319">
        <f>HYPERLINK("https://klasma.github.io/Logging_2283/klagomålsmail/A 44763-2022 FSC-klagomål mail.docx", "A 44763-2022")</f>
        <v/>
      </c>
      <c r="X319">
        <f>HYPERLINK("https://klasma.github.io/Logging_2283/tillsyn/A 44763-2022 tillsynsbegäran.docx", "A 44763-2022")</f>
        <v/>
      </c>
      <c r="Y319">
        <f>HYPERLINK("https://klasma.github.io/Logging_2283/tillsynsmail/A 44763-2022 tillsynsbegäran mail.docx", "A 44763-2022")</f>
        <v/>
      </c>
    </row>
    <row r="320" ht="15" customHeight="1">
      <c r="A320" t="inlineStr">
        <is>
          <t>A 8541-2024</t>
        </is>
      </c>
      <c r="B320" s="1" t="n">
        <v>45351</v>
      </c>
      <c r="C320" s="1" t="n">
        <v>46048</v>
      </c>
      <c r="D320" t="inlineStr">
        <is>
          <t>VÄSTERNORRLANDS LÄN</t>
        </is>
      </c>
      <c r="E320" t="inlineStr">
        <is>
          <t>SOLLEFTEÅ</t>
        </is>
      </c>
      <c r="F320" t="inlineStr">
        <is>
          <t>Kommuner</t>
        </is>
      </c>
      <c r="G320" t="n">
        <v>0.6</v>
      </c>
      <c r="H320" t="n">
        <v>0</v>
      </c>
      <c r="I320" t="n">
        <v>0</v>
      </c>
      <c r="J320" t="n">
        <v>1</v>
      </c>
      <c r="K320" t="n">
        <v>0</v>
      </c>
      <c r="L320" t="n">
        <v>0</v>
      </c>
      <c r="M320" t="n">
        <v>0</v>
      </c>
      <c r="N320" t="n">
        <v>0</v>
      </c>
      <c r="O320" t="n">
        <v>1</v>
      </c>
      <c r="P320" t="n">
        <v>0</v>
      </c>
      <c r="Q320" t="n">
        <v>1</v>
      </c>
      <c r="R320" s="2" t="inlineStr">
        <is>
          <t>Granticka</t>
        </is>
      </c>
      <c r="S320">
        <f>HYPERLINK("https://klasma.github.io/Logging_2283/artfynd/A 8541-2024 artfynd.xlsx", "A 8541-2024")</f>
        <v/>
      </c>
      <c r="T320">
        <f>HYPERLINK("https://klasma.github.io/Logging_2283/kartor/A 8541-2024 karta.png", "A 8541-2024")</f>
        <v/>
      </c>
      <c r="V320">
        <f>HYPERLINK("https://klasma.github.io/Logging_2283/klagomål/A 8541-2024 FSC-klagomål.docx", "A 8541-2024")</f>
        <v/>
      </c>
      <c r="W320">
        <f>HYPERLINK("https://klasma.github.io/Logging_2283/klagomålsmail/A 8541-2024 FSC-klagomål mail.docx", "A 8541-2024")</f>
        <v/>
      </c>
      <c r="X320">
        <f>HYPERLINK("https://klasma.github.io/Logging_2283/tillsyn/A 8541-2024 tillsynsbegäran.docx", "A 8541-2024")</f>
        <v/>
      </c>
      <c r="Y320">
        <f>HYPERLINK("https://klasma.github.io/Logging_2283/tillsynsmail/A 8541-2024 tillsynsbegäran mail.docx", "A 8541-2024")</f>
        <v/>
      </c>
    </row>
    <row r="321" ht="15" customHeight="1">
      <c r="A321" t="inlineStr">
        <is>
          <t>A 37589-2022</t>
        </is>
      </c>
      <c r="B321" s="1" t="n">
        <v>44809.94556712963</v>
      </c>
      <c r="C321" s="1" t="n">
        <v>46048</v>
      </c>
      <c r="D321" t="inlineStr">
        <is>
          <t>VÄSTERNORRLANDS LÄN</t>
        </is>
      </c>
      <c r="E321" t="inlineStr">
        <is>
          <t>SOLLEFTEÅ</t>
        </is>
      </c>
      <c r="F321" t="inlineStr">
        <is>
          <t>SCA</t>
        </is>
      </c>
      <c r="G321" t="n">
        <v>2.6</v>
      </c>
      <c r="H321" t="n">
        <v>1</v>
      </c>
      <c r="I321" t="n">
        <v>0</v>
      </c>
      <c r="J321" t="n">
        <v>0</v>
      </c>
      <c r="K321" t="n">
        <v>0</v>
      </c>
      <c r="L321" t="n">
        <v>0</v>
      </c>
      <c r="M321" t="n">
        <v>0</v>
      </c>
      <c r="N321" t="n">
        <v>0</v>
      </c>
      <c r="O321" t="n">
        <v>0</v>
      </c>
      <c r="P321" t="n">
        <v>0</v>
      </c>
      <c r="Q321" t="n">
        <v>1</v>
      </c>
      <c r="R321" s="2" t="inlineStr">
        <is>
          <t>Tjäder</t>
        </is>
      </c>
      <c r="S321">
        <f>HYPERLINK("https://klasma.github.io/Logging_2283/artfynd/A 37589-2022 artfynd.xlsx", "A 37589-2022")</f>
        <v/>
      </c>
      <c r="T321">
        <f>HYPERLINK("https://klasma.github.io/Logging_2283/kartor/A 37589-2022 karta.png", "A 37589-2022")</f>
        <v/>
      </c>
      <c r="V321">
        <f>HYPERLINK("https://klasma.github.io/Logging_2283/klagomål/A 37589-2022 FSC-klagomål.docx", "A 37589-2022")</f>
        <v/>
      </c>
      <c r="W321">
        <f>HYPERLINK("https://klasma.github.io/Logging_2283/klagomålsmail/A 37589-2022 FSC-klagomål mail.docx", "A 37589-2022")</f>
        <v/>
      </c>
      <c r="X321">
        <f>HYPERLINK("https://klasma.github.io/Logging_2283/tillsyn/A 37589-2022 tillsynsbegäran.docx", "A 37589-2022")</f>
        <v/>
      </c>
      <c r="Y321">
        <f>HYPERLINK("https://klasma.github.io/Logging_2283/tillsynsmail/A 37589-2022 tillsynsbegäran mail.docx", "A 37589-2022")</f>
        <v/>
      </c>
      <c r="Z321">
        <f>HYPERLINK("https://klasma.github.io/Logging_2283/fåglar/A 37589-2022 prioriterade fågelarter.docx", "A 37589-2022")</f>
        <v/>
      </c>
    </row>
    <row r="322" ht="15" customHeight="1">
      <c r="A322" t="inlineStr">
        <is>
          <t>A 18697-2025</t>
        </is>
      </c>
      <c r="B322" s="1" t="n">
        <v>45763.61592592593</v>
      </c>
      <c r="C322" s="1" t="n">
        <v>46048</v>
      </c>
      <c r="D322" t="inlineStr">
        <is>
          <t>VÄSTERNORRLANDS LÄN</t>
        </is>
      </c>
      <c r="E322" t="inlineStr">
        <is>
          <t>SOLLEFTEÅ</t>
        </is>
      </c>
      <c r="F322" t="inlineStr">
        <is>
          <t>SCA</t>
        </is>
      </c>
      <c r="G322" t="n">
        <v>6.4</v>
      </c>
      <c r="H322" t="n">
        <v>0</v>
      </c>
      <c r="I322" t="n">
        <v>0</v>
      </c>
      <c r="J322" t="n">
        <v>1</v>
      </c>
      <c r="K322" t="n">
        <v>0</v>
      </c>
      <c r="L322" t="n">
        <v>0</v>
      </c>
      <c r="M322" t="n">
        <v>0</v>
      </c>
      <c r="N322" t="n">
        <v>0</v>
      </c>
      <c r="O322" t="n">
        <v>1</v>
      </c>
      <c r="P322" t="n">
        <v>0</v>
      </c>
      <c r="Q322" t="n">
        <v>1</v>
      </c>
      <c r="R322" s="2" t="inlineStr">
        <is>
          <t>Kolflarnlav</t>
        </is>
      </c>
      <c r="S322">
        <f>HYPERLINK("https://klasma.github.io/Logging_2283/artfynd/A 18697-2025 artfynd.xlsx", "A 18697-2025")</f>
        <v/>
      </c>
      <c r="T322">
        <f>HYPERLINK("https://klasma.github.io/Logging_2283/kartor/A 18697-2025 karta.png", "A 18697-2025")</f>
        <v/>
      </c>
      <c r="V322">
        <f>HYPERLINK("https://klasma.github.io/Logging_2283/klagomål/A 18697-2025 FSC-klagomål.docx", "A 18697-2025")</f>
        <v/>
      </c>
      <c r="W322">
        <f>HYPERLINK("https://klasma.github.io/Logging_2283/klagomålsmail/A 18697-2025 FSC-klagomål mail.docx", "A 18697-2025")</f>
        <v/>
      </c>
      <c r="X322">
        <f>HYPERLINK("https://klasma.github.io/Logging_2283/tillsyn/A 18697-2025 tillsynsbegäran.docx", "A 18697-2025")</f>
        <v/>
      </c>
      <c r="Y322">
        <f>HYPERLINK("https://klasma.github.io/Logging_2283/tillsynsmail/A 18697-2025 tillsynsbegäran mail.docx", "A 18697-2025")</f>
        <v/>
      </c>
    </row>
    <row r="323" ht="15" customHeight="1">
      <c r="A323" t="inlineStr">
        <is>
          <t>A 22862-2021</t>
        </is>
      </c>
      <c r="B323" s="1" t="n">
        <v>44326</v>
      </c>
      <c r="C323" s="1" t="n">
        <v>46048</v>
      </c>
      <c r="D323" t="inlineStr">
        <is>
          <t>VÄSTERNORRLANDS LÄN</t>
        </is>
      </c>
      <c r="E323" t="inlineStr">
        <is>
          <t>SOLLEFTEÅ</t>
        </is>
      </c>
      <c r="F323" t="inlineStr">
        <is>
          <t>Kommuner</t>
        </is>
      </c>
      <c r="G323" t="n">
        <v>2</v>
      </c>
      <c r="H323" t="n">
        <v>1</v>
      </c>
      <c r="I323" t="n">
        <v>0</v>
      </c>
      <c r="J323" t="n">
        <v>0</v>
      </c>
      <c r="K323" t="n">
        <v>1</v>
      </c>
      <c r="L323" t="n">
        <v>0</v>
      </c>
      <c r="M323" t="n">
        <v>0</v>
      </c>
      <c r="N323" t="n">
        <v>0</v>
      </c>
      <c r="O323" t="n">
        <v>1</v>
      </c>
      <c r="P323" t="n">
        <v>1</v>
      </c>
      <c r="Q323" t="n">
        <v>1</v>
      </c>
      <c r="R323" s="2" t="inlineStr">
        <is>
          <t>Lappuggla</t>
        </is>
      </c>
      <c r="S323">
        <f>HYPERLINK("https://klasma.github.io/Logging_2283/artfynd/A 22862-2021 artfynd.xlsx", "A 22862-2021")</f>
        <v/>
      </c>
      <c r="T323">
        <f>HYPERLINK("https://klasma.github.io/Logging_2283/kartor/A 22862-2021 karta.png", "A 22862-2021")</f>
        <v/>
      </c>
      <c r="V323">
        <f>HYPERLINK("https://klasma.github.io/Logging_2283/klagomål/A 22862-2021 FSC-klagomål.docx", "A 22862-2021")</f>
        <v/>
      </c>
      <c r="W323">
        <f>HYPERLINK("https://klasma.github.io/Logging_2283/klagomålsmail/A 22862-2021 FSC-klagomål mail.docx", "A 22862-2021")</f>
        <v/>
      </c>
      <c r="X323">
        <f>HYPERLINK("https://klasma.github.io/Logging_2283/tillsyn/A 22862-2021 tillsynsbegäran.docx", "A 22862-2021")</f>
        <v/>
      </c>
      <c r="Y323">
        <f>HYPERLINK("https://klasma.github.io/Logging_2283/tillsynsmail/A 22862-2021 tillsynsbegäran mail.docx", "A 22862-2021")</f>
        <v/>
      </c>
      <c r="Z323">
        <f>HYPERLINK("https://klasma.github.io/Logging_2283/fåglar/A 22862-2021 prioriterade fågelarter.docx", "A 22862-2021")</f>
        <v/>
      </c>
    </row>
    <row r="324" ht="15" customHeight="1">
      <c r="A324" t="inlineStr">
        <is>
          <t>A 22345-2025</t>
        </is>
      </c>
      <c r="B324" s="1" t="n">
        <v>45786.44869212963</v>
      </c>
      <c r="C324" s="1" t="n">
        <v>46048</v>
      </c>
      <c r="D324" t="inlineStr">
        <is>
          <t>VÄSTERNORRLANDS LÄN</t>
        </is>
      </c>
      <c r="E324" t="inlineStr">
        <is>
          <t>SOLLEFTEÅ</t>
        </is>
      </c>
      <c r="F324" t="inlineStr">
        <is>
          <t>SCA</t>
        </is>
      </c>
      <c r="G324" t="n">
        <v>7.2</v>
      </c>
      <c r="H324" t="n">
        <v>0</v>
      </c>
      <c r="I324" t="n">
        <v>0</v>
      </c>
      <c r="J324" t="n">
        <v>1</v>
      </c>
      <c r="K324" t="n">
        <v>0</v>
      </c>
      <c r="L324" t="n">
        <v>0</v>
      </c>
      <c r="M324" t="n">
        <v>0</v>
      </c>
      <c r="N324" t="n">
        <v>0</v>
      </c>
      <c r="O324" t="n">
        <v>1</v>
      </c>
      <c r="P324" t="n">
        <v>0</v>
      </c>
      <c r="Q324" t="n">
        <v>1</v>
      </c>
      <c r="R324" s="2" t="inlineStr">
        <is>
          <t>Gammelgransskål</t>
        </is>
      </c>
      <c r="S324">
        <f>HYPERLINK("https://klasma.github.io/Logging_2283/artfynd/A 22345-2025 artfynd.xlsx", "A 22345-2025")</f>
        <v/>
      </c>
      <c r="T324">
        <f>HYPERLINK("https://klasma.github.io/Logging_2283/kartor/A 22345-2025 karta.png", "A 22345-2025")</f>
        <v/>
      </c>
      <c r="V324">
        <f>HYPERLINK("https://klasma.github.io/Logging_2283/klagomål/A 22345-2025 FSC-klagomål.docx", "A 22345-2025")</f>
        <v/>
      </c>
      <c r="W324">
        <f>HYPERLINK("https://klasma.github.io/Logging_2283/klagomålsmail/A 22345-2025 FSC-klagomål mail.docx", "A 22345-2025")</f>
        <v/>
      </c>
      <c r="X324">
        <f>HYPERLINK("https://klasma.github.io/Logging_2283/tillsyn/A 22345-2025 tillsynsbegäran.docx", "A 22345-2025")</f>
        <v/>
      </c>
      <c r="Y324">
        <f>HYPERLINK("https://klasma.github.io/Logging_2283/tillsynsmail/A 22345-2025 tillsynsbegäran mail.docx", "A 22345-2025")</f>
        <v/>
      </c>
    </row>
    <row r="325" ht="15" customHeight="1">
      <c r="A325" t="inlineStr">
        <is>
          <t>A 37206-2024</t>
        </is>
      </c>
      <c r="B325" s="1" t="n">
        <v>45539</v>
      </c>
      <c r="C325" s="1" t="n">
        <v>46048</v>
      </c>
      <c r="D325" t="inlineStr">
        <is>
          <t>VÄSTERNORRLANDS LÄN</t>
        </is>
      </c>
      <c r="E325" t="inlineStr">
        <is>
          <t>SOLLEFTEÅ</t>
        </is>
      </c>
      <c r="F325" t="inlineStr">
        <is>
          <t>SCA</t>
        </is>
      </c>
      <c r="G325" t="n">
        <v>3.6</v>
      </c>
      <c r="H325" t="n">
        <v>1</v>
      </c>
      <c r="I325" t="n">
        <v>0</v>
      </c>
      <c r="J325" t="n">
        <v>1</v>
      </c>
      <c r="K325" t="n">
        <v>0</v>
      </c>
      <c r="L325" t="n">
        <v>0</v>
      </c>
      <c r="M325" t="n">
        <v>0</v>
      </c>
      <c r="N325" t="n">
        <v>0</v>
      </c>
      <c r="O325" t="n">
        <v>1</v>
      </c>
      <c r="P325" t="n">
        <v>0</v>
      </c>
      <c r="Q325" t="n">
        <v>1</v>
      </c>
      <c r="R325" s="2" t="inlineStr">
        <is>
          <t>Tretåig hackspett</t>
        </is>
      </c>
      <c r="S325">
        <f>HYPERLINK("https://klasma.github.io/Logging_2283/artfynd/A 37206-2024 artfynd.xlsx", "A 37206-2024")</f>
        <v/>
      </c>
      <c r="T325">
        <f>HYPERLINK("https://klasma.github.io/Logging_2283/kartor/A 37206-2024 karta.png", "A 37206-2024")</f>
        <v/>
      </c>
      <c r="V325">
        <f>HYPERLINK("https://klasma.github.io/Logging_2283/klagomål/A 37206-2024 FSC-klagomål.docx", "A 37206-2024")</f>
        <v/>
      </c>
      <c r="W325">
        <f>HYPERLINK("https://klasma.github.io/Logging_2283/klagomålsmail/A 37206-2024 FSC-klagomål mail.docx", "A 37206-2024")</f>
        <v/>
      </c>
      <c r="X325">
        <f>HYPERLINK("https://klasma.github.io/Logging_2283/tillsyn/A 37206-2024 tillsynsbegäran.docx", "A 37206-2024")</f>
        <v/>
      </c>
      <c r="Y325">
        <f>HYPERLINK("https://klasma.github.io/Logging_2283/tillsynsmail/A 37206-2024 tillsynsbegäran mail.docx", "A 37206-2024")</f>
        <v/>
      </c>
      <c r="Z325">
        <f>HYPERLINK("https://klasma.github.io/Logging_2283/fåglar/A 37206-2024 prioriterade fågelarter.docx", "A 37206-2024")</f>
        <v/>
      </c>
    </row>
    <row r="326" ht="15" customHeight="1">
      <c r="A326" t="inlineStr">
        <is>
          <t>A 35295-2023</t>
        </is>
      </c>
      <c r="B326" s="1" t="n">
        <v>45145</v>
      </c>
      <c r="C326" s="1" t="n">
        <v>46048</v>
      </c>
      <c r="D326" t="inlineStr">
        <is>
          <t>VÄSTERNORRLANDS LÄN</t>
        </is>
      </c>
      <c r="E326" t="inlineStr">
        <is>
          <t>SOLLEFTEÅ</t>
        </is>
      </c>
      <c r="F326" t="inlineStr">
        <is>
          <t>SCA</t>
        </is>
      </c>
      <c r="G326" t="n">
        <v>8.9</v>
      </c>
      <c r="H326" t="n">
        <v>1</v>
      </c>
      <c r="I326" t="n">
        <v>0</v>
      </c>
      <c r="J326" t="n">
        <v>1</v>
      </c>
      <c r="K326" t="n">
        <v>0</v>
      </c>
      <c r="L326" t="n">
        <v>0</v>
      </c>
      <c r="M326" t="n">
        <v>0</v>
      </c>
      <c r="N326" t="n">
        <v>0</v>
      </c>
      <c r="O326" t="n">
        <v>1</v>
      </c>
      <c r="P326" t="n">
        <v>0</v>
      </c>
      <c r="Q326" t="n">
        <v>1</v>
      </c>
      <c r="R326" s="2" t="inlineStr">
        <is>
          <t>Talltita</t>
        </is>
      </c>
      <c r="S326">
        <f>HYPERLINK("https://klasma.github.io/Logging_2283/artfynd/A 35295-2023 artfynd.xlsx", "A 35295-2023")</f>
        <v/>
      </c>
      <c r="T326">
        <f>HYPERLINK("https://klasma.github.io/Logging_2283/kartor/A 35295-2023 karta.png", "A 35295-2023")</f>
        <v/>
      </c>
      <c r="V326">
        <f>HYPERLINK("https://klasma.github.io/Logging_2283/klagomål/A 35295-2023 FSC-klagomål.docx", "A 35295-2023")</f>
        <v/>
      </c>
      <c r="W326">
        <f>HYPERLINK("https://klasma.github.io/Logging_2283/klagomålsmail/A 35295-2023 FSC-klagomål mail.docx", "A 35295-2023")</f>
        <v/>
      </c>
      <c r="X326">
        <f>HYPERLINK("https://klasma.github.io/Logging_2283/tillsyn/A 35295-2023 tillsynsbegäran.docx", "A 35295-2023")</f>
        <v/>
      </c>
      <c r="Y326">
        <f>HYPERLINK("https://klasma.github.io/Logging_2283/tillsynsmail/A 35295-2023 tillsynsbegäran mail.docx", "A 35295-2023")</f>
        <v/>
      </c>
      <c r="Z326">
        <f>HYPERLINK("https://klasma.github.io/Logging_2283/fåglar/A 35295-2023 prioriterade fågelarter.docx", "A 35295-2023")</f>
        <v/>
      </c>
    </row>
    <row r="327" ht="15" customHeight="1">
      <c r="A327" t="inlineStr">
        <is>
          <t>A 22768-2025</t>
        </is>
      </c>
      <c r="B327" s="1" t="n">
        <v>45789.63329861111</v>
      </c>
      <c r="C327" s="1" t="n">
        <v>46048</v>
      </c>
      <c r="D327" t="inlineStr">
        <is>
          <t>VÄSTERNORRLANDS LÄN</t>
        </is>
      </c>
      <c r="E327" t="inlineStr">
        <is>
          <t>SOLLEFTEÅ</t>
        </is>
      </c>
      <c r="G327" t="n">
        <v>1.9</v>
      </c>
      <c r="H327" t="n">
        <v>0</v>
      </c>
      <c r="I327" t="n">
        <v>0</v>
      </c>
      <c r="J327" t="n">
        <v>1</v>
      </c>
      <c r="K327" t="n">
        <v>0</v>
      </c>
      <c r="L327" t="n">
        <v>0</v>
      </c>
      <c r="M327" t="n">
        <v>0</v>
      </c>
      <c r="N327" t="n">
        <v>0</v>
      </c>
      <c r="O327" t="n">
        <v>1</v>
      </c>
      <c r="P327" t="n">
        <v>0</v>
      </c>
      <c r="Q327" t="n">
        <v>1</v>
      </c>
      <c r="R327" s="2" t="inlineStr">
        <is>
          <t>Granticka</t>
        </is>
      </c>
      <c r="S327">
        <f>HYPERLINK("https://klasma.github.io/Logging_2283/artfynd/A 22768-2025 artfynd.xlsx", "A 22768-2025")</f>
        <v/>
      </c>
      <c r="T327">
        <f>HYPERLINK("https://klasma.github.io/Logging_2283/kartor/A 22768-2025 karta.png", "A 22768-2025")</f>
        <v/>
      </c>
      <c r="V327">
        <f>HYPERLINK("https://klasma.github.io/Logging_2283/klagomål/A 22768-2025 FSC-klagomål.docx", "A 22768-2025")</f>
        <v/>
      </c>
      <c r="W327">
        <f>HYPERLINK("https://klasma.github.io/Logging_2283/klagomålsmail/A 22768-2025 FSC-klagomål mail.docx", "A 22768-2025")</f>
        <v/>
      </c>
      <c r="X327">
        <f>HYPERLINK("https://klasma.github.io/Logging_2283/tillsyn/A 22768-2025 tillsynsbegäran.docx", "A 22768-2025")</f>
        <v/>
      </c>
      <c r="Y327">
        <f>HYPERLINK("https://klasma.github.io/Logging_2283/tillsynsmail/A 22768-2025 tillsynsbegäran mail.docx", "A 22768-2025")</f>
        <v/>
      </c>
    </row>
    <row r="328" ht="15" customHeight="1">
      <c r="A328" t="inlineStr">
        <is>
          <t>A 27901-2024</t>
        </is>
      </c>
      <c r="B328" s="1" t="n">
        <v>45475.92859953704</v>
      </c>
      <c r="C328" s="1" t="n">
        <v>46048</v>
      </c>
      <c r="D328" t="inlineStr">
        <is>
          <t>VÄSTERNORRLANDS LÄN</t>
        </is>
      </c>
      <c r="E328" t="inlineStr">
        <is>
          <t>SOLLEFTEÅ</t>
        </is>
      </c>
      <c r="G328" t="n">
        <v>12.7</v>
      </c>
      <c r="H328" t="n">
        <v>0</v>
      </c>
      <c r="I328" t="n">
        <v>0</v>
      </c>
      <c r="J328" t="n">
        <v>1</v>
      </c>
      <c r="K328" t="n">
        <v>0</v>
      </c>
      <c r="L328" t="n">
        <v>0</v>
      </c>
      <c r="M328" t="n">
        <v>0</v>
      </c>
      <c r="N328" t="n">
        <v>0</v>
      </c>
      <c r="O328" t="n">
        <v>1</v>
      </c>
      <c r="P328" t="n">
        <v>0</v>
      </c>
      <c r="Q328" t="n">
        <v>1</v>
      </c>
      <c r="R328" s="2" t="inlineStr">
        <is>
          <t>Garnlav</t>
        </is>
      </c>
      <c r="S328">
        <f>HYPERLINK("https://klasma.github.io/Logging_2283/artfynd/A 27901-2024 artfynd.xlsx", "A 27901-2024")</f>
        <v/>
      </c>
      <c r="T328">
        <f>HYPERLINK("https://klasma.github.io/Logging_2283/kartor/A 27901-2024 karta.png", "A 27901-2024")</f>
        <v/>
      </c>
      <c r="V328">
        <f>HYPERLINK("https://klasma.github.io/Logging_2283/klagomål/A 27901-2024 FSC-klagomål.docx", "A 27901-2024")</f>
        <v/>
      </c>
      <c r="W328">
        <f>HYPERLINK("https://klasma.github.io/Logging_2283/klagomålsmail/A 27901-2024 FSC-klagomål mail.docx", "A 27901-2024")</f>
        <v/>
      </c>
      <c r="X328">
        <f>HYPERLINK("https://klasma.github.io/Logging_2283/tillsyn/A 27901-2024 tillsynsbegäran.docx", "A 27901-2024")</f>
        <v/>
      </c>
      <c r="Y328">
        <f>HYPERLINK("https://klasma.github.io/Logging_2283/tillsynsmail/A 27901-2024 tillsynsbegäran mail.docx", "A 27901-2024")</f>
        <v/>
      </c>
    </row>
    <row r="329" ht="15" customHeight="1">
      <c r="A329" t="inlineStr">
        <is>
          <t>A 54558-2022</t>
        </is>
      </c>
      <c r="B329" s="1" t="n">
        <v>44882</v>
      </c>
      <c r="C329" s="1" t="n">
        <v>46048</v>
      </c>
      <c r="D329" t="inlineStr">
        <is>
          <t>VÄSTERNORRLANDS LÄN</t>
        </is>
      </c>
      <c r="E329" t="inlineStr">
        <is>
          <t>SOLLEFTEÅ</t>
        </is>
      </c>
      <c r="G329" t="n">
        <v>5.8</v>
      </c>
      <c r="H329" t="n">
        <v>0</v>
      </c>
      <c r="I329" t="n">
        <v>1</v>
      </c>
      <c r="J329" t="n">
        <v>0</v>
      </c>
      <c r="K329" t="n">
        <v>0</v>
      </c>
      <c r="L329" t="n">
        <v>0</v>
      </c>
      <c r="M329" t="n">
        <v>0</v>
      </c>
      <c r="N329" t="n">
        <v>0</v>
      </c>
      <c r="O329" t="n">
        <v>0</v>
      </c>
      <c r="P329" t="n">
        <v>0</v>
      </c>
      <c r="Q329" t="n">
        <v>1</v>
      </c>
      <c r="R329" s="2" t="inlineStr">
        <is>
          <t>Strutbräken</t>
        </is>
      </c>
      <c r="S329">
        <f>HYPERLINK("https://klasma.github.io/Logging_2283/artfynd/A 54558-2022 artfynd.xlsx", "A 54558-2022")</f>
        <v/>
      </c>
      <c r="T329">
        <f>HYPERLINK("https://klasma.github.io/Logging_2283/kartor/A 54558-2022 karta.png", "A 54558-2022")</f>
        <v/>
      </c>
      <c r="V329">
        <f>HYPERLINK("https://klasma.github.io/Logging_2283/klagomål/A 54558-2022 FSC-klagomål.docx", "A 54558-2022")</f>
        <v/>
      </c>
      <c r="W329">
        <f>HYPERLINK("https://klasma.github.io/Logging_2283/klagomålsmail/A 54558-2022 FSC-klagomål mail.docx", "A 54558-2022")</f>
        <v/>
      </c>
      <c r="X329">
        <f>HYPERLINK("https://klasma.github.io/Logging_2283/tillsyn/A 54558-2022 tillsynsbegäran.docx", "A 54558-2022")</f>
        <v/>
      </c>
      <c r="Y329">
        <f>HYPERLINK("https://klasma.github.io/Logging_2283/tillsynsmail/A 54558-2022 tillsynsbegäran mail.docx", "A 54558-2022")</f>
        <v/>
      </c>
    </row>
    <row r="330" ht="15" customHeight="1">
      <c r="A330" t="inlineStr">
        <is>
          <t>A 21708-2022</t>
        </is>
      </c>
      <c r="B330" s="1" t="n">
        <v>44707</v>
      </c>
      <c r="C330" s="1" t="n">
        <v>46048</v>
      </c>
      <c r="D330" t="inlineStr">
        <is>
          <t>VÄSTERNORRLANDS LÄN</t>
        </is>
      </c>
      <c r="E330" t="inlineStr">
        <is>
          <t>SOLLEFTEÅ</t>
        </is>
      </c>
      <c r="F330" t="inlineStr">
        <is>
          <t>SCA</t>
        </is>
      </c>
      <c r="G330" t="n">
        <v>2.6</v>
      </c>
      <c r="H330" t="n">
        <v>0</v>
      </c>
      <c r="I330" t="n">
        <v>0</v>
      </c>
      <c r="J330" t="n">
        <v>1</v>
      </c>
      <c r="K330" t="n">
        <v>0</v>
      </c>
      <c r="L330" t="n">
        <v>0</v>
      </c>
      <c r="M330" t="n">
        <v>0</v>
      </c>
      <c r="N330" t="n">
        <v>0</v>
      </c>
      <c r="O330" t="n">
        <v>1</v>
      </c>
      <c r="P330" t="n">
        <v>0</v>
      </c>
      <c r="Q330" t="n">
        <v>1</v>
      </c>
      <c r="R330" s="2" t="inlineStr">
        <is>
          <t>Lunglav</t>
        </is>
      </c>
      <c r="S330">
        <f>HYPERLINK("https://klasma.github.io/Logging_2283/artfynd/A 21708-2022 artfynd.xlsx", "A 21708-2022")</f>
        <v/>
      </c>
      <c r="T330">
        <f>HYPERLINK("https://klasma.github.io/Logging_2283/kartor/A 21708-2022 karta.png", "A 21708-2022")</f>
        <v/>
      </c>
      <c r="V330">
        <f>HYPERLINK("https://klasma.github.io/Logging_2283/klagomål/A 21708-2022 FSC-klagomål.docx", "A 21708-2022")</f>
        <v/>
      </c>
      <c r="W330">
        <f>HYPERLINK("https://klasma.github.io/Logging_2283/klagomålsmail/A 21708-2022 FSC-klagomål mail.docx", "A 21708-2022")</f>
        <v/>
      </c>
      <c r="X330">
        <f>HYPERLINK("https://klasma.github.io/Logging_2283/tillsyn/A 21708-2022 tillsynsbegäran.docx", "A 21708-2022")</f>
        <v/>
      </c>
      <c r="Y330">
        <f>HYPERLINK("https://klasma.github.io/Logging_2283/tillsynsmail/A 21708-2022 tillsynsbegäran mail.docx", "A 21708-2022")</f>
        <v/>
      </c>
    </row>
    <row r="331" ht="15" customHeight="1">
      <c r="A331" t="inlineStr">
        <is>
          <t>A 8903-2024</t>
        </is>
      </c>
      <c r="B331" s="1" t="n">
        <v>45355</v>
      </c>
      <c r="C331" s="1" t="n">
        <v>46048</v>
      </c>
      <c r="D331" t="inlineStr">
        <is>
          <t>VÄSTERNORRLANDS LÄN</t>
        </is>
      </c>
      <c r="E331" t="inlineStr">
        <is>
          <t>SOLLEFTEÅ</t>
        </is>
      </c>
      <c r="G331" t="n">
        <v>1.7</v>
      </c>
      <c r="H331" t="n">
        <v>0</v>
      </c>
      <c r="I331" t="n">
        <v>1</v>
      </c>
      <c r="J331" t="n">
        <v>0</v>
      </c>
      <c r="K331" t="n">
        <v>0</v>
      </c>
      <c r="L331" t="n">
        <v>0</v>
      </c>
      <c r="M331" t="n">
        <v>0</v>
      </c>
      <c r="N331" t="n">
        <v>0</v>
      </c>
      <c r="O331" t="n">
        <v>0</v>
      </c>
      <c r="P331" t="n">
        <v>0</v>
      </c>
      <c r="Q331" t="n">
        <v>1</v>
      </c>
      <c r="R331" s="2" t="inlineStr">
        <is>
          <t>Strutbräken</t>
        </is>
      </c>
      <c r="S331">
        <f>HYPERLINK("https://klasma.github.io/Logging_2283/artfynd/A 8903-2024 artfynd.xlsx", "A 8903-2024")</f>
        <v/>
      </c>
      <c r="T331">
        <f>HYPERLINK("https://klasma.github.io/Logging_2283/kartor/A 8903-2024 karta.png", "A 8903-2024")</f>
        <v/>
      </c>
      <c r="V331">
        <f>HYPERLINK("https://klasma.github.io/Logging_2283/klagomål/A 8903-2024 FSC-klagomål.docx", "A 8903-2024")</f>
        <v/>
      </c>
      <c r="W331">
        <f>HYPERLINK("https://klasma.github.io/Logging_2283/klagomålsmail/A 8903-2024 FSC-klagomål mail.docx", "A 8903-2024")</f>
        <v/>
      </c>
      <c r="X331">
        <f>HYPERLINK("https://klasma.github.io/Logging_2283/tillsyn/A 8903-2024 tillsynsbegäran.docx", "A 8903-2024")</f>
        <v/>
      </c>
      <c r="Y331">
        <f>HYPERLINK("https://klasma.github.io/Logging_2283/tillsynsmail/A 8903-2024 tillsynsbegäran mail.docx", "A 8903-2024")</f>
        <v/>
      </c>
    </row>
    <row r="332" ht="15" customHeight="1">
      <c r="A332" t="inlineStr">
        <is>
          <t>A 53039-2023</t>
        </is>
      </c>
      <c r="B332" s="1" t="n">
        <v>45226</v>
      </c>
      <c r="C332" s="1" t="n">
        <v>46048</v>
      </c>
      <c r="D332" t="inlineStr">
        <is>
          <t>VÄSTERNORRLANDS LÄN</t>
        </is>
      </c>
      <c r="E332" t="inlineStr">
        <is>
          <t>SOLLEFTEÅ</t>
        </is>
      </c>
      <c r="F332" t="inlineStr">
        <is>
          <t>SCA</t>
        </is>
      </c>
      <c r="G332" t="n">
        <v>1.8</v>
      </c>
      <c r="H332" t="n">
        <v>1</v>
      </c>
      <c r="I332" t="n">
        <v>0</v>
      </c>
      <c r="J332" t="n">
        <v>1</v>
      </c>
      <c r="K332" t="n">
        <v>0</v>
      </c>
      <c r="L332" t="n">
        <v>0</v>
      </c>
      <c r="M332" t="n">
        <v>0</v>
      </c>
      <c r="N332" t="n">
        <v>0</v>
      </c>
      <c r="O332" t="n">
        <v>1</v>
      </c>
      <c r="P332" t="n">
        <v>0</v>
      </c>
      <c r="Q332" t="n">
        <v>1</v>
      </c>
      <c r="R332" s="2" t="inlineStr">
        <is>
          <t>Nordfladdermus</t>
        </is>
      </c>
      <c r="S332">
        <f>HYPERLINK("https://klasma.github.io/Logging_2283/artfynd/A 53039-2023 artfynd.xlsx", "A 53039-2023")</f>
        <v/>
      </c>
      <c r="T332">
        <f>HYPERLINK("https://klasma.github.io/Logging_2283/kartor/A 53039-2023 karta.png", "A 53039-2023")</f>
        <v/>
      </c>
      <c r="V332">
        <f>HYPERLINK("https://klasma.github.io/Logging_2283/klagomål/A 53039-2023 FSC-klagomål.docx", "A 53039-2023")</f>
        <v/>
      </c>
      <c r="W332">
        <f>HYPERLINK("https://klasma.github.io/Logging_2283/klagomålsmail/A 53039-2023 FSC-klagomål mail.docx", "A 53039-2023")</f>
        <v/>
      </c>
      <c r="X332">
        <f>HYPERLINK("https://klasma.github.io/Logging_2283/tillsyn/A 53039-2023 tillsynsbegäran.docx", "A 53039-2023")</f>
        <v/>
      </c>
      <c r="Y332">
        <f>HYPERLINK("https://klasma.github.io/Logging_2283/tillsynsmail/A 53039-2023 tillsynsbegäran mail.docx", "A 53039-2023")</f>
        <v/>
      </c>
    </row>
    <row r="333" ht="15" customHeight="1">
      <c r="A333" t="inlineStr">
        <is>
          <t>A 23169-2025</t>
        </is>
      </c>
      <c r="B333" s="1" t="n">
        <v>45791.42752314815</v>
      </c>
      <c r="C333" s="1" t="n">
        <v>46048</v>
      </c>
      <c r="D333" t="inlineStr">
        <is>
          <t>VÄSTERNORRLANDS LÄN</t>
        </is>
      </c>
      <c r="E333" t="inlineStr">
        <is>
          <t>SOLLEFTEÅ</t>
        </is>
      </c>
      <c r="F333" t="inlineStr">
        <is>
          <t>SCA</t>
        </is>
      </c>
      <c r="G333" t="n">
        <v>1.8</v>
      </c>
      <c r="H333" t="n">
        <v>1</v>
      </c>
      <c r="I333" t="n">
        <v>0</v>
      </c>
      <c r="J333" t="n">
        <v>1</v>
      </c>
      <c r="K333" t="n">
        <v>0</v>
      </c>
      <c r="L333" t="n">
        <v>0</v>
      </c>
      <c r="M333" t="n">
        <v>0</v>
      </c>
      <c r="N333" t="n">
        <v>0</v>
      </c>
      <c r="O333" t="n">
        <v>1</v>
      </c>
      <c r="P333" t="n">
        <v>0</v>
      </c>
      <c r="Q333" t="n">
        <v>1</v>
      </c>
      <c r="R333" s="2" t="inlineStr">
        <is>
          <t>Järpe</t>
        </is>
      </c>
      <c r="S333">
        <f>HYPERLINK("https://klasma.github.io/Logging_2283/artfynd/A 23169-2025 artfynd.xlsx", "A 23169-2025")</f>
        <v/>
      </c>
      <c r="T333">
        <f>HYPERLINK("https://klasma.github.io/Logging_2283/kartor/A 23169-2025 karta.png", "A 23169-2025")</f>
        <v/>
      </c>
      <c r="V333">
        <f>HYPERLINK("https://klasma.github.io/Logging_2283/klagomål/A 23169-2025 FSC-klagomål.docx", "A 23169-2025")</f>
        <v/>
      </c>
      <c r="W333">
        <f>HYPERLINK("https://klasma.github.io/Logging_2283/klagomålsmail/A 23169-2025 FSC-klagomål mail.docx", "A 23169-2025")</f>
        <v/>
      </c>
      <c r="X333">
        <f>HYPERLINK("https://klasma.github.io/Logging_2283/tillsyn/A 23169-2025 tillsynsbegäran.docx", "A 23169-2025")</f>
        <v/>
      </c>
      <c r="Y333">
        <f>HYPERLINK("https://klasma.github.io/Logging_2283/tillsynsmail/A 23169-2025 tillsynsbegäran mail.docx", "A 23169-2025")</f>
        <v/>
      </c>
      <c r="Z333">
        <f>HYPERLINK("https://klasma.github.io/Logging_2283/fåglar/A 23169-2025 prioriterade fågelarter.docx", "A 23169-2025")</f>
        <v/>
      </c>
    </row>
    <row r="334" ht="15" customHeight="1">
      <c r="A334" t="inlineStr">
        <is>
          <t>A 22214-2025</t>
        </is>
      </c>
      <c r="B334" s="1" t="n">
        <v>45785.65792824074</v>
      </c>
      <c r="C334" s="1" t="n">
        <v>46048</v>
      </c>
      <c r="D334" t="inlineStr">
        <is>
          <t>VÄSTERNORRLANDS LÄN</t>
        </is>
      </c>
      <c r="E334" t="inlineStr">
        <is>
          <t>SOLLEFTEÅ</t>
        </is>
      </c>
      <c r="F334" t="inlineStr">
        <is>
          <t>SCA</t>
        </is>
      </c>
      <c r="G334" t="n">
        <v>4.6</v>
      </c>
      <c r="H334" t="n">
        <v>0</v>
      </c>
      <c r="I334" t="n">
        <v>0</v>
      </c>
      <c r="J334" t="n">
        <v>1</v>
      </c>
      <c r="K334" t="n">
        <v>0</v>
      </c>
      <c r="L334" t="n">
        <v>0</v>
      </c>
      <c r="M334" t="n">
        <v>0</v>
      </c>
      <c r="N334" t="n">
        <v>0</v>
      </c>
      <c r="O334" t="n">
        <v>1</v>
      </c>
      <c r="P334" t="n">
        <v>0</v>
      </c>
      <c r="Q334" t="n">
        <v>1</v>
      </c>
      <c r="R334" s="2" t="inlineStr">
        <is>
          <t>Reliktbock</t>
        </is>
      </c>
      <c r="S334">
        <f>HYPERLINK("https://klasma.github.io/Logging_2283/artfynd/A 22214-2025 artfynd.xlsx", "A 22214-2025")</f>
        <v/>
      </c>
      <c r="T334">
        <f>HYPERLINK("https://klasma.github.io/Logging_2283/kartor/A 22214-2025 karta.png", "A 22214-2025")</f>
        <v/>
      </c>
      <c r="V334">
        <f>HYPERLINK("https://klasma.github.io/Logging_2283/klagomål/A 22214-2025 FSC-klagomål.docx", "A 22214-2025")</f>
        <v/>
      </c>
      <c r="W334">
        <f>HYPERLINK("https://klasma.github.io/Logging_2283/klagomålsmail/A 22214-2025 FSC-klagomål mail.docx", "A 22214-2025")</f>
        <v/>
      </c>
      <c r="X334">
        <f>HYPERLINK("https://klasma.github.io/Logging_2283/tillsyn/A 22214-2025 tillsynsbegäran.docx", "A 22214-2025")</f>
        <v/>
      </c>
      <c r="Y334">
        <f>HYPERLINK("https://klasma.github.io/Logging_2283/tillsynsmail/A 22214-2025 tillsynsbegäran mail.docx", "A 22214-2025")</f>
        <v/>
      </c>
    </row>
    <row r="335" ht="15" customHeight="1">
      <c r="A335" t="inlineStr">
        <is>
          <t>A 15669-2022</t>
        </is>
      </c>
      <c r="B335" s="1" t="n">
        <v>44662</v>
      </c>
      <c r="C335" s="1" t="n">
        <v>46048</v>
      </c>
      <c r="D335" t="inlineStr">
        <is>
          <t>VÄSTERNORRLANDS LÄN</t>
        </is>
      </c>
      <c r="E335" t="inlineStr">
        <is>
          <t>SOLLEFTEÅ</t>
        </is>
      </c>
      <c r="G335" t="n">
        <v>12.1</v>
      </c>
      <c r="H335" t="n">
        <v>0</v>
      </c>
      <c r="I335" t="n">
        <v>1</v>
      </c>
      <c r="J335" t="n">
        <v>0</v>
      </c>
      <c r="K335" t="n">
        <v>0</v>
      </c>
      <c r="L335" t="n">
        <v>0</v>
      </c>
      <c r="M335" t="n">
        <v>0</v>
      </c>
      <c r="N335" t="n">
        <v>0</v>
      </c>
      <c r="O335" t="n">
        <v>0</v>
      </c>
      <c r="P335" t="n">
        <v>0</v>
      </c>
      <c r="Q335" t="n">
        <v>1</v>
      </c>
      <c r="R335" s="2" t="inlineStr">
        <is>
          <t>Skinnlav</t>
        </is>
      </c>
      <c r="S335">
        <f>HYPERLINK("https://klasma.github.io/Logging_2283/artfynd/A 15669-2022 artfynd.xlsx", "A 15669-2022")</f>
        <v/>
      </c>
      <c r="T335">
        <f>HYPERLINK("https://klasma.github.io/Logging_2283/kartor/A 15669-2022 karta.png", "A 15669-2022")</f>
        <v/>
      </c>
      <c r="V335">
        <f>HYPERLINK("https://klasma.github.io/Logging_2283/klagomål/A 15669-2022 FSC-klagomål.docx", "A 15669-2022")</f>
        <v/>
      </c>
      <c r="W335">
        <f>HYPERLINK("https://klasma.github.io/Logging_2283/klagomålsmail/A 15669-2022 FSC-klagomål mail.docx", "A 15669-2022")</f>
        <v/>
      </c>
      <c r="X335">
        <f>HYPERLINK("https://klasma.github.io/Logging_2283/tillsyn/A 15669-2022 tillsynsbegäran.docx", "A 15669-2022")</f>
        <v/>
      </c>
      <c r="Y335">
        <f>HYPERLINK("https://klasma.github.io/Logging_2283/tillsynsmail/A 15669-2022 tillsynsbegäran mail.docx", "A 15669-2022")</f>
        <v/>
      </c>
    </row>
    <row r="336" ht="15" customHeight="1">
      <c r="A336" t="inlineStr">
        <is>
          <t>A 386-2024</t>
        </is>
      </c>
      <c r="B336" s="1" t="n">
        <v>45296</v>
      </c>
      <c r="C336" s="1" t="n">
        <v>46048</v>
      </c>
      <c r="D336" t="inlineStr">
        <is>
          <t>VÄSTERNORRLANDS LÄN</t>
        </is>
      </c>
      <c r="E336" t="inlineStr">
        <is>
          <t>SOLLEFTEÅ</t>
        </is>
      </c>
      <c r="G336" t="n">
        <v>3.7</v>
      </c>
      <c r="H336" t="n">
        <v>0</v>
      </c>
      <c r="I336" t="n">
        <v>0</v>
      </c>
      <c r="J336" t="n">
        <v>1</v>
      </c>
      <c r="K336" t="n">
        <v>0</v>
      </c>
      <c r="L336" t="n">
        <v>0</v>
      </c>
      <c r="M336" t="n">
        <v>0</v>
      </c>
      <c r="N336" t="n">
        <v>0</v>
      </c>
      <c r="O336" t="n">
        <v>1</v>
      </c>
      <c r="P336" t="n">
        <v>0</v>
      </c>
      <c r="Q336" t="n">
        <v>1</v>
      </c>
      <c r="R336" s="2" t="inlineStr">
        <is>
          <t>Kolflarnlav</t>
        </is>
      </c>
      <c r="S336">
        <f>HYPERLINK("https://klasma.github.io/Logging_2283/artfynd/A 386-2024 artfynd.xlsx", "A 386-2024")</f>
        <v/>
      </c>
      <c r="T336">
        <f>HYPERLINK("https://klasma.github.io/Logging_2283/kartor/A 386-2024 karta.png", "A 386-2024")</f>
        <v/>
      </c>
      <c r="V336">
        <f>HYPERLINK("https://klasma.github.io/Logging_2283/klagomål/A 386-2024 FSC-klagomål.docx", "A 386-2024")</f>
        <v/>
      </c>
      <c r="W336">
        <f>HYPERLINK("https://klasma.github.io/Logging_2283/klagomålsmail/A 386-2024 FSC-klagomål mail.docx", "A 386-2024")</f>
        <v/>
      </c>
      <c r="X336">
        <f>HYPERLINK("https://klasma.github.io/Logging_2283/tillsyn/A 386-2024 tillsynsbegäran.docx", "A 386-2024")</f>
        <v/>
      </c>
      <c r="Y336">
        <f>HYPERLINK("https://klasma.github.io/Logging_2283/tillsynsmail/A 386-2024 tillsynsbegäran mail.docx", "A 386-2024")</f>
        <v/>
      </c>
    </row>
    <row r="337" ht="15" customHeight="1">
      <c r="A337" t="inlineStr">
        <is>
          <t>A 26019-2025</t>
        </is>
      </c>
      <c r="B337" s="1" t="n">
        <v>45804.67811342593</v>
      </c>
      <c r="C337" s="1" t="n">
        <v>46048</v>
      </c>
      <c r="D337" t="inlineStr">
        <is>
          <t>VÄSTERNORRLANDS LÄN</t>
        </is>
      </c>
      <c r="E337" t="inlineStr">
        <is>
          <t>SOLLEFTEÅ</t>
        </is>
      </c>
      <c r="F337" t="inlineStr">
        <is>
          <t>SCA</t>
        </is>
      </c>
      <c r="G337" t="n">
        <v>3.7</v>
      </c>
      <c r="H337" t="n">
        <v>0</v>
      </c>
      <c r="I337" t="n">
        <v>0</v>
      </c>
      <c r="J337" t="n">
        <v>1</v>
      </c>
      <c r="K337" t="n">
        <v>0</v>
      </c>
      <c r="L337" t="n">
        <v>0</v>
      </c>
      <c r="M337" t="n">
        <v>0</v>
      </c>
      <c r="N337" t="n">
        <v>0</v>
      </c>
      <c r="O337" t="n">
        <v>1</v>
      </c>
      <c r="P337" t="n">
        <v>0</v>
      </c>
      <c r="Q337" t="n">
        <v>1</v>
      </c>
      <c r="R337" s="2" t="inlineStr">
        <is>
          <t>Rosenticka</t>
        </is>
      </c>
      <c r="S337">
        <f>HYPERLINK("https://klasma.github.io/Logging_2283/artfynd/A 26019-2025 artfynd.xlsx", "A 26019-2025")</f>
        <v/>
      </c>
      <c r="T337">
        <f>HYPERLINK("https://klasma.github.io/Logging_2283/kartor/A 26019-2025 karta.png", "A 26019-2025")</f>
        <v/>
      </c>
      <c r="V337">
        <f>HYPERLINK("https://klasma.github.io/Logging_2283/klagomål/A 26019-2025 FSC-klagomål.docx", "A 26019-2025")</f>
        <v/>
      </c>
      <c r="W337">
        <f>HYPERLINK("https://klasma.github.io/Logging_2283/klagomålsmail/A 26019-2025 FSC-klagomål mail.docx", "A 26019-2025")</f>
        <v/>
      </c>
      <c r="X337">
        <f>HYPERLINK("https://klasma.github.io/Logging_2283/tillsyn/A 26019-2025 tillsynsbegäran.docx", "A 26019-2025")</f>
        <v/>
      </c>
      <c r="Y337">
        <f>HYPERLINK("https://klasma.github.io/Logging_2283/tillsynsmail/A 26019-2025 tillsynsbegäran mail.docx", "A 26019-2025")</f>
        <v/>
      </c>
    </row>
    <row r="338" ht="15" customHeight="1">
      <c r="A338" t="inlineStr">
        <is>
          <t>A 26501-2025</t>
        </is>
      </c>
      <c r="B338" s="1" t="n">
        <v>45807</v>
      </c>
      <c r="C338" s="1" t="n">
        <v>46048</v>
      </c>
      <c r="D338" t="inlineStr">
        <is>
          <t>VÄSTERNORRLANDS LÄN</t>
        </is>
      </c>
      <c r="E338" t="inlineStr">
        <is>
          <t>SOLLEFTEÅ</t>
        </is>
      </c>
      <c r="F338" t="inlineStr">
        <is>
          <t>SCA</t>
        </is>
      </c>
      <c r="G338" t="n">
        <v>3.9</v>
      </c>
      <c r="H338" t="n">
        <v>0</v>
      </c>
      <c r="I338" t="n">
        <v>0</v>
      </c>
      <c r="J338" t="n">
        <v>1</v>
      </c>
      <c r="K338" t="n">
        <v>0</v>
      </c>
      <c r="L338" t="n">
        <v>0</v>
      </c>
      <c r="M338" t="n">
        <v>0</v>
      </c>
      <c r="N338" t="n">
        <v>0</v>
      </c>
      <c r="O338" t="n">
        <v>1</v>
      </c>
      <c r="P338" t="n">
        <v>0</v>
      </c>
      <c r="Q338" t="n">
        <v>1</v>
      </c>
      <c r="R338" s="2" t="inlineStr">
        <is>
          <t>Vedflikmossa</t>
        </is>
      </c>
      <c r="S338">
        <f>HYPERLINK("https://klasma.github.io/Logging_2283/artfynd/A 26501-2025 artfynd.xlsx", "A 26501-2025")</f>
        <v/>
      </c>
      <c r="T338">
        <f>HYPERLINK("https://klasma.github.io/Logging_2283/kartor/A 26501-2025 karta.png", "A 26501-2025")</f>
        <v/>
      </c>
      <c r="V338">
        <f>HYPERLINK("https://klasma.github.io/Logging_2283/klagomål/A 26501-2025 FSC-klagomål.docx", "A 26501-2025")</f>
        <v/>
      </c>
      <c r="W338">
        <f>HYPERLINK("https://klasma.github.io/Logging_2283/klagomålsmail/A 26501-2025 FSC-klagomål mail.docx", "A 26501-2025")</f>
        <v/>
      </c>
      <c r="X338">
        <f>HYPERLINK("https://klasma.github.io/Logging_2283/tillsyn/A 26501-2025 tillsynsbegäran.docx", "A 26501-2025")</f>
        <v/>
      </c>
      <c r="Y338">
        <f>HYPERLINK("https://klasma.github.io/Logging_2283/tillsynsmail/A 26501-2025 tillsynsbegäran mail.docx", "A 26501-2025")</f>
        <v/>
      </c>
    </row>
    <row r="339" ht="15" customHeight="1">
      <c r="A339" t="inlineStr">
        <is>
          <t>A 48087-2023</t>
        </is>
      </c>
      <c r="B339" s="1" t="n">
        <v>45204</v>
      </c>
      <c r="C339" s="1" t="n">
        <v>46048</v>
      </c>
      <c r="D339" t="inlineStr">
        <is>
          <t>VÄSTERNORRLANDS LÄN</t>
        </is>
      </c>
      <c r="E339" t="inlineStr">
        <is>
          <t>SOLLEFTEÅ</t>
        </is>
      </c>
      <c r="F339" t="inlineStr">
        <is>
          <t>SCA</t>
        </is>
      </c>
      <c r="G339" t="n">
        <v>0.6</v>
      </c>
      <c r="H339" t="n">
        <v>0</v>
      </c>
      <c r="I339" t="n">
        <v>0</v>
      </c>
      <c r="J339" t="n">
        <v>1</v>
      </c>
      <c r="K339" t="n">
        <v>0</v>
      </c>
      <c r="L339" t="n">
        <v>0</v>
      </c>
      <c r="M339" t="n">
        <v>0</v>
      </c>
      <c r="N339" t="n">
        <v>0</v>
      </c>
      <c r="O339" t="n">
        <v>1</v>
      </c>
      <c r="P339" t="n">
        <v>0</v>
      </c>
      <c r="Q339" t="n">
        <v>1</v>
      </c>
      <c r="R339" s="2" t="inlineStr">
        <is>
          <t>Doftskinn</t>
        </is>
      </c>
      <c r="S339">
        <f>HYPERLINK("https://klasma.github.io/Logging_2283/artfynd/A 48087-2023 artfynd.xlsx", "A 48087-2023")</f>
        <v/>
      </c>
      <c r="T339">
        <f>HYPERLINK("https://klasma.github.io/Logging_2283/kartor/A 48087-2023 karta.png", "A 48087-2023")</f>
        <v/>
      </c>
      <c r="V339">
        <f>HYPERLINK("https://klasma.github.io/Logging_2283/klagomål/A 48087-2023 FSC-klagomål.docx", "A 48087-2023")</f>
        <v/>
      </c>
      <c r="W339">
        <f>HYPERLINK("https://klasma.github.io/Logging_2283/klagomålsmail/A 48087-2023 FSC-klagomål mail.docx", "A 48087-2023")</f>
        <v/>
      </c>
      <c r="X339">
        <f>HYPERLINK("https://klasma.github.io/Logging_2283/tillsyn/A 48087-2023 tillsynsbegäran.docx", "A 48087-2023")</f>
        <v/>
      </c>
      <c r="Y339">
        <f>HYPERLINK("https://klasma.github.io/Logging_2283/tillsynsmail/A 48087-2023 tillsynsbegäran mail.docx", "A 48087-2023")</f>
        <v/>
      </c>
    </row>
    <row r="340" ht="15" customHeight="1">
      <c r="A340" t="inlineStr">
        <is>
          <t>A 21360-2021</t>
        </is>
      </c>
      <c r="B340" s="1" t="n">
        <v>44320</v>
      </c>
      <c r="C340" s="1" t="n">
        <v>46048</v>
      </c>
      <c r="D340" t="inlineStr">
        <is>
          <t>VÄSTERNORRLANDS LÄN</t>
        </is>
      </c>
      <c r="E340" t="inlineStr">
        <is>
          <t>SOLLEFTEÅ</t>
        </is>
      </c>
      <c r="G340" t="n">
        <v>6.8</v>
      </c>
      <c r="H340" t="n">
        <v>1</v>
      </c>
      <c r="I340" t="n">
        <v>0</v>
      </c>
      <c r="J340" t="n">
        <v>0</v>
      </c>
      <c r="K340" t="n">
        <v>1</v>
      </c>
      <c r="L340" t="n">
        <v>0</v>
      </c>
      <c r="M340" t="n">
        <v>0</v>
      </c>
      <c r="N340" t="n">
        <v>0</v>
      </c>
      <c r="O340" t="n">
        <v>1</v>
      </c>
      <c r="P340" t="n">
        <v>1</v>
      </c>
      <c r="Q340" t="n">
        <v>1</v>
      </c>
      <c r="R340" s="2" t="inlineStr">
        <is>
          <t>Knärot</t>
        </is>
      </c>
      <c r="S340">
        <f>HYPERLINK("https://klasma.github.io/Logging_2283/artfynd/A 21360-2021 artfynd.xlsx", "A 21360-2021")</f>
        <v/>
      </c>
      <c r="T340">
        <f>HYPERLINK("https://klasma.github.io/Logging_2283/kartor/A 21360-2021 karta.png", "A 21360-2021")</f>
        <v/>
      </c>
      <c r="U340">
        <f>HYPERLINK("https://klasma.github.io/Logging_2283/knärot/A 21360-2021 karta knärot.png", "A 21360-2021")</f>
        <v/>
      </c>
      <c r="V340">
        <f>HYPERLINK("https://klasma.github.io/Logging_2283/klagomål/A 21360-2021 FSC-klagomål.docx", "A 21360-2021")</f>
        <v/>
      </c>
      <c r="W340">
        <f>HYPERLINK("https://klasma.github.io/Logging_2283/klagomålsmail/A 21360-2021 FSC-klagomål mail.docx", "A 21360-2021")</f>
        <v/>
      </c>
      <c r="X340">
        <f>HYPERLINK("https://klasma.github.io/Logging_2283/tillsyn/A 21360-2021 tillsynsbegäran.docx", "A 21360-2021")</f>
        <v/>
      </c>
      <c r="Y340">
        <f>HYPERLINK("https://klasma.github.io/Logging_2283/tillsynsmail/A 21360-2021 tillsynsbegäran mail.docx", "A 21360-2021")</f>
        <v/>
      </c>
    </row>
    <row r="341" ht="15" customHeight="1">
      <c r="A341" t="inlineStr">
        <is>
          <t>A 54734-2024</t>
        </is>
      </c>
      <c r="B341" s="1" t="n">
        <v>45618.43879629629</v>
      </c>
      <c r="C341" s="1" t="n">
        <v>46048</v>
      </c>
      <c r="D341" t="inlineStr">
        <is>
          <t>VÄSTERNORRLANDS LÄN</t>
        </is>
      </c>
      <c r="E341" t="inlineStr">
        <is>
          <t>SOLLEFTEÅ</t>
        </is>
      </c>
      <c r="F341" t="inlineStr">
        <is>
          <t>SCA</t>
        </is>
      </c>
      <c r="G341" t="n">
        <v>3.2</v>
      </c>
      <c r="H341" t="n">
        <v>0</v>
      </c>
      <c r="I341" t="n">
        <v>0</v>
      </c>
      <c r="J341" t="n">
        <v>1</v>
      </c>
      <c r="K341" t="n">
        <v>0</v>
      </c>
      <c r="L341" t="n">
        <v>0</v>
      </c>
      <c r="M341" t="n">
        <v>0</v>
      </c>
      <c r="N341" t="n">
        <v>0</v>
      </c>
      <c r="O341" t="n">
        <v>1</v>
      </c>
      <c r="P341" t="n">
        <v>0</v>
      </c>
      <c r="Q341" t="n">
        <v>1</v>
      </c>
      <c r="R341" s="2" t="inlineStr">
        <is>
          <t>Ullticka</t>
        </is>
      </c>
      <c r="S341">
        <f>HYPERLINK("https://klasma.github.io/Logging_2283/artfynd/A 54734-2024 artfynd.xlsx", "A 54734-2024")</f>
        <v/>
      </c>
      <c r="T341">
        <f>HYPERLINK("https://klasma.github.io/Logging_2283/kartor/A 54734-2024 karta.png", "A 54734-2024")</f>
        <v/>
      </c>
      <c r="V341">
        <f>HYPERLINK("https://klasma.github.io/Logging_2283/klagomål/A 54734-2024 FSC-klagomål.docx", "A 54734-2024")</f>
        <v/>
      </c>
      <c r="W341">
        <f>HYPERLINK("https://klasma.github.io/Logging_2283/klagomålsmail/A 54734-2024 FSC-klagomål mail.docx", "A 54734-2024")</f>
        <v/>
      </c>
      <c r="X341">
        <f>HYPERLINK("https://klasma.github.io/Logging_2283/tillsyn/A 54734-2024 tillsynsbegäran.docx", "A 54734-2024")</f>
        <v/>
      </c>
      <c r="Y341">
        <f>HYPERLINK("https://klasma.github.io/Logging_2283/tillsynsmail/A 54734-2024 tillsynsbegäran mail.docx", "A 54734-2024")</f>
        <v/>
      </c>
    </row>
    <row r="342" ht="15" customHeight="1">
      <c r="A342" t="inlineStr">
        <is>
          <t>A 3959-2024</t>
        </is>
      </c>
      <c r="B342" s="1" t="n">
        <v>45322</v>
      </c>
      <c r="C342" s="1" t="n">
        <v>46048</v>
      </c>
      <c r="D342" t="inlineStr">
        <is>
          <t>VÄSTERNORRLANDS LÄN</t>
        </is>
      </c>
      <c r="E342" t="inlineStr">
        <is>
          <t>SOLLEFTEÅ</t>
        </is>
      </c>
      <c r="F342" t="inlineStr">
        <is>
          <t>Kommuner</t>
        </is>
      </c>
      <c r="G342" t="n">
        <v>1</v>
      </c>
      <c r="H342" t="n">
        <v>0</v>
      </c>
      <c r="I342" t="n">
        <v>0</v>
      </c>
      <c r="J342" t="n">
        <v>1</v>
      </c>
      <c r="K342" t="n">
        <v>0</v>
      </c>
      <c r="L342" t="n">
        <v>0</v>
      </c>
      <c r="M342" t="n">
        <v>0</v>
      </c>
      <c r="N342" t="n">
        <v>0</v>
      </c>
      <c r="O342" t="n">
        <v>1</v>
      </c>
      <c r="P342" t="n">
        <v>0</v>
      </c>
      <c r="Q342" t="n">
        <v>1</v>
      </c>
      <c r="R342" s="2" t="inlineStr">
        <is>
          <t>Garnlav</t>
        </is>
      </c>
      <c r="S342">
        <f>HYPERLINK("https://klasma.github.io/Logging_2283/artfynd/A 3959-2024 artfynd.xlsx", "A 3959-2024")</f>
        <v/>
      </c>
      <c r="T342">
        <f>HYPERLINK("https://klasma.github.io/Logging_2283/kartor/A 3959-2024 karta.png", "A 3959-2024")</f>
        <v/>
      </c>
      <c r="V342">
        <f>HYPERLINK("https://klasma.github.io/Logging_2283/klagomål/A 3959-2024 FSC-klagomål.docx", "A 3959-2024")</f>
        <v/>
      </c>
      <c r="W342">
        <f>HYPERLINK("https://klasma.github.io/Logging_2283/klagomålsmail/A 3959-2024 FSC-klagomål mail.docx", "A 3959-2024")</f>
        <v/>
      </c>
      <c r="X342">
        <f>HYPERLINK("https://klasma.github.io/Logging_2283/tillsyn/A 3959-2024 tillsynsbegäran.docx", "A 3959-2024")</f>
        <v/>
      </c>
      <c r="Y342">
        <f>HYPERLINK("https://klasma.github.io/Logging_2283/tillsynsmail/A 3959-2024 tillsynsbegäran mail.docx", "A 3959-2024")</f>
        <v/>
      </c>
    </row>
    <row r="343" ht="15" customHeight="1">
      <c r="A343" t="inlineStr">
        <is>
          <t>A 11667-2025</t>
        </is>
      </c>
      <c r="B343" s="1" t="n">
        <v>45727.51074074074</v>
      </c>
      <c r="C343" s="1" t="n">
        <v>46048</v>
      </c>
      <c r="D343" t="inlineStr">
        <is>
          <t>VÄSTERNORRLANDS LÄN</t>
        </is>
      </c>
      <c r="E343" t="inlineStr">
        <is>
          <t>SOLLEFTEÅ</t>
        </is>
      </c>
      <c r="F343" t="inlineStr">
        <is>
          <t>SCA</t>
        </is>
      </c>
      <c r="G343" t="n">
        <v>4.5</v>
      </c>
      <c r="H343" t="n">
        <v>1</v>
      </c>
      <c r="I343" t="n">
        <v>0</v>
      </c>
      <c r="J343" t="n">
        <v>1</v>
      </c>
      <c r="K343" t="n">
        <v>0</v>
      </c>
      <c r="L343" t="n">
        <v>0</v>
      </c>
      <c r="M343" t="n">
        <v>0</v>
      </c>
      <c r="N343" t="n">
        <v>0</v>
      </c>
      <c r="O343" t="n">
        <v>1</v>
      </c>
      <c r="P343" t="n">
        <v>0</v>
      </c>
      <c r="Q343" t="n">
        <v>1</v>
      </c>
      <c r="R343" s="2" t="inlineStr">
        <is>
          <t>Järpe</t>
        </is>
      </c>
      <c r="S343">
        <f>HYPERLINK("https://klasma.github.io/Logging_2283/artfynd/A 11667-2025 artfynd.xlsx", "A 11667-2025")</f>
        <v/>
      </c>
      <c r="T343">
        <f>HYPERLINK("https://klasma.github.io/Logging_2283/kartor/A 11667-2025 karta.png", "A 11667-2025")</f>
        <v/>
      </c>
      <c r="V343">
        <f>HYPERLINK("https://klasma.github.io/Logging_2283/klagomål/A 11667-2025 FSC-klagomål.docx", "A 11667-2025")</f>
        <v/>
      </c>
      <c r="W343">
        <f>HYPERLINK("https://klasma.github.io/Logging_2283/klagomålsmail/A 11667-2025 FSC-klagomål mail.docx", "A 11667-2025")</f>
        <v/>
      </c>
      <c r="X343">
        <f>HYPERLINK("https://klasma.github.io/Logging_2283/tillsyn/A 11667-2025 tillsynsbegäran.docx", "A 11667-2025")</f>
        <v/>
      </c>
      <c r="Y343">
        <f>HYPERLINK("https://klasma.github.io/Logging_2283/tillsynsmail/A 11667-2025 tillsynsbegäran mail.docx", "A 11667-2025")</f>
        <v/>
      </c>
      <c r="Z343">
        <f>HYPERLINK("https://klasma.github.io/Logging_2283/fåglar/A 11667-2025 prioriterade fågelarter.docx", "A 11667-2025")</f>
        <v/>
      </c>
    </row>
    <row r="344" ht="15" customHeight="1">
      <c r="A344" t="inlineStr">
        <is>
          <t>A 25310-2023</t>
        </is>
      </c>
      <c r="B344" s="1" t="n">
        <v>45086</v>
      </c>
      <c r="C344" s="1" t="n">
        <v>46048</v>
      </c>
      <c r="D344" t="inlineStr">
        <is>
          <t>VÄSTERNORRLANDS LÄN</t>
        </is>
      </c>
      <c r="E344" t="inlineStr">
        <is>
          <t>SOLLEFTEÅ</t>
        </is>
      </c>
      <c r="F344" t="inlineStr">
        <is>
          <t>SCA</t>
        </is>
      </c>
      <c r="G344" t="n">
        <v>1.1</v>
      </c>
      <c r="H344" t="n">
        <v>1</v>
      </c>
      <c r="I344" t="n">
        <v>0</v>
      </c>
      <c r="J344" t="n">
        <v>1</v>
      </c>
      <c r="K344" t="n">
        <v>0</v>
      </c>
      <c r="L344" t="n">
        <v>0</v>
      </c>
      <c r="M344" t="n">
        <v>0</v>
      </c>
      <c r="N344" t="n">
        <v>0</v>
      </c>
      <c r="O344" t="n">
        <v>1</v>
      </c>
      <c r="P344" t="n">
        <v>0</v>
      </c>
      <c r="Q344" t="n">
        <v>1</v>
      </c>
      <c r="R344" s="2" t="inlineStr">
        <is>
          <t>Tretåig hackspett</t>
        </is>
      </c>
      <c r="S344">
        <f>HYPERLINK("https://klasma.github.io/Logging_2283/artfynd/A 25310-2023 artfynd.xlsx", "A 25310-2023")</f>
        <v/>
      </c>
      <c r="T344">
        <f>HYPERLINK("https://klasma.github.io/Logging_2283/kartor/A 25310-2023 karta.png", "A 25310-2023")</f>
        <v/>
      </c>
      <c r="V344">
        <f>HYPERLINK("https://klasma.github.io/Logging_2283/klagomål/A 25310-2023 FSC-klagomål.docx", "A 25310-2023")</f>
        <v/>
      </c>
      <c r="W344">
        <f>HYPERLINK("https://klasma.github.io/Logging_2283/klagomålsmail/A 25310-2023 FSC-klagomål mail.docx", "A 25310-2023")</f>
        <v/>
      </c>
      <c r="X344">
        <f>HYPERLINK("https://klasma.github.io/Logging_2283/tillsyn/A 25310-2023 tillsynsbegäran.docx", "A 25310-2023")</f>
        <v/>
      </c>
      <c r="Y344">
        <f>HYPERLINK("https://klasma.github.io/Logging_2283/tillsynsmail/A 25310-2023 tillsynsbegäran mail.docx", "A 25310-2023")</f>
        <v/>
      </c>
      <c r="Z344">
        <f>HYPERLINK("https://klasma.github.io/Logging_2283/fåglar/A 25310-2023 prioriterade fågelarter.docx", "A 25310-2023")</f>
        <v/>
      </c>
    </row>
    <row r="345" ht="15" customHeight="1">
      <c r="A345" t="inlineStr">
        <is>
          <t>A 17215-2025</t>
        </is>
      </c>
      <c r="B345" s="1" t="n">
        <v>45756.44856481482</v>
      </c>
      <c r="C345" s="1" t="n">
        <v>46048</v>
      </c>
      <c r="D345" t="inlineStr">
        <is>
          <t>VÄSTERNORRLANDS LÄN</t>
        </is>
      </c>
      <c r="E345" t="inlineStr">
        <is>
          <t>SOLLEFTEÅ</t>
        </is>
      </c>
      <c r="F345" t="inlineStr">
        <is>
          <t>SCA</t>
        </is>
      </c>
      <c r="G345" t="n">
        <v>5</v>
      </c>
      <c r="H345" t="n">
        <v>0</v>
      </c>
      <c r="I345" t="n">
        <v>0</v>
      </c>
      <c r="J345" t="n">
        <v>1</v>
      </c>
      <c r="K345" t="n">
        <v>0</v>
      </c>
      <c r="L345" t="n">
        <v>0</v>
      </c>
      <c r="M345" t="n">
        <v>0</v>
      </c>
      <c r="N345" t="n">
        <v>0</v>
      </c>
      <c r="O345" t="n">
        <v>1</v>
      </c>
      <c r="P345" t="n">
        <v>0</v>
      </c>
      <c r="Q345" t="n">
        <v>1</v>
      </c>
      <c r="R345" s="2" t="inlineStr">
        <is>
          <t>Vitgrynig nållav</t>
        </is>
      </c>
      <c r="S345">
        <f>HYPERLINK("https://klasma.github.io/Logging_2283/artfynd/A 17215-2025 artfynd.xlsx", "A 17215-2025")</f>
        <v/>
      </c>
      <c r="T345">
        <f>HYPERLINK("https://klasma.github.io/Logging_2283/kartor/A 17215-2025 karta.png", "A 17215-2025")</f>
        <v/>
      </c>
      <c r="V345">
        <f>HYPERLINK("https://klasma.github.io/Logging_2283/klagomål/A 17215-2025 FSC-klagomål.docx", "A 17215-2025")</f>
        <v/>
      </c>
      <c r="W345">
        <f>HYPERLINK("https://klasma.github.io/Logging_2283/klagomålsmail/A 17215-2025 FSC-klagomål mail.docx", "A 17215-2025")</f>
        <v/>
      </c>
      <c r="X345">
        <f>HYPERLINK("https://klasma.github.io/Logging_2283/tillsyn/A 17215-2025 tillsynsbegäran.docx", "A 17215-2025")</f>
        <v/>
      </c>
      <c r="Y345">
        <f>HYPERLINK("https://klasma.github.io/Logging_2283/tillsynsmail/A 17215-2025 tillsynsbegäran mail.docx", "A 17215-2025")</f>
        <v/>
      </c>
    </row>
    <row r="346" ht="15" customHeight="1">
      <c r="A346" t="inlineStr">
        <is>
          <t>A 49367-2024</t>
        </is>
      </c>
      <c r="B346" s="1" t="n">
        <v>45595.63591435185</v>
      </c>
      <c r="C346" s="1" t="n">
        <v>46048</v>
      </c>
      <c r="D346" t="inlineStr">
        <is>
          <t>VÄSTERNORRLANDS LÄN</t>
        </is>
      </c>
      <c r="E346" t="inlineStr">
        <is>
          <t>SOLLEFTEÅ</t>
        </is>
      </c>
      <c r="F346" t="inlineStr">
        <is>
          <t>SCA</t>
        </is>
      </c>
      <c r="G346" t="n">
        <v>1.6</v>
      </c>
      <c r="H346" t="n">
        <v>1</v>
      </c>
      <c r="I346" t="n">
        <v>0</v>
      </c>
      <c r="J346" t="n">
        <v>0</v>
      </c>
      <c r="K346" t="n">
        <v>1</v>
      </c>
      <c r="L346" t="n">
        <v>0</v>
      </c>
      <c r="M346" t="n">
        <v>0</v>
      </c>
      <c r="N346" t="n">
        <v>0</v>
      </c>
      <c r="O346" t="n">
        <v>1</v>
      </c>
      <c r="P346" t="n">
        <v>1</v>
      </c>
      <c r="Q346" t="n">
        <v>1</v>
      </c>
      <c r="R346" s="2" t="inlineStr">
        <is>
          <t>Knärot</t>
        </is>
      </c>
      <c r="S346">
        <f>HYPERLINK("https://klasma.github.io/Logging_2283/artfynd/A 49367-2024 artfynd.xlsx", "A 49367-2024")</f>
        <v/>
      </c>
      <c r="T346">
        <f>HYPERLINK("https://klasma.github.io/Logging_2283/kartor/A 49367-2024 karta.png", "A 49367-2024")</f>
        <v/>
      </c>
      <c r="U346">
        <f>HYPERLINK("https://klasma.github.io/Logging_2283/knärot/A 49367-2024 karta knärot.png", "A 49367-2024")</f>
        <v/>
      </c>
      <c r="V346">
        <f>HYPERLINK("https://klasma.github.io/Logging_2283/klagomål/A 49367-2024 FSC-klagomål.docx", "A 49367-2024")</f>
        <v/>
      </c>
      <c r="W346">
        <f>HYPERLINK("https://klasma.github.io/Logging_2283/klagomålsmail/A 49367-2024 FSC-klagomål mail.docx", "A 49367-2024")</f>
        <v/>
      </c>
      <c r="X346">
        <f>HYPERLINK("https://klasma.github.io/Logging_2283/tillsyn/A 49367-2024 tillsynsbegäran.docx", "A 49367-2024")</f>
        <v/>
      </c>
      <c r="Y346">
        <f>HYPERLINK("https://klasma.github.io/Logging_2283/tillsynsmail/A 49367-2024 tillsynsbegäran mail.docx", "A 49367-2024")</f>
        <v/>
      </c>
    </row>
    <row r="347" ht="15" customHeight="1">
      <c r="A347" t="inlineStr">
        <is>
          <t>A 33504-2022</t>
        </is>
      </c>
      <c r="B347" s="1" t="n">
        <v>44788</v>
      </c>
      <c r="C347" s="1" t="n">
        <v>46048</v>
      </c>
      <c r="D347" t="inlineStr">
        <is>
          <t>VÄSTERNORRLANDS LÄN</t>
        </is>
      </c>
      <c r="E347" t="inlineStr">
        <is>
          <t>SOLLEFTEÅ</t>
        </is>
      </c>
      <c r="F347" t="inlineStr">
        <is>
          <t>SCA</t>
        </is>
      </c>
      <c r="G347" t="n">
        <v>5.2</v>
      </c>
      <c r="H347" t="n">
        <v>1</v>
      </c>
      <c r="I347" t="n">
        <v>0</v>
      </c>
      <c r="J347" t="n">
        <v>0</v>
      </c>
      <c r="K347" t="n">
        <v>1</v>
      </c>
      <c r="L347" t="n">
        <v>0</v>
      </c>
      <c r="M347" t="n">
        <v>0</v>
      </c>
      <c r="N347" t="n">
        <v>0</v>
      </c>
      <c r="O347" t="n">
        <v>1</v>
      </c>
      <c r="P347" t="n">
        <v>1</v>
      </c>
      <c r="Q347" t="n">
        <v>1</v>
      </c>
      <c r="R347" s="2" t="inlineStr">
        <is>
          <t>Knärot</t>
        </is>
      </c>
      <c r="S347">
        <f>HYPERLINK("https://klasma.github.io/Logging_2283/artfynd/A 33504-2022 artfynd.xlsx", "A 33504-2022")</f>
        <v/>
      </c>
      <c r="T347">
        <f>HYPERLINK("https://klasma.github.io/Logging_2283/kartor/A 33504-2022 karta.png", "A 33504-2022")</f>
        <v/>
      </c>
      <c r="U347">
        <f>HYPERLINK("https://klasma.github.io/Logging_2283/knärot/A 33504-2022 karta knärot.png", "A 33504-2022")</f>
        <v/>
      </c>
      <c r="V347">
        <f>HYPERLINK("https://klasma.github.io/Logging_2283/klagomål/A 33504-2022 FSC-klagomål.docx", "A 33504-2022")</f>
        <v/>
      </c>
      <c r="W347">
        <f>HYPERLINK("https://klasma.github.io/Logging_2283/klagomålsmail/A 33504-2022 FSC-klagomål mail.docx", "A 33504-2022")</f>
        <v/>
      </c>
      <c r="X347">
        <f>HYPERLINK("https://klasma.github.io/Logging_2283/tillsyn/A 33504-2022 tillsynsbegäran.docx", "A 33504-2022")</f>
        <v/>
      </c>
      <c r="Y347">
        <f>HYPERLINK("https://klasma.github.io/Logging_2283/tillsynsmail/A 33504-2022 tillsynsbegäran mail.docx", "A 33504-2022")</f>
        <v/>
      </c>
    </row>
    <row r="348" ht="15" customHeight="1">
      <c r="A348" t="inlineStr">
        <is>
          <t>A 30948-2025</t>
        </is>
      </c>
      <c r="B348" s="1" t="n">
        <v>45832.42745370371</v>
      </c>
      <c r="C348" s="1" t="n">
        <v>46048</v>
      </c>
      <c r="D348" t="inlineStr">
        <is>
          <t>VÄSTERNORRLANDS LÄN</t>
        </is>
      </c>
      <c r="E348" t="inlineStr">
        <is>
          <t>SOLLEFTEÅ</t>
        </is>
      </c>
      <c r="F348" t="inlineStr">
        <is>
          <t>SCA</t>
        </is>
      </c>
      <c r="G348" t="n">
        <v>1.7</v>
      </c>
      <c r="H348" t="n">
        <v>1</v>
      </c>
      <c r="I348" t="n">
        <v>0</v>
      </c>
      <c r="J348" t="n">
        <v>0</v>
      </c>
      <c r="K348" t="n">
        <v>1</v>
      </c>
      <c r="L348" t="n">
        <v>0</v>
      </c>
      <c r="M348" t="n">
        <v>0</v>
      </c>
      <c r="N348" t="n">
        <v>0</v>
      </c>
      <c r="O348" t="n">
        <v>1</v>
      </c>
      <c r="P348" t="n">
        <v>1</v>
      </c>
      <c r="Q348" t="n">
        <v>1</v>
      </c>
      <c r="R348" s="2" t="inlineStr">
        <is>
          <t>Knärot</t>
        </is>
      </c>
      <c r="S348">
        <f>HYPERLINK("https://klasma.github.io/Logging_2283/artfynd/A 30948-2025 artfynd.xlsx", "A 30948-2025")</f>
        <v/>
      </c>
      <c r="T348">
        <f>HYPERLINK("https://klasma.github.io/Logging_2283/kartor/A 30948-2025 karta.png", "A 30948-2025")</f>
        <v/>
      </c>
      <c r="U348">
        <f>HYPERLINK("https://klasma.github.io/Logging_2283/knärot/A 30948-2025 karta knärot.png", "A 30948-2025")</f>
        <v/>
      </c>
      <c r="V348">
        <f>HYPERLINK("https://klasma.github.io/Logging_2283/klagomål/A 30948-2025 FSC-klagomål.docx", "A 30948-2025")</f>
        <v/>
      </c>
      <c r="W348">
        <f>HYPERLINK("https://klasma.github.io/Logging_2283/klagomålsmail/A 30948-2025 FSC-klagomål mail.docx", "A 30948-2025")</f>
        <v/>
      </c>
      <c r="X348">
        <f>HYPERLINK("https://klasma.github.io/Logging_2283/tillsyn/A 30948-2025 tillsynsbegäran.docx", "A 30948-2025")</f>
        <v/>
      </c>
      <c r="Y348">
        <f>HYPERLINK("https://klasma.github.io/Logging_2283/tillsynsmail/A 30948-2025 tillsynsbegäran mail.docx", "A 30948-2025")</f>
        <v/>
      </c>
    </row>
    <row r="349" ht="15" customHeight="1">
      <c r="A349" t="inlineStr">
        <is>
          <t>A 32101-2025</t>
        </is>
      </c>
      <c r="B349" s="1" t="n">
        <v>45835.46914351852</v>
      </c>
      <c r="C349" s="1" t="n">
        <v>46048</v>
      </c>
      <c r="D349" t="inlineStr">
        <is>
          <t>VÄSTERNORRLANDS LÄN</t>
        </is>
      </c>
      <c r="E349" t="inlineStr">
        <is>
          <t>SOLLEFTEÅ</t>
        </is>
      </c>
      <c r="F349" t="inlineStr">
        <is>
          <t>SCA</t>
        </is>
      </c>
      <c r="G349" t="n">
        <v>2.2</v>
      </c>
      <c r="H349" t="n">
        <v>1</v>
      </c>
      <c r="I349" t="n">
        <v>0</v>
      </c>
      <c r="J349" t="n">
        <v>1</v>
      </c>
      <c r="K349" t="n">
        <v>0</v>
      </c>
      <c r="L349" t="n">
        <v>0</v>
      </c>
      <c r="M349" t="n">
        <v>0</v>
      </c>
      <c r="N349" t="n">
        <v>0</v>
      </c>
      <c r="O349" t="n">
        <v>1</v>
      </c>
      <c r="P349" t="n">
        <v>0</v>
      </c>
      <c r="Q349" t="n">
        <v>1</v>
      </c>
      <c r="R349" s="2" t="inlineStr">
        <is>
          <t>Tretåig hackspett</t>
        </is>
      </c>
      <c r="S349">
        <f>HYPERLINK("https://klasma.github.io/Logging_2283/artfynd/A 32101-2025 artfynd.xlsx", "A 32101-2025")</f>
        <v/>
      </c>
      <c r="T349">
        <f>HYPERLINK("https://klasma.github.io/Logging_2283/kartor/A 32101-2025 karta.png", "A 32101-2025")</f>
        <v/>
      </c>
      <c r="V349">
        <f>HYPERLINK("https://klasma.github.io/Logging_2283/klagomål/A 32101-2025 FSC-klagomål.docx", "A 32101-2025")</f>
        <v/>
      </c>
      <c r="W349">
        <f>HYPERLINK("https://klasma.github.io/Logging_2283/klagomålsmail/A 32101-2025 FSC-klagomål mail.docx", "A 32101-2025")</f>
        <v/>
      </c>
      <c r="X349">
        <f>HYPERLINK("https://klasma.github.io/Logging_2283/tillsyn/A 32101-2025 tillsynsbegäran.docx", "A 32101-2025")</f>
        <v/>
      </c>
      <c r="Y349">
        <f>HYPERLINK("https://klasma.github.io/Logging_2283/tillsynsmail/A 32101-2025 tillsynsbegäran mail.docx", "A 32101-2025")</f>
        <v/>
      </c>
      <c r="Z349">
        <f>HYPERLINK("https://klasma.github.io/Logging_2283/fåglar/A 32101-2025 prioriterade fågelarter.docx", "A 32101-2025")</f>
        <v/>
      </c>
    </row>
    <row r="350" ht="15" customHeight="1">
      <c r="A350" t="inlineStr">
        <is>
          <t>A 1343-2025</t>
        </is>
      </c>
      <c r="B350" s="1" t="n">
        <v>45667.6043287037</v>
      </c>
      <c r="C350" s="1" t="n">
        <v>46048</v>
      </c>
      <c r="D350" t="inlineStr">
        <is>
          <t>VÄSTERNORRLANDS LÄN</t>
        </is>
      </c>
      <c r="E350" t="inlineStr">
        <is>
          <t>SOLLEFTEÅ</t>
        </is>
      </c>
      <c r="G350" t="n">
        <v>5.2</v>
      </c>
      <c r="H350" t="n">
        <v>0</v>
      </c>
      <c r="I350" t="n">
        <v>0</v>
      </c>
      <c r="J350" t="n">
        <v>1</v>
      </c>
      <c r="K350" t="n">
        <v>0</v>
      </c>
      <c r="L350" t="n">
        <v>0</v>
      </c>
      <c r="M350" t="n">
        <v>0</v>
      </c>
      <c r="N350" t="n">
        <v>0</v>
      </c>
      <c r="O350" t="n">
        <v>1</v>
      </c>
      <c r="P350" t="n">
        <v>0</v>
      </c>
      <c r="Q350" t="n">
        <v>1</v>
      </c>
      <c r="R350" s="2" t="inlineStr">
        <is>
          <t>Granticka</t>
        </is>
      </c>
      <c r="S350">
        <f>HYPERLINK("https://klasma.github.io/Logging_2283/artfynd/A 1343-2025 artfynd.xlsx", "A 1343-2025")</f>
        <v/>
      </c>
      <c r="T350">
        <f>HYPERLINK("https://klasma.github.io/Logging_2283/kartor/A 1343-2025 karta.png", "A 1343-2025")</f>
        <v/>
      </c>
      <c r="V350">
        <f>HYPERLINK("https://klasma.github.io/Logging_2283/klagomål/A 1343-2025 FSC-klagomål.docx", "A 1343-2025")</f>
        <v/>
      </c>
      <c r="W350">
        <f>HYPERLINK("https://klasma.github.io/Logging_2283/klagomålsmail/A 1343-2025 FSC-klagomål mail.docx", "A 1343-2025")</f>
        <v/>
      </c>
      <c r="X350">
        <f>HYPERLINK("https://klasma.github.io/Logging_2283/tillsyn/A 1343-2025 tillsynsbegäran.docx", "A 1343-2025")</f>
        <v/>
      </c>
      <c r="Y350">
        <f>HYPERLINK("https://klasma.github.io/Logging_2283/tillsynsmail/A 1343-2025 tillsynsbegäran mail.docx", "A 1343-2025")</f>
        <v/>
      </c>
    </row>
    <row r="351" ht="15" customHeight="1">
      <c r="A351" t="inlineStr">
        <is>
          <t>A 39995-2024</t>
        </is>
      </c>
      <c r="B351" s="1" t="n">
        <v>45553.63572916666</v>
      </c>
      <c r="C351" s="1" t="n">
        <v>46048</v>
      </c>
      <c r="D351" t="inlineStr">
        <is>
          <t>VÄSTERNORRLANDS LÄN</t>
        </is>
      </c>
      <c r="E351" t="inlineStr">
        <is>
          <t>SOLLEFTEÅ</t>
        </is>
      </c>
      <c r="F351" t="inlineStr">
        <is>
          <t>SCA</t>
        </is>
      </c>
      <c r="G351" t="n">
        <v>3.5</v>
      </c>
      <c r="H351" t="n">
        <v>0</v>
      </c>
      <c r="I351" t="n">
        <v>0</v>
      </c>
      <c r="J351" t="n">
        <v>1</v>
      </c>
      <c r="K351" t="n">
        <v>0</v>
      </c>
      <c r="L351" t="n">
        <v>0</v>
      </c>
      <c r="M351" t="n">
        <v>0</v>
      </c>
      <c r="N351" t="n">
        <v>0</v>
      </c>
      <c r="O351" t="n">
        <v>1</v>
      </c>
      <c r="P351" t="n">
        <v>0</v>
      </c>
      <c r="Q351" t="n">
        <v>1</v>
      </c>
      <c r="R351" s="2" t="inlineStr">
        <is>
          <t>Garnlav</t>
        </is>
      </c>
      <c r="S351">
        <f>HYPERLINK("https://klasma.github.io/Logging_2283/artfynd/A 39995-2024 artfynd.xlsx", "A 39995-2024")</f>
        <v/>
      </c>
      <c r="T351">
        <f>HYPERLINK("https://klasma.github.io/Logging_2283/kartor/A 39995-2024 karta.png", "A 39995-2024")</f>
        <v/>
      </c>
      <c r="V351">
        <f>HYPERLINK("https://klasma.github.io/Logging_2283/klagomål/A 39995-2024 FSC-klagomål.docx", "A 39995-2024")</f>
        <v/>
      </c>
      <c r="W351">
        <f>HYPERLINK("https://klasma.github.io/Logging_2283/klagomålsmail/A 39995-2024 FSC-klagomål mail.docx", "A 39995-2024")</f>
        <v/>
      </c>
      <c r="X351">
        <f>HYPERLINK("https://klasma.github.io/Logging_2283/tillsyn/A 39995-2024 tillsynsbegäran.docx", "A 39995-2024")</f>
        <v/>
      </c>
      <c r="Y351">
        <f>HYPERLINK("https://klasma.github.io/Logging_2283/tillsynsmail/A 39995-2024 tillsynsbegäran mail.docx", "A 39995-2024")</f>
        <v/>
      </c>
    </row>
    <row r="352" ht="15" customHeight="1">
      <c r="A352" t="inlineStr">
        <is>
          <t>A 38363-2022</t>
        </is>
      </c>
      <c r="B352" s="1" t="n">
        <v>44812</v>
      </c>
      <c r="C352" s="1" t="n">
        <v>46048</v>
      </c>
      <c r="D352" t="inlineStr">
        <is>
          <t>VÄSTERNORRLANDS LÄN</t>
        </is>
      </c>
      <c r="E352" t="inlineStr">
        <is>
          <t>SOLLEFTEÅ</t>
        </is>
      </c>
      <c r="F352" t="inlineStr">
        <is>
          <t>Kommuner</t>
        </is>
      </c>
      <c r="G352" t="n">
        <v>16</v>
      </c>
      <c r="H352" t="n">
        <v>0</v>
      </c>
      <c r="I352" t="n">
        <v>0</v>
      </c>
      <c r="J352" t="n">
        <v>1</v>
      </c>
      <c r="K352" t="n">
        <v>0</v>
      </c>
      <c r="L352" t="n">
        <v>0</v>
      </c>
      <c r="M352" t="n">
        <v>0</v>
      </c>
      <c r="N352" t="n">
        <v>0</v>
      </c>
      <c r="O352" t="n">
        <v>1</v>
      </c>
      <c r="P352" t="n">
        <v>0</v>
      </c>
      <c r="Q352" t="n">
        <v>1</v>
      </c>
      <c r="R352" s="2" t="inlineStr">
        <is>
          <t>Garnlav</t>
        </is>
      </c>
      <c r="S352">
        <f>HYPERLINK("https://klasma.github.io/Logging_2283/artfynd/A 38363-2022 artfynd.xlsx", "A 38363-2022")</f>
        <v/>
      </c>
      <c r="T352">
        <f>HYPERLINK("https://klasma.github.io/Logging_2283/kartor/A 38363-2022 karta.png", "A 38363-2022")</f>
        <v/>
      </c>
      <c r="V352">
        <f>HYPERLINK("https://klasma.github.io/Logging_2283/klagomål/A 38363-2022 FSC-klagomål.docx", "A 38363-2022")</f>
        <v/>
      </c>
      <c r="W352">
        <f>HYPERLINK("https://klasma.github.io/Logging_2283/klagomålsmail/A 38363-2022 FSC-klagomål mail.docx", "A 38363-2022")</f>
        <v/>
      </c>
      <c r="X352">
        <f>HYPERLINK("https://klasma.github.io/Logging_2283/tillsyn/A 38363-2022 tillsynsbegäran.docx", "A 38363-2022")</f>
        <v/>
      </c>
      <c r="Y352">
        <f>HYPERLINK("https://klasma.github.io/Logging_2283/tillsynsmail/A 38363-2022 tillsynsbegäran mail.docx", "A 38363-2022")</f>
        <v/>
      </c>
    </row>
    <row r="353" ht="15" customHeight="1">
      <c r="A353" t="inlineStr">
        <is>
          <t>A 33853-2025</t>
        </is>
      </c>
      <c r="B353" s="1" t="n">
        <v>45842.51097222222</v>
      </c>
      <c r="C353" s="1" t="n">
        <v>46048</v>
      </c>
      <c r="D353" t="inlineStr">
        <is>
          <t>VÄSTERNORRLANDS LÄN</t>
        </is>
      </c>
      <c r="E353" t="inlineStr">
        <is>
          <t>SOLLEFTEÅ</t>
        </is>
      </c>
      <c r="F353" t="inlineStr">
        <is>
          <t>SCA</t>
        </is>
      </c>
      <c r="G353" t="n">
        <v>6.5</v>
      </c>
      <c r="H353" t="n">
        <v>1</v>
      </c>
      <c r="I353" t="n">
        <v>0</v>
      </c>
      <c r="J353" t="n">
        <v>0</v>
      </c>
      <c r="K353" t="n">
        <v>0</v>
      </c>
      <c r="L353" t="n">
        <v>0</v>
      </c>
      <c r="M353" t="n">
        <v>0</v>
      </c>
      <c r="N353" t="n">
        <v>0</v>
      </c>
      <c r="O353" t="n">
        <v>0</v>
      </c>
      <c r="P353" t="n">
        <v>0</v>
      </c>
      <c r="Q353" t="n">
        <v>1</v>
      </c>
      <c r="R353" s="2" t="inlineStr">
        <is>
          <t>Tjäder</t>
        </is>
      </c>
      <c r="S353">
        <f>HYPERLINK("https://klasma.github.io/Logging_2283/artfynd/A 33853-2025 artfynd.xlsx", "A 33853-2025")</f>
        <v/>
      </c>
      <c r="T353">
        <f>HYPERLINK("https://klasma.github.io/Logging_2283/kartor/A 33853-2025 karta.png", "A 33853-2025")</f>
        <v/>
      </c>
      <c r="V353">
        <f>HYPERLINK("https://klasma.github.io/Logging_2283/klagomål/A 33853-2025 FSC-klagomål.docx", "A 33853-2025")</f>
        <v/>
      </c>
      <c r="W353">
        <f>HYPERLINK("https://klasma.github.io/Logging_2283/klagomålsmail/A 33853-2025 FSC-klagomål mail.docx", "A 33853-2025")</f>
        <v/>
      </c>
      <c r="X353">
        <f>HYPERLINK("https://klasma.github.io/Logging_2283/tillsyn/A 33853-2025 tillsynsbegäran.docx", "A 33853-2025")</f>
        <v/>
      </c>
      <c r="Y353">
        <f>HYPERLINK("https://klasma.github.io/Logging_2283/tillsynsmail/A 33853-2025 tillsynsbegäran mail.docx", "A 33853-2025")</f>
        <v/>
      </c>
      <c r="Z353">
        <f>HYPERLINK("https://klasma.github.io/Logging_2283/fåglar/A 33853-2025 prioriterade fågelarter.docx", "A 33853-2025")</f>
        <v/>
      </c>
    </row>
    <row r="354" ht="15" customHeight="1">
      <c r="A354" t="inlineStr">
        <is>
          <t>A 39897-2024</t>
        </is>
      </c>
      <c r="B354" s="1" t="n">
        <v>45553.48841435185</v>
      </c>
      <c r="C354" s="1" t="n">
        <v>46048</v>
      </c>
      <c r="D354" t="inlineStr">
        <is>
          <t>VÄSTERNORRLANDS LÄN</t>
        </is>
      </c>
      <c r="E354" t="inlineStr">
        <is>
          <t>SOLLEFTEÅ</t>
        </is>
      </c>
      <c r="G354" t="n">
        <v>1.1</v>
      </c>
      <c r="H354" t="n">
        <v>1</v>
      </c>
      <c r="I354" t="n">
        <v>0</v>
      </c>
      <c r="J354" t="n">
        <v>0</v>
      </c>
      <c r="K354" t="n">
        <v>0</v>
      </c>
      <c r="L354" t="n">
        <v>0</v>
      </c>
      <c r="M354" t="n">
        <v>0</v>
      </c>
      <c r="N354" t="n">
        <v>0</v>
      </c>
      <c r="O354" t="n">
        <v>0</v>
      </c>
      <c r="P354" t="n">
        <v>0</v>
      </c>
      <c r="Q354" t="n">
        <v>1</v>
      </c>
      <c r="R354" s="2" t="inlineStr">
        <is>
          <t>Revlummer</t>
        </is>
      </c>
      <c r="S354">
        <f>HYPERLINK("https://klasma.github.io/Logging_2283/artfynd/A 39897-2024 artfynd.xlsx", "A 39897-2024")</f>
        <v/>
      </c>
      <c r="T354">
        <f>HYPERLINK("https://klasma.github.io/Logging_2283/kartor/A 39897-2024 karta.png", "A 39897-2024")</f>
        <v/>
      </c>
      <c r="V354">
        <f>HYPERLINK("https://klasma.github.io/Logging_2283/klagomål/A 39897-2024 FSC-klagomål.docx", "A 39897-2024")</f>
        <v/>
      </c>
      <c r="W354">
        <f>HYPERLINK("https://klasma.github.io/Logging_2283/klagomålsmail/A 39897-2024 FSC-klagomål mail.docx", "A 39897-2024")</f>
        <v/>
      </c>
      <c r="X354">
        <f>HYPERLINK("https://klasma.github.io/Logging_2283/tillsyn/A 39897-2024 tillsynsbegäran.docx", "A 39897-2024")</f>
        <v/>
      </c>
      <c r="Y354">
        <f>HYPERLINK("https://klasma.github.io/Logging_2283/tillsynsmail/A 39897-2024 tillsynsbegäran mail.docx", "A 39897-2024")</f>
        <v/>
      </c>
    </row>
    <row r="355" ht="15" customHeight="1">
      <c r="A355" t="inlineStr">
        <is>
          <t>A 39565-2023</t>
        </is>
      </c>
      <c r="B355" s="1" t="n">
        <v>45167</v>
      </c>
      <c r="C355" s="1" t="n">
        <v>46048</v>
      </c>
      <c r="D355" t="inlineStr">
        <is>
          <t>VÄSTERNORRLANDS LÄN</t>
        </is>
      </c>
      <c r="E355" t="inlineStr">
        <is>
          <t>SOLLEFTEÅ</t>
        </is>
      </c>
      <c r="G355" t="n">
        <v>3.2</v>
      </c>
      <c r="H355" t="n">
        <v>0</v>
      </c>
      <c r="I355" t="n">
        <v>0</v>
      </c>
      <c r="J355" t="n">
        <v>1</v>
      </c>
      <c r="K355" t="n">
        <v>0</v>
      </c>
      <c r="L355" t="n">
        <v>0</v>
      </c>
      <c r="M355" t="n">
        <v>0</v>
      </c>
      <c r="N355" t="n">
        <v>0</v>
      </c>
      <c r="O355" t="n">
        <v>1</v>
      </c>
      <c r="P355" t="n">
        <v>0</v>
      </c>
      <c r="Q355" t="n">
        <v>1</v>
      </c>
      <c r="R355" s="2" t="inlineStr">
        <is>
          <t>Ullticka</t>
        </is>
      </c>
      <c r="S355">
        <f>HYPERLINK("https://klasma.github.io/Logging_2283/artfynd/A 39565-2023 artfynd.xlsx", "A 39565-2023")</f>
        <v/>
      </c>
      <c r="T355">
        <f>HYPERLINK("https://klasma.github.io/Logging_2283/kartor/A 39565-2023 karta.png", "A 39565-2023")</f>
        <v/>
      </c>
      <c r="V355">
        <f>HYPERLINK("https://klasma.github.io/Logging_2283/klagomål/A 39565-2023 FSC-klagomål.docx", "A 39565-2023")</f>
        <v/>
      </c>
      <c r="W355">
        <f>HYPERLINK("https://klasma.github.io/Logging_2283/klagomålsmail/A 39565-2023 FSC-klagomål mail.docx", "A 39565-2023")</f>
        <v/>
      </c>
      <c r="X355">
        <f>HYPERLINK("https://klasma.github.io/Logging_2283/tillsyn/A 39565-2023 tillsynsbegäran.docx", "A 39565-2023")</f>
        <v/>
      </c>
      <c r="Y355">
        <f>HYPERLINK("https://klasma.github.io/Logging_2283/tillsynsmail/A 39565-2023 tillsynsbegäran mail.docx", "A 39565-2023")</f>
        <v/>
      </c>
    </row>
    <row r="356" ht="15" customHeight="1">
      <c r="A356" t="inlineStr">
        <is>
          <t>A 34865-2025</t>
        </is>
      </c>
      <c r="B356" s="1" t="n">
        <v>45849.4421412037</v>
      </c>
      <c r="C356" s="1" t="n">
        <v>46048</v>
      </c>
      <c r="D356" t="inlineStr">
        <is>
          <t>VÄSTERNORRLANDS LÄN</t>
        </is>
      </c>
      <c r="E356" t="inlineStr">
        <is>
          <t>SOLLEFTEÅ</t>
        </is>
      </c>
      <c r="G356" t="n">
        <v>3.3</v>
      </c>
      <c r="H356" t="n">
        <v>1</v>
      </c>
      <c r="I356" t="n">
        <v>0</v>
      </c>
      <c r="J356" t="n">
        <v>1</v>
      </c>
      <c r="K356" t="n">
        <v>0</v>
      </c>
      <c r="L356" t="n">
        <v>0</v>
      </c>
      <c r="M356" t="n">
        <v>0</v>
      </c>
      <c r="N356" t="n">
        <v>0</v>
      </c>
      <c r="O356" t="n">
        <v>1</v>
      </c>
      <c r="P356" t="n">
        <v>0</v>
      </c>
      <c r="Q356" t="n">
        <v>1</v>
      </c>
      <c r="R356" s="2" t="inlineStr">
        <is>
          <t>Spillkråka</t>
        </is>
      </c>
      <c r="S356">
        <f>HYPERLINK("https://klasma.github.io/Logging_2283/artfynd/A 34865-2025 artfynd.xlsx", "A 34865-2025")</f>
        <v/>
      </c>
      <c r="T356">
        <f>HYPERLINK("https://klasma.github.io/Logging_2283/kartor/A 34865-2025 karta.png", "A 34865-2025")</f>
        <v/>
      </c>
      <c r="V356">
        <f>HYPERLINK("https://klasma.github.io/Logging_2283/klagomål/A 34865-2025 FSC-klagomål.docx", "A 34865-2025")</f>
        <v/>
      </c>
      <c r="W356">
        <f>HYPERLINK("https://klasma.github.io/Logging_2283/klagomålsmail/A 34865-2025 FSC-klagomål mail.docx", "A 34865-2025")</f>
        <v/>
      </c>
      <c r="X356">
        <f>HYPERLINK("https://klasma.github.io/Logging_2283/tillsyn/A 34865-2025 tillsynsbegäran.docx", "A 34865-2025")</f>
        <v/>
      </c>
      <c r="Y356">
        <f>HYPERLINK("https://klasma.github.io/Logging_2283/tillsynsmail/A 34865-2025 tillsynsbegäran mail.docx", "A 34865-2025")</f>
        <v/>
      </c>
      <c r="Z356">
        <f>HYPERLINK("https://klasma.github.io/Logging_2283/fåglar/A 34865-2025 prioriterade fågelarter.docx", "A 34865-2025")</f>
        <v/>
      </c>
    </row>
    <row r="357" ht="15" customHeight="1">
      <c r="A357" t="inlineStr">
        <is>
          <t>A 35217-2025</t>
        </is>
      </c>
      <c r="B357" s="1" t="n">
        <v>45853.49020833334</v>
      </c>
      <c r="C357" s="1" t="n">
        <v>46048</v>
      </c>
      <c r="D357" t="inlineStr">
        <is>
          <t>VÄSTERNORRLANDS LÄN</t>
        </is>
      </c>
      <c r="E357" t="inlineStr">
        <is>
          <t>SOLLEFTEÅ</t>
        </is>
      </c>
      <c r="F357" t="inlineStr">
        <is>
          <t>SCA</t>
        </is>
      </c>
      <c r="G357" t="n">
        <v>2.1</v>
      </c>
      <c r="H357" t="n">
        <v>1</v>
      </c>
      <c r="I357" t="n">
        <v>0</v>
      </c>
      <c r="J357" t="n">
        <v>0</v>
      </c>
      <c r="K357" t="n">
        <v>0</v>
      </c>
      <c r="L357" t="n">
        <v>0</v>
      </c>
      <c r="M357" t="n">
        <v>0</v>
      </c>
      <c r="N357" t="n">
        <v>0</v>
      </c>
      <c r="O357" t="n">
        <v>0</v>
      </c>
      <c r="P357" t="n">
        <v>0</v>
      </c>
      <c r="Q357" t="n">
        <v>1</v>
      </c>
      <c r="R357" s="2" t="inlineStr">
        <is>
          <t>Mattlummer</t>
        </is>
      </c>
      <c r="S357">
        <f>HYPERLINK("https://klasma.github.io/Logging_2283/artfynd/A 35217-2025 artfynd.xlsx", "A 35217-2025")</f>
        <v/>
      </c>
      <c r="T357">
        <f>HYPERLINK("https://klasma.github.io/Logging_2283/kartor/A 35217-2025 karta.png", "A 35217-2025")</f>
        <v/>
      </c>
      <c r="V357">
        <f>HYPERLINK("https://klasma.github.io/Logging_2283/klagomål/A 35217-2025 FSC-klagomål.docx", "A 35217-2025")</f>
        <v/>
      </c>
      <c r="W357">
        <f>HYPERLINK("https://klasma.github.io/Logging_2283/klagomålsmail/A 35217-2025 FSC-klagomål mail.docx", "A 35217-2025")</f>
        <v/>
      </c>
      <c r="X357">
        <f>HYPERLINK("https://klasma.github.io/Logging_2283/tillsyn/A 35217-2025 tillsynsbegäran.docx", "A 35217-2025")</f>
        <v/>
      </c>
      <c r="Y357">
        <f>HYPERLINK("https://klasma.github.io/Logging_2283/tillsynsmail/A 35217-2025 tillsynsbegäran mail.docx", "A 35217-2025")</f>
        <v/>
      </c>
    </row>
    <row r="358" ht="15" customHeight="1">
      <c r="A358" t="inlineStr">
        <is>
          <t>A 35618-2025</t>
        </is>
      </c>
      <c r="B358" s="1" t="n">
        <v>45859.41335648148</v>
      </c>
      <c r="C358" s="1" t="n">
        <v>46048</v>
      </c>
      <c r="D358" t="inlineStr">
        <is>
          <t>VÄSTERNORRLANDS LÄN</t>
        </is>
      </c>
      <c r="E358" t="inlineStr">
        <is>
          <t>SOLLEFTEÅ</t>
        </is>
      </c>
      <c r="G358" t="n">
        <v>6.9</v>
      </c>
      <c r="H358" t="n">
        <v>1</v>
      </c>
      <c r="I358" t="n">
        <v>0</v>
      </c>
      <c r="J358" t="n">
        <v>1</v>
      </c>
      <c r="K358" t="n">
        <v>0</v>
      </c>
      <c r="L358" t="n">
        <v>0</v>
      </c>
      <c r="M358" t="n">
        <v>0</v>
      </c>
      <c r="N358" t="n">
        <v>0</v>
      </c>
      <c r="O358" t="n">
        <v>1</v>
      </c>
      <c r="P358" t="n">
        <v>0</v>
      </c>
      <c r="Q358" t="n">
        <v>1</v>
      </c>
      <c r="R358" s="2" t="inlineStr">
        <is>
          <t>Spillkråka</t>
        </is>
      </c>
      <c r="S358">
        <f>HYPERLINK("https://klasma.github.io/Logging_2283/artfynd/A 35618-2025 artfynd.xlsx", "A 35618-2025")</f>
        <v/>
      </c>
      <c r="T358">
        <f>HYPERLINK("https://klasma.github.io/Logging_2283/kartor/A 35618-2025 karta.png", "A 35618-2025")</f>
        <v/>
      </c>
      <c r="V358">
        <f>HYPERLINK("https://klasma.github.io/Logging_2283/klagomål/A 35618-2025 FSC-klagomål.docx", "A 35618-2025")</f>
        <v/>
      </c>
      <c r="W358">
        <f>HYPERLINK("https://klasma.github.io/Logging_2283/klagomålsmail/A 35618-2025 FSC-klagomål mail.docx", "A 35618-2025")</f>
        <v/>
      </c>
      <c r="X358">
        <f>HYPERLINK("https://klasma.github.io/Logging_2283/tillsyn/A 35618-2025 tillsynsbegäran.docx", "A 35618-2025")</f>
        <v/>
      </c>
      <c r="Y358">
        <f>HYPERLINK("https://klasma.github.io/Logging_2283/tillsynsmail/A 35618-2025 tillsynsbegäran mail.docx", "A 35618-2025")</f>
        <v/>
      </c>
      <c r="Z358">
        <f>HYPERLINK("https://klasma.github.io/Logging_2283/fåglar/A 35618-2025 prioriterade fågelarter.docx", "A 35618-2025")</f>
        <v/>
      </c>
    </row>
    <row r="359" ht="15" customHeight="1">
      <c r="A359" t="inlineStr">
        <is>
          <t>A 27106-2022</t>
        </is>
      </c>
      <c r="B359" s="1" t="n">
        <v>44741</v>
      </c>
      <c r="C359" s="1" t="n">
        <v>46048</v>
      </c>
      <c r="D359" t="inlineStr">
        <is>
          <t>VÄSTERNORRLANDS LÄN</t>
        </is>
      </c>
      <c r="E359" t="inlineStr">
        <is>
          <t>SOLLEFTEÅ</t>
        </is>
      </c>
      <c r="G359" t="n">
        <v>1.3</v>
      </c>
      <c r="H359" t="n">
        <v>1</v>
      </c>
      <c r="I359" t="n">
        <v>0</v>
      </c>
      <c r="J359" t="n">
        <v>0</v>
      </c>
      <c r="K359" t="n">
        <v>0</v>
      </c>
      <c r="L359" t="n">
        <v>0</v>
      </c>
      <c r="M359" t="n">
        <v>0</v>
      </c>
      <c r="N359" t="n">
        <v>0</v>
      </c>
      <c r="O359" t="n">
        <v>0</v>
      </c>
      <c r="P359" t="n">
        <v>0</v>
      </c>
      <c r="Q359" t="n">
        <v>1</v>
      </c>
      <c r="R359" s="2" t="inlineStr">
        <is>
          <t>Revlummer</t>
        </is>
      </c>
      <c r="S359">
        <f>HYPERLINK("https://klasma.github.io/Logging_2283/artfynd/A 27106-2022 artfynd.xlsx", "A 27106-2022")</f>
        <v/>
      </c>
      <c r="T359">
        <f>HYPERLINK("https://klasma.github.io/Logging_2283/kartor/A 27106-2022 karta.png", "A 27106-2022")</f>
        <v/>
      </c>
      <c r="V359">
        <f>HYPERLINK("https://klasma.github.io/Logging_2283/klagomål/A 27106-2022 FSC-klagomål.docx", "A 27106-2022")</f>
        <v/>
      </c>
      <c r="W359">
        <f>HYPERLINK("https://klasma.github.io/Logging_2283/klagomålsmail/A 27106-2022 FSC-klagomål mail.docx", "A 27106-2022")</f>
        <v/>
      </c>
      <c r="X359">
        <f>HYPERLINK("https://klasma.github.io/Logging_2283/tillsyn/A 27106-2022 tillsynsbegäran.docx", "A 27106-2022")</f>
        <v/>
      </c>
      <c r="Y359">
        <f>HYPERLINK("https://klasma.github.io/Logging_2283/tillsynsmail/A 27106-2022 tillsynsbegäran mail.docx", "A 27106-2022")</f>
        <v/>
      </c>
    </row>
    <row r="360" ht="15" customHeight="1">
      <c r="A360" t="inlineStr">
        <is>
          <t>A 31920-2023</t>
        </is>
      </c>
      <c r="B360" s="1" t="n">
        <v>45118</v>
      </c>
      <c r="C360" s="1" t="n">
        <v>46048</v>
      </c>
      <c r="D360" t="inlineStr">
        <is>
          <t>VÄSTERNORRLANDS LÄN</t>
        </is>
      </c>
      <c r="E360" t="inlineStr">
        <is>
          <t>SOLLEFTEÅ</t>
        </is>
      </c>
      <c r="F360" t="inlineStr">
        <is>
          <t>SCA</t>
        </is>
      </c>
      <c r="G360" t="n">
        <v>2</v>
      </c>
      <c r="H360" t="n">
        <v>0</v>
      </c>
      <c r="I360" t="n">
        <v>0</v>
      </c>
      <c r="J360" t="n">
        <v>1</v>
      </c>
      <c r="K360" t="n">
        <v>0</v>
      </c>
      <c r="L360" t="n">
        <v>0</v>
      </c>
      <c r="M360" t="n">
        <v>0</v>
      </c>
      <c r="N360" t="n">
        <v>0</v>
      </c>
      <c r="O360" t="n">
        <v>1</v>
      </c>
      <c r="P360" t="n">
        <v>0</v>
      </c>
      <c r="Q360" t="n">
        <v>1</v>
      </c>
      <c r="R360" s="2" t="inlineStr">
        <is>
          <t>Ullticka</t>
        </is>
      </c>
      <c r="S360">
        <f>HYPERLINK("https://klasma.github.io/Logging_2283/artfynd/A 31920-2023 artfynd.xlsx", "A 31920-2023")</f>
        <v/>
      </c>
      <c r="T360">
        <f>HYPERLINK("https://klasma.github.io/Logging_2283/kartor/A 31920-2023 karta.png", "A 31920-2023")</f>
        <v/>
      </c>
      <c r="V360">
        <f>HYPERLINK("https://klasma.github.io/Logging_2283/klagomål/A 31920-2023 FSC-klagomål.docx", "A 31920-2023")</f>
        <v/>
      </c>
      <c r="W360">
        <f>HYPERLINK("https://klasma.github.io/Logging_2283/klagomålsmail/A 31920-2023 FSC-klagomål mail.docx", "A 31920-2023")</f>
        <v/>
      </c>
      <c r="X360">
        <f>HYPERLINK("https://klasma.github.io/Logging_2283/tillsyn/A 31920-2023 tillsynsbegäran.docx", "A 31920-2023")</f>
        <v/>
      </c>
      <c r="Y360">
        <f>HYPERLINK("https://klasma.github.io/Logging_2283/tillsynsmail/A 31920-2023 tillsynsbegäran mail.docx", "A 31920-2023")</f>
        <v/>
      </c>
    </row>
    <row r="361" ht="15" customHeight="1">
      <c r="A361" t="inlineStr">
        <is>
          <t>A 49366-2024</t>
        </is>
      </c>
      <c r="B361" s="1" t="n">
        <v>45595.63572916666</v>
      </c>
      <c r="C361" s="1" t="n">
        <v>46048</v>
      </c>
      <c r="D361" t="inlineStr">
        <is>
          <t>VÄSTERNORRLANDS LÄN</t>
        </is>
      </c>
      <c r="E361" t="inlineStr">
        <is>
          <t>SOLLEFTEÅ</t>
        </is>
      </c>
      <c r="F361" t="inlineStr">
        <is>
          <t>SCA</t>
        </is>
      </c>
      <c r="G361" t="n">
        <v>1.6</v>
      </c>
      <c r="H361" t="n">
        <v>1</v>
      </c>
      <c r="I361" t="n">
        <v>0</v>
      </c>
      <c r="J361" t="n">
        <v>0</v>
      </c>
      <c r="K361" t="n">
        <v>1</v>
      </c>
      <c r="L361" t="n">
        <v>0</v>
      </c>
      <c r="M361" t="n">
        <v>0</v>
      </c>
      <c r="N361" t="n">
        <v>0</v>
      </c>
      <c r="O361" t="n">
        <v>1</v>
      </c>
      <c r="P361" t="n">
        <v>1</v>
      </c>
      <c r="Q361" t="n">
        <v>1</v>
      </c>
      <c r="R361" s="2" t="inlineStr">
        <is>
          <t>Knärot</t>
        </is>
      </c>
      <c r="S361">
        <f>HYPERLINK("https://klasma.github.io/Logging_2283/artfynd/A 49366-2024 artfynd.xlsx", "A 49366-2024")</f>
        <v/>
      </c>
      <c r="T361">
        <f>HYPERLINK("https://klasma.github.io/Logging_2283/kartor/A 49366-2024 karta.png", "A 49366-2024")</f>
        <v/>
      </c>
      <c r="U361">
        <f>HYPERLINK("https://klasma.github.io/Logging_2283/knärot/A 49366-2024 karta knärot.png", "A 49366-2024")</f>
        <v/>
      </c>
      <c r="V361">
        <f>HYPERLINK("https://klasma.github.io/Logging_2283/klagomål/A 49366-2024 FSC-klagomål.docx", "A 49366-2024")</f>
        <v/>
      </c>
      <c r="W361">
        <f>HYPERLINK("https://klasma.github.io/Logging_2283/klagomålsmail/A 49366-2024 FSC-klagomål mail.docx", "A 49366-2024")</f>
        <v/>
      </c>
      <c r="X361">
        <f>HYPERLINK("https://klasma.github.io/Logging_2283/tillsyn/A 49366-2024 tillsynsbegäran.docx", "A 49366-2024")</f>
        <v/>
      </c>
      <c r="Y361">
        <f>HYPERLINK("https://klasma.github.io/Logging_2283/tillsynsmail/A 49366-2024 tillsynsbegäran mail.docx", "A 49366-2024")</f>
        <v/>
      </c>
    </row>
    <row r="362" ht="15" customHeight="1">
      <c r="A362" t="inlineStr">
        <is>
          <t>A 44632-2024</t>
        </is>
      </c>
      <c r="B362" s="1" t="n">
        <v>45574.51446759259</v>
      </c>
      <c r="C362" s="1" t="n">
        <v>46048</v>
      </c>
      <c r="D362" t="inlineStr">
        <is>
          <t>VÄSTERNORRLANDS LÄN</t>
        </is>
      </c>
      <c r="E362" t="inlineStr">
        <is>
          <t>SOLLEFTEÅ</t>
        </is>
      </c>
      <c r="F362" t="inlineStr">
        <is>
          <t>SCA</t>
        </is>
      </c>
      <c r="G362" t="n">
        <v>3.1</v>
      </c>
      <c r="H362" t="n">
        <v>0</v>
      </c>
      <c r="I362" t="n">
        <v>1</v>
      </c>
      <c r="J362" t="n">
        <v>0</v>
      </c>
      <c r="K362" t="n">
        <v>0</v>
      </c>
      <c r="L362" t="n">
        <v>0</v>
      </c>
      <c r="M362" t="n">
        <v>0</v>
      </c>
      <c r="N362" t="n">
        <v>0</v>
      </c>
      <c r="O362" t="n">
        <v>0</v>
      </c>
      <c r="P362" t="n">
        <v>0</v>
      </c>
      <c r="Q362" t="n">
        <v>1</v>
      </c>
      <c r="R362" s="2" t="inlineStr">
        <is>
          <t>Vedticka</t>
        </is>
      </c>
      <c r="S362">
        <f>HYPERLINK("https://klasma.github.io/Logging_2283/artfynd/A 44632-2024 artfynd.xlsx", "A 44632-2024")</f>
        <v/>
      </c>
      <c r="T362">
        <f>HYPERLINK("https://klasma.github.io/Logging_2283/kartor/A 44632-2024 karta.png", "A 44632-2024")</f>
        <v/>
      </c>
      <c r="V362">
        <f>HYPERLINK("https://klasma.github.io/Logging_2283/klagomål/A 44632-2024 FSC-klagomål.docx", "A 44632-2024")</f>
        <v/>
      </c>
      <c r="W362">
        <f>HYPERLINK("https://klasma.github.io/Logging_2283/klagomålsmail/A 44632-2024 FSC-klagomål mail.docx", "A 44632-2024")</f>
        <v/>
      </c>
      <c r="X362">
        <f>HYPERLINK("https://klasma.github.io/Logging_2283/tillsyn/A 44632-2024 tillsynsbegäran.docx", "A 44632-2024")</f>
        <v/>
      </c>
      <c r="Y362">
        <f>HYPERLINK("https://klasma.github.io/Logging_2283/tillsynsmail/A 44632-2024 tillsynsbegäran mail.docx", "A 44632-2024")</f>
        <v/>
      </c>
    </row>
    <row r="363" ht="15" customHeight="1">
      <c r="A363" t="inlineStr">
        <is>
          <t>A 5033-2024</t>
        </is>
      </c>
      <c r="B363" s="1" t="n">
        <v>45329</v>
      </c>
      <c r="C363" s="1" t="n">
        <v>46048</v>
      </c>
      <c r="D363" t="inlineStr">
        <is>
          <t>VÄSTERNORRLANDS LÄN</t>
        </is>
      </c>
      <c r="E363" t="inlineStr">
        <is>
          <t>SOLLEFTEÅ</t>
        </is>
      </c>
      <c r="F363" t="inlineStr">
        <is>
          <t>Övriga Aktiebolag</t>
        </is>
      </c>
      <c r="G363" t="n">
        <v>3.2</v>
      </c>
      <c r="H363" t="n">
        <v>0</v>
      </c>
      <c r="I363" t="n">
        <v>1</v>
      </c>
      <c r="J363" t="n">
        <v>0</v>
      </c>
      <c r="K363" t="n">
        <v>0</v>
      </c>
      <c r="L363" t="n">
        <v>0</v>
      </c>
      <c r="M363" t="n">
        <v>0</v>
      </c>
      <c r="N363" t="n">
        <v>0</v>
      </c>
      <c r="O363" t="n">
        <v>0</v>
      </c>
      <c r="P363" t="n">
        <v>0</v>
      </c>
      <c r="Q363" t="n">
        <v>1</v>
      </c>
      <c r="R363" s="2" t="inlineStr">
        <is>
          <t>Kransrams</t>
        </is>
      </c>
      <c r="S363">
        <f>HYPERLINK("https://klasma.github.io/Logging_2283/artfynd/A 5033-2024 artfynd.xlsx", "A 5033-2024")</f>
        <v/>
      </c>
      <c r="T363">
        <f>HYPERLINK("https://klasma.github.io/Logging_2283/kartor/A 5033-2024 karta.png", "A 5033-2024")</f>
        <v/>
      </c>
      <c r="V363">
        <f>HYPERLINK("https://klasma.github.io/Logging_2283/klagomål/A 5033-2024 FSC-klagomål.docx", "A 5033-2024")</f>
        <v/>
      </c>
      <c r="W363">
        <f>HYPERLINK("https://klasma.github.io/Logging_2283/klagomålsmail/A 5033-2024 FSC-klagomål mail.docx", "A 5033-2024")</f>
        <v/>
      </c>
      <c r="X363">
        <f>HYPERLINK("https://klasma.github.io/Logging_2283/tillsyn/A 5033-2024 tillsynsbegäran.docx", "A 5033-2024")</f>
        <v/>
      </c>
      <c r="Y363">
        <f>HYPERLINK("https://klasma.github.io/Logging_2283/tillsynsmail/A 5033-2024 tillsynsbegäran mail.docx", "A 5033-2024")</f>
        <v/>
      </c>
    </row>
    <row r="364" ht="15" customHeight="1">
      <c r="A364" t="inlineStr">
        <is>
          <t>A 22428-2025</t>
        </is>
      </c>
      <c r="B364" s="1" t="n">
        <v>45786.57351851852</v>
      </c>
      <c r="C364" s="1" t="n">
        <v>46048</v>
      </c>
      <c r="D364" t="inlineStr">
        <is>
          <t>VÄSTERNORRLANDS LÄN</t>
        </is>
      </c>
      <c r="E364" t="inlineStr">
        <is>
          <t>SOLLEFTEÅ</t>
        </is>
      </c>
      <c r="G364" t="n">
        <v>11.6</v>
      </c>
      <c r="H364" t="n">
        <v>1</v>
      </c>
      <c r="I364" t="n">
        <v>0</v>
      </c>
      <c r="J364" t="n">
        <v>1</v>
      </c>
      <c r="K364" t="n">
        <v>0</v>
      </c>
      <c r="L364" t="n">
        <v>0</v>
      </c>
      <c r="M364" t="n">
        <v>0</v>
      </c>
      <c r="N364" t="n">
        <v>0</v>
      </c>
      <c r="O364" t="n">
        <v>1</v>
      </c>
      <c r="P364" t="n">
        <v>0</v>
      </c>
      <c r="Q364" t="n">
        <v>1</v>
      </c>
      <c r="R364" s="2" t="inlineStr">
        <is>
          <t>Tretåig hackspett</t>
        </is>
      </c>
      <c r="S364">
        <f>HYPERLINK("https://klasma.github.io/Logging_2283/artfynd/A 22428-2025 artfynd.xlsx", "A 22428-2025")</f>
        <v/>
      </c>
      <c r="T364">
        <f>HYPERLINK("https://klasma.github.io/Logging_2283/kartor/A 22428-2025 karta.png", "A 22428-2025")</f>
        <v/>
      </c>
      <c r="V364">
        <f>HYPERLINK("https://klasma.github.io/Logging_2283/klagomål/A 22428-2025 FSC-klagomål.docx", "A 22428-2025")</f>
        <v/>
      </c>
      <c r="W364">
        <f>HYPERLINK("https://klasma.github.io/Logging_2283/klagomålsmail/A 22428-2025 FSC-klagomål mail.docx", "A 22428-2025")</f>
        <v/>
      </c>
      <c r="X364">
        <f>HYPERLINK("https://klasma.github.io/Logging_2283/tillsyn/A 22428-2025 tillsynsbegäran.docx", "A 22428-2025")</f>
        <v/>
      </c>
      <c r="Y364">
        <f>HYPERLINK("https://klasma.github.io/Logging_2283/tillsynsmail/A 22428-2025 tillsynsbegäran mail.docx", "A 22428-2025")</f>
        <v/>
      </c>
      <c r="Z364">
        <f>HYPERLINK("https://klasma.github.io/Logging_2283/fåglar/A 22428-2025 prioriterade fågelarter.docx", "A 22428-2025")</f>
        <v/>
      </c>
    </row>
    <row r="365" ht="15" customHeight="1">
      <c r="A365" t="inlineStr">
        <is>
          <t>A 5790-2025</t>
        </is>
      </c>
      <c r="B365" s="1" t="n">
        <v>45694.65657407408</v>
      </c>
      <c r="C365" s="1" t="n">
        <v>46048</v>
      </c>
      <c r="D365" t="inlineStr">
        <is>
          <t>VÄSTERNORRLANDS LÄN</t>
        </is>
      </c>
      <c r="E365" t="inlineStr">
        <is>
          <t>SOLLEFTEÅ</t>
        </is>
      </c>
      <c r="F365" t="inlineStr">
        <is>
          <t>SCA</t>
        </is>
      </c>
      <c r="G365" t="n">
        <v>32.7</v>
      </c>
      <c r="H365" t="n">
        <v>0</v>
      </c>
      <c r="I365" t="n">
        <v>0</v>
      </c>
      <c r="J365" t="n">
        <v>1</v>
      </c>
      <c r="K365" t="n">
        <v>0</v>
      </c>
      <c r="L365" t="n">
        <v>0</v>
      </c>
      <c r="M365" t="n">
        <v>0</v>
      </c>
      <c r="N365" t="n">
        <v>0</v>
      </c>
      <c r="O365" t="n">
        <v>1</v>
      </c>
      <c r="P365" t="n">
        <v>0</v>
      </c>
      <c r="Q365" t="n">
        <v>1</v>
      </c>
      <c r="R365" s="2" t="inlineStr">
        <is>
          <t>Lunglav</t>
        </is>
      </c>
      <c r="S365">
        <f>HYPERLINK("https://klasma.github.io/Logging_2283/artfynd/A 5790-2025 artfynd.xlsx", "A 5790-2025")</f>
        <v/>
      </c>
      <c r="T365">
        <f>HYPERLINK("https://klasma.github.io/Logging_2283/kartor/A 5790-2025 karta.png", "A 5790-2025")</f>
        <v/>
      </c>
      <c r="V365">
        <f>HYPERLINK("https://klasma.github.io/Logging_2283/klagomål/A 5790-2025 FSC-klagomål.docx", "A 5790-2025")</f>
        <v/>
      </c>
      <c r="W365">
        <f>HYPERLINK("https://klasma.github.io/Logging_2283/klagomålsmail/A 5790-2025 FSC-klagomål mail.docx", "A 5790-2025")</f>
        <v/>
      </c>
      <c r="X365">
        <f>HYPERLINK("https://klasma.github.io/Logging_2283/tillsyn/A 5790-2025 tillsynsbegäran.docx", "A 5790-2025")</f>
        <v/>
      </c>
      <c r="Y365">
        <f>HYPERLINK("https://klasma.github.io/Logging_2283/tillsynsmail/A 5790-2025 tillsynsbegäran mail.docx", "A 5790-2025")</f>
        <v/>
      </c>
    </row>
    <row r="366" ht="15" customHeight="1">
      <c r="A366" t="inlineStr">
        <is>
          <t>A 42554-2025</t>
        </is>
      </c>
      <c r="B366" s="1" t="n">
        <v>45905.59445601852</v>
      </c>
      <c r="C366" s="1" t="n">
        <v>46048</v>
      </c>
      <c r="D366" t="inlineStr">
        <is>
          <t>VÄSTERNORRLANDS LÄN</t>
        </is>
      </c>
      <c r="E366" t="inlineStr">
        <is>
          <t>SOLLEFTEÅ</t>
        </is>
      </c>
      <c r="F366" t="inlineStr">
        <is>
          <t>SCA</t>
        </is>
      </c>
      <c r="G366" t="n">
        <v>0.7</v>
      </c>
      <c r="H366" t="n">
        <v>0</v>
      </c>
      <c r="I366" t="n">
        <v>0</v>
      </c>
      <c r="J366" t="n">
        <v>1</v>
      </c>
      <c r="K366" t="n">
        <v>0</v>
      </c>
      <c r="L366" t="n">
        <v>0</v>
      </c>
      <c r="M366" t="n">
        <v>0</v>
      </c>
      <c r="N366" t="n">
        <v>0</v>
      </c>
      <c r="O366" t="n">
        <v>1</v>
      </c>
      <c r="P366" t="n">
        <v>0</v>
      </c>
      <c r="Q366" t="n">
        <v>1</v>
      </c>
      <c r="R366" s="2" t="inlineStr">
        <is>
          <t>Harticka</t>
        </is>
      </c>
      <c r="S366">
        <f>HYPERLINK("https://klasma.github.io/Logging_2283/artfynd/A 42554-2025 artfynd.xlsx", "A 42554-2025")</f>
        <v/>
      </c>
      <c r="T366">
        <f>HYPERLINK("https://klasma.github.io/Logging_2283/kartor/A 42554-2025 karta.png", "A 42554-2025")</f>
        <v/>
      </c>
      <c r="V366">
        <f>HYPERLINK("https://klasma.github.io/Logging_2283/klagomål/A 42554-2025 FSC-klagomål.docx", "A 42554-2025")</f>
        <v/>
      </c>
      <c r="W366">
        <f>HYPERLINK("https://klasma.github.io/Logging_2283/klagomålsmail/A 42554-2025 FSC-klagomål mail.docx", "A 42554-2025")</f>
        <v/>
      </c>
      <c r="X366">
        <f>HYPERLINK("https://klasma.github.io/Logging_2283/tillsyn/A 42554-2025 tillsynsbegäran.docx", "A 42554-2025")</f>
        <v/>
      </c>
      <c r="Y366">
        <f>HYPERLINK("https://klasma.github.io/Logging_2283/tillsynsmail/A 42554-2025 tillsynsbegäran mail.docx", "A 42554-2025")</f>
        <v/>
      </c>
    </row>
    <row r="367" ht="15" customHeight="1">
      <c r="A367" t="inlineStr">
        <is>
          <t>A 53059-2023</t>
        </is>
      </c>
      <c r="B367" s="1" t="n">
        <v>45226</v>
      </c>
      <c r="C367" s="1" t="n">
        <v>46048</v>
      </c>
      <c r="D367" t="inlineStr">
        <is>
          <t>VÄSTERNORRLANDS LÄN</t>
        </is>
      </c>
      <c r="E367" t="inlineStr">
        <is>
          <t>SOLLEFTEÅ</t>
        </is>
      </c>
      <c r="F367" t="inlineStr">
        <is>
          <t>SCA</t>
        </is>
      </c>
      <c r="G367" t="n">
        <v>1.3</v>
      </c>
      <c r="H367" t="n">
        <v>1</v>
      </c>
      <c r="I367" t="n">
        <v>0</v>
      </c>
      <c r="J367" t="n">
        <v>0</v>
      </c>
      <c r="K367" t="n">
        <v>1</v>
      </c>
      <c r="L367" t="n">
        <v>0</v>
      </c>
      <c r="M367" t="n">
        <v>0</v>
      </c>
      <c r="N367" t="n">
        <v>0</v>
      </c>
      <c r="O367" t="n">
        <v>1</v>
      </c>
      <c r="P367" t="n">
        <v>1</v>
      </c>
      <c r="Q367" t="n">
        <v>1</v>
      </c>
      <c r="R367" s="2" t="inlineStr">
        <is>
          <t>Knärot</t>
        </is>
      </c>
      <c r="S367">
        <f>HYPERLINK("https://klasma.github.io/Logging_2283/artfynd/A 53059-2023 artfynd.xlsx", "A 53059-2023")</f>
        <v/>
      </c>
      <c r="T367">
        <f>HYPERLINK("https://klasma.github.io/Logging_2283/kartor/A 53059-2023 karta.png", "A 53059-2023")</f>
        <v/>
      </c>
      <c r="U367">
        <f>HYPERLINK("https://klasma.github.io/Logging_2283/knärot/A 53059-2023 karta knärot.png", "A 53059-2023")</f>
        <v/>
      </c>
      <c r="V367">
        <f>HYPERLINK("https://klasma.github.io/Logging_2283/klagomål/A 53059-2023 FSC-klagomål.docx", "A 53059-2023")</f>
        <v/>
      </c>
      <c r="W367">
        <f>HYPERLINK("https://klasma.github.io/Logging_2283/klagomålsmail/A 53059-2023 FSC-klagomål mail.docx", "A 53059-2023")</f>
        <v/>
      </c>
      <c r="X367">
        <f>HYPERLINK("https://klasma.github.io/Logging_2283/tillsyn/A 53059-2023 tillsynsbegäran.docx", "A 53059-2023")</f>
        <v/>
      </c>
      <c r="Y367">
        <f>HYPERLINK("https://klasma.github.io/Logging_2283/tillsynsmail/A 53059-2023 tillsynsbegäran mail.docx", "A 53059-2023")</f>
        <v/>
      </c>
    </row>
    <row r="368" ht="15" customHeight="1">
      <c r="A368" t="inlineStr">
        <is>
          <t>A 16269-2022</t>
        </is>
      </c>
      <c r="B368" s="1" t="n">
        <v>44670</v>
      </c>
      <c r="C368" s="1" t="n">
        <v>46048</v>
      </c>
      <c r="D368" t="inlineStr">
        <is>
          <t>VÄSTERNORRLANDS LÄN</t>
        </is>
      </c>
      <c r="E368" t="inlineStr">
        <is>
          <t>SOLLEFTEÅ</t>
        </is>
      </c>
      <c r="F368" t="inlineStr">
        <is>
          <t>Holmen skog AB</t>
        </is>
      </c>
      <c r="G368" t="n">
        <v>4.6</v>
      </c>
      <c r="H368" t="n">
        <v>1</v>
      </c>
      <c r="I368" t="n">
        <v>0</v>
      </c>
      <c r="J368" t="n">
        <v>1</v>
      </c>
      <c r="K368" t="n">
        <v>0</v>
      </c>
      <c r="L368" t="n">
        <v>0</v>
      </c>
      <c r="M368" t="n">
        <v>0</v>
      </c>
      <c r="N368" t="n">
        <v>0</v>
      </c>
      <c r="O368" t="n">
        <v>1</v>
      </c>
      <c r="P368" t="n">
        <v>0</v>
      </c>
      <c r="Q368" t="n">
        <v>1</v>
      </c>
      <c r="R368" s="2" t="inlineStr">
        <is>
          <t>Tretåig hackspett</t>
        </is>
      </c>
      <c r="S368">
        <f>HYPERLINK("https://klasma.github.io/Logging_2283/artfynd/A 16269-2022 artfynd.xlsx", "A 16269-2022")</f>
        <v/>
      </c>
      <c r="T368">
        <f>HYPERLINK("https://klasma.github.io/Logging_2283/kartor/A 16269-2022 karta.png", "A 16269-2022")</f>
        <v/>
      </c>
      <c r="V368">
        <f>HYPERLINK("https://klasma.github.io/Logging_2283/klagomål/A 16269-2022 FSC-klagomål.docx", "A 16269-2022")</f>
        <v/>
      </c>
      <c r="W368">
        <f>HYPERLINK("https://klasma.github.io/Logging_2283/klagomålsmail/A 16269-2022 FSC-klagomål mail.docx", "A 16269-2022")</f>
        <v/>
      </c>
      <c r="X368">
        <f>HYPERLINK("https://klasma.github.io/Logging_2283/tillsyn/A 16269-2022 tillsynsbegäran.docx", "A 16269-2022")</f>
        <v/>
      </c>
      <c r="Y368">
        <f>HYPERLINK("https://klasma.github.io/Logging_2283/tillsynsmail/A 16269-2022 tillsynsbegäran mail.docx", "A 16269-2022")</f>
        <v/>
      </c>
      <c r="Z368">
        <f>HYPERLINK("https://klasma.github.io/Logging_2283/fåglar/A 16269-2022 prioriterade fågelarter.docx", "A 16269-2022")</f>
        <v/>
      </c>
    </row>
    <row r="369" ht="15" customHeight="1">
      <c r="A369" t="inlineStr">
        <is>
          <t>A 48948-2024</t>
        </is>
      </c>
      <c r="B369" s="1" t="n">
        <v>45594.42767361111</v>
      </c>
      <c r="C369" s="1" t="n">
        <v>46048</v>
      </c>
      <c r="D369" t="inlineStr">
        <is>
          <t>VÄSTERNORRLANDS LÄN</t>
        </is>
      </c>
      <c r="E369" t="inlineStr">
        <is>
          <t>SOLLEFTEÅ</t>
        </is>
      </c>
      <c r="F369" t="inlineStr">
        <is>
          <t>SCA</t>
        </is>
      </c>
      <c r="G369" t="n">
        <v>15</v>
      </c>
      <c r="H369" t="n">
        <v>1</v>
      </c>
      <c r="I369" t="n">
        <v>0</v>
      </c>
      <c r="J369" t="n">
        <v>0</v>
      </c>
      <c r="K369" t="n">
        <v>0</v>
      </c>
      <c r="L369" t="n">
        <v>0</v>
      </c>
      <c r="M369" t="n">
        <v>0</v>
      </c>
      <c r="N369" t="n">
        <v>0</v>
      </c>
      <c r="O369" t="n">
        <v>0</v>
      </c>
      <c r="P369" t="n">
        <v>0</v>
      </c>
      <c r="Q369" t="n">
        <v>1</v>
      </c>
      <c r="R369" s="2" t="inlineStr">
        <is>
          <t>Mattlummer</t>
        </is>
      </c>
      <c r="S369">
        <f>HYPERLINK("https://klasma.github.io/Logging_2283/artfynd/A 48948-2024 artfynd.xlsx", "A 48948-2024")</f>
        <v/>
      </c>
      <c r="T369">
        <f>HYPERLINK("https://klasma.github.io/Logging_2283/kartor/A 48948-2024 karta.png", "A 48948-2024")</f>
        <v/>
      </c>
      <c r="V369">
        <f>HYPERLINK("https://klasma.github.io/Logging_2283/klagomål/A 48948-2024 FSC-klagomål.docx", "A 48948-2024")</f>
        <v/>
      </c>
      <c r="W369">
        <f>HYPERLINK("https://klasma.github.io/Logging_2283/klagomålsmail/A 48948-2024 FSC-klagomål mail.docx", "A 48948-2024")</f>
        <v/>
      </c>
      <c r="X369">
        <f>HYPERLINK("https://klasma.github.io/Logging_2283/tillsyn/A 48948-2024 tillsynsbegäran.docx", "A 48948-2024")</f>
        <v/>
      </c>
      <c r="Y369">
        <f>HYPERLINK("https://klasma.github.io/Logging_2283/tillsynsmail/A 48948-2024 tillsynsbegäran mail.docx", "A 48948-2024")</f>
        <v/>
      </c>
    </row>
    <row r="370" ht="15" customHeight="1">
      <c r="A370" t="inlineStr">
        <is>
          <t>A 14805-2024</t>
        </is>
      </c>
      <c r="B370" s="1" t="n">
        <v>45397</v>
      </c>
      <c r="C370" s="1" t="n">
        <v>46048</v>
      </c>
      <c r="D370" t="inlineStr">
        <is>
          <t>VÄSTERNORRLANDS LÄN</t>
        </is>
      </c>
      <c r="E370" t="inlineStr">
        <is>
          <t>SOLLEFTEÅ</t>
        </is>
      </c>
      <c r="F370" t="inlineStr">
        <is>
          <t>SCA</t>
        </is>
      </c>
      <c r="G370" t="n">
        <v>3.5</v>
      </c>
      <c r="H370" t="n">
        <v>0</v>
      </c>
      <c r="I370" t="n">
        <v>0</v>
      </c>
      <c r="J370" t="n">
        <v>1</v>
      </c>
      <c r="K370" t="n">
        <v>0</v>
      </c>
      <c r="L370" t="n">
        <v>0</v>
      </c>
      <c r="M370" t="n">
        <v>0</v>
      </c>
      <c r="N370" t="n">
        <v>0</v>
      </c>
      <c r="O370" t="n">
        <v>1</v>
      </c>
      <c r="P370" t="n">
        <v>0</v>
      </c>
      <c r="Q370" t="n">
        <v>1</v>
      </c>
      <c r="R370" s="2" t="inlineStr">
        <is>
          <t>Dvärgbägarlav</t>
        </is>
      </c>
      <c r="S370">
        <f>HYPERLINK("https://klasma.github.io/Logging_2283/artfynd/A 14805-2024 artfynd.xlsx", "A 14805-2024")</f>
        <v/>
      </c>
      <c r="T370">
        <f>HYPERLINK("https://klasma.github.io/Logging_2283/kartor/A 14805-2024 karta.png", "A 14805-2024")</f>
        <v/>
      </c>
      <c r="V370">
        <f>HYPERLINK("https://klasma.github.io/Logging_2283/klagomål/A 14805-2024 FSC-klagomål.docx", "A 14805-2024")</f>
        <v/>
      </c>
      <c r="W370">
        <f>HYPERLINK("https://klasma.github.io/Logging_2283/klagomålsmail/A 14805-2024 FSC-klagomål mail.docx", "A 14805-2024")</f>
        <v/>
      </c>
      <c r="X370">
        <f>HYPERLINK("https://klasma.github.io/Logging_2283/tillsyn/A 14805-2024 tillsynsbegäran.docx", "A 14805-2024")</f>
        <v/>
      </c>
      <c r="Y370">
        <f>HYPERLINK("https://klasma.github.io/Logging_2283/tillsynsmail/A 14805-2024 tillsynsbegäran mail.docx", "A 14805-2024")</f>
        <v/>
      </c>
    </row>
    <row r="371" ht="15" customHeight="1">
      <c r="A371" t="inlineStr">
        <is>
          <t>A 48526-2025</t>
        </is>
      </c>
      <c r="B371" s="1" t="n">
        <v>45936.40723379629</v>
      </c>
      <c r="C371" s="1" t="n">
        <v>46048</v>
      </c>
      <c r="D371" t="inlineStr">
        <is>
          <t>VÄSTERNORRLANDS LÄN</t>
        </is>
      </c>
      <c r="E371" t="inlineStr">
        <is>
          <t>SOLLEFTEÅ</t>
        </is>
      </c>
      <c r="F371" t="inlineStr">
        <is>
          <t>SCA</t>
        </is>
      </c>
      <c r="G371" t="n">
        <v>6.9</v>
      </c>
      <c r="H371" t="n">
        <v>1</v>
      </c>
      <c r="I371" t="n">
        <v>0</v>
      </c>
      <c r="J371" t="n">
        <v>0</v>
      </c>
      <c r="K371" t="n">
        <v>0</v>
      </c>
      <c r="L371" t="n">
        <v>0</v>
      </c>
      <c r="M371" t="n">
        <v>0</v>
      </c>
      <c r="N371" t="n">
        <v>0</v>
      </c>
      <c r="O371" t="n">
        <v>0</v>
      </c>
      <c r="P371" t="n">
        <v>0</v>
      </c>
      <c r="Q371" t="n">
        <v>1</v>
      </c>
      <c r="R371" s="2" t="inlineStr">
        <is>
          <t>Revlummer</t>
        </is>
      </c>
      <c r="S371">
        <f>HYPERLINK("https://klasma.github.io/Logging_2283/artfynd/A 48526-2025 artfynd.xlsx", "A 48526-2025")</f>
        <v/>
      </c>
      <c r="T371">
        <f>HYPERLINK("https://klasma.github.io/Logging_2283/kartor/A 48526-2025 karta.png", "A 48526-2025")</f>
        <v/>
      </c>
      <c r="V371">
        <f>HYPERLINK("https://klasma.github.io/Logging_2283/klagomål/A 48526-2025 FSC-klagomål.docx", "A 48526-2025")</f>
        <v/>
      </c>
      <c r="W371">
        <f>HYPERLINK("https://klasma.github.io/Logging_2283/klagomålsmail/A 48526-2025 FSC-klagomål mail.docx", "A 48526-2025")</f>
        <v/>
      </c>
      <c r="X371">
        <f>HYPERLINK("https://klasma.github.io/Logging_2283/tillsyn/A 48526-2025 tillsynsbegäran.docx", "A 48526-2025")</f>
        <v/>
      </c>
      <c r="Y371">
        <f>HYPERLINK("https://klasma.github.io/Logging_2283/tillsynsmail/A 48526-2025 tillsynsbegäran mail.docx", "A 48526-2025")</f>
        <v/>
      </c>
    </row>
    <row r="372" ht="15" customHeight="1">
      <c r="A372" t="inlineStr">
        <is>
          <t>A 49651-2025</t>
        </is>
      </c>
      <c r="B372" s="1" t="n">
        <v>45939.62670138889</v>
      </c>
      <c r="C372" s="1" t="n">
        <v>46048</v>
      </c>
      <c r="D372" t="inlineStr">
        <is>
          <t>VÄSTERNORRLANDS LÄN</t>
        </is>
      </c>
      <c r="E372" t="inlineStr">
        <is>
          <t>SOLLEFTEÅ</t>
        </is>
      </c>
      <c r="G372" t="n">
        <v>1.5</v>
      </c>
      <c r="H372" t="n">
        <v>1</v>
      </c>
      <c r="I372" t="n">
        <v>0</v>
      </c>
      <c r="J372" t="n">
        <v>1</v>
      </c>
      <c r="K372" t="n">
        <v>0</v>
      </c>
      <c r="L372" t="n">
        <v>0</v>
      </c>
      <c r="M372" t="n">
        <v>0</v>
      </c>
      <c r="N372" t="n">
        <v>0</v>
      </c>
      <c r="O372" t="n">
        <v>1</v>
      </c>
      <c r="P372" t="n">
        <v>0</v>
      </c>
      <c r="Q372" t="n">
        <v>1</v>
      </c>
      <c r="R372" s="2" t="inlineStr">
        <is>
          <t>Järpe</t>
        </is>
      </c>
      <c r="S372">
        <f>HYPERLINK("https://klasma.github.io/Logging_2283/artfynd/A 49651-2025 artfynd.xlsx", "A 49651-2025")</f>
        <v/>
      </c>
      <c r="T372">
        <f>HYPERLINK("https://klasma.github.io/Logging_2283/kartor/A 49651-2025 karta.png", "A 49651-2025")</f>
        <v/>
      </c>
      <c r="V372">
        <f>HYPERLINK("https://klasma.github.io/Logging_2283/klagomål/A 49651-2025 FSC-klagomål.docx", "A 49651-2025")</f>
        <v/>
      </c>
      <c r="W372">
        <f>HYPERLINK("https://klasma.github.io/Logging_2283/klagomålsmail/A 49651-2025 FSC-klagomål mail.docx", "A 49651-2025")</f>
        <v/>
      </c>
      <c r="X372">
        <f>HYPERLINK("https://klasma.github.io/Logging_2283/tillsyn/A 49651-2025 tillsynsbegäran.docx", "A 49651-2025")</f>
        <v/>
      </c>
      <c r="Y372">
        <f>HYPERLINK("https://klasma.github.io/Logging_2283/tillsynsmail/A 49651-2025 tillsynsbegäran mail.docx", "A 49651-2025")</f>
        <v/>
      </c>
      <c r="Z372">
        <f>HYPERLINK("https://klasma.github.io/Logging_2283/fåglar/A 49651-2025 prioriterade fågelarter.docx", "A 49651-2025")</f>
        <v/>
      </c>
    </row>
    <row r="373" ht="15" customHeight="1">
      <c r="A373" t="inlineStr">
        <is>
          <t>A 49251-2025</t>
        </is>
      </c>
      <c r="B373" s="1" t="n">
        <v>45938</v>
      </c>
      <c r="C373" s="1" t="n">
        <v>46048</v>
      </c>
      <c r="D373" t="inlineStr">
        <is>
          <t>VÄSTERNORRLANDS LÄN</t>
        </is>
      </c>
      <c r="E373" t="inlineStr">
        <is>
          <t>SOLLEFTEÅ</t>
        </is>
      </c>
      <c r="F373" t="inlineStr">
        <is>
          <t>SCA</t>
        </is>
      </c>
      <c r="G373" t="n">
        <v>2.5</v>
      </c>
      <c r="H373" t="n">
        <v>0</v>
      </c>
      <c r="I373" t="n">
        <v>0</v>
      </c>
      <c r="J373" t="n">
        <v>1</v>
      </c>
      <c r="K373" t="n">
        <v>0</v>
      </c>
      <c r="L373" t="n">
        <v>0</v>
      </c>
      <c r="M373" t="n">
        <v>0</v>
      </c>
      <c r="N373" t="n">
        <v>0</v>
      </c>
      <c r="O373" t="n">
        <v>1</v>
      </c>
      <c r="P373" t="n">
        <v>0</v>
      </c>
      <c r="Q373" t="n">
        <v>1</v>
      </c>
      <c r="R373" s="2" t="inlineStr">
        <is>
          <t>Granticka</t>
        </is>
      </c>
      <c r="S373">
        <f>HYPERLINK("https://klasma.github.io/Logging_2283/artfynd/A 49251-2025 artfynd.xlsx", "A 49251-2025")</f>
        <v/>
      </c>
      <c r="T373">
        <f>HYPERLINK("https://klasma.github.io/Logging_2283/kartor/A 49251-2025 karta.png", "A 49251-2025")</f>
        <v/>
      </c>
      <c r="V373">
        <f>HYPERLINK("https://klasma.github.io/Logging_2283/klagomål/A 49251-2025 FSC-klagomål.docx", "A 49251-2025")</f>
        <v/>
      </c>
      <c r="W373">
        <f>HYPERLINK("https://klasma.github.io/Logging_2283/klagomålsmail/A 49251-2025 FSC-klagomål mail.docx", "A 49251-2025")</f>
        <v/>
      </c>
      <c r="X373">
        <f>HYPERLINK("https://klasma.github.io/Logging_2283/tillsyn/A 49251-2025 tillsynsbegäran.docx", "A 49251-2025")</f>
        <v/>
      </c>
      <c r="Y373">
        <f>HYPERLINK("https://klasma.github.io/Logging_2283/tillsynsmail/A 49251-2025 tillsynsbegäran mail.docx", "A 49251-2025")</f>
        <v/>
      </c>
    </row>
    <row r="374" ht="15" customHeight="1">
      <c r="A374" t="inlineStr">
        <is>
          <t>A 51786-2025</t>
        </is>
      </c>
      <c r="B374" s="1" t="n">
        <v>45951.67787037037</v>
      </c>
      <c r="C374" s="1" t="n">
        <v>46048</v>
      </c>
      <c r="D374" t="inlineStr">
        <is>
          <t>VÄSTERNORRLANDS LÄN</t>
        </is>
      </c>
      <c r="E374" t="inlineStr">
        <is>
          <t>SOLLEFTEÅ</t>
        </is>
      </c>
      <c r="F374" t="inlineStr">
        <is>
          <t>SCA</t>
        </is>
      </c>
      <c r="G374" t="n">
        <v>19.8</v>
      </c>
      <c r="H374" t="n">
        <v>0</v>
      </c>
      <c r="I374" t="n">
        <v>0</v>
      </c>
      <c r="J374" t="n">
        <v>1</v>
      </c>
      <c r="K374" t="n">
        <v>0</v>
      </c>
      <c r="L374" t="n">
        <v>0</v>
      </c>
      <c r="M374" t="n">
        <v>0</v>
      </c>
      <c r="N374" t="n">
        <v>0</v>
      </c>
      <c r="O374" t="n">
        <v>1</v>
      </c>
      <c r="P374" t="n">
        <v>0</v>
      </c>
      <c r="Q374" t="n">
        <v>1</v>
      </c>
      <c r="R374" s="2" t="inlineStr">
        <is>
          <t>Motaggsvamp</t>
        </is>
      </c>
      <c r="S374">
        <f>HYPERLINK("https://klasma.github.io/Logging_2283/artfynd/A 51786-2025 artfynd.xlsx", "A 51786-2025")</f>
        <v/>
      </c>
      <c r="T374">
        <f>HYPERLINK("https://klasma.github.io/Logging_2283/kartor/A 51786-2025 karta.png", "A 51786-2025")</f>
        <v/>
      </c>
      <c r="V374">
        <f>HYPERLINK("https://klasma.github.io/Logging_2283/klagomål/A 51786-2025 FSC-klagomål.docx", "A 51786-2025")</f>
        <v/>
      </c>
      <c r="W374">
        <f>HYPERLINK("https://klasma.github.io/Logging_2283/klagomålsmail/A 51786-2025 FSC-klagomål mail.docx", "A 51786-2025")</f>
        <v/>
      </c>
      <c r="X374">
        <f>HYPERLINK("https://klasma.github.io/Logging_2283/tillsyn/A 51786-2025 tillsynsbegäran.docx", "A 51786-2025")</f>
        <v/>
      </c>
      <c r="Y374">
        <f>HYPERLINK("https://klasma.github.io/Logging_2283/tillsynsmail/A 51786-2025 tillsynsbegäran mail.docx", "A 51786-2025")</f>
        <v/>
      </c>
    </row>
    <row r="375" ht="15" customHeight="1">
      <c r="A375" t="inlineStr">
        <is>
          <t>A 52218-2025</t>
        </is>
      </c>
      <c r="B375" s="1" t="n">
        <v>45953.43634259259</v>
      </c>
      <c r="C375" s="1" t="n">
        <v>46048</v>
      </c>
      <c r="D375" t="inlineStr">
        <is>
          <t>VÄSTERNORRLANDS LÄN</t>
        </is>
      </c>
      <c r="E375" t="inlineStr">
        <is>
          <t>SOLLEFTEÅ</t>
        </is>
      </c>
      <c r="G375" t="n">
        <v>6.7</v>
      </c>
      <c r="H375" t="n">
        <v>1</v>
      </c>
      <c r="I375" t="n">
        <v>0</v>
      </c>
      <c r="J375" t="n">
        <v>0</v>
      </c>
      <c r="K375" t="n">
        <v>0</v>
      </c>
      <c r="L375" t="n">
        <v>0</v>
      </c>
      <c r="M375" t="n">
        <v>0</v>
      </c>
      <c r="N375" t="n">
        <v>0</v>
      </c>
      <c r="O375" t="n">
        <v>0</v>
      </c>
      <c r="P375" t="n">
        <v>0</v>
      </c>
      <c r="Q375" t="n">
        <v>1</v>
      </c>
      <c r="R375" s="2" t="inlineStr">
        <is>
          <t>Revlummer</t>
        </is>
      </c>
      <c r="S375">
        <f>HYPERLINK("https://klasma.github.io/Logging_2283/artfynd/A 52218-2025 artfynd.xlsx", "A 52218-2025")</f>
        <v/>
      </c>
      <c r="T375">
        <f>HYPERLINK("https://klasma.github.io/Logging_2283/kartor/A 52218-2025 karta.png", "A 52218-2025")</f>
        <v/>
      </c>
      <c r="V375">
        <f>HYPERLINK("https://klasma.github.io/Logging_2283/klagomål/A 52218-2025 FSC-klagomål.docx", "A 52218-2025")</f>
        <v/>
      </c>
      <c r="W375">
        <f>HYPERLINK("https://klasma.github.io/Logging_2283/klagomålsmail/A 52218-2025 FSC-klagomål mail.docx", "A 52218-2025")</f>
        <v/>
      </c>
      <c r="X375">
        <f>HYPERLINK("https://klasma.github.io/Logging_2283/tillsyn/A 52218-2025 tillsynsbegäran.docx", "A 52218-2025")</f>
        <v/>
      </c>
      <c r="Y375">
        <f>HYPERLINK("https://klasma.github.io/Logging_2283/tillsynsmail/A 52218-2025 tillsynsbegäran mail.docx", "A 52218-2025")</f>
        <v/>
      </c>
    </row>
    <row r="376" ht="15" customHeight="1">
      <c r="A376" t="inlineStr">
        <is>
          <t>A 53822-2025</t>
        </is>
      </c>
      <c r="B376" s="1" t="n">
        <v>45961.32806712963</v>
      </c>
      <c r="C376" s="1" t="n">
        <v>46048</v>
      </c>
      <c r="D376" t="inlineStr">
        <is>
          <t>VÄSTERNORRLANDS LÄN</t>
        </is>
      </c>
      <c r="E376" t="inlineStr">
        <is>
          <t>SOLLEFTEÅ</t>
        </is>
      </c>
      <c r="G376" t="n">
        <v>2.1</v>
      </c>
      <c r="H376" t="n">
        <v>1</v>
      </c>
      <c r="I376" t="n">
        <v>0</v>
      </c>
      <c r="J376" t="n">
        <v>0</v>
      </c>
      <c r="K376" t="n">
        <v>0</v>
      </c>
      <c r="L376" t="n">
        <v>0</v>
      </c>
      <c r="M376" t="n">
        <v>0</v>
      </c>
      <c r="N376" t="n">
        <v>0</v>
      </c>
      <c r="O376" t="n">
        <v>0</v>
      </c>
      <c r="P376" t="n">
        <v>0</v>
      </c>
      <c r="Q376" t="n">
        <v>1</v>
      </c>
      <c r="R376" s="2" t="inlineStr">
        <is>
          <t>Sångsvan</t>
        </is>
      </c>
      <c r="S376">
        <f>HYPERLINK("https://klasma.github.io/Logging_2283/artfynd/A 53822-2025 artfynd.xlsx", "A 53822-2025")</f>
        <v/>
      </c>
      <c r="T376">
        <f>HYPERLINK("https://klasma.github.io/Logging_2283/kartor/A 53822-2025 karta.png", "A 53822-2025")</f>
        <v/>
      </c>
      <c r="V376">
        <f>HYPERLINK("https://klasma.github.io/Logging_2283/klagomål/A 53822-2025 FSC-klagomål.docx", "A 53822-2025")</f>
        <v/>
      </c>
      <c r="W376">
        <f>HYPERLINK("https://klasma.github.io/Logging_2283/klagomålsmail/A 53822-2025 FSC-klagomål mail.docx", "A 53822-2025")</f>
        <v/>
      </c>
      <c r="X376">
        <f>HYPERLINK("https://klasma.github.io/Logging_2283/tillsyn/A 53822-2025 tillsynsbegäran.docx", "A 53822-2025")</f>
        <v/>
      </c>
      <c r="Y376">
        <f>HYPERLINK("https://klasma.github.io/Logging_2283/tillsynsmail/A 53822-2025 tillsynsbegäran mail.docx", "A 53822-2025")</f>
        <v/>
      </c>
      <c r="Z376">
        <f>HYPERLINK("https://klasma.github.io/Logging_2283/fåglar/A 53822-2025 prioriterade fågelarter.docx", "A 53822-2025")</f>
        <v/>
      </c>
    </row>
    <row r="377" ht="15" customHeight="1">
      <c r="A377" t="inlineStr">
        <is>
          <t>A 21962-2025</t>
        </is>
      </c>
      <c r="B377" s="1" t="n">
        <v>45784</v>
      </c>
      <c r="C377" s="1" t="n">
        <v>46048</v>
      </c>
      <c r="D377" t="inlineStr">
        <is>
          <t>VÄSTERNORRLANDS LÄN</t>
        </is>
      </c>
      <c r="E377" t="inlineStr">
        <is>
          <t>SOLLEFTEÅ</t>
        </is>
      </c>
      <c r="F377" t="inlineStr">
        <is>
          <t>SCA</t>
        </is>
      </c>
      <c r="G377" t="n">
        <v>22.5</v>
      </c>
      <c r="H377" t="n">
        <v>1</v>
      </c>
      <c r="I377" t="n">
        <v>0</v>
      </c>
      <c r="J377" t="n">
        <v>1</v>
      </c>
      <c r="K377" t="n">
        <v>0</v>
      </c>
      <c r="L377" t="n">
        <v>0</v>
      </c>
      <c r="M377" t="n">
        <v>0</v>
      </c>
      <c r="N377" t="n">
        <v>0</v>
      </c>
      <c r="O377" t="n">
        <v>1</v>
      </c>
      <c r="P377" t="n">
        <v>0</v>
      </c>
      <c r="Q377" t="n">
        <v>1</v>
      </c>
      <c r="R377" s="2" t="inlineStr">
        <is>
          <t>Järpe</t>
        </is>
      </c>
      <c r="S377">
        <f>HYPERLINK("https://klasma.github.io/Logging_2283/artfynd/A 21962-2025 artfynd.xlsx", "A 21962-2025")</f>
        <v/>
      </c>
      <c r="T377">
        <f>HYPERLINK("https://klasma.github.io/Logging_2283/kartor/A 21962-2025 karta.png", "A 21962-2025")</f>
        <v/>
      </c>
      <c r="V377">
        <f>HYPERLINK("https://klasma.github.io/Logging_2283/klagomål/A 21962-2025 FSC-klagomål.docx", "A 21962-2025")</f>
        <v/>
      </c>
      <c r="W377">
        <f>HYPERLINK("https://klasma.github.io/Logging_2283/klagomålsmail/A 21962-2025 FSC-klagomål mail.docx", "A 21962-2025")</f>
        <v/>
      </c>
      <c r="X377">
        <f>HYPERLINK("https://klasma.github.io/Logging_2283/tillsyn/A 21962-2025 tillsynsbegäran.docx", "A 21962-2025")</f>
        <v/>
      </c>
      <c r="Y377">
        <f>HYPERLINK("https://klasma.github.io/Logging_2283/tillsynsmail/A 21962-2025 tillsynsbegäran mail.docx", "A 21962-2025")</f>
        <v/>
      </c>
      <c r="Z377">
        <f>HYPERLINK("https://klasma.github.io/Logging_2283/fåglar/A 21962-2025 prioriterade fågelarter.docx", "A 21962-2025")</f>
        <v/>
      </c>
    </row>
    <row r="378" ht="15" customHeight="1">
      <c r="A378" t="inlineStr">
        <is>
          <t>A 62256-2025</t>
        </is>
      </c>
      <c r="B378" s="1" t="n">
        <v>46006.61503472222</v>
      </c>
      <c r="C378" s="1" t="n">
        <v>46048</v>
      </c>
      <c r="D378" t="inlineStr">
        <is>
          <t>VÄSTERNORRLANDS LÄN</t>
        </is>
      </c>
      <c r="E378" t="inlineStr">
        <is>
          <t>SOLLEFTEÅ</t>
        </is>
      </c>
      <c r="F378" t="inlineStr">
        <is>
          <t>SCA</t>
        </is>
      </c>
      <c r="G378" t="n">
        <v>9</v>
      </c>
      <c r="H378" t="n">
        <v>0</v>
      </c>
      <c r="I378" t="n">
        <v>0</v>
      </c>
      <c r="J378" t="n">
        <v>1</v>
      </c>
      <c r="K378" t="n">
        <v>0</v>
      </c>
      <c r="L378" t="n">
        <v>0</v>
      </c>
      <c r="M378" t="n">
        <v>0</v>
      </c>
      <c r="N378" t="n">
        <v>0</v>
      </c>
      <c r="O378" t="n">
        <v>1</v>
      </c>
      <c r="P378" t="n">
        <v>0</v>
      </c>
      <c r="Q378" t="n">
        <v>1</v>
      </c>
      <c r="R378" s="2" t="inlineStr">
        <is>
          <t>Harticka</t>
        </is>
      </c>
      <c r="S378">
        <f>HYPERLINK("https://klasma.github.io/Logging_2283/artfynd/A 62256-2025 artfynd.xlsx", "A 62256-2025")</f>
        <v/>
      </c>
      <c r="T378">
        <f>HYPERLINK("https://klasma.github.io/Logging_2283/kartor/A 62256-2025 karta.png", "A 62256-2025")</f>
        <v/>
      </c>
      <c r="V378">
        <f>HYPERLINK("https://klasma.github.io/Logging_2283/klagomål/A 62256-2025 FSC-klagomål.docx", "A 62256-2025")</f>
        <v/>
      </c>
      <c r="W378">
        <f>HYPERLINK("https://klasma.github.io/Logging_2283/klagomålsmail/A 62256-2025 FSC-klagomål mail.docx", "A 62256-2025")</f>
        <v/>
      </c>
      <c r="X378">
        <f>HYPERLINK("https://klasma.github.io/Logging_2283/tillsyn/A 62256-2025 tillsynsbegäran.docx", "A 62256-2025")</f>
        <v/>
      </c>
      <c r="Y378">
        <f>HYPERLINK("https://klasma.github.io/Logging_2283/tillsynsmail/A 62256-2025 tillsynsbegäran mail.docx", "A 62256-2025")</f>
        <v/>
      </c>
    </row>
    <row r="379" ht="15" customHeight="1">
      <c r="A379" t="inlineStr">
        <is>
          <t>A 55722-2025</t>
        </is>
      </c>
      <c r="B379" s="1" t="n">
        <v>45972.51136574074</v>
      </c>
      <c r="C379" s="1" t="n">
        <v>46048</v>
      </c>
      <c r="D379" t="inlineStr">
        <is>
          <t>VÄSTERNORRLANDS LÄN</t>
        </is>
      </c>
      <c r="E379" t="inlineStr">
        <is>
          <t>SOLLEFTEÅ</t>
        </is>
      </c>
      <c r="F379" t="inlineStr">
        <is>
          <t>SCA</t>
        </is>
      </c>
      <c r="G379" t="n">
        <v>3.3</v>
      </c>
      <c r="H379" t="n">
        <v>0</v>
      </c>
      <c r="I379" t="n">
        <v>0</v>
      </c>
      <c r="J379" t="n">
        <v>1</v>
      </c>
      <c r="K379" t="n">
        <v>0</v>
      </c>
      <c r="L379" t="n">
        <v>0</v>
      </c>
      <c r="M379" t="n">
        <v>0</v>
      </c>
      <c r="N379" t="n">
        <v>0</v>
      </c>
      <c r="O379" t="n">
        <v>1</v>
      </c>
      <c r="P379" t="n">
        <v>0</v>
      </c>
      <c r="Q379" t="n">
        <v>1</v>
      </c>
      <c r="R379" s="2" t="inlineStr">
        <is>
          <t>Violettgrå tagellav</t>
        </is>
      </c>
      <c r="S379">
        <f>HYPERLINK("https://klasma.github.io/Logging_2283/artfynd/A 55722-2025 artfynd.xlsx", "A 55722-2025")</f>
        <v/>
      </c>
      <c r="T379">
        <f>HYPERLINK("https://klasma.github.io/Logging_2283/kartor/A 55722-2025 karta.png", "A 55722-2025")</f>
        <v/>
      </c>
      <c r="V379">
        <f>HYPERLINK("https://klasma.github.io/Logging_2283/klagomål/A 55722-2025 FSC-klagomål.docx", "A 55722-2025")</f>
        <v/>
      </c>
      <c r="W379">
        <f>HYPERLINK("https://klasma.github.io/Logging_2283/klagomålsmail/A 55722-2025 FSC-klagomål mail.docx", "A 55722-2025")</f>
        <v/>
      </c>
      <c r="X379">
        <f>HYPERLINK("https://klasma.github.io/Logging_2283/tillsyn/A 55722-2025 tillsynsbegäran.docx", "A 55722-2025")</f>
        <v/>
      </c>
      <c r="Y379">
        <f>HYPERLINK("https://klasma.github.io/Logging_2283/tillsynsmail/A 55722-2025 tillsynsbegäran mail.docx", "A 55722-2025")</f>
        <v/>
      </c>
    </row>
    <row r="380" ht="15" customHeight="1">
      <c r="A380" t="inlineStr">
        <is>
          <t>A 56421-2025</t>
        </is>
      </c>
      <c r="B380" s="1" t="n">
        <v>45975.34498842592</v>
      </c>
      <c r="C380" s="1" t="n">
        <v>46048</v>
      </c>
      <c r="D380" t="inlineStr">
        <is>
          <t>VÄSTERNORRLANDS LÄN</t>
        </is>
      </c>
      <c r="E380" t="inlineStr">
        <is>
          <t>SOLLEFTEÅ</t>
        </is>
      </c>
      <c r="F380" t="inlineStr">
        <is>
          <t>SCA</t>
        </is>
      </c>
      <c r="G380" t="n">
        <v>2.2</v>
      </c>
      <c r="H380" t="n">
        <v>0</v>
      </c>
      <c r="I380" t="n">
        <v>0</v>
      </c>
      <c r="J380" t="n">
        <v>1</v>
      </c>
      <c r="K380" t="n">
        <v>0</v>
      </c>
      <c r="L380" t="n">
        <v>0</v>
      </c>
      <c r="M380" t="n">
        <v>0</v>
      </c>
      <c r="N380" t="n">
        <v>0</v>
      </c>
      <c r="O380" t="n">
        <v>1</v>
      </c>
      <c r="P380" t="n">
        <v>0</v>
      </c>
      <c r="Q380" t="n">
        <v>1</v>
      </c>
      <c r="R380" s="2" t="inlineStr">
        <is>
          <t>Harticka</t>
        </is>
      </c>
      <c r="S380">
        <f>HYPERLINK("https://klasma.github.io/Logging_2283/artfynd/A 56421-2025 artfynd.xlsx", "A 56421-2025")</f>
        <v/>
      </c>
      <c r="T380">
        <f>HYPERLINK("https://klasma.github.io/Logging_2283/kartor/A 56421-2025 karta.png", "A 56421-2025")</f>
        <v/>
      </c>
      <c r="V380">
        <f>HYPERLINK("https://klasma.github.io/Logging_2283/klagomål/A 56421-2025 FSC-klagomål.docx", "A 56421-2025")</f>
        <v/>
      </c>
      <c r="W380">
        <f>HYPERLINK("https://klasma.github.io/Logging_2283/klagomålsmail/A 56421-2025 FSC-klagomål mail.docx", "A 56421-2025")</f>
        <v/>
      </c>
      <c r="X380">
        <f>HYPERLINK("https://klasma.github.io/Logging_2283/tillsyn/A 56421-2025 tillsynsbegäran.docx", "A 56421-2025")</f>
        <v/>
      </c>
      <c r="Y380">
        <f>HYPERLINK("https://klasma.github.io/Logging_2283/tillsynsmail/A 56421-2025 tillsynsbegäran mail.docx", "A 56421-2025")</f>
        <v/>
      </c>
    </row>
    <row r="381" ht="15" customHeight="1">
      <c r="A381" t="inlineStr">
        <is>
          <t>A 56444-2025</t>
        </is>
      </c>
      <c r="B381" s="1" t="n">
        <v>45975.3480324074</v>
      </c>
      <c r="C381" s="1" t="n">
        <v>46048</v>
      </c>
      <c r="D381" t="inlineStr">
        <is>
          <t>VÄSTERNORRLANDS LÄN</t>
        </is>
      </c>
      <c r="E381" t="inlineStr">
        <is>
          <t>SOLLEFTEÅ</t>
        </is>
      </c>
      <c r="F381" t="inlineStr">
        <is>
          <t>SCA</t>
        </is>
      </c>
      <c r="G381" t="n">
        <v>4.1</v>
      </c>
      <c r="H381" t="n">
        <v>1</v>
      </c>
      <c r="I381" t="n">
        <v>1</v>
      </c>
      <c r="J381" t="n">
        <v>0</v>
      </c>
      <c r="K381" t="n">
        <v>0</v>
      </c>
      <c r="L381" t="n">
        <v>0</v>
      </c>
      <c r="M381" t="n">
        <v>0</v>
      </c>
      <c r="N381" t="n">
        <v>0</v>
      </c>
      <c r="O381" t="n">
        <v>0</v>
      </c>
      <c r="P381" t="n">
        <v>0</v>
      </c>
      <c r="Q381" t="n">
        <v>1</v>
      </c>
      <c r="R381" s="2" t="inlineStr">
        <is>
          <t>Plattlummer</t>
        </is>
      </c>
      <c r="S381">
        <f>HYPERLINK("https://klasma.github.io/Logging_2283/artfynd/A 56444-2025 artfynd.xlsx", "A 56444-2025")</f>
        <v/>
      </c>
      <c r="T381">
        <f>HYPERLINK("https://klasma.github.io/Logging_2283/kartor/A 56444-2025 karta.png", "A 56444-2025")</f>
        <v/>
      </c>
      <c r="V381">
        <f>HYPERLINK("https://klasma.github.io/Logging_2283/klagomål/A 56444-2025 FSC-klagomål.docx", "A 56444-2025")</f>
        <v/>
      </c>
      <c r="W381">
        <f>HYPERLINK("https://klasma.github.io/Logging_2283/klagomålsmail/A 56444-2025 FSC-klagomål mail.docx", "A 56444-2025")</f>
        <v/>
      </c>
      <c r="X381">
        <f>HYPERLINK("https://klasma.github.io/Logging_2283/tillsyn/A 56444-2025 tillsynsbegäran.docx", "A 56444-2025")</f>
        <v/>
      </c>
      <c r="Y381">
        <f>HYPERLINK("https://klasma.github.io/Logging_2283/tillsynsmail/A 56444-2025 tillsynsbegäran mail.docx", "A 56444-2025")</f>
        <v/>
      </c>
    </row>
    <row r="382" ht="15" customHeight="1">
      <c r="A382" t="inlineStr">
        <is>
          <t>A 56048-2025</t>
        </is>
      </c>
      <c r="B382" s="1" t="n">
        <v>45973</v>
      </c>
      <c r="C382" s="1" t="n">
        <v>46048</v>
      </c>
      <c r="D382" t="inlineStr">
        <is>
          <t>VÄSTERNORRLANDS LÄN</t>
        </is>
      </c>
      <c r="E382" t="inlineStr">
        <is>
          <t>SOLLEFTEÅ</t>
        </is>
      </c>
      <c r="G382" t="n">
        <v>3.6</v>
      </c>
      <c r="H382" t="n">
        <v>1</v>
      </c>
      <c r="I382" t="n">
        <v>0</v>
      </c>
      <c r="J382" t="n">
        <v>0</v>
      </c>
      <c r="K382" t="n">
        <v>0</v>
      </c>
      <c r="L382" t="n">
        <v>0</v>
      </c>
      <c r="M382" t="n">
        <v>0</v>
      </c>
      <c r="N382" t="n">
        <v>0</v>
      </c>
      <c r="O382" t="n">
        <v>0</v>
      </c>
      <c r="P382" t="n">
        <v>0</v>
      </c>
      <c r="Q382" t="n">
        <v>1</v>
      </c>
      <c r="R382" s="2" t="inlineStr">
        <is>
          <t>Tjäder</t>
        </is>
      </c>
      <c r="S382">
        <f>HYPERLINK("https://klasma.github.io/Logging_2283/artfynd/A 56048-2025 artfynd.xlsx", "A 56048-2025")</f>
        <v/>
      </c>
      <c r="T382">
        <f>HYPERLINK("https://klasma.github.io/Logging_2283/kartor/A 56048-2025 karta.png", "A 56048-2025")</f>
        <v/>
      </c>
      <c r="V382">
        <f>HYPERLINK("https://klasma.github.io/Logging_2283/klagomål/A 56048-2025 FSC-klagomål.docx", "A 56048-2025")</f>
        <v/>
      </c>
      <c r="W382">
        <f>HYPERLINK("https://klasma.github.io/Logging_2283/klagomålsmail/A 56048-2025 FSC-klagomål mail.docx", "A 56048-2025")</f>
        <v/>
      </c>
      <c r="X382">
        <f>HYPERLINK("https://klasma.github.io/Logging_2283/tillsyn/A 56048-2025 tillsynsbegäran.docx", "A 56048-2025")</f>
        <v/>
      </c>
      <c r="Y382">
        <f>HYPERLINK("https://klasma.github.io/Logging_2283/tillsynsmail/A 56048-2025 tillsynsbegäran mail.docx", "A 56048-2025")</f>
        <v/>
      </c>
      <c r="Z382">
        <f>HYPERLINK("https://klasma.github.io/Logging_2283/fåglar/A 56048-2025 prioriterade fågelarter.docx", "A 56048-2025")</f>
        <v/>
      </c>
    </row>
    <row r="383" ht="15" customHeight="1">
      <c r="A383" t="inlineStr">
        <is>
          <t>A 63874-2025</t>
        </is>
      </c>
      <c r="B383" s="1" t="n">
        <v>46020.53168981482</v>
      </c>
      <c r="C383" s="1" t="n">
        <v>46048</v>
      </c>
      <c r="D383" t="inlineStr">
        <is>
          <t>VÄSTERNORRLANDS LÄN</t>
        </is>
      </c>
      <c r="E383" t="inlineStr">
        <is>
          <t>SOLLEFTEÅ</t>
        </is>
      </c>
      <c r="G383" t="n">
        <v>1.2</v>
      </c>
      <c r="H383" t="n">
        <v>0</v>
      </c>
      <c r="I383" t="n">
        <v>1</v>
      </c>
      <c r="J383" t="n">
        <v>0</v>
      </c>
      <c r="K383" t="n">
        <v>0</v>
      </c>
      <c r="L383" t="n">
        <v>0</v>
      </c>
      <c r="M383" t="n">
        <v>0</v>
      </c>
      <c r="N383" t="n">
        <v>0</v>
      </c>
      <c r="O383" t="n">
        <v>0</v>
      </c>
      <c r="P383" t="n">
        <v>0</v>
      </c>
      <c r="Q383" t="n">
        <v>1</v>
      </c>
      <c r="R383" s="2" t="inlineStr">
        <is>
          <t>Stuplav</t>
        </is>
      </c>
      <c r="S383">
        <f>HYPERLINK("https://klasma.github.io/Logging_2283/artfynd/A 63874-2025 artfynd.xlsx", "A 63874-2025")</f>
        <v/>
      </c>
      <c r="T383">
        <f>HYPERLINK("https://klasma.github.io/Logging_2283/kartor/A 63874-2025 karta.png", "A 63874-2025")</f>
        <v/>
      </c>
      <c r="V383">
        <f>HYPERLINK("https://klasma.github.io/Logging_2283/klagomål/A 63874-2025 FSC-klagomål.docx", "A 63874-2025")</f>
        <v/>
      </c>
      <c r="W383">
        <f>HYPERLINK("https://klasma.github.io/Logging_2283/klagomålsmail/A 63874-2025 FSC-klagomål mail.docx", "A 63874-2025")</f>
        <v/>
      </c>
      <c r="X383">
        <f>HYPERLINK("https://klasma.github.io/Logging_2283/tillsyn/A 63874-2025 tillsynsbegäran.docx", "A 63874-2025")</f>
        <v/>
      </c>
      <c r="Y383">
        <f>HYPERLINK("https://klasma.github.io/Logging_2283/tillsynsmail/A 63874-2025 tillsynsbegäran mail.docx", "A 63874-2025")</f>
        <v/>
      </c>
    </row>
    <row r="384" ht="15" customHeight="1">
      <c r="A384" t="inlineStr">
        <is>
          <t>A 57987-2025</t>
        </is>
      </c>
      <c r="B384" s="1" t="n">
        <v>45982.41984953704</v>
      </c>
      <c r="C384" s="1" t="n">
        <v>46048</v>
      </c>
      <c r="D384" t="inlineStr">
        <is>
          <t>VÄSTERNORRLANDS LÄN</t>
        </is>
      </c>
      <c r="E384" t="inlineStr">
        <is>
          <t>SOLLEFTEÅ</t>
        </is>
      </c>
      <c r="G384" t="n">
        <v>2.8</v>
      </c>
      <c r="H384" t="n">
        <v>0</v>
      </c>
      <c r="I384" t="n">
        <v>1</v>
      </c>
      <c r="J384" t="n">
        <v>0</v>
      </c>
      <c r="K384" t="n">
        <v>0</v>
      </c>
      <c r="L384" t="n">
        <v>0</v>
      </c>
      <c r="M384" t="n">
        <v>0</v>
      </c>
      <c r="N384" t="n">
        <v>0</v>
      </c>
      <c r="O384" t="n">
        <v>0</v>
      </c>
      <c r="P384" t="n">
        <v>0</v>
      </c>
      <c r="Q384" t="n">
        <v>1</v>
      </c>
      <c r="R384" s="2" t="inlineStr">
        <is>
          <t>Stuplav</t>
        </is>
      </c>
      <c r="S384">
        <f>HYPERLINK("https://klasma.github.io/Logging_2283/artfynd/A 57987-2025 artfynd.xlsx", "A 57987-2025")</f>
        <v/>
      </c>
      <c r="T384">
        <f>HYPERLINK("https://klasma.github.io/Logging_2283/kartor/A 57987-2025 karta.png", "A 57987-2025")</f>
        <v/>
      </c>
      <c r="V384">
        <f>HYPERLINK("https://klasma.github.io/Logging_2283/klagomål/A 57987-2025 FSC-klagomål.docx", "A 57987-2025")</f>
        <v/>
      </c>
      <c r="W384">
        <f>HYPERLINK("https://klasma.github.io/Logging_2283/klagomålsmail/A 57987-2025 FSC-klagomål mail.docx", "A 57987-2025")</f>
        <v/>
      </c>
      <c r="X384">
        <f>HYPERLINK("https://klasma.github.io/Logging_2283/tillsyn/A 57987-2025 tillsynsbegäran.docx", "A 57987-2025")</f>
        <v/>
      </c>
      <c r="Y384">
        <f>HYPERLINK("https://klasma.github.io/Logging_2283/tillsynsmail/A 57987-2025 tillsynsbegäran mail.docx", "A 57987-2025")</f>
        <v/>
      </c>
    </row>
    <row r="385" ht="15" customHeight="1">
      <c r="A385" t="inlineStr">
        <is>
          <t>A 1170-2026</t>
        </is>
      </c>
      <c r="B385" s="1" t="n">
        <v>46031.34459490741</v>
      </c>
      <c r="C385" s="1" t="n">
        <v>46048</v>
      </c>
      <c r="D385" t="inlineStr">
        <is>
          <t>VÄSTERNORRLANDS LÄN</t>
        </is>
      </c>
      <c r="E385" t="inlineStr">
        <is>
          <t>SOLLEFTEÅ</t>
        </is>
      </c>
      <c r="F385" t="inlineStr">
        <is>
          <t>SCA</t>
        </is>
      </c>
      <c r="G385" t="n">
        <v>5.2</v>
      </c>
      <c r="H385" t="n">
        <v>0</v>
      </c>
      <c r="I385" t="n">
        <v>0</v>
      </c>
      <c r="J385" t="n">
        <v>1</v>
      </c>
      <c r="K385" t="n">
        <v>0</v>
      </c>
      <c r="L385" t="n">
        <v>0</v>
      </c>
      <c r="M385" t="n">
        <v>0</v>
      </c>
      <c r="N385" t="n">
        <v>0</v>
      </c>
      <c r="O385" t="n">
        <v>1</v>
      </c>
      <c r="P385" t="n">
        <v>0</v>
      </c>
      <c r="Q385" t="n">
        <v>1</v>
      </c>
      <c r="R385" s="2" t="inlineStr">
        <is>
          <t>Lunglav</t>
        </is>
      </c>
      <c r="S385">
        <f>HYPERLINK("https://klasma.github.io/Logging_2283/artfynd/A 1170-2026 artfynd.xlsx", "A 1170-2026")</f>
        <v/>
      </c>
      <c r="T385">
        <f>HYPERLINK("https://klasma.github.io/Logging_2283/kartor/A 1170-2026 karta.png", "A 1170-2026")</f>
        <v/>
      </c>
      <c r="V385">
        <f>HYPERLINK("https://klasma.github.io/Logging_2283/klagomål/A 1170-2026 FSC-klagomål.docx", "A 1170-2026")</f>
        <v/>
      </c>
      <c r="W385">
        <f>HYPERLINK("https://klasma.github.io/Logging_2283/klagomålsmail/A 1170-2026 FSC-klagomål mail.docx", "A 1170-2026")</f>
        <v/>
      </c>
      <c r="X385">
        <f>HYPERLINK("https://klasma.github.io/Logging_2283/tillsyn/A 1170-2026 tillsynsbegäran.docx", "A 1170-2026")</f>
        <v/>
      </c>
      <c r="Y385">
        <f>HYPERLINK("https://klasma.github.io/Logging_2283/tillsynsmail/A 1170-2026 tillsynsbegäran mail.docx", "A 1170-2026")</f>
        <v/>
      </c>
    </row>
    <row r="386" ht="15" customHeight="1">
      <c r="A386" t="inlineStr">
        <is>
          <t>A 49189-2025</t>
        </is>
      </c>
      <c r="B386" s="1" t="n">
        <v>45938</v>
      </c>
      <c r="C386" s="1" t="n">
        <v>46048</v>
      </c>
      <c r="D386" t="inlineStr">
        <is>
          <t>VÄSTERNORRLANDS LÄN</t>
        </is>
      </c>
      <c r="E386" t="inlineStr">
        <is>
          <t>SOLLEFTEÅ</t>
        </is>
      </c>
      <c r="F386" t="inlineStr">
        <is>
          <t>SCA</t>
        </is>
      </c>
      <c r="G386" t="n">
        <v>7.5</v>
      </c>
      <c r="H386" t="n">
        <v>0</v>
      </c>
      <c r="I386" t="n">
        <v>0</v>
      </c>
      <c r="J386" t="n">
        <v>1</v>
      </c>
      <c r="K386" t="n">
        <v>0</v>
      </c>
      <c r="L386" t="n">
        <v>0</v>
      </c>
      <c r="M386" t="n">
        <v>0</v>
      </c>
      <c r="N386" t="n">
        <v>0</v>
      </c>
      <c r="O386" t="n">
        <v>1</v>
      </c>
      <c r="P386" t="n">
        <v>0</v>
      </c>
      <c r="Q386" t="n">
        <v>1</v>
      </c>
      <c r="R386" s="2" t="inlineStr">
        <is>
          <t>Rosenticka</t>
        </is>
      </c>
      <c r="S386">
        <f>HYPERLINK("https://klasma.github.io/Logging_2283/artfynd/A 49189-2025 artfynd.xlsx", "A 49189-2025")</f>
        <v/>
      </c>
      <c r="T386">
        <f>HYPERLINK("https://klasma.github.io/Logging_2283/kartor/A 49189-2025 karta.png", "A 49189-2025")</f>
        <v/>
      </c>
      <c r="U386">
        <f>HYPERLINK("https://klasma.github.io/Logging_2283/knärot/A 49189-2025 karta knärot.png", "A 49189-2025")</f>
        <v/>
      </c>
      <c r="V386">
        <f>HYPERLINK("https://klasma.github.io/Logging_2283/klagomål/A 49189-2025 FSC-klagomål.docx", "A 49189-2025")</f>
        <v/>
      </c>
      <c r="W386">
        <f>HYPERLINK("https://klasma.github.io/Logging_2283/klagomålsmail/A 49189-2025 FSC-klagomål mail.docx", "A 49189-2025")</f>
        <v/>
      </c>
      <c r="X386">
        <f>HYPERLINK("https://klasma.github.io/Logging_2283/tillsyn/A 49189-2025 tillsynsbegäran.docx", "A 49189-2025")</f>
        <v/>
      </c>
      <c r="Y386">
        <f>HYPERLINK("https://klasma.github.io/Logging_2283/tillsynsmail/A 49189-2025 tillsynsbegäran mail.docx", "A 49189-2025")</f>
        <v/>
      </c>
    </row>
    <row r="387" ht="15" customHeight="1">
      <c r="A387" t="inlineStr">
        <is>
          <t>A 3804-2026</t>
        </is>
      </c>
      <c r="B387" s="1" t="n">
        <v>46043.58314814815</v>
      </c>
      <c r="C387" s="1" t="n">
        <v>46048</v>
      </c>
      <c r="D387" t="inlineStr">
        <is>
          <t>VÄSTERNORRLANDS LÄN</t>
        </is>
      </c>
      <c r="E387" t="inlineStr">
        <is>
          <t>SOLLEFTEÅ</t>
        </is>
      </c>
      <c r="F387" t="inlineStr">
        <is>
          <t>SCA</t>
        </is>
      </c>
      <c r="G387" t="n">
        <v>11.8</v>
      </c>
      <c r="H387" t="n">
        <v>0</v>
      </c>
      <c r="I387" t="n">
        <v>0</v>
      </c>
      <c r="J387" t="n">
        <v>1</v>
      </c>
      <c r="K387" t="n">
        <v>0</v>
      </c>
      <c r="L387" t="n">
        <v>0</v>
      </c>
      <c r="M387" t="n">
        <v>0</v>
      </c>
      <c r="N387" t="n">
        <v>0</v>
      </c>
      <c r="O387" t="n">
        <v>1</v>
      </c>
      <c r="P387" t="n">
        <v>0</v>
      </c>
      <c r="Q387" t="n">
        <v>1</v>
      </c>
      <c r="R387" s="2" t="inlineStr">
        <is>
          <t>Dofttaggsvamp</t>
        </is>
      </c>
      <c r="S387">
        <f>HYPERLINK("https://klasma.github.io/Logging_2283/artfynd/A 3804-2026 artfynd.xlsx", "A 3804-2026")</f>
        <v/>
      </c>
      <c r="T387">
        <f>HYPERLINK("https://klasma.github.io/Logging_2283/kartor/A 3804-2026 karta.png", "A 3804-2026")</f>
        <v/>
      </c>
      <c r="V387">
        <f>HYPERLINK("https://klasma.github.io/Logging_2283/klagomål/A 3804-2026 FSC-klagomål.docx", "A 3804-2026")</f>
        <v/>
      </c>
      <c r="W387">
        <f>HYPERLINK("https://klasma.github.io/Logging_2283/klagomålsmail/A 3804-2026 FSC-klagomål mail.docx", "A 3804-2026")</f>
        <v/>
      </c>
      <c r="X387">
        <f>HYPERLINK("https://klasma.github.io/Logging_2283/tillsyn/A 3804-2026 tillsynsbegäran.docx", "A 3804-2026")</f>
        <v/>
      </c>
      <c r="Y387">
        <f>HYPERLINK("https://klasma.github.io/Logging_2283/tillsynsmail/A 3804-2026 tillsynsbegäran mail.docx", "A 3804-2026")</f>
        <v/>
      </c>
    </row>
    <row r="388" ht="15" customHeight="1">
      <c r="A388" t="inlineStr">
        <is>
          <t>A 7658-2021</t>
        </is>
      </c>
      <c r="B388" s="1" t="n">
        <v>44242.42165509259</v>
      </c>
      <c r="C388" s="1" t="n">
        <v>46048</v>
      </c>
      <c r="D388" t="inlineStr">
        <is>
          <t>VÄSTERNORRLANDS LÄN</t>
        </is>
      </c>
      <c r="E388" t="inlineStr">
        <is>
          <t>SOLLEFTEÅ</t>
        </is>
      </c>
      <c r="G388" t="n">
        <v>4.9</v>
      </c>
      <c r="H388" t="n">
        <v>0</v>
      </c>
      <c r="I388" t="n">
        <v>0</v>
      </c>
      <c r="J388" t="n">
        <v>0</v>
      </c>
      <c r="K388" t="n">
        <v>0</v>
      </c>
      <c r="L388" t="n">
        <v>0</v>
      </c>
      <c r="M388" t="n">
        <v>0</v>
      </c>
      <c r="N388" t="n">
        <v>0</v>
      </c>
      <c r="O388" t="n">
        <v>0</v>
      </c>
      <c r="P388" t="n">
        <v>0</v>
      </c>
      <c r="Q388" t="n">
        <v>0</v>
      </c>
      <c r="R388" s="2" t="inlineStr"/>
    </row>
    <row r="389" ht="15" customHeight="1">
      <c r="A389" t="inlineStr">
        <is>
          <t>A 49181-2022</t>
        </is>
      </c>
      <c r="B389" s="1" t="n">
        <v>44860.95321759259</v>
      </c>
      <c r="C389" s="1" t="n">
        <v>46048</v>
      </c>
      <c r="D389" t="inlineStr">
        <is>
          <t>VÄSTERNORRLANDS LÄN</t>
        </is>
      </c>
      <c r="E389" t="inlineStr">
        <is>
          <t>SOLLEFTEÅ</t>
        </is>
      </c>
      <c r="F389" t="inlineStr">
        <is>
          <t>SCA</t>
        </is>
      </c>
      <c r="G389" t="n">
        <v>6</v>
      </c>
      <c r="H389" t="n">
        <v>0</v>
      </c>
      <c r="I389" t="n">
        <v>0</v>
      </c>
      <c r="J389" t="n">
        <v>0</v>
      </c>
      <c r="K389" t="n">
        <v>0</v>
      </c>
      <c r="L389" t="n">
        <v>0</v>
      </c>
      <c r="M389" t="n">
        <v>0</v>
      </c>
      <c r="N389" t="n">
        <v>0</v>
      </c>
      <c r="O389" t="n">
        <v>0</v>
      </c>
      <c r="P389" t="n">
        <v>0</v>
      </c>
      <c r="Q389" t="n">
        <v>0</v>
      </c>
      <c r="R389" s="2" t="inlineStr"/>
    </row>
    <row r="390" ht="15" customHeight="1">
      <c r="A390" t="inlineStr">
        <is>
          <t>A 18761-2021</t>
        </is>
      </c>
      <c r="B390" s="1" t="n">
        <v>44307</v>
      </c>
      <c r="C390" s="1" t="n">
        <v>46048</v>
      </c>
      <c r="D390" t="inlineStr">
        <is>
          <t>VÄSTERNORRLANDS LÄN</t>
        </is>
      </c>
      <c r="E390" t="inlineStr">
        <is>
          <t>SOLLEFTEÅ</t>
        </is>
      </c>
      <c r="G390" t="n">
        <v>0.9</v>
      </c>
      <c r="H390" t="n">
        <v>0</v>
      </c>
      <c r="I390" t="n">
        <v>0</v>
      </c>
      <c r="J390" t="n">
        <v>0</v>
      </c>
      <c r="K390" t="n">
        <v>0</v>
      </c>
      <c r="L390" t="n">
        <v>0</v>
      </c>
      <c r="M390" t="n">
        <v>0</v>
      </c>
      <c r="N390" t="n">
        <v>0</v>
      </c>
      <c r="O390" t="n">
        <v>0</v>
      </c>
      <c r="P390" t="n">
        <v>0</v>
      </c>
      <c r="Q390" t="n">
        <v>0</v>
      </c>
      <c r="R390" s="2" t="inlineStr"/>
    </row>
    <row r="391" ht="15" customHeight="1">
      <c r="A391" t="inlineStr">
        <is>
          <t>A 51104-2021</t>
        </is>
      </c>
      <c r="B391" s="1" t="n">
        <v>44459</v>
      </c>
      <c r="C391" s="1" t="n">
        <v>46048</v>
      </c>
      <c r="D391" t="inlineStr">
        <is>
          <t>VÄSTERNORRLANDS LÄN</t>
        </is>
      </c>
      <c r="E391" t="inlineStr">
        <is>
          <t>SOLLEFTEÅ</t>
        </is>
      </c>
      <c r="G391" t="n">
        <v>1.6</v>
      </c>
      <c r="H391" t="n">
        <v>0</v>
      </c>
      <c r="I391" t="n">
        <v>0</v>
      </c>
      <c r="J391" t="n">
        <v>0</v>
      </c>
      <c r="K391" t="n">
        <v>0</v>
      </c>
      <c r="L391" t="n">
        <v>0</v>
      </c>
      <c r="M391" t="n">
        <v>0</v>
      </c>
      <c r="N391" t="n">
        <v>0</v>
      </c>
      <c r="O391" t="n">
        <v>0</v>
      </c>
      <c r="P391" t="n">
        <v>0</v>
      </c>
      <c r="Q391" t="n">
        <v>0</v>
      </c>
      <c r="R391" s="2" t="inlineStr"/>
    </row>
    <row r="392" ht="15" customHeight="1">
      <c r="A392" t="inlineStr">
        <is>
          <t>A 21350-2021</t>
        </is>
      </c>
      <c r="B392" s="1" t="n">
        <v>44320.95533564815</v>
      </c>
      <c r="C392" s="1" t="n">
        <v>46048</v>
      </c>
      <c r="D392" t="inlineStr">
        <is>
          <t>VÄSTERNORRLANDS LÄN</t>
        </is>
      </c>
      <c r="E392" t="inlineStr">
        <is>
          <t>SOLLEFTEÅ</t>
        </is>
      </c>
      <c r="F392" t="inlineStr">
        <is>
          <t>SCA</t>
        </is>
      </c>
      <c r="G392" t="n">
        <v>1</v>
      </c>
      <c r="H392" t="n">
        <v>0</v>
      </c>
      <c r="I392" t="n">
        <v>0</v>
      </c>
      <c r="J392" t="n">
        <v>0</v>
      </c>
      <c r="K392" t="n">
        <v>0</v>
      </c>
      <c r="L392" t="n">
        <v>0</v>
      </c>
      <c r="M392" t="n">
        <v>0</v>
      </c>
      <c r="N392" t="n">
        <v>0</v>
      </c>
      <c r="O392" t="n">
        <v>0</v>
      </c>
      <c r="P392" t="n">
        <v>0</v>
      </c>
      <c r="Q392" t="n">
        <v>0</v>
      </c>
      <c r="R392" s="2" t="inlineStr"/>
    </row>
    <row r="393" ht="15" customHeight="1">
      <c r="A393" t="inlineStr">
        <is>
          <t>A 21532-2021</t>
        </is>
      </c>
      <c r="B393" s="1" t="n">
        <v>44321</v>
      </c>
      <c r="C393" s="1" t="n">
        <v>46048</v>
      </c>
      <c r="D393" t="inlineStr">
        <is>
          <t>VÄSTERNORRLANDS LÄN</t>
        </is>
      </c>
      <c r="E393" t="inlineStr">
        <is>
          <t>SOLLEFTEÅ</t>
        </is>
      </c>
      <c r="G393" t="n">
        <v>1.1</v>
      </c>
      <c r="H393" t="n">
        <v>0</v>
      </c>
      <c r="I393" t="n">
        <v>0</v>
      </c>
      <c r="J393" t="n">
        <v>0</v>
      </c>
      <c r="K393" t="n">
        <v>0</v>
      </c>
      <c r="L393" t="n">
        <v>0</v>
      </c>
      <c r="M393" t="n">
        <v>0</v>
      </c>
      <c r="N393" t="n">
        <v>0</v>
      </c>
      <c r="O393" t="n">
        <v>0</v>
      </c>
      <c r="P393" t="n">
        <v>0</v>
      </c>
      <c r="Q393" t="n">
        <v>0</v>
      </c>
      <c r="R393" s="2" t="inlineStr"/>
    </row>
    <row r="394" ht="15" customHeight="1">
      <c r="A394" t="inlineStr">
        <is>
          <t>A 12564-2022</t>
        </is>
      </c>
      <c r="B394" s="1" t="n">
        <v>44638.94256944444</v>
      </c>
      <c r="C394" s="1" t="n">
        <v>46048</v>
      </c>
      <c r="D394" t="inlineStr">
        <is>
          <t>VÄSTERNORRLANDS LÄN</t>
        </is>
      </c>
      <c r="E394" t="inlineStr">
        <is>
          <t>SOLLEFTEÅ</t>
        </is>
      </c>
      <c r="F394" t="inlineStr">
        <is>
          <t>SCA</t>
        </is>
      </c>
      <c r="G394" t="n">
        <v>2.7</v>
      </c>
      <c r="H394" t="n">
        <v>0</v>
      </c>
      <c r="I394" t="n">
        <v>0</v>
      </c>
      <c r="J394" t="n">
        <v>0</v>
      </c>
      <c r="K394" t="n">
        <v>0</v>
      </c>
      <c r="L394" t="n">
        <v>0</v>
      </c>
      <c r="M394" t="n">
        <v>0</v>
      </c>
      <c r="N394" t="n">
        <v>0</v>
      </c>
      <c r="O394" t="n">
        <v>0</v>
      </c>
      <c r="P394" t="n">
        <v>0</v>
      </c>
      <c r="Q394" t="n">
        <v>0</v>
      </c>
      <c r="R394" s="2" t="inlineStr"/>
    </row>
    <row r="395" ht="15" customHeight="1">
      <c r="A395" t="inlineStr">
        <is>
          <t>A 37835-2022</t>
        </is>
      </c>
      <c r="B395" s="1" t="n">
        <v>44810</v>
      </c>
      <c r="C395" s="1" t="n">
        <v>46048</v>
      </c>
      <c r="D395" t="inlineStr">
        <is>
          <t>VÄSTERNORRLANDS LÄN</t>
        </is>
      </c>
      <c r="E395" t="inlineStr">
        <is>
          <t>SOLLEFTEÅ</t>
        </is>
      </c>
      <c r="F395" t="inlineStr">
        <is>
          <t>SCA</t>
        </is>
      </c>
      <c r="G395" t="n">
        <v>8.5</v>
      </c>
      <c r="H395" t="n">
        <v>0</v>
      </c>
      <c r="I395" t="n">
        <v>0</v>
      </c>
      <c r="J395" t="n">
        <v>0</v>
      </c>
      <c r="K395" t="n">
        <v>0</v>
      </c>
      <c r="L395" t="n">
        <v>0</v>
      </c>
      <c r="M395" t="n">
        <v>0</v>
      </c>
      <c r="N395" t="n">
        <v>0</v>
      </c>
      <c r="O395" t="n">
        <v>0</v>
      </c>
      <c r="P395" t="n">
        <v>0</v>
      </c>
      <c r="Q395" t="n">
        <v>0</v>
      </c>
      <c r="R395" s="2" t="inlineStr"/>
    </row>
    <row r="396" ht="15" customHeight="1">
      <c r="A396" t="inlineStr">
        <is>
          <t>A 41455-2022</t>
        </is>
      </c>
      <c r="B396" s="1" t="n">
        <v>44826</v>
      </c>
      <c r="C396" s="1" t="n">
        <v>46048</v>
      </c>
      <c r="D396" t="inlineStr">
        <is>
          <t>VÄSTERNORRLANDS LÄN</t>
        </is>
      </c>
      <c r="E396" t="inlineStr">
        <is>
          <t>SOLLEFTEÅ</t>
        </is>
      </c>
      <c r="G396" t="n">
        <v>0.8</v>
      </c>
      <c r="H396" t="n">
        <v>0</v>
      </c>
      <c r="I396" t="n">
        <v>0</v>
      </c>
      <c r="J396" t="n">
        <v>0</v>
      </c>
      <c r="K396" t="n">
        <v>0</v>
      </c>
      <c r="L396" t="n">
        <v>0</v>
      </c>
      <c r="M396" t="n">
        <v>0</v>
      </c>
      <c r="N396" t="n">
        <v>0</v>
      </c>
      <c r="O396" t="n">
        <v>0</v>
      </c>
      <c r="P396" t="n">
        <v>0</v>
      </c>
      <c r="Q396" t="n">
        <v>0</v>
      </c>
      <c r="R396" s="2" t="inlineStr"/>
    </row>
    <row r="397" ht="15" customHeight="1">
      <c r="A397" t="inlineStr">
        <is>
          <t>A 30937-2022</t>
        </is>
      </c>
      <c r="B397" s="1" t="n">
        <v>44767.94092592593</v>
      </c>
      <c r="C397" s="1" t="n">
        <v>46048</v>
      </c>
      <c r="D397" t="inlineStr">
        <is>
          <t>VÄSTERNORRLANDS LÄN</t>
        </is>
      </c>
      <c r="E397" t="inlineStr">
        <is>
          <t>SOLLEFTEÅ</t>
        </is>
      </c>
      <c r="F397" t="inlineStr">
        <is>
          <t>SCA</t>
        </is>
      </c>
      <c r="G397" t="n">
        <v>10.2</v>
      </c>
      <c r="H397" t="n">
        <v>0</v>
      </c>
      <c r="I397" t="n">
        <v>0</v>
      </c>
      <c r="J397" t="n">
        <v>0</v>
      </c>
      <c r="K397" t="n">
        <v>0</v>
      </c>
      <c r="L397" t="n">
        <v>0</v>
      </c>
      <c r="M397" t="n">
        <v>0</v>
      </c>
      <c r="N397" t="n">
        <v>0</v>
      </c>
      <c r="O397" t="n">
        <v>0</v>
      </c>
      <c r="P397" t="n">
        <v>0</v>
      </c>
      <c r="Q397" t="n">
        <v>0</v>
      </c>
      <c r="R397" s="2" t="inlineStr"/>
    </row>
    <row r="398" ht="15" customHeight="1">
      <c r="A398" t="inlineStr">
        <is>
          <t>A 45187-2021</t>
        </is>
      </c>
      <c r="B398" s="1" t="n">
        <v>44439</v>
      </c>
      <c r="C398" s="1" t="n">
        <v>46048</v>
      </c>
      <c r="D398" t="inlineStr">
        <is>
          <t>VÄSTERNORRLANDS LÄN</t>
        </is>
      </c>
      <c r="E398" t="inlineStr">
        <is>
          <t>SOLLEFTEÅ</t>
        </is>
      </c>
      <c r="G398" t="n">
        <v>3.2</v>
      </c>
      <c r="H398" t="n">
        <v>0</v>
      </c>
      <c r="I398" t="n">
        <v>0</v>
      </c>
      <c r="J398" t="n">
        <v>0</v>
      </c>
      <c r="K398" t="n">
        <v>0</v>
      </c>
      <c r="L398" t="n">
        <v>0</v>
      </c>
      <c r="M398" t="n">
        <v>0</v>
      </c>
      <c r="N398" t="n">
        <v>0</v>
      </c>
      <c r="O398" t="n">
        <v>0</v>
      </c>
      <c r="P398" t="n">
        <v>0</v>
      </c>
      <c r="Q398" t="n">
        <v>0</v>
      </c>
      <c r="R398" s="2" t="inlineStr"/>
    </row>
    <row r="399" ht="15" customHeight="1">
      <c r="A399" t="inlineStr">
        <is>
          <t>A 15461-2021</t>
        </is>
      </c>
      <c r="B399" s="1" t="n">
        <v>44285</v>
      </c>
      <c r="C399" s="1" t="n">
        <v>46048</v>
      </c>
      <c r="D399" t="inlineStr">
        <is>
          <t>VÄSTERNORRLANDS LÄN</t>
        </is>
      </c>
      <c r="E399" t="inlineStr">
        <is>
          <t>SOLLEFTEÅ</t>
        </is>
      </c>
      <c r="G399" t="n">
        <v>0.5</v>
      </c>
      <c r="H399" t="n">
        <v>0</v>
      </c>
      <c r="I399" t="n">
        <v>0</v>
      </c>
      <c r="J399" t="n">
        <v>0</v>
      </c>
      <c r="K399" t="n">
        <v>0</v>
      </c>
      <c r="L399" t="n">
        <v>0</v>
      </c>
      <c r="M399" t="n">
        <v>0</v>
      </c>
      <c r="N399" t="n">
        <v>0</v>
      </c>
      <c r="O399" t="n">
        <v>0</v>
      </c>
      <c r="P399" t="n">
        <v>0</v>
      </c>
      <c r="Q399" t="n">
        <v>0</v>
      </c>
      <c r="R399" s="2" t="inlineStr"/>
    </row>
    <row r="400" ht="15" customHeight="1">
      <c r="A400" t="inlineStr">
        <is>
          <t>A 28288-2021</t>
        </is>
      </c>
      <c r="B400" s="1" t="n">
        <v>44355</v>
      </c>
      <c r="C400" s="1" t="n">
        <v>46048</v>
      </c>
      <c r="D400" t="inlineStr">
        <is>
          <t>VÄSTERNORRLANDS LÄN</t>
        </is>
      </c>
      <c r="E400" t="inlineStr">
        <is>
          <t>SOLLEFTEÅ</t>
        </is>
      </c>
      <c r="F400" t="inlineStr">
        <is>
          <t>SCA</t>
        </is>
      </c>
      <c r="G400" t="n">
        <v>2.8</v>
      </c>
      <c r="H400" t="n">
        <v>0</v>
      </c>
      <c r="I400" t="n">
        <v>0</v>
      </c>
      <c r="J400" t="n">
        <v>0</v>
      </c>
      <c r="K400" t="n">
        <v>0</v>
      </c>
      <c r="L400" t="n">
        <v>0</v>
      </c>
      <c r="M400" t="n">
        <v>0</v>
      </c>
      <c r="N400" t="n">
        <v>0</v>
      </c>
      <c r="O400" t="n">
        <v>0</v>
      </c>
      <c r="P400" t="n">
        <v>0</v>
      </c>
      <c r="Q400" t="n">
        <v>0</v>
      </c>
      <c r="R400" s="2" t="inlineStr"/>
    </row>
    <row r="401" ht="15" customHeight="1">
      <c r="A401" t="inlineStr">
        <is>
          <t>A 4127-2021</t>
        </is>
      </c>
      <c r="B401" s="1" t="n">
        <v>44222</v>
      </c>
      <c r="C401" s="1" t="n">
        <v>46048</v>
      </c>
      <c r="D401" t="inlineStr">
        <is>
          <t>VÄSTERNORRLANDS LÄN</t>
        </is>
      </c>
      <c r="E401" t="inlineStr">
        <is>
          <t>SOLLEFTEÅ</t>
        </is>
      </c>
      <c r="G401" t="n">
        <v>1.3</v>
      </c>
      <c r="H401" t="n">
        <v>0</v>
      </c>
      <c r="I401" t="n">
        <v>0</v>
      </c>
      <c r="J401" t="n">
        <v>0</v>
      </c>
      <c r="K401" t="n">
        <v>0</v>
      </c>
      <c r="L401" t="n">
        <v>0</v>
      </c>
      <c r="M401" t="n">
        <v>0</v>
      </c>
      <c r="N401" t="n">
        <v>0</v>
      </c>
      <c r="O401" t="n">
        <v>0</v>
      </c>
      <c r="P401" t="n">
        <v>0</v>
      </c>
      <c r="Q401" t="n">
        <v>0</v>
      </c>
      <c r="R401" s="2" t="inlineStr"/>
    </row>
    <row r="402" ht="15" customHeight="1">
      <c r="A402" t="inlineStr">
        <is>
          <t>A 18867-2021</t>
        </is>
      </c>
      <c r="B402" s="1" t="n">
        <v>44307</v>
      </c>
      <c r="C402" s="1" t="n">
        <v>46048</v>
      </c>
      <c r="D402" t="inlineStr">
        <is>
          <t>VÄSTERNORRLANDS LÄN</t>
        </is>
      </c>
      <c r="E402" t="inlineStr">
        <is>
          <t>SOLLEFTEÅ</t>
        </is>
      </c>
      <c r="F402" t="inlineStr">
        <is>
          <t>SCA</t>
        </is>
      </c>
      <c r="G402" t="n">
        <v>2</v>
      </c>
      <c r="H402" t="n">
        <v>0</v>
      </c>
      <c r="I402" t="n">
        <v>0</v>
      </c>
      <c r="J402" t="n">
        <v>0</v>
      </c>
      <c r="K402" t="n">
        <v>0</v>
      </c>
      <c r="L402" t="n">
        <v>0</v>
      </c>
      <c r="M402" t="n">
        <v>0</v>
      </c>
      <c r="N402" t="n">
        <v>0</v>
      </c>
      <c r="O402" t="n">
        <v>0</v>
      </c>
      <c r="P402" t="n">
        <v>0</v>
      </c>
      <c r="Q402" t="n">
        <v>0</v>
      </c>
      <c r="R402" s="2" t="inlineStr"/>
    </row>
    <row r="403" ht="15" customHeight="1">
      <c r="A403" t="inlineStr">
        <is>
          <t>A 34542-2022</t>
        </is>
      </c>
      <c r="B403" s="1" t="n">
        <v>44793</v>
      </c>
      <c r="C403" s="1" t="n">
        <v>46048</v>
      </c>
      <c r="D403" t="inlineStr">
        <is>
          <t>VÄSTERNORRLANDS LÄN</t>
        </is>
      </c>
      <c r="E403" t="inlineStr">
        <is>
          <t>SOLLEFTEÅ</t>
        </is>
      </c>
      <c r="G403" t="n">
        <v>0.5</v>
      </c>
      <c r="H403" t="n">
        <v>0</v>
      </c>
      <c r="I403" t="n">
        <v>0</v>
      </c>
      <c r="J403" t="n">
        <v>0</v>
      </c>
      <c r="K403" t="n">
        <v>0</v>
      </c>
      <c r="L403" t="n">
        <v>0</v>
      </c>
      <c r="M403" t="n">
        <v>0</v>
      </c>
      <c r="N403" t="n">
        <v>0</v>
      </c>
      <c r="O403" t="n">
        <v>0</v>
      </c>
      <c r="P403" t="n">
        <v>0</v>
      </c>
      <c r="Q403" t="n">
        <v>0</v>
      </c>
      <c r="R403" s="2" t="inlineStr"/>
    </row>
    <row r="404" ht="15" customHeight="1">
      <c r="A404" t="inlineStr">
        <is>
          <t>A 58486-2021</t>
        </is>
      </c>
      <c r="B404" s="1" t="n">
        <v>44488</v>
      </c>
      <c r="C404" s="1" t="n">
        <v>46048</v>
      </c>
      <c r="D404" t="inlineStr">
        <is>
          <t>VÄSTERNORRLANDS LÄN</t>
        </is>
      </c>
      <c r="E404" t="inlineStr">
        <is>
          <t>SOLLEFTEÅ</t>
        </is>
      </c>
      <c r="G404" t="n">
        <v>2.4</v>
      </c>
      <c r="H404" t="n">
        <v>0</v>
      </c>
      <c r="I404" t="n">
        <v>0</v>
      </c>
      <c r="J404" t="n">
        <v>0</v>
      </c>
      <c r="K404" t="n">
        <v>0</v>
      </c>
      <c r="L404" t="n">
        <v>0</v>
      </c>
      <c r="M404" t="n">
        <v>0</v>
      </c>
      <c r="N404" t="n">
        <v>0</v>
      </c>
      <c r="O404" t="n">
        <v>0</v>
      </c>
      <c r="P404" t="n">
        <v>0</v>
      </c>
      <c r="Q404" t="n">
        <v>0</v>
      </c>
      <c r="R404" s="2" t="inlineStr"/>
    </row>
    <row r="405" ht="15" customHeight="1">
      <c r="A405" t="inlineStr">
        <is>
          <t>A 29623-2021</t>
        </is>
      </c>
      <c r="B405" s="1" t="n">
        <v>44361</v>
      </c>
      <c r="C405" s="1" t="n">
        <v>46048</v>
      </c>
      <c r="D405" t="inlineStr">
        <is>
          <t>VÄSTERNORRLANDS LÄN</t>
        </is>
      </c>
      <c r="E405" t="inlineStr">
        <is>
          <t>SOLLEFTEÅ</t>
        </is>
      </c>
      <c r="F405" t="inlineStr">
        <is>
          <t>SCA</t>
        </is>
      </c>
      <c r="G405" t="n">
        <v>1</v>
      </c>
      <c r="H405" t="n">
        <v>0</v>
      </c>
      <c r="I405" t="n">
        <v>0</v>
      </c>
      <c r="J405" t="n">
        <v>0</v>
      </c>
      <c r="K405" t="n">
        <v>0</v>
      </c>
      <c r="L405" t="n">
        <v>0</v>
      </c>
      <c r="M405" t="n">
        <v>0</v>
      </c>
      <c r="N405" t="n">
        <v>0</v>
      </c>
      <c r="O405" t="n">
        <v>0</v>
      </c>
      <c r="P405" t="n">
        <v>0</v>
      </c>
      <c r="Q405" t="n">
        <v>0</v>
      </c>
      <c r="R405" s="2" t="inlineStr"/>
    </row>
    <row r="406" ht="15" customHeight="1">
      <c r="A406" t="inlineStr">
        <is>
          <t>A 71350-2021</t>
        </is>
      </c>
      <c r="B406" s="1" t="n">
        <v>44539</v>
      </c>
      <c r="C406" s="1" t="n">
        <v>46048</v>
      </c>
      <c r="D406" t="inlineStr">
        <is>
          <t>VÄSTERNORRLANDS LÄN</t>
        </is>
      </c>
      <c r="E406" t="inlineStr">
        <is>
          <t>SOLLEFTEÅ</t>
        </is>
      </c>
      <c r="G406" t="n">
        <v>0</v>
      </c>
      <c r="H406" t="n">
        <v>0</v>
      </c>
      <c r="I406" t="n">
        <v>0</v>
      </c>
      <c r="J406" t="n">
        <v>0</v>
      </c>
      <c r="K406" t="n">
        <v>0</v>
      </c>
      <c r="L406" t="n">
        <v>0</v>
      </c>
      <c r="M406" t="n">
        <v>0</v>
      </c>
      <c r="N406" t="n">
        <v>0</v>
      </c>
      <c r="O406" t="n">
        <v>0</v>
      </c>
      <c r="P406" t="n">
        <v>0</v>
      </c>
      <c r="Q406" t="n">
        <v>0</v>
      </c>
      <c r="R406" s="2" t="inlineStr"/>
    </row>
    <row r="407" ht="15" customHeight="1">
      <c r="A407" t="inlineStr">
        <is>
          <t>A 32779-2022</t>
        </is>
      </c>
      <c r="B407" s="1" t="n">
        <v>44783.94623842592</v>
      </c>
      <c r="C407" s="1" t="n">
        <v>46048</v>
      </c>
      <c r="D407" t="inlineStr">
        <is>
          <t>VÄSTERNORRLANDS LÄN</t>
        </is>
      </c>
      <c r="E407" t="inlineStr">
        <is>
          <t>SOLLEFTEÅ</t>
        </is>
      </c>
      <c r="F407" t="inlineStr">
        <is>
          <t>SCA</t>
        </is>
      </c>
      <c r="G407" t="n">
        <v>2.6</v>
      </c>
      <c r="H407" t="n">
        <v>0</v>
      </c>
      <c r="I407" t="n">
        <v>0</v>
      </c>
      <c r="J407" t="n">
        <v>0</v>
      </c>
      <c r="K407" t="n">
        <v>0</v>
      </c>
      <c r="L407" t="n">
        <v>0</v>
      </c>
      <c r="M407" t="n">
        <v>0</v>
      </c>
      <c r="N407" t="n">
        <v>0</v>
      </c>
      <c r="O407" t="n">
        <v>0</v>
      </c>
      <c r="P407" t="n">
        <v>0</v>
      </c>
      <c r="Q407" t="n">
        <v>0</v>
      </c>
      <c r="R407" s="2" t="inlineStr"/>
    </row>
    <row r="408" ht="15" customHeight="1">
      <c r="A408" t="inlineStr">
        <is>
          <t>A 39372-2022</t>
        </is>
      </c>
      <c r="B408" s="1" t="n">
        <v>44817.94298611111</v>
      </c>
      <c r="C408" s="1" t="n">
        <v>46048</v>
      </c>
      <c r="D408" t="inlineStr">
        <is>
          <t>VÄSTERNORRLANDS LÄN</t>
        </is>
      </c>
      <c r="E408" t="inlineStr">
        <is>
          <t>SOLLEFTEÅ</t>
        </is>
      </c>
      <c r="F408" t="inlineStr">
        <is>
          <t>SCA</t>
        </is>
      </c>
      <c r="G408" t="n">
        <v>0.7</v>
      </c>
      <c r="H408" t="n">
        <v>0</v>
      </c>
      <c r="I408" t="n">
        <v>0</v>
      </c>
      <c r="J408" t="n">
        <v>0</v>
      </c>
      <c r="K408" t="n">
        <v>0</v>
      </c>
      <c r="L408" t="n">
        <v>0</v>
      </c>
      <c r="M408" t="n">
        <v>0</v>
      </c>
      <c r="N408" t="n">
        <v>0</v>
      </c>
      <c r="O408" t="n">
        <v>0</v>
      </c>
      <c r="P408" t="n">
        <v>0</v>
      </c>
      <c r="Q408" t="n">
        <v>0</v>
      </c>
      <c r="R408" s="2" t="inlineStr"/>
    </row>
    <row r="409" ht="15" customHeight="1">
      <c r="A409" t="inlineStr">
        <is>
          <t>A 9461-2021</t>
        </is>
      </c>
      <c r="B409" s="1" t="n">
        <v>44251</v>
      </c>
      <c r="C409" s="1" t="n">
        <v>46048</v>
      </c>
      <c r="D409" t="inlineStr">
        <is>
          <t>VÄSTERNORRLANDS LÄN</t>
        </is>
      </c>
      <c r="E409" t="inlineStr">
        <is>
          <t>SOLLEFTEÅ</t>
        </is>
      </c>
      <c r="G409" t="n">
        <v>0.7</v>
      </c>
      <c r="H409" t="n">
        <v>0</v>
      </c>
      <c r="I409" t="n">
        <v>0</v>
      </c>
      <c r="J409" t="n">
        <v>0</v>
      </c>
      <c r="K409" t="n">
        <v>0</v>
      </c>
      <c r="L409" t="n">
        <v>0</v>
      </c>
      <c r="M409" t="n">
        <v>0</v>
      </c>
      <c r="N409" t="n">
        <v>0</v>
      </c>
      <c r="O409" t="n">
        <v>0</v>
      </c>
      <c r="P409" t="n">
        <v>0</v>
      </c>
      <c r="Q409" t="n">
        <v>0</v>
      </c>
      <c r="R409" s="2" t="inlineStr"/>
    </row>
    <row r="410" ht="15" customHeight="1">
      <c r="A410" t="inlineStr">
        <is>
          <t>A 17045-2022</t>
        </is>
      </c>
      <c r="B410" s="1" t="n">
        <v>44676</v>
      </c>
      <c r="C410" s="1" t="n">
        <v>46048</v>
      </c>
      <c r="D410" t="inlineStr">
        <is>
          <t>VÄSTERNORRLANDS LÄN</t>
        </is>
      </c>
      <c r="E410" t="inlineStr">
        <is>
          <t>SOLLEFTEÅ</t>
        </is>
      </c>
      <c r="F410" t="inlineStr">
        <is>
          <t>SCA</t>
        </is>
      </c>
      <c r="G410" t="n">
        <v>3.6</v>
      </c>
      <c r="H410" t="n">
        <v>0</v>
      </c>
      <c r="I410" t="n">
        <v>0</v>
      </c>
      <c r="J410" t="n">
        <v>0</v>
      </c>
      <c r="K410" t="n">
        <v>0</v>
      </c>
      <c r="L410" t="n">
        <v>0</v>
      </c>
      <c r="M410" t="n">
        <v>0</v>
      </c>
      <c r="N410" t="n">
        <v>0</v>
      </c>
      <c r="O410" t="n">
        <v>0</v>
      </c>
      <c r="P410" t="n">
        <v>0</v>
      </c>
      <c r="Q410" t="n">
        <v>0</v>
      </c>
      <c r="R410" s="2" t="inlineStr"/>
    </row>
    <row r="411" ht="15" customHeight="1">
      <c r="A411" t="inlineStr">
        <is>
          <t>A 11710-2021</t>
        </is>
      </c>
      <c r="B411" s="1" t="n">
        <v>44264</v>
      </c>
      <c r="C411" s="1" t="n">
        <v>46048</v>
      </c>
      <c r="D411" t="inlineStr">
        <is>
          <t>VÄSTERNORRLANDS LÄN</t>
        </is>
      </c>
      <c r="E411" t="inlineStr">
        <is>
          <t>SOLLEFTEÅ</t>
        </is>
      </c>
      <c r="G411" t="n">
        <v>1.2</v>
      </c>
      <c r="H411" t="n">
        <v>0</v>
      </c>
      <c r="I411" t="n">
        <v>0</v>
      </c>
      <c r="J411" t="n">
        <v>0</v>
      </c>
      <c r="K411" t="n">
        <v>0</v>
      </c>
      <c r="L411" t="n">
        <v>0</v>
      </c>
      <c r="M411" t="n">
        <v>0</v>
      </c>
      <c r="N411" t="n">
        <v>0</v>
      </c>
      <c r="O411" t="n">
        <v>0</v>
      </c>
      <c r="P411" t="n">
        <v>0</v>
      </c>
      <c r="Q411" t="n">
        <v>0</v>
      </c>
      <c r="R411" s="2" t="inlineStr"/>
    </row>
    <row r="412" ht="15" customHeight="1">
      <c r="A412" t="inlineStr">
        <is>
          <t>A 18015-2022</t>
        </is>
      </c>
      <c r="B412" s="1" t="n">
        <v>44683.94319444444</v>
      </c>
      <c r="C412" s="1" t="n">
        <v>46048</v>
      </c>
      <c r="D412" t="inlineStr">
        <is>
          <t>VÄSTERNORRLANDS LÄN</t>
        </is>
      </c>
      <c r="E412" t="inlineStr">
        <is>
          <t>SOLLEFTEÅ</t>
        </is>
      </c>
      <c r="F412" t="inlineStr">
        <is>
          <t>SCA</t>
        </is>
      </c>
      <c r="G412" t="n">
        <v>1</v>
      </c>
      <c r="H412" t="n">
        <v>0</v>
      </c>
      <c r="I412" t="n">
        <v>0</v>
      </c>
      <c r="J412" t="n">
        <v>0</v>
      </c>
      <c r="K412" t="n">
        <v>0</v>
      </c>
      <c r="L412" t="n">
        <v>0</v>
      </c>
      <c r="M412" t="n">
        <v>0</v>
      </c>
      <c r="N412" t="n">
        <v>0</v>
      </c>
      <c r="O412" t="n">
        <v>0</v>
      </c>
      <c r="P412" t="n">
        <v>0</v>
      </c>
      <c r="Q412" t="n">
        <v>0</v>
      </c>
      <c r="R412" s="2" t="inlineStr"/>
    </row>
    <row r="413" ht="15" customHeight="1">
      <c r="A413" t="inlineStr">
        <is>
          <t>A 3557-2022</t>
        </is>
      </c>
      <c r="B413" s="1" t="n">
        <v>44585.93833333333</v>
      </c>
      <c r="C413" s="1" t="n">
        <v>46048</v>
      </c>
      <c r="D413" t="inlineStr">
        <is>
          <t>VÄSTERNORRLANDS LÄN</t>
        </is>
      </c>
      <c r="E413" t="inlineStr">
        <is>
          <t>SOLLEFTEÅ</t>
        </is>
      </c>
      <c r="F413" t="inlineStr">
        <is>
          <t>SCA</t>
        </is>
      </c>
      <c r="G413" t="n">
        <v>1.6</v>
      </c>
      <c r="H413" t="n">
        <v>0</v>
      </c>
      <c r="I413" t="n">
        <v>0</v>
      </c>
      <c r="J413" t="n">
        <v>0</v>
      </c>
      <c r="K413" t="n">
        <v>0</v>
      </c>
      <c r="L413" t="n">
        <v>0</v>
      </c>
      <c r="M413" t="n">
        <v>0</v>
      </c>
      <c r="N413" t="n">
        <v>0</v>
      </c>
      <c r="O413" t="n">
        <v>0</v>
      </c>
      <c r="P413" t="n">
        <v>0</v>
      </c>
      <c r="Q413" t="n">
        <v>0</v>
      </c>
      <c r="R413" s="2" t="inlineStr"/>
    </row>
    <row r="414" ht="15" customHeight="1">
      <c r="A414" t="inlineStr">
        <is>
          <t>A 67390-2021</t>
        </is>
      </c>
      <c r="B414" s="1" t="n">
        <v>44523.93848379629</v>
      </c>
      <c r="C414" s="1" t="n">
        <v>46048</v>
      </c>
      <c r="D414" t="inlineStr">
        <is>
          <t>VÄSTERNORRLANDS LÄN</t>
        </is>
      </c>
      <c r="E414" t="inlineStr">
        <is>
          <t>SOLLEFTEÅ</t>
        </is>
      </c>
      <c r="F414" t="inlineStr">
        <is>
          <t>SCA</t>
        </is>
      </c>
      <c r="G414" t="n">
        <v>6.8</v>
      </c>
      <c r="H414" t="n">
        <v>0</v>
      </c>
      <c r="I414" t="n">
        <v>0</v>
      </c>
      <c r="J414" t="n">
        <v>0</v>
      </c>
      <c r="K414" t="n">
        <v>0</v>
      </c>
      <c r="L414" t="n">
        <v>0</v>
      </c>
      <c r="M414" t="n">
        <v>0</v>
      </c>
      <c r="N414" t="n">
        <v>0</v>
      </c>
      <c r="O414" t="n">
        <v>0</v>
      </c>
      <c r="P414" t="n">
        <v>0</v>
      </c>
      <c r="Q414" t="n">
        <v>0</v>
      </c>
      <c r="R414" s="2" t="inlineStr"/>
    </row>
    <row r="415" ht="15" customHeight="1">
      <c r="A415" t="inlineStr">
        <is>
          <t>A 19220-2021</t>
        </is>
      </c>
      <c r="B415" s="1" t="n">
        <v>44309</v>
      </c>
      <c r="C415" s="1" t="n">
        <v>46048</v>
      </c>
      <c r="D415" t="inlineStr">
        <is>
          <t>VÄSTERNORRLANDS LÄN</t>
        </is>
      </c>
      <c r="E415" t="inlineStr">
        <is>
          <t>SOLLEFTEÅ</t>
        </is>
      </c>
      <c r="F415" t="inlineStr">
        <is>
          <t>Holmen skog AB</t>
        </is>
      </c>
      <c r="G415" t="n">
        <v>1.1</v>
      </c>
      <c r="H415" t="n">
        <v>0</v>
      </c>
      <c r="I415" t="n">
        <v>0</v>
      </c>
      <c r="J415" t="n">
        <v>0</v>
      </c>
      <c r="K415" t="n">
        <v>0</v>
      </c>
      <c r="L415" t="n">
        <v>0</v>
      </c>
      <c r="M415" t="n">
        <v>0</v>
      </c>
      <c r="N415" t="n">
        <v>0</v>
      </c>
      <c r="O415" t="n">
        <v>0</v>
      </c>
      <c r="P415" t="n">
        <v>0</v>
      </c>
      <c r="Q415" t="n">
        <v>0</v>
      </c>
      <c r="R415" s="2" t="inlineStr"/>
    </row>
    <row r="416" ht="15" customHeight="1">
      <c r="A416" t="inlineStr">
        <is>
          <t>A 4555-2022</t>
        </is>
      </c>
      <c r="B416" s="1" t="n">
        <v>44590.93231481482</v>
      </c>
      <c r="C416" s="1" t="n">
        <v>46048</v>
      </c>
      <c r="D416" t="inlineStr">
        <is>
          <t>VÄSTERNORRLANDS LÄN</t>
        </is>
      </c>
      <c r="E416" t="inlineStr">
        <is>
          <t>SOLLEFTEÅ</t>
        </is>
      </c>
      <c r="F416" t="inlineStr">
        <is>
          <t>SCA</t>
        </is>
      </c>
      <c r="G416" t="n">
        <v>5.6</v>
      </c>
      <c r="H416" t="n">
        <v>0</v>
      </c>
      <c r="I416" t="n">
        <v>0</v>
      </c>
      <c r="J416" t="n">
        <v>0</v>
      </c>
      <c r="K416" t="n">
        <v>0</v>
      </c>
      <c r="L416" t="n">
        <v>0</v>
      </c>
      <c r="M416" t="n">
        <v>0</v>
      </c>
      <c r="N416" t="n">
        <v>0</v>
      </c>
      <c r="O416" t="n">
        <v>0</v>
      </c>
      <c r="P416" t="n">
        <v>0</v>
      </c>
      <c r="Q416" t="n">
        <v>0</v>
      </c>
      <c r="R416" s="2" t="inlineStr"/>
    </row>
    <row r="417" ht="15" customHeight="1">
      <c r="A417" t="inlineStr">
        <is>
          <t>A 10927-2022</t>
        </is>
      </c>
      <c r="B417" s="1" t="n">
        <v>44627.94453703704</v>
      </c>
      <c r="C417" s="1" t="n">
        <v>46048</v>
      </c>
      <c r="D417" t="inlineStr">
        <is>
          <t>VÄSTERNORRLANDS LÄN</t>
        </is>
      </c>
      <c r="E417" t="inlineStr">
        <is>
          <t>SOLLEFTEÅ</t>
        </is>
      </c>
      <c r="F417" t="inlineStr">
        <is>
          <t>SCA</t>
        </is>
      </c>
      <c r="G417" t="n">
        <v>1</v>
      </c>
      <c r="H417" t="n">
        <v>0</v>
      </c>
      <c r="I417" t="n">
        <v>0</v>
      </c>
      <c r="J417" t="n">
        <v>0</v>
      </c>
      <c r="K417" t="n">
        <v>0</v>
      </c>
      <c r="L417" t="n">
        <v>0</v>
      </c>
      <c r="M417" t="n">
        <v>0</v>
      </c>
      <c r="N417" t="n">
        <v>0</v>
      </c>
      <c r="O417" t="n">
        <v>0</v>
      </c>
      <c r="P417" t="n">
        <v>0</v>
      </c>
      <c r="Q417" t="n">
        <v>0</v>
      </c>
      <c r="R417" s="2" t="inlineStr"/>
    </row>
    <row r="418" ht="15" customHeight="1">
      <c r="A418" t="inlineStr">
        <is>
          <t>A 27282-2022</t>
        </is>
      </c>
      <c r="B418" s="1" t="n">
        <v>44741</v>
      </c>
      <c r="C418" s="1" t="n">
        <v>46048</v>
      </c>
      <c r="D418" t="inlineStr">
        <is>
          <t>VÄSTERNORRLANDS LÄN</t>
        </is>
      </c>
      <c r="E418" t="inlineStr">
        <is>
          <t>SOLLEFTEÅ</t>
        </is>
      </c>
      <c r="F418" t="inlineStr">
        <is>
          <t>SCA</t>
        </is>
      </c>
      <c r="G418" t="n">
        <v>2</v>
      </c>
      <c r="H418" t="n">
        <v>0</v>
      </c>
      <c r="I418" t="n">
        <v>0</v>
      </c>
      <c r="J418" t="n">
        <v>0</v>
      </c>
      <c r="K418" t="n">
        <v>0</v>
      </c>
      <c r="L418" t="n">
        <v>0</v>
      </c>
      <c r="M418" t="n">
        <v>0</v>
      </c>
      <c r="N418" t="n">
        <v>0</v>
      </c>
      <c r="O418" t="n">
        <v>0</v>
      </c>
      <c r="P418" t="n">
        <v>0</v>
      </c>
      <c r="Q418" t="n">
        <v>0</v>
      </c>
      <c r="R418" s="2" t="inlineStr"/>
    </row>
    <row r="419" ht="15" customHeight="1">
      <c r="A419" t="inlineStr">
        <is>
          <t>A 39006-2022</t>
        </is>
      </c>
      <c r="B419" s="1" t="n">
        <v>44816.94675925926</v>
      </c>
      <c r="C419" s="1" t="n">
        <v>46048</v>
      </c>
      <c r="D419" t="inlineStr">
        <is>
          <t>VÄSTERNORRLANDS LÄN</t>
        </is>
      </c>
      <c r="E419" t="inlineStr">
        <is>
          <t>SOLLEFTEÅ</t>
        </is>
      </c>
      <c r="F419" t="inlineStr">
        <is>
          <t>SCA</t>
        </is>
      </c>
      <c r="G419" t="n">
        <v>0.7</v>
      </c>
      <c r="H419" t="n">
        <v>0</v>
      </c>
      <c r="I419" t="n">
        <v>0</v>
      </c>
      <c r="J419" t="n">
        <v>0</v>
      </c>
      <c r="K419" t="n">
        <v>0</v>
      </c>
      <c r="L419" t="n">
        <v>0</v>
      </c>
      <c r="M419" t="n">
        <v>0</v>
      </c>
      <c r="N419" t="n">
        <v>0</v>
      </c>
      <c r="O419" t="n">
        <v>0</v>
      </c>
      <c r="P419" t="n">
        <v>0</v>
      </c>
      <c r="Q419" t="n">
        <v>0</v>
      </c>
      <c r="R419" s="2" t="inlineStr"/>
    </row>
    <row r="420" ht="15" customHeight="1">
      <c r="A420" t="inlineStr">
        <is>
          <t>A 24322-2022</t>
        </is>
      </c>
      <c r="B420" s="1" t="n">
        <v>44725.94471064815</v>
      </c>
      <c r="C420" s="1" t="n">
        <v>46048</v>
      </c>
      <c r="D420" t="inlineStr">
        <is>
          <t>VÄSTERNORRLANDS LÄN</t>
        </is>
      </c>
      <c r="E420" t="inlineStr">
        <is>
          <t>SOLLEFTEÅ</t>
        </is>
      </c>
      <c r="F420" t="inlineStr">
        <is>
          <t>SCA</t>
        </is>
      </c>
      <c r="G420" t="n">
        <v>1.5</v>
      </c>
      <c r="H420" t="n">
        <v>0</v>
      </c>
      <c r="I420" t="n">
        <v>0</v>
      </c>
      <c r="J420" t="n">
        <v>0</v>
      </c>
      <c r="K420" t="n">
        <v>0</v>
      </c>
      <c r="L420" t="n">
        <v>0</v>
      </c>
      <c r="M420" t="n">
        <v>0</v>
      </c>
      <c r="N420" t="n">
        <v>0</v>
      </c>
      <c r="O420" t="n">
        <v>0</v>
      </c>
      <c r="P420" t="n">
        <v>0</v>
      </c>
      <c r="Q420" t="n">
        <v>0</v>
      </c>
      <c r="R420" s="2" t="inlineStr"/>
    </row>
    <row r="421" ht="15" customHeight="1">
      <c r="A421" t="inlineStr">
        <is>
          <t>A 19516-2021</t>
        </is>
      </c>
      <c r="B421" s="1" t="n">
        <v>44309</v>
      </c>
      <c r="C421" s="1" t="n">
        <v>46048</v>
      </c>
      <c r="D421" t="inlineStr">
        <is>
          <t>VÄSTERNORRLANDS LÄN</t>
        </is>
      </c>
      <c r="E421" t="inlineStr">
        <is>
          <t>SOLLEFTEÅ</t>
        </is>
      </c>
      <c r="G421" t="n">
        <v>15.6</v>
      </c>
      <c r="H421" t="n">
        <v>0</v>
      </c>
      <c r="I421" t="n">
        <v>0</v>
      </c>
      <c r="J421" t="n">
        <v>0</v>
      </c>
      <c r="K421" t="n">
        <v>0</v>
      </c>
      <c r="L421" t="n">
        <v>0</v>
      </c>
      <c r="M421" t="n">
        <v>0</v>
      </c>
      <c r="N421" t="n">
        <v>0</v>
      </c>
      <c r="O421" t="n">
        <v>0</v>
      </c>
      <c r="P421" t="n">
        <v>0</v>
      </c>
      <c r="Q421" t="n">
        <v>0</v>
      </c>
      <c r="R421" s="2" t="inlineStr"/>
    </row>
    <row r="422" ht="15" customHeight="1">
      <c r="A422" t="inlineStr">
        <is>
          <t>A 21711-2021</t>
        </is>
      </c>
      <c r="B422" s="1" t="n">
        <v>44322</v>
      </c>
      <c r="C422" s="1" t="n">
        <v>46048</v>
      </c>
      <c r="D422" t="inlineStr">
        <is>
          <t>VÄSTERNORRLANDS LÄN</t>
        </is>
      </c>
      <c r="E422" t="inlineStr">
        <is>
          <t>SOLLEFTEÅ</t>
        </is>
      </c>
      <c r="F422" t="inlineStr">
        <is>
          <t>Kyrkan</t>
        </is>
      </c>
      <c r="G422" t="n">
        <v>22.2</v>
      </c>
      <c r="H422" t="n">
        <v>0</v>
      </c>
      <c r="I422" t="n">
        <v>0</v>
      </c>
      <c r="J422" t="n">
        <v>0</v>
      </c>
      <c r="K422" t="n">
        <v>0</v>
      </c>
      <c r="L422" t="n">
        <v>0</v>
      </c>
      <c r="M422" t="n">
        <v>0</v>
      </c>
      <c r="N422" t="n">
        <v>0</v>
      </c>
      <c r="O422" t="n">
        <v>0</v>
      </c>
      <c r="P422" t="n">
        <v>0</v>
      </c>
      <c r="Q422" t="n">
        <v>0</v>
      </c>
      <c r="R422" s="2" t="inlineStr"/>
    </row>
    <row r="423" ht="15" customHeight="1">
      <c r="A423" t="inlineStr">
        <is>
          <t>A 29842-2022</t>
        </is>
      </c>
      <c r="B423" s="1" t="n">
        <v>44756.32835648148</v>
      </c>
      <c r="C423" s="1" t="n">
        <v>46048</v>
      </c>
      <c r="D423" t="inlineStr">
        <is>
          <t>VÄSTERNORRLANDS LÄN</t>
        </is>
      </c>
      <c r="E423" t="inlineStr">
        <is>
          <t>SOLLEFTEÅ</t>
        </is>
      </c>
      <c r="F423" t="inlineStr">
        <is>
          <t>Holmen skog AB</t>
        </is>
      </c>
      <c r="G423" t="n">
        <v>0.3</v>
      </c>
      <c r="H423" t="n">
        <v>0</v>
      </c>
      <c r="I423" t="n">
        <v>0</v>
      </c>
      <c r="J423" t="n">
        <v>0</v>
      </c>
      <c r="K423" t="n">
        <v>0</v>
      </c>
      <c r="L423" t="n">
        <v>0</v>
      </c>
      <c r="M423" t="n">
        <v>0</v>
      </c>
      <c r="N423" t="n">
        <v>0</v>
      </c>
      <c r="O423" t="n">
        <v>0</v>
      </c>
      <c r="P423" t="n">
        <v>0</v>
      </c>
      <c r="Q423" t="n">
        <v>0</v>
      </c>
      <c r="R423" s="2" t="inlineStr"/>
    </row>
    <row r="424" ht="15" customHeight="1">
      <c r="A424" t="inlineStr">
        <is>
          <t>A 19830-2021</t>
        </is>
      </c>
      <c r="B424" s="1" t="n">
        <v>44312</v>
      </c>
      <c r="C424" s="1" t="n">
        <v>46048</v>
      </c>
      <c r="D424" t="inlineStr">
        <is>
          <t>VÄSTERNORRLANDS LÄN</t>
        </is>
      </c>
      <c r="E424" t="inlineStr">
        <is>
          <t>SOLLEFTEÅ</t>
        </is>
      </c>
      <c r="G424" t="n">
        <v>1.9</v>
      </c>
      <c r="H424" t="n">
        <v>0</v>
      </c>
      <c r="I424" t="n">
        <v>0</v>
      </c>
      <c r="J424" t="n">
        <v>0</v>
      </c>
      <c r="K424" t="n">
        <v>0</v>
      </c>
      <c r="L424" t="n">
        <v>0</v>
      </c>
      <c r="M424" t="n">
        <v>0</v>
      </c>
      <c r="N424" t="n">
        <v>0</v>
      </c>
      <c r="O424" t="n">
        <v>0</v>
      </c>
      <c r="P424" t="n">
        <v>0</v>
      </c>
      <c r="Q424" t="n">
        <v>0</v>
      </c>
      <c r="R424" s="2" t="inlineStr"/>
    </row>
    <row r="425" ht="15" customHeight="1">
      <c r="A425" t="inlineStr">
        <is>
          <t>A 30043-2022</t>
        </is>
      </c>
      <c r="B425" s="1" t="n">
        <v>44756</v>
      </c>
      <c r="C425" s="1" t="n">
        <v>46048</v>
      </c>
      <c r="D425" t="inlineStr">
        <is>
          <t>VÄSTERNORRLANDS LÄN</t>
        </is>
      </c>
      <c r="E425" t="inlineStr">
        <is>
          <t>SOLLEFTEÅ</t>
        </is>
      </c>
      <c r="F425" t="inlineStr">
        <is>
          <t>SCA</t>
        </is>
      </c>
      <c r="G425" t="n">
        <v>2.1</v>
      </c>
      <c r="H425" t="n">
        <v>0</v>
      </c>
      <c r="I425" t="n">
        <v>0</v>
      </c>
      <c r="J425" t="n">
        <v>0</v>
      </c>
      <c r="K425" t="n">
        <v>0</v>
      </c>
      <c r="L425" t="n">
        <v>0</v>
      </c>
      <c r="M425" t="n">
        <v>0</v>
      </c>
      <c r="N425" t="n">
        <v>0</v>
      </c>
      <c r="O425" t="n">
        <v>0</v>
      </c>
      <c r="P425" t="n">
        <v>0</v>
      </c>
      <c r="Q425" t="n">
        <v>0</v>
      </c>
      <c r="R425" s="2" t="inlineStr"/>
    </row>
    <row r="426" ht="15" customHeight="1">
      <c r="A426" t="inlineStr">
        <is>
          <t>A 22441-2021</t>
        </is>
      </c>
      <c r="B426" s="1" t="n">
        <v>44323</v>
      </c>
      <c r="C426" s="1" t="n">
        <v>46048</v>
      </c>
      <c r="D426" t="inlineStr">
        <is>
          <t>VÄSTERNORRLANDS LÄN</t>
        </is>
      </c>
      <c r="E426" t="inlineStr">
        <is>
          <t>SOLLEFTEÅ</t>
        </is>
      </c>
      <c r="G426" t="n">
        <v>2.2</v>
      </c>
      <c r="H426" t="n">
        <v>0</v>
      </c>
      <c r="I426" t="n">
        <v>0</v>
      </c>
      <c r="J426" t="n">
        <v>0</v>
      </c>
      <c r="K426" t="n">
        <v>0</v>
      </c>
      <c r="L426" t="n">
        <v>0</v>
      </c>
      <c r="M426" t="n">
        <v>0</v>
      </c>
      <c r="N426" t="n">
        <v>0</v>
      </c>
      <c r="O426" t="n">
        <v>0</v>
      </c>
      <c r="P426" t="n">
        <v>0</v>
      </c>
      <c r="Q426" t="n">
        <v>0</v>
      </c>
      <c r="R426" s="2" t="inlineStr"/>
    </row>
    <row r="427" ht="15" customHeight="1">
      <c r="A427" t="inlineStr">
        <is>
          <t>A 49175-2022</t>
        </is>
      </c>
      <c r="B427" s="1" t="n">
        <v>44860.92922453704</v>
      </c>
      <c r="C427" s="1" t="n">
        <v>46048</v>
      </c>
      <c r="D427" t="inlineStr">
        <is>
          <t>VÄSTERNORRLANDS LÄN</t>
        </is>
      </c>
      <c r="E427" t="inlineStr">
        <is>
          <t>SOLLEFTEÅ</t>
        </is>
      </c>
      <c r="G427" t="n">
        <v>0.8</v>
      </c>
      <c r="H427" t="n">
        <v>0</v>
      </c>
      <c r="I427" t="n">
        <v>0</v>
      </c>
      <c r="J427" t="n">
        <v>0</v>
      </c>
      <c r="K427" t="n">
        <v>0</v>
      </c>
      <c r="L427" t="n">
        <v>0</v>
      </c>
      <c r="M427" t="n">
        <v>0</v>
      </c>
      <c r="N427" t="n">
        <v>0</v>
      </c>
      <c r="O427" t="n">
        <v>0</v>
      </c>
      <c r="P427" t="n">
        <v>0</v>
      </c>
      <c r="Q427" t="n">
        <v>0</v>
      </c>
      <c r="R427" s="2" t="inlineStr"/>
    </row>
    <row r="428" ht="15" customHeight="1">
      <c r="A428" t="inlineStr">
        <is>
          <t>A 10417-2022</t>
        </is>
      </c>
      <c r="B428" s="1" t="n">
        <v>44623</v>
      </c>
      <c r="C428" s="1" t="n">
        <v>46048</v>
      </c>
      <c r="D428" t="inlineStr">
        <is>
          <t>VÄSTERNORRLANDS LÄN</t>
        </is>
      </c>
      <c r="E428" t="inlineStr">
        <is>
          <t>SOLLEFTEÅ</t>
        </is>
      </c>
      <c r="G428" t="n">
        <v>11</v>
      </c>
      <c r="H428" t="n">
        <v>0</v>
      </c>
      <c r="I428" t="n">
        <v>0</v>
      </c>
      <c r="J428" t="n">
        <v>0</v>
      </c>
      <c r="K428" t="n">
        <v>0</v>
      </c>
      <c r="L428" t="n">
        <v>0</v>
      </c>
      <c r="M428" t="n">
        <v>0</v>
      </c>
      <c r="N428" t="n">
        <v>0</v>
      </c>
      <c r="O428" t="n">
        <v>0</v>
      </c>
      <c r="P428" t="n">
        <v>0</v>
      </c>
      <c r="Q428" t="n">
        <v>0</v>
      </c>
      <c r="R428" s="2" t="inlineStr"/>
    </row>
    <row r="429" ht="15" customHeight="1">
      <c r="A429" t="inlineStr">
        <is>
          <t>A 21714-2022</t>
        </is>
      </c>
      <c r="B429" s="1" t="n">
        <v>44707.94015046296</v>
      </c>
      <c r="C429" s="1" t="n">
        <v>46048</v>
      </c>
      <c r="D429" t="inlineStr">
        <is>
          <t>VÄSTERNORRLANDS LÄN</t>
        </is>
      </c>
      <c r="E429" t="inlineStr">
        <is>
          <t>SOLLEFTEÅ</t>
        </is>
      </c>
      <c r="F429" t="inlineStr">
        <is>
          <t>SCA</t>
        </is>
      </c>
      <c r="G429" t="n">
        <v>1.6</v>
      </c>
      <c r="H429" t="n">
        <v>0</v>
      </c>
      <c r="I429" t="n">
        <v>0</v>
      </c>
      <c r="J429" t="n">
        <v>0</v>
      </c>
      <c r="K429" t="n">
        <v>0</v>
      </c>
      <c r="L429" t="n">
        <v>0</v>
      </c>
      <c r="M429" t="n">
        <v>0</v>
      </c>
      <c r="N429" t="n">
        <v>0</v>
      </c>
      <c r="O429" t="n">
        <v>0</v>
      </c>
      <c r="P429" t="n">
        <v>0</v>
      </c>
      <c r="Q429" t="n">
        <v>0</v>
      </c>
      <c r="R429" s="2" t="inlineStr"/>
    </row>
    <row r="430" ht="15" customHeight="1">
      <c r="A430" t="inlineStr">
        <is>
          <t>A 67085-2021</t>
        </is>
      </c>
      <c r="B430" s="1" t="n">
        <v>44522.94458333333</v>
      </c>
      <c r="C430" s="1" t="n">
        <v>46048</v>
      </c>
      <c r="D430" t="inlineStr">
        <is>
          <t>VÄSTERNORRLANDS LÄN</t>
        </is>
      </c>
      <c r="E430" t="inlineStr">
        <is>
          <t>SOLLEFTEÅ</t>
        </is>
      </c>
      <c r="F430" t="inlineStr">
        <is>
          <t>SCA</t>
        </is>
      </c>
      <c r="G430" t="n">
        <v>1.7</v>
      </c>
      <c r="H430" t="n">
        <v>0</v>
      </c>
      <c r="I430" t="n">
        <v>0</v>
      </c>
      <c r="J430" t="n">
        <v>0</v>
      </c>
      <c r="K430" t="n">
        <v>0</v>
      </c>
      <c r="L430" t="n">
        <v>0</v>
      </c>
      <c r="M430" t="n">
        <v>0</v>
      </c>
      <c r="N430" t="n">
        <v>0</v>
      </c>
      <c r="O430" t="n">
        <v>0</v>
      </c>
      <c r="P430" t="n">
        <v>0</v>
      </c>
      <c r="Q430" t="n">
        <v>0</v>
      </c>
      <c r="R430" s="2" t="inlineStr"/>
    </row>
    <row r="431" ht="15" customHeight="1">
      <c r="A431" t="inlineStr">
        <is>
          <t>A 45423-2022</t>
        </is>
      </c>
      <c r="B431" s="1" t="n">
        <v>44844.95256944445</v>
      </c>
      <c r="C431" s="1" t="n">
        <v>46048</v>
      </c>
      <c r="D431" t="inlineStr">
        <is>
          <t>VÄSTERNORRLANDS LÄN</t>
        </is>
      </c>
      <c r="E431" t="inlineStr">
        <is>
          <t>SOLLEFTEÅ</t>
        </is>
      </c>
      <c r="F431" t="inlineStr">
        <is>
          <t>SCA</t>
        </is>
      </c>
      <c r="G431" t="n">
        <v>5</v>
      </c>
      <c r="H431" t="n">
        <v>0</v>
      </c>
      <c r="I431" t="n">
        <v>0</v>
      </c>
      <c r="J431" t="n">
        <v>0</v>
      </c>
      <c r="K431" t="n">
        <v>0</v>
      </c>
      <c r="L431" t="n">
        <v>0</v>
      </c>
      <c r="M431" t="n">
        <v>0</v>
      </c>
      <c r="N431" t="n">
        <v>0</v>
      </c>
      <c r="O431" t="n">
        <v>0</v>
      </c>
      <c r="P431" t="n">
        <v>0</v>
      </c>
      <c r="Q431" t="n">
        <v>0</v>
      </c>
      <c r="R431" s="2" t="inlineStr"/>
    </row>
    <row r="432" ht="15" customHeight="1">
      <c r="A432" t="inlineStr">
        <is>
          <t>A 42219-2021</t>
        </is>
      </c>
      <c r="B432" s="1" t="n">
        <v>44426.87444444445</v>
      </c>
      <c r="C432" s="1" t="n">
        <v>46048</v>
      </c>
      <c r="D432" t="inlineStr">
        <is>
          <t>VÄSTERNORRLANDS LÄN</t>
        </is>
      </c>
      <c r="E432" t="inlineStr">
        <is>
          <t>SOLLEFTEÅ</t>
        </is>
      </c>
      <c r="G432" t="n">
        <v>0.6</v>
      </c>
      <c r="H432" t="n">
        <v>0</v>
      </c>
      <c r="I432" t="n">
        <v>0</v>
      </c>
      <c r="J432" t="n">
        <v>0</v>
      </c>
      <c r="K432" t="n">
        <v>0</v>
      </c>
      <c r="L432" t="n">
        <v>0</v>
      </c>
      <c r="M432" t="n">
        <v>0</v>
      </c>
      <c r="N432" t="n">
        <v>0</v>
      </c>
      <c r="O432" t="n">
        <v>0</v>
      </c>
      <c r="P432" t="n">
        <v>0</v>
      </c>
      <c r="Q432" t="n">
        <v>0</v>
      </c>
      <c r="R432" s="2" t="inlineStr"/>
    </row>
    <row r="433" ht="15" customHeight="1">
      <c r="A433" t="inlineStr">
        <is>
          <t>A 41172-2022</t>
        </is>
      </c>
      <c r="B433" s="1" t="n">
        <v>44825.94738425926</v>
      </c>
      <c r="C433" s="1" t="n">
        <v>46048</v>
      </c>
      <c r="D433" t="inlineStr">
        <is>
          <t>VÄSTERNORRLANDS LÄN</t>
        </is>
      </c>
      <c r="E433" t="inlineStr">
        <is>
          <t>SOLLEFTEÅ</t>
        </is>
      </c>
      <c r="F433" t="inlineStr">
        <is>
          <t>SCA</t>
        </is>
      </c>
      <c r="G433" t="n">
        <v>1.2</v>
      </c>
      <c r="H433" t="n">
        <v>0</v>
      </c>
      <c r="I433" t="n">
        <v>0</v>
      </c>
      <c r="J433" t="n">
        <v>0</v>
      </c>
      <c r="K433" t="n">
        <v>0</v>
      </c>
      <c r="L433" t="n">
        <v>0</v>
      </c>
      <c r="M433" t="n">
        <v>0</v>
      </c>
      <c r="N433" t="n">
        <v>0</v>
      </c>
      <c r="O433" t="n">
        <v>0</v>
      </c>
      <c r="P433" t="n">
        <v>0</v>
      </c>
      <c r="Q433" t="n">
        <v>0</v>
      </c>
      <c r="R433" s="2" t="inlineStr"/>
    </row>
    <row r="434" ht="15" customHeight="1">
      <c r="A434" t="inlineStr">
        <is>
          <t>A 1987-2022</t>
        </is>
      </c>
      <c r="B434" s="1" t="n">
        <v>44575</v>
      </c>
      <c r="C434" s="1" t="n">
        <v>46048</v>
      </c>
      <c r="D434" t="inlineStr">
        <is>
          <t>VÄSTERNORRLANDS LÄN</t>
        </is>
      </c>
      <c r="E434" t="inlineStr">
        <is>
          <t>SOLLEFTEÅ</t>
        </is>
      </c>
      <c r="G434" t="n">
        <v>2</v>
      </c>
      <c r="H434" t="n">
        <v>0</v>
      </c>
      <c r="I434" t="n">
        <v>0</v>
      </c>
      <c r="J434" t="n">
        <v>0</v>
      </c>
      <c r="K434" t="n">
        <v>0</v>
      </c>
      <c r="L434" t="n">
        <v>0</v>
      </c>
      <c r="M434" t="n">
        <v>0</v>
      </c>
      <c r="N434" t="n">
        <v>0</v>
      </c>
      <c r="O434" t="n">
        <v>0</v>
      </c>
      <c r="P434" t="n">
        <v>0</v>
      </c>
      <c r="Q434" t="n">
        <v>0</v>
      </c>
      <c r="R434" s="2" t="inlineStr"/>
    </row>
    <row r="435" ht="15" customHeight="1">
      <c r="A435" t="inlineStr">
        <is>
          <t>A 12278-2021</t>
        </is>
      </c>
      <c r="B435" s="1" t="n">
        <v>44266</v>
      </c>
      <c r="C435" s="1" t="n">
        <v>46048</v>
      </c>
      <c r="D435" t="inlineStr">
        <is>
          <t>VÄSTERNORRLANDS LÄN</t>
        </is>
      </c>
      <c r="E435" t="inlineStr">
        <is>
          <t>SOLLEFTEÅ</t>
        </is>
      </c>
      <c r="F435" t="inlineStr">
        <is>
          <t>SCA</t>
        </is>
      </c>
      <c r="G435" t="n">
        <v>2.7</v>
      </c>
      <c r="H435" t="n">
        <v>0</v>
      </c>
      <c r="I435" t="n">
        <v>0</v>
      </c>
      <c r="J435" t="n">
        <v>0</v>
      </c>
      <c r="K435" t="n">
        <v>0</v>
      </c>
      <c r="L435" t="n">
        <v>0</v>
      </c>
      <c r="M435" t="n">
        <v>0</v>
      </c>
      <c r="N435" t="n">
        <v>0</v>
      </c>
      <c r="O435" t="n">
        <v>0</v>
      </c>
      <c r="P435" t="n">
        <v>0</v>
      </c>
      <c r="Q435" t="n">
        <v>0</v>
      </c>
      <c r="R435" s="2" t="inlineStr"/>
    </row>
    <row r="436" ht="15" customHeight="1">
      <c r="A436" t="inlineStr">
        <is>
          <t>A 29602-2021</t>
        </is>
      </c>
      <c r="B436" s="1" t="n">
        <v>44361.93674768518</v>
      </c>
      <c r="C436" s="1" t="n">
        <v>46048</v>
      </c>
      <c r="D436" t="inlineStr">
        <is>
          <t>VÄSTERNORRLANDS LÄN</t>
        </is>
      </c>
      <c r="E436" t="inlineStr">
        <is>
          <t>SOLLEFTEÅ</t>
        </is>
      </c>
      <c r="F436" t="inlineStr">
        <is>
          <t>SCA</t>
        </is>
      </c>
      <c r="G436" t="n">
        <v>2.3</v>
      </c>
      <c r="H436" t="n">
        <v>0</v>
      </c>
      <c r="I436" t="n">
        <v>0</v>
      </c>
      <c r="J436" t="n">
        <v>0</v>
      </c>
      <c r="K436" t="n">
        <v>0</v>
      </c>
      <c r="L436" t="n">
        <v>0</v>
      </c>
      <c r="M436" t="n">
        <v>0</v>
      </c>
      <c r="N436" t="n">
        <v>0</v>
      </c>
      <c r="O436" t="n">
        <v>0</v>
      </c>
      <c r="P436" t="n">
        <v>0</v>
      </c>
      <c r="Q436" t="n">
        <v>0</v>
      </c>
      <c r="R436" s="2" t="inlineStr"/>
    </row>
    <row r="437" ht="15" customHeight="1">
      <c r="A437" t="inlineStr">
        <is>
          <t>A 38663-2022</t>
        </is>
      </c>
      <c r="B437" s="1" t="n">
        <v>44813.94670138889</v>
      </c>
      <c r="C437" s="1" t="n">
        <v>46048</v>
      </c>
      <c r="D437" t="inlineStr">
        <is>
          <t>VÄSTERNORRLANDS LÄN</t>
        </is>
      </c>
      <c r="E437" t="inlineStr">
        <is>
          <t>SOLLEFTEÅ</t>
        </is>
      </c>
      <c r="G437" t="n">
        <v>3.4</v>
      </c>
      <c r="H437" t="n">
        <v>0</v>
      </c>
      <c r="I437" t="n">
        <v>0</v>
      </c>
      <c r="J437" t="n">
        <v>0</v>
      </c>
      <c r="K437" t="n">
        <v>0</v>
      </c>
      <c r="L437" t="n">
        <v>0</v>
      </c>
      <c r="M437" t="n">
        <v>0</v>
      </c>
      <c r="N437" t="n">
        <v>0</v>
      </c>
      <c r="O437" t="n">
        <v>0</v>
      </c>
      <c r="P437" t="n">
        <v>0</v>
      </c>
      <c r="Q437" t="n">
        <v>0</v>
      </c>
      <c r="R437" s="2" t="inlineStr"/>
    </row>
    <row r="438" ht="15" customHeight="1">
      <c r="A438" t="inlineStr">
        <is>
          <t>A 49200-2022</t>
        </is>
      </c>
      <c r="B438" s="1" t="n">
        <v>44860.95540509259</v>
      </c>
      <c r="C438" s="1" t="n">
        <v>46048</v>
      </c>
      <c r="D438" t="inlineStr">
        <is>
          <t>VÄSTERNORRLANDS LÄN</t>
        </is>
      </c>
      <c r="E438" t="inlineStr">
        <is>
          <t>SOLLEFTEÅ</t>
        </is>
      </c>
      <c r="F438" t="inlineStr">
        <is>
          <t>SCA</t>
        </is>
      </c>
      <c r="G438" t="n">
        <v>0.6</v>
      </c>
      <c r="H438" t="n">
        <v>0</v>
      </c>
      <c r="I438" t="n">
        <v>0</v>
      </c>
      <c r="J438" t="n">
        <v>0</v>
      </c>
      <c r="K438" t="n">
        <v>0</v>
      </c>
      <c r="L438" t="n">
        <v>0</v>
      </c>
      <c r="M438" t="n">
        <v>0</v>
      </c>
      <c r="N438" t="n">
        <v>0</v>
      </c>
      <c r="O438" t="n">
        <v>0</v>
      </c>
      <c r="P438" t="n">
        <v>0</v>
      </c>
      <c r="Q438" t="n">
        <v>0</v>
      </c>
      <c r="R438" s="2" t="inlineStr"/>
    </row>
    <row r="439" ht="15" customHeight="1">
      <c r="A439" t="inlineStr">
        <is>
          <t>A 31490-2022</t>
        </is>
      </c>
      <c r="B439" s="1" t="n">
        <v>44774.94451388889</v>
      </c>
      <c r="C439" s="1" t="n">
        <v>46048</v>
      </c>
      <c r="D439" t="inlineStr">
        <is>
          <t>VÄSTERNORRLANDS LÄN</t>
        </is>
      </c>
      <c r="E439" t="inlineStr">
        <is>
          <t>SOLLEFTEÅ</t>
        </is>
      </c>
      <c r="F439" t="inlineStr">
        <is>
          <t>SCA</t>
        </is>
      </c>
      <c r="G439" t="n">
        <v>3.6</v>
      </c>
      <c r="H439" t="n">
        <v>0</v>
      </c>
      <c r="I439" t="n">
        <v>0</v>
      </c>
      <c r="J439" t="n">
        <v>0</v>
      </c>
      <c r="K439" t="n">
        <v>0</v>
      </c>
      <c r="L439" t="n">
        <v>0</v>
      </c>
      <c r="M439" t="n">
        <v>0</v>
      </c>
      <c r="N439" t="n">
        <v>0</v>
      </c>
      <c r="O439" t="n">
        <v>0</v>
      </c>
      <c r="P439" t="n">
        <v>0</v>
      </c>
      <c r="Q439" t="n">
        <v>0</v>
      </c>
      <c r="R439" s="2" t="inlineStr"/>
    </row>
    <row r="440" ht="15" customHeight="1">
      <c r="A440" t="inlineStr">
        <is>
          <t>A 39594-2021</t>
        </is>
      </c>
      <c r="B440" s="1" t="n">
        <v>44413</v>
      </c>
      <c r="C440" s="1" t="n">
        <v>46048</v>
      </c>
      <c r="D440" t="inlineStr">
        <is>
          <t>VÄSTERNORRLANDS LÄN</t>
        </is>
      </c>
      <c r="E440" t="inlineStr">
        <is>
          <t>SOLLEFTEÅ</t>
        </is>
      </c>
      <c r="G440" t="n">
        <v>1.3</v>
      </c>
      <c r="H440" t="n">
        <v>0</v>
      </c>
      <c r="I440" t="n">
        <v>0</v>
      </c>
      <c r="J440" t="n">
        <v>0</v>
      </c>
      <c r="K440" t="n">
        <v>0</v>
      </c>
      <c r="L440" t="n">
        <v>0</v>
      </c>
      <c r="M440" t="n">
        <v>0</v>
      </c>
      <c r="N440" t="n">
        <v>0</v>
      </c>
      <c r="O440" t="n">
        <v>0</v>
      </c>
      <c r="P440" t="n">
        <v>0</v>
      </c>
      <c r="Q440" t="n">
        <v>0</v>
      </c>
      <c r="R440" s="2" t="inlineStr"/>
    </row>
    <row r="441" ht="15" customHeight="1">
      <c r="A441" t="inlineStr">
        <is>
          <t>A 64947-2021</t>
        </is>
      </c>
      <c r="B441" s="1" t="n">
        <v>44512.94497685185</v>
      </c>
      <c r="C441" s="1" t="n">
        <v>46048</v>
      </c>
      <c r="D441" t="inlineStr">
        <is>
          <t>VÄSTERNORRLANDS LÄN</t>
        </is>
      </c>
      <c r="E441" t="inlineStr">
        <is>
          <t>SOLLEFTEÅ</t>
        </is>
      </c>
      <c r="F441" t="inlineStr">
        <is>
          <t>SCA</t>
        </is>
      </c>
      <c r="G441" t="n">
        <v>2</v>
      </c>
      <c r="H441" t="n">
        <v>0</v>
      </c>
      <c r="I441" t="n">
        <v>0</v>
      </c>
      <c r="J441" t="n">
        <v>0</v>
      </c>
      <c r="K441" t="n">
        <v>0</v>
      </c>
      <c r="L441" t="n">
        <v>0</v>
      </c>
      <c r="M441" t="n">
        <v>0</v>
      </c>
      <c r="N441" t="n">
        <v>0</v>
      </c>
      <c r="O441" t="n">
        <v>0</v>
      </c>
      <c r="P441" t="n">
        <v>0</v>
      </c>
      <c r="Q441" t="n">
        <v>0</v>
      </c>
      <c r="R441" s="2" t="inlineStr"/>
    </row>
    <row r="442" ht="15" customHeight="1">
      <c r="A442" t="inlineStr">
        <is>
          <t>A 1094-2022</t>
        </is>
      </c>
      <c r="B442" s="1" t="n">
        <v>44571</v>
      </c>
      <c r="C442" s="1" t="n">
        <v>46048</v>
      </c>
      <c r="D442" t="inlineStr">
        <is>
          <t>VÄSTERNORRLANDS LÄN</t>
        </is>
      </c>
      <c r="E442" t="inlineStr">
        <is>
          <t>SOLLEFTEÅ</t>
        </is>
      </c>
      <c r="F442" t="inlineStr">
        <is>
          <t>SCA</t>
        </is>
      </c>
      <c r="G442" t="n">
        <v>6</v>
      </c>
      <c r="H442" t="n">
        <v>0</v>
      </c>
      <c r="I442" t="n">
        <v>0</v>
      </c>
      <c r="J442" t="n">
        <v>0</v>
      </c>
      <c r="K442" t="n">
        <v>0</v>
      </c>
      <c r="L442" t="n">
        <v>0</v>
      </c>
      <c r="M442" t="n">
        <v>0</v>
      </c>
      <c r="N442" t="n">
        <v>0</v>
      </c>
      <c r="O442" t="n">
        <v>0</v>
      </c>
      <c r="P442" t="n">
        <v>0</v>
      </c>
      <c r="Q442" t="n">
        <v>0</v>
      </c>
      <c r="R442" s="2" t="inlineStr"/>
    </row>
    <row r="443" ht="15" customHeight="1">
      <c r="A443" t="inlineStr">
        <is>
          <t>A 48923-2022</t>
        </is>
      </c>
      <c r="B443" s="1" t="n">
        <v>44859.95590277778</v>
      </c>
      <c r="C443" s="1" t="n">
        <v>46048</v>
      </c>
      <c r="D443" t="inlineStr">
        <is>
          <t>VÄSTERNORRLANDS LÄN</t>
        </is>
      </c>
      <c r="E443" t="inlineStr">
        <is>
          <t>SOLLEFTEÅ</t>
        </is>
      </c>
      <c r="F443" t="inlineStr">
        <is>
          <t>SCA</t>
        </is>
      </c>
      <c r="G443" t="n">
        <v>0.7</v>
      </c>
      <c r="H443" t="n">
        <v>0</v>
      </c>
      <c r="I443" t="n">
        <v>0</v>
      </c>
      <c r="J443" t="n">
        <v>0</v>
      </c>
      <c r="K443" t="n">
        <v>0</v>
      </c>
      <c r="L443" t="n">
        <v>0</v>
      </c>
      <c r="M443" t="n">
        <v>0</v>
      </c>
      <c r="N443" t="n">
        <v>0</v>
      </c>
      <c r="O443" t="n">
        <v>0</v>
      </c>
      <c r="P443" t="n">
        <v>0</v>
      </c>
      <c r="Q443" t="n">
        <v>0</v>
      </c>
      <c r="R443" s="2" t="inlineStr"/>
    </row>
    <row r="444" ht="15" customHeight="1">
      <c r="A444" t="inlineStr">
        <is>
          <t>A 18196-2022</t>
        </is>
      </c>
      <c r="B444" s="1" t="n">
        <v>44684.94048611111</v>
      </c>
      <c r="C444" s="1" t="n">
        <v>46048</v>
      </c>
      <c r="D444" t="inlineStr">
        <is>
          <t>VÄSTERNORRLANDS LÄN</t>
        </is>
      </c>
      <c r="E444" t="inlineStr">
        <is>
          <t>SOLLEFTEÅ</t>
        </is>
      </c>
      <c r="F444" t="inlineStr">
        <is>
          <t>SCA</t>
        </is>
      </c>
      <c r="G444" t="n">
        <v>2.2</v>
      </c>
      <c r="H444" t="n">
        <v>0</v>
      </c>
      <c r="I444" t="n">
        <v>0</v>
      </c>
      <c r="J444" t="n">
        <v>0</v>
      </c>
      <c r="K444" t="n">
        <v>0</v>
      </c>
      <c r="L444" t="n">
        <v>0</v>
      </c>
      <c r="M444" t="n">
        <v>0</v>
      </c>
      <c r="N444" t="n">
        <v>0</v>
      </c>
      <c r="O444" t="n">
        <v>0</v>
      </c>
      <c r="P444" t="n">
        <v>0</v>
      </c>
      <c r="Q444" t="n">
        <v>0</v>
      </c>
      <c r="R444" s="2" t="inlineStr"/>
    </row>
    <row r="445" ht="15" customHeight="1">
      <c r="A445" t="inlineStr">
        <is>
          <t>A 68843-2021</t>
        </is>
      </c>
      <c r="B445" s="1" t="n">
        <v>44530</v>
      </c>
      <c r="C445" s="1" t="n">
        <v>46048</v>
      </c>
      <c r="D445" t="inlineStr">
        <is>
          <t>VÄSTERNORRLANDS LÄN</t>
        </is>
      </c>
      <c r="E445" t="inlineStr">
        <is>
          <t>SOLLEFTEÅ</t>
        </is>
      </c>
      <c r="F445" t="inlineStr">
        <is>
          <t>Holmen skog AB</t>
        </is>
      </c>
      <c r="G445" t="n">
        <v>3.5</v>
      </c>
      <c r="H445" t="n">
        <v>0</v>
      </c>
      <c r="I445" t="n">
        <v>0</v>
      </c>
      <c r="J445" t="n">
        <v>0</v>
      </c>
      <c r="K445" t="n">
        <v>0</v>
      </c>
      <c r="L445" t="n">
        <v>0</v>
      </c>
      <c r="M445" t="n">
        <v>0</v>
      </c>
      <c r="N445" t="n">
        <v>0</v>
      </c>
      <c r="O445" t="n">
        <v>0</v>
      </c>
      <c r="P445" t="n">
        <v>0</v>
      </c>
      <c r="Q445" t="n">
        <v>0</v>
      </c>
      <c r="R445" s="2" t="inlineStr"/>
    </row>
    <row r="446" ht="15" customHeight="1">
      <c r="A446" t="inlineStr">
        <is>
          <t>A 25329-2021</t>
        </is>
      </c>
      <c r="B446" s="1" t="n">
        <v>44342</v>
      </c>
      <c r="C446" s="1" t="n">
        <v>46048</v>
      </c>
      <c r="D446" t="inlineStr">
        <is>
          <t>VÄSTERNORRLANDS LÄN</t>
        </is>
      </c>
      <c r="E446" t="inlineStr">
        <is>
          <t>SOLLEFTEÅ</t>
        </is>
      </c>
      <c r="G446" t="n">
        <v>2</v>
      </c>
      <c r="H446" t="n">
        <v>0</v>
      </c>
      <c r="I446" t="n">
        <v>0</v>
      </c>
      <c r="J446" t="n">
        <v>0</v>
      </c>
      <c r="K446" t="n">
        <v>0</v>
      </c>
      <c r="L446" t="n">
        <v>0</v>
      </c>
      <c r="M446" t="n">
        <v>0</v>
      </c>
      <c r="N446" t="n">
        <v>0</v>
      </c>
      <c r="O446" t="n">
        <v>0</v>
      </c>
      <c r="P446" t="n">
        <v>0</v>
      </c>
      <c r="Q446" t="n">
        <v>0</v>
      </c>
      <c r="R446" s="2" t="inlineStr"/>
    </row>
    <row r="447" ht="15" customHeight="1">
      <c r="A447" t="inlineStr">
        <is>
          <t>A 5110-2022</t>
        </is>
      </c>
      <c r="B447" s="1" t="n">
        <v>44593.92141203704</v>
      </c>
      <c r="C447" s="1" t="n">
        <v>46048</v>
      </c>
      <c r="D447" t="inlineStr">
        <is>
          <t>VÄSTERNORRLANDS LÄN</t>
        </is>
      </c>
      <c r="E447" t="inlineStr">
        <is>
          <t>SOLLEFTEÅ</t>
        </is>
      </c>
      <c r="G447" t="n">
        <v>1.7</v>
      </c>
      <c r="H447" t="n">
        <v>0</v>
      </c>
      <c r="I447" t="n">
        <v>0</v>
      </c>
      <c r="J447" t="n">
        <v>0</v>
      </c>
      <c r="K447" t="n">
        <v>0</v>
      </c>
      <c r="L447" t="n">
        <v>0</v>
      </c>
      <c r="M447" t="n">
        <v>0</v>
      </c>
      <c r="N447" t="n">
        <v>0</v>
      </c>
      <c r="O447" t="n">
        <v>0</v>
      </c>
      <c r="P447" t="n">
        <v>0</v>
      </c>
      <c r="Q447" t="n">
        <v>0</v>
      </c>
      <c r="R447" s="2" t="inlineStr"/>
    </row>
    <row r="448" ht="15" customHeight="1">
      <c r="A448" t="inlineStr">
        <is>
          <t>A 35862-2021</t>
        </is>
      </c>
      <c r="B448" s="1" t="n">
        <v>44386</v>
      </c>
      <c r="C448" s="1" t="n">
        <v>46048</v>
      </c>
      <c r="D448" t="inlineStr">
        <is>
          <t>VÄSTERNORRLANDS LÄN</t>
        </is>
      </c>
      <c r="E448" t="inlineStr">
        <is>
          <t>SOLLEFTEÅ</t>
        </is>
      </c>
      <c r="G448" t="n">
        <v>5.5</v>
      </c>
      <c r="H448" t="n">
        <v>0</v>
      </c>
      <c r="I448" t="n">
        <v>0</v>
      </c>
      <c r="J448" t="n">
        <v>0</v>
      </c>
      <c r="K448" t="n">
        <v>0</v>
      </c>
      <c r="L448" t="n">
        <v>0</v>
      </c>
      <c r="M448" t="n">
        <v>0</v>
      </c>
      <c r="N448" t="n">
        <v>0</v>
      </c>
      <c r="O448" t="n">
        <v>0</v>
      </c>
      <c r="P448" t="n">
        <v>0</v>
      </c>
      <c r="Q448" t="n">
        <v>0</v>
      </c>
      <c r="R448" s="2" t="inlineStr"/>
    </row>
    <row r="449" ht="15" customHeight="1">
      <c r="A449" t="inlineStr">
        <is>
          <t>A 44454-2022</t>
        </is>
      </c>
      <c r="B449" s="1" t="n">
        <v>44839.95543981482</v>
      </c>
      <c r="C449" s="1" t="n">
        <v>46048</v>
      </c>
      <c r="D449" t="inlineStr">
        <is>
          <t>VÄSTERNORRLANDS LÄN</t>
        </is>
      </c>
      <c r="E449" t="inlineStr">
        <is>
          <t>SOLLEFTEÅ</t>
        </is>
      </c>
      <c r="F449" t="inlineStr">
        <is>
          <t>SCA</t>
        </is>
      </c>
      <c r="G449" t="n">
        <v>4.1</v>
      </c>
      <c r="H449" t="n">
        <v>0</v>
      </c>
      <c r="I449" t="n">
        <v>0</v>
      </c>
      <c r="J449" t="n">
        <v>0</v>
      </c>
      <c r="K449" t="n">
        <v>0</v>
      </c>
      <c r="L449" t="n">
        <v>0</v>
      </c>
      <c r="M449" t="n">
        <v>0</v>
      </c>
      <c r="N449" t="n">
        <v>0</v>
      </c>
      <c r="O449" t="n">
        <v>0</v>
      </c>
      <c r="P449" t="n">
        <v>0</v>
      </c>
      <c r="Q449" t="n">
        <v>0</v>
      </c>
      <c r="R449" s="2" t="inlineStr"/>
    </row>
    <row r="450" ht="15" customHeight="1">
      <c r="A450" t="inlineStr">
        <is>
          <t>A 46664-2022</t>
        </is>
      </c>
      <c r="B450" s="1" t="n">
        <v>44850.94962962963</v>
      </c>
      <c r="C450" s="1" t="n">
        <v>46048</v>
      </c>
      <c r="D450" t="inlineStr">
        <is>
          <t>VÄSTERNORRLANDS LÄN</t>
        </is>
      </c>
      <c r="E450" t="inlineStr">
        <is>
          <t>SOLLEFTEÅ</t>
        </is>
      </c>
      <c r="F450" t="inlineStr">
        <is>
          <t>SCA</t>
        </is>
      </c>
      <c r="G450" t="n">
        <v>0.4</v>
      </c>
      <c r="H450" t="n">
        <v>0</v>
      </c>
      <c r="I450" t="n">
        <v>0</v>
      </c>
      <c r="J450" t="n">
        <v>0</v>
      </c>
      <c r="K450" t="n">
        <v>0</v>
      </c>
      <c r="L450" t="n">
        <v>0</v>
      </c>
      <c r="M450" t="n">
        <v>0</v>
      </c>
      <c r="N450" t="n">
        <v>0</v>
      </c>
      <c r="O450" t="n">
        <v>0</v>
      </c>
      <c r="P450" t="n">
        <v>0</v>
      </c>
      <c r="Q450" t="n">
        <v>0</v>
      </c>
      <c r="R450" s="2" t="inlineStr"/>
    </row>
    <row r="451" ht="15" customHeight="1">
      <c r="A451" t="inlineStr">
        <is>
          <t>A 14299-2022</t>
        </is>
      </c>
      <c r="B451" s="1" t="n">
        <v>44651.93903935186</v>
      </c>
      <c r="C451" s="1" t="n">
        <v>46048</v>
      </c>
      <c r="D451" t="inlineStr">
        <is>
          <t>VÄSTERNORRLANDS LÄN</t>
        </is>
      </c>
      <c r="E451" t="inlineStr">
        <is>
          <t>SOLLEFTEÅ</t>
        </is>
      </c>
      <c r="F451" t="inlineStr">
        <is>
          <t>SCA</t>
        </is>
      </c>
      <c r="G451" t="n">
        <v>1.9</v>
      </c>
      <c r="H451" t="n">
        <v>0</v>
      </c>
      <c r="I451" t="n">
        <v>0</v>
      </c>
      <c r="J451" t="n">
        <v>0</v>
      </c>
      <c r="K451" t="n">
        <v>0</v>
      </c>
      <c r="L451" t="n">
        <v>0</v>
      </c>
      <c r="M451" t="n">
        <v>0</v>
      </c>
      <c r="N451" t="n">
        <v>0</v>
      </c>
      <c r="O451" t="n">
        <v>0</v>
      </c>
      <c r="P451" t="n">
        <v>0</v>
      </c>
      <c r="Q451" t="n">
        <v>0</v>
      </c>
      <c r="R451" s="2" t="inlineStr"/>
    </row>
    <row r="452" ht="15" customHeight="1">
      <c r="A452" t="inlineStr">
        <is>
          <t>A 41475-2022</t>
        </is>
      </c>
      <c r="B452" s="1" t="n">
        <v>44826</v>
      </c>
      <c r="C452" s="1" t="n">
        <v>46048</v>
      </c>
      <c r="D452" t="inlineStr">
        <is>
          <t>VÄSTERNORRLANDS LÄN</t>
        </is>
      </c>
      <c r="E452" t="inlineStr">
        <is>
          <t>SOLLEFTEÅ</t>
        </is>
      </c>
      <c r="F452" t="inlineStr">
        <is>
          <t>SCA</t>
        </is>
      </c>
      <c r="G452" t="n">
        <v>1.9</v>
      </c>
      <c r="H452" t="n">
        <v>0</v>
      </c>
      <c r="I452" t="n">
        <v>0</v>
      </c>
      <c r="J452" t="n">
        <v>0</v>
      </c>
      <c r="K452" t="n">
        <v>0</v>
      </c>
      <c r="L452" t="n">
        <v>0</v>
      </c>
      <c r="M452" t="n">
        <v>0</v>
      </c>
      <c r="N452" t="n">
        <v>0</v>
      </c>
      <c r="O452" t="n">
        <v>0</v>
      </c>
      <c r="P452" t="n">
        <v>0</v>
      </c>
      <c r="Q452" t="n">
        <v>0</v>
      </c>
      <c r="R452" s="2" t="inlineStr"/>
    </row>
    <row r="453" ht="15" customHeight="1">
      <c r="A453" t="inlineStr">
        <is>
          <t>A 3699-2022</t>
        </is>
      </c>
      <c r="B453" s="1" t="n">
        <v>44586.58597222222</v>
      </c>
      <c r="C453" s="1" t="n">
        <v>46048</v>
      </c>
      <c r="D453" t="inlineStr">
        <is>
          <t>VÄSTERNORRLANDS LÄN</t>
        </is>
      </c>
      <c r="E453" t="inlineStr">
        <is>
          <t>SOLLEFTEÅ</t>
        </is>
      </c>
      <c r="G453" t="n">
        <v>1.1</v>
      </c>
      <c r="H453" t="n">
        <v>0</v>
      </c>
      <c r="I453" t="n">
        <v>0</v>
      </c>
      <c r="J453" t="n">
        <v>0</v>
      </c>
      <c r="K453" t="n">
        <v>0</v>
      </c>
      <c r="L453" t="n">
        <v>0</v>
      </c>
      <c r="M453" t="n">
        <v>0</v>
      </c>
      <c r="N453" t="n">
        <v>0</v>
      </c>
      <c r="O453" t="n">
        <v>0</v>
      </c>
      <c r="P453" t="n">
        <v>0</v>
      </c>
      <c r="Q453" t="n">
        <v>0</v>
      </c>
      <c r="R453" s="2" t="inlineStr"/>
    </row>
    <row r="454" ht="15" customHeight="1">
      <c r="A454" t="inlineStr">
        <is>
          <t>A 18197-2022</t>
        </is>
      </c>
      <c r="B454" s="1" t="n">
        <v>44684</v>
      </c>
      <c r="C454" s="1" t="n">
        <v>46048</v>
      </c>
      <c r="D454" t="inlineStr">
        <is>
          <t>VÄSTERNORRLANDS LÄN</t>
        </is>
      </c>
      <c r="E454" t="inlineStr">
        <is>
          <t>SOLLEFTEÅ</t>
        </is>
      </c>
      <c r="F454" t="inlineStr">
        <is>
          <t>SCA</t>
        </is>
      </c>
      <c r="G454" t="n">
        <v>1.6</v>
      </c>
      <c r="H454" t="n">
        <v>0</v>
      </c>
      <c r="I454" t="n">
        <v>0</v>
      </c>
      <c r="J454" t="n">
        <v>0</v>
      </c>
      <c r="K454" t="n">
        <v>0</v>
      </c>
      <c r="L454" t="n">
        <v>0</v>
      </c>
      <c r="M454" t="n">
        <v>0</v>
      </c>
      <c r="N454" t="n">
        <v>0</v>
      </c>
      <c r="O454" t="n">
        <v>0</v>
      </c>
      <c r="P454" t="n">
        <v>0</v>
      </c>
      <c r="Q454" t="n">
        <v>0</v>
      </c>
      <c r="R454" s="2" t="inlineStr"/>
    </row>
    <row r="455" ht="15" customHeight="1">
      <c r="A455" t="inlineStr">
        <is>
          <t>A 12562-2022</t>
        </is>
      </c>
      <c r="B455" s="1" t="n">
        <v>44638.94247685185</v>
      </c>
      <c r="C455" s="1" t="n">
        <v>46048</v>
      </c>
      <c r="D455" t="inlineStr">
        <is>
          <t>VÄSTERNORRLANDS LÄN</t>
        </is>
      </c>
      <c r="E455" t="inlineStr">
        <is>
          <t>SOLLEFTEÅ</t>
        </is>
      </c>
      <c r="G455" t="n">
        <v>1.1</v>
      </c>
      <c r="H455" t="n">
        <v>0</v>
      </c>
      <c r="I455" t="n">
        <v>0</v>
      </c>
      <c r="J455" t="n">
        <v>0</v>
      </c>
      <c r="K455" t="n">
        <v>0</v>
      </c>
      <c r="L455" t="n">
        <v>0</v>
      </c>
      <c r="M455" t="n">
        <v>0</v>
      </c>
      <c r="N455" t="n">
        <v>0</v>
      </c>
      <c r="O455" t="n">
        <v>0</v>
      </c>
      <c r="P455" t="n">
        <v>0</v>
      </c>
      <c r="Q455" t="n">
        <v>0</v>
      </c>
      <c r="R455" s="2" t="inlineStr"/>
    </row>
    <row r="456" ht="15" customHeight="1">
      <c r="A456" t="inlineStr">
        <is>
          <t>A 55209-2022</t>
        </is>
      </c>
      <c r="B456" s="1" t="n">
        <v>44886.96086805555</v>
      </c>
      <c r="C456" s="1" t="n">
        <v>46048</v>
      </c>
      <c r="D456" t="inlineStr">
        <is>
          <t>VÄSTERNORRLANDS LÄN</t>
        </is>
      </c>
      <c r="E456" t="inlineStr">
        <is>
          <t>SOLLEFTEÅ</t>
        </is>
      </c>
      <c r="F456" t="inlineStr">
        <is>
          <t>SCA</t>
        </is>
      </c>
      <c r="G456" t="n">
        <v>3.4</v>
      </c>
      <c r="H456" t="n">
        <v>0</v>
      </c>
      <c r="I456" t="n">
        <v>0</v>
      </c>
      <c r="J456" t="n">
        <v>0</v>
      </c>
      <c r="K456" t="n">
        <v>0</v>
      </c>
      <c r="L456" t="n">
        <v>0</v>
      </c>
      <c r="M456" t="n">
        <v>0</v>
      </c>
      <c r="N456" t="n">
        <v>0</v>
      </c>
      <c r="O456" t="n">
        <v>0</v>
      </c>
      <c r="P456" t="n">
        <v>0</v>
      </c>
      <c r="Q456" t="n">
        <v>0</v>
      </c>
      <c r="R456" s="2" t="inlineStr"/>
    </row>
    <row r="457" ht="15" customHeight="1">
      <c r="A457" t="inlineStr">
        <is>
          <t>A 20994-2022</t>
        </is>
      </c>
      <c r="B457" s="1" t="n">
        <v>44703</v>
      </c>
      <c r="C457" s="1" t="n">
        <v>46048</v>
      </c>
      <c r="D457" t="inlineStr">
        <is>
          <t>VÄSTERNORRLANDS LÄN</t>
        </is>
      </c>
      <c r="E457" t="inlineStr">
        <is>
          <t>SOLLEFTEÅ</t>
        </is>
      </c>
      <c r="F457" t="inlineStr">
        <is>
          <t>SCA</t>
        </is>
      </c>
      <c r="G457" t="n">
        <v>4.1</v>
      </c>
      <c r="H457" t="n">
        <v>0</v>
      </c>
      <c r="I457" t="n">
        <v>0</v>
      </c>
      <c r="J457" t="n">
        <v>0</v>
      </c>
      <c r="K457" t="n">
        <v>0</v>
      </c>
      <c r="L457" t="n">
        <v>0</v>
      </c>
      <c r="M457" t="n">
        <v>0</v>
      </c>
      <c r="N457" t="n">
        <v>0</v>
      </c>
      <c r="O457" t="n">
        <v>0</v>
      </c>
      <c r="P457" t="n">
        <v>0</v>
      </c>
      <c r="Q457" t="n">
        <v>0</v>
      </c>
      <c r="R457" s="2" t="inlineStr"/>
    </row>
    <row r="458" ht="15" customHeight="1">
      <c r="A458" t="inlineStr">
        <is>
          <t>A 20996-2022</t>
        </is>
      </c>
      <c r="B458" s="1" t="n">
        <v>44703</v>
      </c>
      <c r="C458" s="1" t="n">
        <v>46048</v>
      </c>
      <c r="D458" t="inlineStr">
        <is>
          <t>VÄSTERNORRLANDS LÄN</t>
        </is>
      </c>
      <c r="E458" t="inlineStr">
        <is>
          <t>SOLLEFTEÅ</t>
        </is>
      </c>
      <c r="F458" t="inlineStr">
        <is>
          <t>SCA</t>
        </is>
      </c>
      <c r="G458" t="n">
        <v>1.3</v>
      </c>
      <c r="H458" t="n">
        <v>0</v>
      </c>
      <c r="I458" t="n">
        <v>0</v>
      </c>
      <c r="J458" t="n">
        <v>0</v>
      </c>
      <c r="K458" t="n">
        <v>0</v>
      </c>
      <c r="L458" t="n">
        <v>0</v>
      </c>
      <c r="M458" t="n">
        <v>0</v>
      </c>
      <c r="N458" t="n">
        <v>0</v>
      </c>
      <c r="O458" t="n">
        <v>0</v>
      </c>
      <c r="P458" t="n">
        <v>0</v>
      </c>
      <c r="Q458" t="n">
        <v>0</v>
      </c>
      <c r="R458" s="2" t="inlineStr"/>
    </row>
    <row r="459" ht="15" customHeight="1">
      <c r="A459" t="inlineStr">
        <is>
          <t>A 49694-2022</t>
        </is>
      </c>
      <c r="B459" s="1" t="n">
        <v>44859</v>
      </c>
      <c r="C459" s="1" t="n">
        <v>46048</v>
      </c>
      <c r="D459" t="inlineStr">
        <is>
          <t>VÄSTERNORRLANDS LÄN</t>
        </is>
      </c>
      <c r="E459" t="inlineStr">
        <is>
          <t>SOLLEFTEÅ</t>
        </is>
      </c>
      <c r="G459" t="n">
        <v>1.1</v>
      </c>
      <c r="H459" t="n">
        <v>0</v>
      </c>
      <c r="I459" t="n">
        <v>0</v>
      </c>
      <c r="J459" t="n">
        <v>0</v>
      </c>
      <c r="K459" t="n">
        <v>0</v>
      </c>
      <c r="L459" t="n">
        <v>0</v>
      </c>
      <c r="M459" t="n">
        <v>0</v>
      </c>
      <c r="N459" t="n">
        <v>0</v>
      </c>
      <c r="O459" t="n">
        <v>0</v>
      </c>
      <c r="P459" t="n">
        <v>0</v>
      </c>
      <c r="Q459" t="n">
        <v>0</v>
      </c>
      <c r="R459" s="2" t="inlineStr"/>
    </row>
    <row r="460" ht="15" customHeight="1">
      <c r="A460" t="inlineStr">
        <is>
          <t>A 30032-2022</t>
        </is>
      </c>
      <c r="B460" s="1" t="n">
        <v>44756</v>
      </c>
      <c r="C460" s="1" t="n">
        <v>46048</v>
      </c>
      <c r="D460" t="inlineStr">
        <is>
          <t>VÄSTERNORRLANDS LÄN</t>
        </is>
      </c>
      <c r="E460" t="inlineStr">
        <is>
          <t>SOLLEFTEÅ</t>
        </is>
      </c>
      <c r="F460" t="inlineStr">
        <is>
          <t>SCA</t>
        </is>
      </c>
      <c r="G460" t="n">
        <v>1.7</v>
      </c>
      <c r="H460" t="n">
        <v>0</v>
      </c>
      <c r="I460" t="n">
        <v>0</v>
      </c>
      <c r="J460" t="n">
        <v>0</v>
      </c>
      <c r="K460" t="n">
        <v>0</v>
      </c>
      <c r="L460" t="n">
        <v>0</v>
      </c>
      <c r="M460" t="n">
        <v>0</v>
      </c>
      <c r="N460" t="n">
        <v>0</v>
      </c>
      <c r="O460" t="n">
        <v>0</v>
      </c>
      <c r="P460" t="n">
        <v>0</v>
      </c>
      <c r="Q460" t="n">
        <v>0</v>
      </c>
      <c r="R460" s="2" t="inlineStr"/>
    </row>
    <row r="461" ht="15" customHeight="1">
      <c r="A461" t="inlineStr">
        <is>
          <t>A 12007-2022</t>
        </is>
      </c>
      <c r="B461" s="1" t="n">
        <v>44635.925</v>
      </c>
      <c r="C461" s="1" t="n">
        <v>46048</v>
      </c>
      <c r="D461" t="inlineStr">
        <is>
          <t>VÄSTERNORRLANDS LÄN</t>
        </is>
      </c>
      <c r="E461" t="inlineStr">
        <is>
          <t>SOLLEFTEÅ</t>
        </is>
      </c>
      <c r="G461" t="n">
        <v>0.4</v>
      </c>
      <c r="H461" t="n">
        <v>0</v>
      </c>
      <c r="I461" t="n">
        <v>0</v>
      </c>
      <c r="J461" t="n">
        <v>0</v>
      </c>
      <c r="K461" t="n">
        <v>0</v>
      </c>
      <c r="L461" t="n">
        <v>0</v>
      </c>
      <c r="M461" t="n">
        <v>0</v>
      </c>
      <c r="N461" t="n">
        <v>0</v>
      </c>
      <c r="O461" t="n">
        <v>0</v>
      </c>
      <c r="P461" t="n">
        <v>0</v>
      </c>
      <c r="Q461" t="n">
        <v>0</v>
      </c>
      <c r="R461" s="2" t="inlineStr"/>
    </row>
    <row r="462" ht="15" customHeight="1">
      <c r="A462" t="inlineStr">
        <is>
          <t>A 44285-2022</t>
        </is>
      </c>
      <c r="B462" s="1" t="n">
        <v>44839</v>
      </c>
      <c r="C462" s="1" t="n">
        <v>46048</v>
      </c>
      <c r="D462" t="inlineStr">
        <is>
          <t>VÄSTERNORRLANDS LÄN</t>
        </is>
      </c>
      <c r="E462" t="inlineStr">
        <is>
          <t>SOLLEFTEÅ</t>
        </is>
      </c>
      <c r="F462" t="inlineStr">
        <is>
          <t>Holmen skog AB</t>
        </is>
      </c>
      <c r="G462" t="n">
        <v>13.9</v>
      </c>
      <c r="H462" t="n">
        <v>0</v>
      </c>
      <c r="I462" t="n">
        <v>0</v>
      </c>
      <c r="J462" t="n">
        <v>0</v>
      </c>
      <c r="K462" t="n">
        <v>0</v>
      </c>
      <c r="L462" t="n">
        <v>0</v>
      </c>
      <c r="M462" t="n">
        <v>0</v>
      </c>
      <c r="N462" t="n">
        <v>0</v>
      </c>
      <c r="O462" t="n">
        <v>0</v>
      </c>
      <c r="P462" t="n">
        <v>0</v>
      </c>
      <c r="Q462" t="n">
        <v>0</v>
      </c>
      <c r="R462" s="2" t="inlineStr"/>
    </row>
    <row r="463" ht="15" customHeight="1">
      <c r="A463" t="inlineStr">
        <is>
          <t>A 46324-2022</t>
        </is>
      </c>
      <c r="B463" s="1" t="n">
        <v>44847</v>
      </c>
      <c r="C463" s="1" t="n">
        <v>46048</v>
      </c>
      <c r="D463" t="inlineStr">
        <is>
          <t>VÄSTERNORRLANDS LÄN</t>
        </is>
      </c>
      <c r="E463" t="inlineStr">
        <is>
          <t>SOLLEFTEÅ</t>
        </is>
      </c>
      <c r="F463" t="inlineStr">
        <is>
          <t>SCA</t>
        </is>
      </c>
      <c r="G463" t="n">
        <v>0.4</v>
      </c>
      <c r="H463" t="n">
        <v>0</v>
      </c>
      <c r="I463" t="n">
        <v>0</v>
      </c>
      <c r="J463" t="n">
        <v>0</v>
      </c>
      <c r="K463" t="n">
        <v>0</v>
      </c>
      <c r="L463" t="n">
        <v>0</v>
      </c>
      <c r="M463" t="n">
        <v>0</v>
      </c>
      <c r="N463" t="n">
        <v>0</v>
      </c>
      <c r="O463" t="n">
        <v>0</v>
      </c>
      <c r="P463" t="n">
        <v>0</v>
      </c>
      <c r="Q463" t="n">
        <v>0</v>
      </c>
      <c r="R463" s="2" t="inlineStr"/>
    </row>
    <row r="464" ht="15" customHeight="1">
      <c r="A464" t="inlineStr">
        <is>
          <t>A 47580-2022</t>
        </is>
      </c>
      <c r="B464" s="1" t="n">
        <v>44853.95252314815</v>
      </c>
      <c r="C464" s="1" t="n">
        <v>46048</v>
      </c>
      <c r="D464" t="inlineStr">
        <is>
          <t>VÄSTERNORRLANDS LÄN</t>
        </is>
      </c>
      <c r="E464" t="inlineStr">
        <is>
          <t>SOLLEFTEÅ</t>
        </is>
      </c>
      <c r="F464" t="inlineStr">
        <is>
          <t>SCA</t>
        </is>
      </c>
      <c r="G464" t="n">
        <v>0.6</v>
      </c>
      <c r="H464" t="n">
        <v>0</v>
      </c>
      <c r="I464" t="n">
        <v>0</v>
      </c>
      <c r="J464" t="n">
        <v>0</v>
      </c>
      <c r="K464" t="n">
        <v>0</v>
      </c>
      <c r="L464" t="n">
        <v>0</v>
      </c>
      <c r="M464" t="n">
        <v>0</v>
      </c>
      <c r="N464" t="n">
        <v>0</v>
      </c>
      <c r="O464" t="n">
        <v>0</v>
      </c>
      <c r="P464" t="n">
        <v>0</v>
      </c>
      <c r="Q464" t="n">
        <v>0</v>
      </c>
      <c r="R464" s="2" t="inlineStr"/>
    </row>
    <row r="465" ht="15" customHeight="1">
      <c r="A465" t="inlineStr">
        <is>
          <t>A 25183-2021</t>
        </is>
      </c>
      <c r="B465" s="1" t="n">
        <v>44341</v>
      </c>
      <c r="C465" s="1" t="n">
        <v>46048</v>
      </c>
      <c r="D465" t="inlineStr">
        <is>
          <t>VÄSTERNORRLANDS LÄN</t>
        </is>
      </c>
      <c r="E465" t="inlineStr">
        <is>
          <t>SOLLEFTEÅ</t>
        </is>
      </c>
      <c r="G465" t="n">
        <v>1.8</v>
      </c>
      <c r="H465" t="n">
        <v>0</v>
      </c>
      <c r="I465" t="n">
        <v>0</v>
      </c>
      <c r="J465" t="n">
        <v>0</v>
      </c>
      <c r="K465" t="n">
        <v>0</v>
      </c>
      <c r="L465" t="n">
        <v>0</v>
      </c>
      <c r="M465" t="n">
        <v>0</v>
      </c>
      <c r="N465" t="n">
        <v>0</v>
      </c>
      <c r="O465" t="n">
        <v>0</v>
      </c>
      <c r="P465" t="n">
        <v>0</v>
      </c>
      <c r="Q465" t="n">
        <v>0</v>
      </c>
      <c r="R465" s="2" t="inlineStr"/>
    </row>
    <row r="466" ht="15" customHeight="1">
      <c r="A466" t="inlineStr">
        <is>
          <t>A 43442-2022</t>
        </is>
      </c>
      <c r="B466" s="1" t="n">
        <v>44834</v>
      </c>
      <c r="C466" s="1" t="n">
        <v>46048</v>
      </c>
      <c r="D466" t="inlineStr">
        <is>
          <t>VÄSTERNORRLANDS LÄN</t>
        </is>
      </c>
      <c r="E466" t="inlineStr">
        <is>
          <t>SOLLEFTEÅ</t>
        </is>
      </c>
      <c r="F466" t="inlineStr">
        <is>
          <t>Kyrkan</t>
        </is>
      </c>
      <c r="G466" t="n">
        <v>3</v>
      </c>
      <c r="H466" t="n">
        <v>0</v>
      </c>
      <c r="I466" t="n">
        <v>0</v>
      </c>
      <c r="J466" t="n">
        <v>0</v>
      </c>
      <c r="K466" t="n">
        <v>0</v>
      </c>
      <c r="L466" t="n">
        <v>0</v>
      </c>
      <c r="M466" t="n">
        <v>0</v>
      </c>
      <c r="N466" t="n">
        <v>0</v>
      </c>
      <c r="O466" t="n">
        <v>0</v>
      </c>
      <c r="P466" t="n">
        <v>0</v>
      </c>
      <c r="Q466" t="n">
        <v>0</v>
      </c>
      <c r="R466" s="2" t="inlineStr"/>
    </row>
    <row r="467" ht="15" customHeight="1">
      <c r="A467" t="inlineStr">
        <is>
          <t>A 34534-2022</t>
        </is>
      </c>
      <c r="B467" s="1" t="n">
        <v>44792.94587962963</v>
      </c>
      <c r="C467" s="1" t="n">
        <v>46048</v>
      </c>
      <c r="D467" t="inlineStr">
        <is>
          <t>VÄSTERNORRLANDS LÄN</t>
        </is>
      </c>
      <c r="E467" t="inlineStr">
        <is>
          <t>SOLLEFTEÅ</t>
        </is>
      </c>
      <c r="F467" t="inlineStr">
        <is>
          <t>SCA</t>
        </is>
      </c>
      <c r="G467" t="n">
        <v>1.2</v>
      </c>
      <c r="H467" t="n">
        <v>0</v>
      </c>
      <c r="I467" t="n">
        <v>0</v>
      </c>
      <c r="J467" t="n">
        <v>0</v>
      </c>
      <c r="K467" t="n">
        <v>0</v>
      </c>
      <c r="L467" t="n">
        <v>0</v>
      </c>
      <c r="M467" t="n">
        <v>0</v>
      </c>
      <c r="N467" t="n">
        <v>0</v>
      </c>
      <c r="O467" t="n">
        <v>0</v>
      </c>
      <c r="P467" t="n">
        <v>0</v>
      </c>
      <c r="Q467" t="n">
        <v>0</v>
      </c>
      <c r="R467" s="2" t="inlineStr"/>
    </row>
    <row r="468" ht="15" customHeight="1">
      <c r="A468" t="inlineStr">
        <is>
          <t>A 43124-2022</t>
        </is>
      </c>
      <c r="B468" s="1" t="n">
        <v>44833.92898148148</v>
      </c>
      <c r="C468" s="1" t="n">
        <v>46048</v>
      </c>
      <c r="D468" t="inlineStr">
        <is>
          <t>VÄSTERNORRLANDS LÄN</t>
        </is>
      </c>
      <c r="E468" t="inlineStr">
        <is>
          <t>SOLLEFTEÅ</t>
        </is>
      </c>
      <c r="G468" t="n">
        <v>0.5</v>
      </c>
      <c r="H468" t="n">
        <v>0</v>
      </c>
      <c r="I468" t="n">
        <v>0</v>
      </c>
      <c r="J468" t="n">
        <v>0</v>
      </c>
      <c r="K468" t="n">
        <v>0</v>
      </c>
      <c r="L468" t="n">
        <v>0</v>
      </c>
      <c r="M468" t="n">
        <v>0</v>
      </c>
      <c r="N468" t="n">
        <v>0</v>
      </c>
      <c r="O468" t="n">
        <v>0</v>
      </c>
      <c r="P468" t="n">
        <v>0</v>
      </c>
      <c r="Q468" t="n">
        <v>0</v>
      </c>
      <c r="R468" s="2" t="inlineStr"/>
    </row>
    <row r="469" ht="15" customHeight="1">
      <c r="A469" t="inlineStr">
        <is>
          <t>A 18097-2021</t>
        </is>
      </c>
      <c r="B469" s="1" t="n">
        <v>44302.48136574074</v>
      </c>
      <c r="C469" s="1" t="n">
        <v>46048</v>
      </c>
      <c r="D469" t="inlineStr">
        <is>
          <t>VÄSTERNORRLANDS LÄN</t>
        </is>
      </c>
      <c r="E469" t="inlineStr">
        <is>
          <t>SOLLEFTEÅ</t>
        </is>
      </c>
      <c r="G469" t="n">
        <v>1.5</v>
      </c>
      <c r="H469" t="n">
        <v>0</v>
      </c>
      <c r="I469" t="n">
        <v>0</v>
      </c>
      <c r="J469" t="n">
        <v>0</v>
      </c>
      <c r="K469" t="n">
        <v>0</v>
      </c>
      <c r="L469" t="n">
        <v>0</v>
      </c>
      <c r="M469" t="n">
        <v>0</v>
      </c>
      <c r="N469" t="n">
        <v>0</v>
      </c>
      <c r="O469" t="n">
        <v>0</v>
      </c>
      <c r="P469" t="n">
        <v>0</v>
      </c>
      <c r="Q469" t="n">
        <v>0</v>
      </c>
      <c r="R469" s="2" t="inlineStr"/>
    </row>
    <row r="470" ht="15" customHeight="1">
      <c r="A470" t="inlineStr">
        <is>
          <t>A 48511-2022</t>
        </is>
      </c>
      <c r="B470" s="1" t="n">
        <v>44858.94972222222</v>
      </c>
      <c r="C470" s="1" t="n">
        <v>46048</v>
      </c>
      <c r="D470" t="inlineStr">
        <is>
          <t>VÄSTERNORRLANDS LÄN</t>
        </is>
      </c>
      <c r="E470" t="inlineStr">
        <is>
          <t>SOLLEFTEÅ</t>
        </is>
      </c>
      <c r="F470" t="inlineStr">
        <is>
          <t>SCA</t>
        </is>
      </c>
      <c r="G470" t="n">
        <v>0.7</v>
      </c>
      <c r="H470" t="n">
        <v>0</v>
      </c>
      <c r="I470" t="n">
        <v>0</v>
      </c>
      <c r="J470" t="n">
        <v>0</v>
      </c>
      <c r="K470" t="n">
        <v>0</v>
      </c>
      <c r="L470" t="n">
        <v>0</v>
      </c>
      <c r="M470" t="n">
        <v>0</v>
      </c>
      <c r="N470" t="n">
        <v>0</v>
      </c>
      <c r="O470" t="n">
        <v>0</v>
      </c>
      <c r="P470" t="n">
        <v>0</v>
      </c>
      <c r="Q470" t="n">
        <v>0</v>
      </c>
      <c r="R470" s="2" t="inlineStr"/>
    </row>
    <row r="471" ht="15" customHeight="1">
      <c r="A471" t="inlineStr">
        <is>
          <t>A 27809-2021</t>
        </is>
      </c>
      <c r="B471" s="1" t="n">
        <v>44354</v>
      </c>
      <c r="C471" s="1" t="n">
        <v>46048</v>
      </c>
      <c r="D471" t="inlineStr">
        <is>
          <t>VÄSTERNORRLANDS LÄN</t>
        </is>
      </c>
      <c r="E471" t="inlineStr">
        <is>
          <t>SOLLEFTEÅ</t>
        </is>
      </c>
      <c r="F471" t="inlineStr">
        <is>
          <t>Holmen skog AB</t>
        </is>
      </c>
      <c r="G471" t="n">
        <v>1.9</v>
      </c>
      <c r="H471" t="n">
        <v>0</v>
      </c>
      <c r="I471" t="n">
        <v>0</v>
      </c>
      <c r="J471" t="n">
        <v>0</v>
      </c>
      <c r="K471" t="n">
        <v>0</v>
      </c>
      <c r="L471" t="n">
        <v>0</v>
      </c>
      <c r="M471" t="n">
        <v>0</v>
      </c>
      <c r="N471" t="n">
        <v>0</v>
      </c>
      <c r="O471" t="n">
        <v>0</v>
      </c>
      <c r="P471" t="n">
        <v>0</v>
      </c>
      <c r="Q471" t="n">
        <v>0</v>
      </c>
      <c r="R471" s="2" t="inlineStr"/>
    </row>
    <row r="472" ht="15" customHeight="1">
      <c r="A472" t="inlineStr">
        <is>
          <t>A 18662-2021</t>
        </is>
      </c>
      <c r="B472" s="1" t="n">
        <v>44306</v>
      </c>
      <c r="C472" s="1" t="n">
        <v>46048</v>
      </c>
      <c r="D472" t="inlineStr">
        <is>
          <t>VÄSTERNORRLANDS LÄN</t>
        </is>
      </c>
      <c r="E472" t="inlineStr">
        <is>
          <t>SOLLEFTEÅ</t>
        </is>
      </c>
      <c r="G472" t="n">
        <v>0.9</v>
      </c>
      <c r="H472" t="n">
        <v>0</v>
      </c>
      <c r="I472" t="n">
        <v>0</v>
      </c>
      <c r="J472" t="n">
        <v>0</v>
      </c>
      <c r="K472" t="n">
        <v>0</v>
      </c>
      <c r="L472" t="n">
        <v>0</v>
      </c>
      <c r="M472" t="n">
        <v>0</v>
      </c>
      <c r="N472" t="n">
        <v>0</v>
      </c>
      <c r="O472" t="n">
        <v>0</v>
      </c>
      <c r="P472" t="n">
        <v>0</v>
      </c>
      <c r="Q472" t="n">
        <v>0</v>
      </c>
      <c r="R472" s="2" t="inlineStr"/>
    </row>
    <row r="473" ht="15" customHeight="1">
      <c r="A473" t="inlineStr">
        <is>
          <t>A 45105-2021</t>
        </is>
      </c>
      <c r="B473" s="1" t="n">
        <v>44439</v>
      </c>
      <c r="C473" s="1" t="n">
        <v>46048</v>
      </c>
      <c r="D473" t="inlineStr">
        <is>
          <t>VÄSTERNORRLANDS LÄN</t>
        </is>
      </c>
      <c r="E473" t="inlineStr">
        <is>
          <t>SOLLEFTEÅ</t>
        </is>
      </c>
      <c r="F473" t="inlineStr">
        <is>
          <t>Kommuner</t>
        </is>
      </c>
      <c r="G473" t="n">
        <v>1.2</v>
      </c>
      <c r="H473" t="n">
        <v>0</v>
      </c>
      <c r="I473" t="n">
        <v>0</v>
      </c>
      <c r="J473" t="n">
        <v>0</v>
      </c>
      <c r="K473" t="n">
        <v>0</v>
      </c>
      <c r="L473" t="n">
        <v>0</v>
      </c>
      <c r="M473" t="n">
        <v>0</v>
      </c>
      <c r="N473" t="n">
        <v>0</v>
      </c>
      <c r="O473" t="n">
        <v>0</v>
      </c>
      <c r="P473" t="n">
        <v>0</v>
      </c>
      <c r="Q473" t="n">
        <v>0</v>
      </c>
      <c r="R473" s="2" t="inlineStr"/>
    </row>
    <row r="474" ht="15" customHeight="1">
      <c r="A474" t="inlineStr">
        <is>
          <t>A 22447-2021</t>
        </is>
      </c>
      <c r="B474" s="1" t="n">
        <v>44323</v>
      </c>
      <c r="C474" s="1" t="n">
        <v>46048</v>
      </c>
      <c r="D474" t="inlineStr">
        <is>
          <t>VÄSTERNORRLANDS LÄN</t>
        </is>
      </c>
      <c r="E474" t="inlineStr">
        <is>
          <t>SOLLEFTEÅ</t>
        </is>
      </c>
      <c r="G474" t="n">
        <v>1.4</v>
      </c>
      <c r="H474" t="n">
        <v>0</v>
      </c>
      <c r="I474" t="n">
        <v>0</v>
      </c>
      <c r="J474" t="n">
        <v>0</v>
      </c>
      <c r="K474" t="n">
        <v>0</v>
      </c>
      <c r="L474" t="n">
        <v>0</v>
      </c>
      <c r="M474" t="n">
        <v>0</v>
      </c>
      <c r="N474" t="n">
        <v>0</v>
      </c>
      <c r="O474" t="n">
        <v>0</v>
      </c>
      <c r="P474" t="n">
        <v>0</v>
      </c>
      <c r="Q474" t="n">
        <v>0</v>
      </c>
      <c r="R474" s="2" t="inlineStr"/>
    </row>
    <row r="475" ht="15" customHeight="1">
      <c r="A475" t="inlineStr">
        <is>
          <t>A 51020-2021</t>
        </is>
      </c>
      <c r="B475" s="1" t="n">
        <v>44460</v>
      </c>
      <c r="C475" s="1" t="n">
        <v>46048</v>
      </c>
      <c r="D475" t="inlineStr">
        <is>
          <t>VÄSTERNORRLANDS LÄN</t>
        </is>
      </c>
      <c r="E475" t="inlineStr">
        <is>
          <t>SOLLEFTEÅ</t>
        </is>
      </c>
      <c r="F475" t="inlineStr">
        <is>
          <t>SCA</t>
        </is>
      </c>
      <c r="G475" t="n">
        <v>3.9</v>
      </c>
      <c r="H475" t="n">
        <v>0</v>
      </c>
      <c r="I475" t="n">
        <v>0</v>
      </c>
      <c r="J475" t="n">
        <v>0</v>
      </c>
      <c r="K475" t="n">
        <v>0</v>
      </c>
      <c r="L475" t="n">
        <v>0</v>
      </c>
      <c r="M475" t="n">
        <v>0</v>
      </c>
      <c r="N475" t="n">
        <v>0</v>
      </c>
      <c r="O475" t="n">
        <v>0</v>
      </c>
      <c r="P475" t="n">
        <v>0</v>
      </c>
      <c r="Q475" t="n">
        <v>0</v>
      </c>
      <c r="R475" s="2" t="inlineStr"/>
    </row>
    <row r="476" ht="15" customHeight="1">
      <c r="A476" t="inlineStr">
        <is>
          <t>A 61496-2021</t>
        </is>
      </c>
      <c r="B476" s="1" t="n">
        <v>44501</v>
      </c>
      <c r="C476" s="1" t="n">
        <v>46048</v>
      </c>
      <c r="D476" t="inlineStr">
        <is>
          <t>VÄSTERNORRLANDS LÄN</t>
        </is>
      </c>
      <c r="E476" t="inlineStr">
        <is>
          <t>SOLLEFTEÅ</t>
        </is>
      </c>
      <c r="F476" t="inlineStr">
        <is>
          <t>Holmen skog AB</t>
        </is>
      </c>
      <c r="G476" t="n">
        <v>2</v>
      </c>
      <c r="H476" t="n">
        <v>0</v>
      </c>
      <c r="I476" t="n">
        <v>0</v>
      </c>
      <c r="J476" t="n">
        <v>0</v>
      </c>
      <c r="K476" t="n">
        <v>0</v>
      </c>
      <c r="L476" t="n">
        <v>0</v>
      </c>
      <c r="M476" t="n">
        <v>0</v>
      </c>
      <c r="N476" t="n">
        <v>0</v>
      </c>
      <c r="O476" t="n">
        <v>0</v>
      </c>
      <c r="P476" t="n">
        <v>0</v>
      </c>
      <c r="Q476" t="n">
        <v>0</v>
      </c>
      <c r="R476" s="2" t="inlineStr"/>
    </row>
    <row r="477" ht="15" customHeight="1">
      <c r="A477" t="inlineStr">
        <is>
          <t>A 29829-2021</t>
        </is>
      </c>
      <c r="B477" s="1" t="n">
        <v>44362</v>
      </c>
      <c r="C477" s="1" t="n">
        <v>46048</v>
      </c>
      <c r="D477" t="inlineStr">
        <is>
          <t>VÄSTERNORRLANDS LÄN</t>
        </is>
      </c>
      <c r="E477" t="inlineStr">
        <is>
          <t>SOLLEFTEÅ</t>
        </is>
      </c>
      <c r="G477" t="n">
        <v>4</v>
      </c>
      <c r="H477" t="n">
        <v>0</v>
      </c>
      <c r="I477" t="n">
        <v>0</v>
      </c>
      <c r="J477" t="n">
        <v>0</v>
      </c>
      <c r="K477" t="n">
        <v>0</v>
      </c>
      <c r="L477" t="n">
        <v>0</v>
      </c>
      <c r="M477" t="n">
        <v>0</v>
      </c>
      <c r="N477" t="n">
        <v>0</v>
      </c>
      <c r="O477" t="n">
        <v>0</v>
      </c>
      <c r="P477" t="n">
        <v>0</v>
      </c>
      <c r="Q477" t="n">
        <v>0</v>
      </c>
      <c r="R477" s="2" t="inlineStr"/>
    </row>
    <row r="478" ht="15" customHeight="1">
      <c r="A478" t="inlineStr">
        <is>
          <t>A 31452-2022</t>
        </is>
      </c>
      <c r="B478" s="1" t="n">
        <v>44774.9415162037</v>
      </c>
      <c r="C478" s="1" t="n">
        <v>46048</v>
      </c>
      <c r="D478" t="inlineStr">
        <is>
          <t>VÄSTERNORRLANDS LÄN</t>
        </is>
      </c>
      <c r="E478" t="inlineStr">
        <is>
          <t>SOLLEFTEÅ</t>
        </is>
      </c>
      <c r="F478" t="inlineStr">
        <is>
          <t>SCA</t>
        </is>
      </c>
      <c r="G478" t="n">
        <v>2.1</v>
      </c>
      <c r="H478" t="n">
        <v>0</v>
      </c>
      <c r="I478" t="n">
        <v>0</v>
      </c>
      <c r="J478" t="n">
        <v>0</v>
      </c>
      <c r="K478" t="n">
        <v>0</v>
      </c>
      <c r="L478" t="n">
        <v>0</v>
      </c>
      <c r="M478" t="n">
        <v>0</v>
      </c>
      <c r="N478" t="n">
        <v>0</v>
      </c>
      <c r="O478" t="n">
        <v>0</v>
      </c>
      <c r="P478" t="n">
        <v>0</v>
      </c>
      <c r="Q478" t="n">
        <v>0</v>
      </c>
      <c r="R478" s="2" t="inlineStr"/>
    </row>
    <row r="479" ht="15" customHeight="1">
      <c r="A479" t="inlineStr">
        <is>
          <t>A 15090-2022</t>
        </is>
      </c>
      <c r="B479" s="1" t="n">
        <v>44657.95271990741</v>
      </c>
      <c r="C479" s="1" t="n">
        <v>46048</v>
      </c>
      <c r="D479" t="inlineStr">
        <is>
          <t>VÄSTERNORRLANDS LÄN</t>
        </is>
      </c>
      <c r="E479" t="inlineStr">
        <is>
          <t>SOLLEFTEÅ</t>
        </is>
      </c>
      <c r="F479" t="inlineStr">
        <is>
          <t>SCA</t>
        </is>
      </c>
      <c r="G479" t="n">
        <v>3.4</v>
      </c>
      <c r="H479" t="n">
        <v>0</v>
      </c>
      <c r="I479" t="n">
        <v>0</v>
      </c>
      <c r="J479" t="n">
        <v>0</v>
      </c>
      <c r="K479" t="n">
        <v>0</v>
      </c>
      <c r="L479" t="n">
        <v>0</v>
      </c>
      <c r="M479" t="n">
        <v>0</v>
      </c>
      <c r="N479" t="n">
        <v>0</v>
      </c>
      <c r="O479" t="n">
        <v>0</v>
      </c>
      <c r="P479" t="n">
        <v>0</v>
      </c>
      <c r="Q479" t="n">
        <v>0</v>
      </c>
      <c r="R479" s="2" t="inlineStr"/>
    </row>
    <row r="480" ht="15" customHeight="1">
      <c r="A480" t="inlineStr">
        <is>
          <t>A 73285-2021</t>
        </is>
      </c>
      <c r="B480" s="1" t="n">
        <v>44550.94386574074</v>
      </c>
      <c r="C480" s="1" t="n">
        <v>46048</v>
      </c>
      <c r="D480" t="inlineStr">
        <is>
          <t>VÄSTERNORRLANDS LÄN</t>
        </is>
      </c>
      <c r="E480" t="inlineStr">
        <is>
          <t>SOLLEFTEÅ</t>
        </is>
      </c>
      <c r="F480" t="inlineStr">
        <is>
          <t>SCA</t>
        </is>
      </c>
      <c r="G480" t="n">
        <v>1.2</v>
      </c>
      <c r="H480" t="n">
        <v>0</v>
      </c>
      <c r="I480" t="n">
        <v>0</v>
      </c>
      <c r="J480" t="n">
        <v>0</v>
      </c>
      <c r="K480" t="n">
        <v>0</v>
      </c>
      <c r="L480" t="n">
        <v>0</v>
      </c>
      <c r="M480" t="n">
        <v>0</v>
      </c>
      <c r="N480" t="n">
        <v>0</v>
      </c>
      <c r="O480" t="n">
        <v>0</v>
      </c>
      <c r="P480" t="n">
        <v>0</v>
      </c>
      <c r="Q480" t="n">
        <v>0</v>
      </c>
      <c r="R480" s="2" t="inlineStr"/>
    </row>
    <row r="481" ht="15" customHeight="1">
      <c r="A481" t="inlineStr">
        <is>
          <t>A 58268-2021</t>
        </is>
      </c>
      <c r="B481" s="1" t="n">
        <v>44487</v>
      </c>
      <c r="C481" s="1" t="n">
        <v>46048</v>
      </c>
      <c r="D481" t="inlineStr">
        <is>
          <t>VÄSTERNORRLANDS LÄN</t>
        </is>
      </c>
      <c r="E481" t="inlineStr">
        <is>
          <t>SOLLEFTEÅ</t>
        </is>
      </c>
      <c r="F481" t="inlineStr">
        <is>
          <t>SCA</t>
        </is>
      </c>
      <c r="G481" t="n">
        <v>2.5</v>
      </c>
      <c r="H481" t="n">
        <v>0</v>
      </c>
      <c r="I481" t="n">
        <v>0</v>
      </c>
      <c r="J481" t="n">
        <v>0</v>
      </c>
      <c r="K481" t="n">
        <v>0</v>
      </c>
      <c r="L481" t="n">
        <v>0</v>
      </c>
      <c r="M481" t="n">
        <v>0</v>
      </c>
      <c r="N481" t="n">
        <v>0</v>
      </c>
      <c r="O481" t="n">
        <v>0</v>
      </c>
      <c r="P481" t="n">
        <v>0</v>
      </c>
      <c r="Q481" t="n">
        <v>0</v>
      </c>
      <c r="R481" s="2" t="inlineStr"/>
    </row>
    <row r="482" ht="15" customHeight="1">
      <c r="A482" t="inlineStr">
        <is>
          <t>A 18873-2021</t>
        </is>
      </c>
      <c r="B482" s="1" t="n">
        <v>44307.934375</v>
      </c>
      <c r="C482" s="1" t="n">
        <v>46048</v>
      </c>
      <c r="D482" t="inlineStr">
        <is>
          <t>VÄSTERNORRLANDS LÄN</t>
        </is>
      </c>
      <c r="E482" t="inlineStr">
        <is>
          <t>SOLLEFTEÅ</t>
        </is>
      </c>
      <c r="F482" t="inlineStr">
        <is>
          <t>SCA</t>
        </is>
      </c>
      <c r="G482" t="n">
        <v>3.5</v>
      </c>
      <c r="H482" t="n">
        <v>0</v>
      </c>
      <c r="I482" t="n">
        <v>0</v>
      </c>
      <c r="J482" t="n">
        <v>0</v>
      </c>
      <c r="K482" t="n">
        <v>0</v>
      </c>
      <c r="L482" t="n">
        <v>0</v>
      </c>
      <c r="M482" t="n">
        <v>0</v>
      </c>
      <c r="N482" t="n">
        <v>0</v>
      </c>
      <c r="O482" t="n">
        <v>0</v>
      </c>
      <c r="P482" t="n">
        <v>0</v>
      </c>
      <c r="Q482" t="n">
        <v>0</v>
      </c>
      <c r="R482" s="2" t="inlineStr"/>
    </row>
    <row r="483" ht="15" customHeight="1">
      <c r="A483" t="inlineStr">
        <is>
          <t>A 30237-2022</t>
        </is>
      </c>
      <c r="B483" s="1" t="n">
        <v>44757.94412037037</v>
      </c>
      <c r="C483" s="1" t="n">
        <v>46048</v>
      </c>
      <c r="D483" t="inlineStr">
        <is>
          <t>VÄSTERNORRLANDS LÄN</t>
        </is>
      </c>
      <c r="E483" t="inlineStr">
        <is>
          <t>SOLLEFTEÅ</t>
        </is>
      </c>
      <c r="F483" t="inlineStr">
        <is>
          <t>SCA</t>
        </is>
      </c>
      <c r="G483" t="n">
        <v>8.1</v>
      </c>
      <c r="H483" t="n">
        <v>0</v>
      </c>
      <c r="I483" t="n">
        <v>0</v>
      </c>
      <c r="J483" t="n">
        <v>0</v>
      </c>
      <c r="K483" t="n">
        <v>0</v>
      </c>
      <c r="L483" t="n">
        <v>0</v>
      </c>
      <c r="M483" t="n">
        <v>0</v>
      </c>
      <c r="N483" t="n">
        <v>0</v>
      </c>
      <c r="O483" t="n">
        <v>0</v>
      </c>
      <c r="P483" t="n">
        <v>0</v>
      </c>
      <c r="Q483" t="n">
        <v>0</v>
      </c>
      <c r="R483" s="2" t="inlineStr"/>
    </row>
    <row r="484" ht="15" customHeight="1">
      <c r="A484" t="inlineStr">
        <is>
          <t>A 51317-2022</t>
        </is>
      </c>
      <c r="B484" s="1" t="n">
        <v>44868</v>
      </c>
      <c r="C484" s="1" t="n">
        <v>46048</v>
      </c>
      <c r="D484" t="inlineStr">
        <is>
          <t>VÄSTERNORRLANDS LÄN</t>
        </is>
      </c>
      <c r="E484" t="inlineStr">
        <is>
          <t>SOLLEFTEÅ</t>
        </is>
      </c>
      <c r="F484" t="inlineStr">
        <is>
          <t>SCA</t>
        </is>
      </c>
      <c r="G484" t="n">
        <v>2.4</v>
      </c>
      <c r="H484" t="n">
        <v>0</v>
      </c>
      <c r="I484" t="n">
        <v>0</v>
      </c>
      <c r="J484" t="n">
        <v>0</v>
      </c>
      <c r="K484" t="n">
        <v>0</v>
      </c>
      <c r="L484" t="n">
        <v>0</v>
      </c>
      <c r="M484" t="n">
        <v>0</v>
      </c>
      <c r="N484" t="n">
        <v>0</v>
      </c>
      <c r="O484" t="n">
        <v>0</v>
      </c>
      <c r="P484" t="n">
        <v>0</v>
      </c>
      <c r="Q484" t="n">
        <v>0</v>
      </c>
      <c r="R484" s="2" t="inlineStr"/>
    </row>
    <row r="485" ht="15" customHeight="1">
      <c r="A485" t="inlineStr">
        <is>
          <t>A 25345-2021</t>
        </is>
      </c>
      <c r="B485" s="1" t="n">
        <v>44342</v>
      </c>
      <c r="C485" s="1" t="n">
        <v>46048</v>
      </c>
      <c r="D485" t="inlineStr">
        <is>
          <t>VÄSTERNORRLANDS LÄN</t>
        </is>
      </c>
      <c r="E485" t="inlineStr">
        <is>
          <t>SOLLEFTEÅ</t>
        </is>
      </c>
      <c r="G485" t="n">
        <v>0.2</v>
      </c>
      <c r="H485" t="n">
        <v>0</v>
      </c>
      <c r="I485" t="n">
        <v>0</v>
      </c>
      <c r="J485" t="n">
        <v>0</v>
      </c>
      <c r="K485" t="n">
        <v>0</v>
      </c>
      <c r="L485" t="n">
        <v>0</v>
      </c>
      <c r="M485" t="n">
        <v>0</v>
      </c>
      <c r="N485" t="n">
        <v>0</v>
      </c>
      <c r="O485" t="n">
        <v>0</v>
      </c>
      <c r="P485" t="n">
        <v>0</v>
      </c>
      <c r="Q485" t="n">
        <v>0</v>
      </c>
      <c r="R485" s="2" t="inlineStr"/>
    </row>
    <row r="486" ht="15" customHeight="1">
      <c r="A486" t="inlineStr">
        <is>
          <t>A 24008-2022</t>
        </is>
      </c>
      <c r="B486" s="1" t="n">
        <v>44722.94112268519</v>
      </c>
      <c r="C486" s="1" t="n">
        <v>46048</v>
      </c>
      <c r="D486" t="inlineStr">
        <is>
          <t>VÄSTERNORRLANDS LÄN</t>
        </is>
      </c>
      <c r="E486" t="inlineStr">
        <is>
          <t>SOLLEFTEÅ</t>
        </is>
      </c>
      <c r="F486" t="inlineStr">
        <is>
          <t>SCA</t>
        </is>
      </c>
      <c r="G486" t="n">
        <v>0.8</v>
      </c>
      <c r="H486" t="n">
        <v>0</v>
      </c>
      <c r="I486" t="n">
        <v>0</v>
      </c>
      <c r="J486" t="n">
        <v>0</v>
      </c>
      <c r="K486" t="n">
        <v>0</v>
      </c>
      <c r="L486" t="n">
        <v>0</v>
      </c>
      <c r="M486" t="n">
        <v>0</v>
      </c>
      <c r="N486" t="n">
        <v>0</v>
      </c>
      <c r="O486" t="n">
        <v>0</v>
      </c>
      <c r="P486" t="n">
        <v>0</v>
      </c>
      <c r="Q486" t="n">
        <v>0</v>
      </c>
      <c r="R486" s="2" t="inlineStr"/>
    </row>
    <row r="487" ht="15" customHeight="1">
      <c r="A487" t="inlineStr">
        <is>
          <t>A 57911-2021</t>
        </is>
      </c>
      <c r="B487" s="1" t="n">
        <v>44486.90736111111</v>
      </c>
      <c r="C487" s="1" t="n">
        <v>46048</v>
      </c>
      <c r="D487" t="inlineStr">
        <is>
          <t>VÄSTERNORRLANDS LÄN</t>
        </is>
      </c>
      <c r="E487" t="inlineStr">
        <is>
          <t>SOLLEFTEÅ</t>
        </is>
      </c>
      <c r="G487" t="n">
        <v>3.1</v>
      </c>
      <c r="H487" t="n">
        <v>0</v>
      </c>
      <c r="I487" t="n">
        <v>0</v>
      </c>
      <c r="J487" t="n">
        <v>0</v>
      </c>
      <c r="K487" t="n">
        <v>0</v>
      </c>
      <c r="L487" t="n">
        <v>0</v>
      </c>
      <c r="M487" t="n">
        <v>0</v>
      </c>
      <c r="N487" t="n">
        <v>0</v>
      </c>
      <c r="O487" t="n">
        <v>0</v>
      </c>
      <c r="P487" t="n">
        <v>0</v>
      </c>
      <c r="Q487" t="n">
        <v>0</v>
      </c>
      <c r="R487" s="2" t="inlineStr"/>
    </row>
    <row r="488" ht="15" customHeight="1">
      <c r="A488" t="inlineStr">
        <is>
          <t>A 28700-2022</t>
        </is>
      </c>
      <c r="B488" s="1" t="n">
        <v>44748</v>
      </c>
      <c r="C488" s="1" t="n">
        <v>46048</v>
      </c>
      <c r="D488" t="inlineStr">
        <is>
          <t>VÄSTERNORRLANDS LÄN</t>
        </is>
      </c>
      <c r="E488" t="inlineStr">
        <is>
          <t>SOLLEFTEÅ</t>
        </is>
      </c>
      <c r="G488" t="n">
        <v>2</v>
      </c>
      <c r="H488" t="n">
        <v>0</v>
      </c>
      <c r="I488" t="n">
        <v>0</v>
      </c>
      <c r="J488" t="n">
        <v>0</v>
      </c>
      <c r="K488" t="n">
        <v>0</v>
      </c>
      <c r="L488" t="n">
        <v>0</v>
      </c>
      <c r="M488" t="n">
        <v>0</v>
      </c>
      <c r="N488" t="n">
        <v>0</v>
      </c>
      <c r="O488" t="n">
        <v>0</v>
      </c>
      <c r="P488" t="n">
        <v>0</v>
      </c>
      <c r="Q488" t="n">
        <v>0</v>
      </c>
      <c r="R488" s="2" t="inlineStr"/>
    </row>
    <row r="489" ht="15" customHeight="1">
      <c r="A489" t="inlineStr">
        <is>
          <t>A 39943-2022</t>
        </is>
      </c>
      <c r="B489" s="1" t="n">
        <v>44819.94916666667</v>
      </c>
      <c r="C489" s="1" t="n">
        <v>46048</v>
      </c>
      <c r="D489" t="inlineStr">
        <is>
          <t>VÄSTERNORRLANDS LÄN</t>
        </is>
      </c>
      <c r="E489" t="inlineStr">
        <is>
          <t>SOLLEFTEÅ</t>
        </is>
      </c>
      <c r="F489" t="inlineStr">
        <is>
          <t>SCA</t>
        </is>
      </c>
      <c r="G489" t="n">
        <v>3.8</v>
      </c>
      <c r="H489" t="n">
        <v>0</v>
      </c>
      <c r="I489" t="n">
        <v>0</v>
      </c>
      <c r="J489" t="n">
        <v>0</v>
      </c>
      <c r="K489" t="n">
        <v>0</v>
      </c>
      <c r="L489" t="n">
        <v>0</v>
      </c>
      <c r="M489" t="n">
        <v>0</v>
      </c>
      <c r="N489" t="n">
        <v>0</v>
      </c>
      <c r="O489" t="n">
        <v>0</v>
      </c>
      <c r="P489" t="n">
        <v>0</v>
      </c>
      <c r="Q489" t="n">
        <v>0</v>
      </c>
      <c r="R489" s="2" t="inlineStr"/>
    </row>
    <row r="490" ht="15" customHeight="1">
      <c r="A490" t="inlineStr">
        <is>
          <t>A 71348-2021</t>
        </is>
      </c>
      <c r="B490" s="1" t="n">
        <v>44539</v>
      </c>
      <c r="C490" s="1" t="n">
        <v>46048</v>
      </c>
      <c r="D490" t="inlineStr">
        <is>
          <t>VÄSTERNORRLANDS LÄN</t>
        </is>
      </c>
      <c r="E490" t="inlineStr">
        <is>
          <t>SOLLEFTEÅ</t>
        </is>
      </c>
      <c r="G490" t="n">
        <v>0.5</v>
      </c>
      <c r="H490" t="n">
        <v>0</v>
      </c>
      <c r="I490" t="n">
        <v>0</v>
      </c>
      <c r="J490" t="n">
        <v>0</v>
      </c>
      <c r="K490" t="n">
        <v>0</v>
      </c>
      <c r="L490" t="n">
        <v>0</v>
      </c>
      <c r="M490" t="n">
        <v>0</v>
      </c>
      <c r="N490" t="n">
        <v>0</v>
      </c>
      <c r="O490" t="n">
        <v>0</v>
      </c>
      <c r="P490" t="n">
        <v>0</v>
      </c>
      <c r="Q490" t="n">
        <v>0</v>
      </c>
      <c r="R490" s="2" t="inlineStr"/>
    </row>
    <row r="491" ht="15" customHeight="1">
      <c r="A491" t="inlineStr">
        <is>
          <t>A 71351-2021</t>
        </is>
      </c>
      <c r="B491" s="1" t="n">
        <v>44539</v>
      </c>
      <c r="C491" s="1" t="n">
        <v>46048</v>
      </c>
      <c r="D491" t="inlineStr">
        <is>
          <t>VÄSTERNORRLANDS LÄN</t>
        </is>
      </c>
      <c r="E491" t="inlineStr">
        <is>
          <t>SOLLEFTEÅ</t>
        </is>
      </c>
      <c r="G491" t="n">
        <v>0.1</v>
      </c>
      <c r="H491" t="n">
        <v>0</v>
      </c>
      <c r="I491" t="n">
        <v>0</v>
      </c>
      <c r="J491" t="n">
        <v>0</v>
      </c>
      <c r="K491" t="n">
        <v>0</v>
      </c>
      <c r="L491" t="n">
        <v>0</v>
      </c>
      <c r="M491" t="n">
        <v>0</v>
      </c>
      <c r="N491" t="n">
        <v>0</v>
      </c>
      <c r="O491" t="n">
        <v>0</v>
      </c>
      <c r="P491" t="n">
        <v>0</v>
      </c>
      <c r="Q491" t="n">
        <v>0</v>
      </c>
      <c r="R491" s="2" t="inlineStr"/>
    </row>
    <row r="492" ht="15" customHeight="1">
      <c r="A492" t="inlineStr">
        <is>
          <t>A 61426-2021</t>
        </is>
      </c>
      <c r="B492" s="1" t="n">
        <v>44500</v>
      </c>
      <c r="C492" s="1" t="n">
        <v>46048</v>
      </c>
      <c r="D492" t="inlineStr">
        <is>
          <t>VÄSTERNORRLANDS LÄN</t>
        </is>
      </c>
      <c r="E492" t="inlineStr">
        <is>
          <t>SOLLEFTEÅ</t>
        </is>
      </c>
      <c r="F492" t="inlineStr">
        <is>
          <t>SCA</t>
        </is>
      </c>
      <c r="G492" t="n">
        <v>2.5</v>
      </c>
      <c r="H492" t="n">
        <v>0</v>
      </c>
      <c r="I492" t="n">
        <v>0</v>
      </c>
      <c r="J492" t="n">
        <v>0</v>
      </c>
      <c r="K492" t="n">
        <v>0</v>
      </c>
      <c r="L492" t="n">
        <v>0</v>
      </c>
      <c r="M492" t="n">
        <v>0</v>
      </c>
      <c r="N492" t="n">
        <v>0</v>
      </c>
      <c r="O492" t="n">
        <v>0</v>
      </c>
      <c r="P492" t="n">
        <v>0</v>
      </c>
      <c r="Q492" t="n">
        <v>0</v>
      </c>
      <c r="R492" s="2" t="inlineStr"/>
    </row>
    <row r="493" ht="15" customHeight="1">
      <c r="A493" t="inlineStr">
        <is>
          <t>A 51442-2021</t>
        </is>
      </c>
      <c r="B493" s="1" t="n">
        <v>44461.94450231481</v>
      </c>
      <c r="C493" s="1" t="n">
        <v>46048</v>
      </c>
      <c r="D493" t="inlineStr">
        <is>
          <t>VÄSTERNORRLANDS LÄN</t>
        </is>
      </c>
      <c r="E493" t="inlineStr">
        <is>
          <t>SOLLEFTEÅ</t>
        </is>
      </c>
      <c r="F493" t="inlineStr">
        <is>
          <t>SCA</t>
        </is>
      </c>
      <c r="G493" t="n">
        <v>2.5</v>
      </c>
      <c r="H493" t="n">
        <v>0</v>
      </c>
      <c r="I493" t="n">
        <v>0</v>
      </c>
      <c r="J493" t="n">
        <v>0</v>
      </c>
      <c r="K493" t="n">
        <v>0</v>
      </c>
      <c r="L493" t="n">
        <v>0</v>
      </c>
      <c r="M493" t="n">
        <v>0</v>
      </c>
      <c r="N493" t="n">
        <v>0</v>
      </c>
      <c r="O493" t="n">
        <v>0</v>
      </c>
      <c r="P493" t="n">
        <v>0</v>
      </c>
      <c r="Q493" t="n">
        <v>0</v>
      </c>
      <c r="R493" s="2" t="inlineStr"/>
    </row>
    <row r="494" ht="15" customHeight="1">
      <c r="A494" t="inlineStr">
        <is>
          <t>A 30013-2022</t>
        </is>
      </c>
      <c r="B494" s="1" t="n">
        <v>44756</v>
      </c>
      <c r="C494" s="1" t="n">
        <v>46048</v>
      </c>
      <c r="D494" t="inlineStr">
        <is>
          <t>VÄSTERNORRLANDS LÄN</t>
        </is>
      </c>
      <c r="E494" t="inlineStr">
        <is>
          <t>SOLLEFTEÅ</t>
        </is>
      </c>
      <c r="F494" t="inlineStr">
        <is>
          <t>SCA</t>
        </is>
      </c>
      <c r="G494" t="n">
        <v>4.5</v>
      </c>
      <c r="H494" t="n">
        <v>0</v>
      </c>
      <c r="I494" t="n">
        <v>0</v>
      </c>
      <c r="J494" t="n">
        <v>0</v>
      </c>
      <c r="K494" t="n">
        <v>0</v>
      </c>
      <c r="L494" t="n">
        <v>0</v>
      </c>
      <c r="M494" t="n">
        <v>0</v>
      </c>
      <c r="N494" t="n">
        <v>0</v>
      </c>
      <c r="O494" t="n">
        <v>0</v>
      </c>
      <c r="P494" t="n">
        <v>0</v>
      </c>
      <c r="Q494" t="n">
        <v>0</v>
      </c>
      <c r="R494" s="2" t="inlineStr"/>
    </row>
    <row r="495" ht="15" customHeight="1">
      <c r="A495" t="inlineStr">
        <is>
          <t>A 30041-2022</t>
        </is>
      </c>
      <c r="B495" s="1" t="n">
        <v>44756</v>
      </c>
      <c r="C495" s="1" t="n">
        <v>46048</v>
      </c>
      <c r="D495" t="inlineStr">
        <is>
          <t>VÄSTERNORRLANDS LÄN</t>
        </is>
      </c>
      <c r="E495" t="inlineStr">
        <is>
          <t>SOLLEFTEÅ</t>
        </is>
      </c>
      <c r="F495" t="inlineStr">
        <is>
          <t>SCA</t>
        </is>
      </c>
      <c r="G495" t="n">
        <v>2.4</v>
      </c>
      <c r="H495" t="n">
        <v>0</v>
      </c>
      <c r="I495" t="n">
        <v>0</v>
      </c>
      <c r="J495" t="n">
        <v>0</v>
      </c>
      <c r="K495" t="n">
        <v>0</v>
      </c>
      <c r="L495" t="n">
        <v>0</v>
      </c>
      <c r="M495" t="n">
        <v>0</v>
      </c>
      <c r="N495" t="n">
        <v>0</v>
      </c>
      <c r="O495" t="n">
        <v>0</v>
      </c>
      <c r="P495" t="n">
        <v>0</v>
      </c>
      <c r="Q495" t="n">
        <v>0</v>
      </c>
      <c r="R495" s="2" t="inlineStr"/>
    </row>
    <row r="496" ht="15" customHeight="1">
      <c r="A496" t="inlineStr">
        <is>
          <t>A 68792-2021</t>
        </is>
      </c>
      <c r="B496" s="1" t="n">
        <v>44529.94640046296</v>
      </c>
      <c r="C496" s="1" t="n">
        <v>46048</v>
      </c>
      <c r="D496" t="inlineStr">
        <is>
          <t>VÄSTERNORRLANDS LÄN</t>
        </is>
      </c>
      <c r="E496" t="inlineStr">
        <is>
          <t>SOLLEFTEÅ</t>
        </is>
      </c>
      <c r="F496" t="inlineStr">
        <is>
          <t>SCA</t>
        </is>
      </c>
      <c r="G496" t="n">
        <v>1.8</v>
      </c>
      <c r="H496" t="n">
        <v>0</v>
      </c>
      <c r="I496" t="n">
        <v>0</v>
      </c>
      <c r="J496" t="n">
        <v>0</v>
      </c>
      <c r="K496" t="n">
        <v>0</v>
      </c>
      <c r="L496" t="n">
        <v>0</v>
      </c>
      <c r="M496" t="n">
        <v>0</v>
      </c>
      <c r="N496" t="n">
        <v>0</v>
      </c>
      <c r="O496" t="n">
        <v>0</v>
      </c>
      <c r="P496" t="n">
        <v>0</v>
      </c>
      <c r="Q496" t="n">
        <v>0</v>
      </c>
      <c r="R496" s="2" t="inlineStr"/>
    </row>
    <row r="497" ht="15" customHeight="1">
      <c r="A497" t="inlineStr">
        <is>
          <t>A 51443-2021</t>
        </is>
      </c>
      <c r="B497" s="1" t="n">
        <v>44461</v>
      </c>
      <c r="C497" s="1" t="n">
        <v>46048</v>
      </c>
      <c r="D497" t="inlineStr">
        <is>
          <t>VÄSTERNORRLANDS LÄN</t>
        </is>
      </c>
      <c r="E497" t="inlineStr">
        <is>
          <t>SOLLEFTEÅ</t>
        </is>
      </c>
      <c r="F497" t="inlineStr">
        <is>
          <t>SCA</t>
        </is>
      </c>
      <c r="G497" t="n">
        <v>6.7</v>
      </c>
      <c r="H497" t="n">
        <v>0</v>
      </c>
      <c r="I497" t="n">
        <v>0</v>
      </c>
      <c r="J497" t="n">
        <v>0</v>
      </c>
      <c r="K497" t="n">
        <v>0</v>
      </c>
      <c r="L497" t="n">
        <v>0</v>
      </c>
      <c r="M497" t="n">
        <v>0</v>
      </c>
      <c r="N497" t="n">
        <v>0</v>
      </c>
      <c r="O497" t="n">
        <v>0</v>
      </c>
      <c r="P497" t="n">
        <v>0</v>
      </c>
      <c r="Q497" t="n">
        <v>0</v>
      </c>
      <c r="R497" s="2" t="inlineStr"/>
    </row>
    <row r="498" ht="15" customHeight="1">
      <c r="A498" t="inlineStr">
        <is>
          <t>A 15974-2022</t>
        </is>
      </c>
      <c r="B498" s="1" t="n">
        <v>44664.94778935185</v>
      </c>
      <c r="C498" s="1" t="n">
        <v>46048</v>
      </c>
      <c r="D498" t="inlineStr">
        <is>
          <t>VÄSTERNORRLANDS LÄN</t>
        </is>
      </c>
      <c r="E498" t="inlineStr">
        <is>
          <t>SOLLEFTEÅ</t>
        </is>
      </c>
      <c r="F498" t="inlineStr">
        <is>
          <t>SCA</t>
        </is>
      </c>
      <c r="G498" t="n">
        <v>1.9</v>
      </c>
      <c r="H498" t="n">
        <v>0</v>
      </c>
      <c r="I498" t="n">
        <v>0</v>
      </c>
      <c r="J498" t="n">
        <v>0</v>
      </c>
      <c r="K498" t="n">
        <v>0</v>
      </c>
      <c r="L498" t="n">
        <v>0</v>
      </c>
      <c r="M498" t="n">
        <v>0</v>
      </c>
      <c r="N498" t="n">
        <v>0</v>
      </c>
      <c r="O498" t="n">
        <v>0</v>
      </c>
      <c r="P498" t="n">
        <v>0</v>
      </c>
      <c r="Q498" t="n">
        <v>0</v>
      </c>
      <c r="R498" s="2" t="inlineStr"/>
    </row>
    <row r="499" ht="15" customHeight="1">
      <c r="A499" t="inlineStr">
        <is>
          <t>A 51952-2021</t>
        </is>
      </c>
      <c r="B499" s="1" t="n">
        <v>44462.95631944444</v>
      </c>
      <c r="C499" s="1" t="n">
        <v>46048</v>
      </c>
      <c r="D499" t="inlineStr">
        <is>
          <t>VÄSTERNORRLANDS LÄN</t>
        </is>
      </c>
      <c r="E499" t="inlineStr">
        <is>
          <t>SOLLEFTEÅ</t>
        </is>
      </c>
      <c r="F499" t="inlineStr">
        <is>
          <t>SCA</t>
        </is>
      </c>
      <c r="G499" t="n">
        <v>3.1</v>
      </c>
      <c r="H499" t="n">
        <v>0</v>
      </c>
      <c r="I499" t="n">
        <v>0</v>
      </c>
      <c r="J499" t="n">
        <v>0</v>
      </c>
      <c r="K499" t="n">
        <v>0</v>
      </c>
      <c r="L499" t="n">
        <v>0</v>
      </c>
      <c r="M499" t="n">
        <v>0</v>
      </c>
      <c r="N499" t="n">
        <v>0</v>
      </c>
      <c r="O499" t="n">
        <v>0</v>
      </c>
      <c r="P499" t="n">
        <v>0</v>
      </c>
      <c r="Q499" t="n">
        <v>0</v>
      </c>
      <c r="R499" s="2" t="inlineStr"/>
    </row>
    <row r="500" ht="15" customHeight="1">
      <c r="A500" t="inlineStr">
        <is>
          <t>A 18013-2022</t>
        </is>
      </c>
      <c r="B500" s="1" t="n">
        <v>44683.94355324074</v>
      </c>
      <c r="C500" s="1" t="n">
        <v>46048</v>
      </c>
      <c r="D500" t="inlineStr">
        <is>
          <t>VÄSTERNORRLANDS LÄN</t>
        </is>
      </c>
      <c r="E500" t="inlineStr">
        <is>
          <t>SOLLEFTEÅ</t>
        </is>
      </c>
      <c r="F500" t="inlineStr">
        <is>
          <t>SCA</t>
        </is>
      </c>
      <c r="G500" t="n">
        <v>2.5</v>
      </c>
      <c r="H500" t="n">
        <v>0</v>
      </c>
      <c r="I500" t="n">
        <v>0</v>
      </c>
      <c r="J500" t="n">
        <v>0</v>
      </c>
      <c r="K500" t="n">
        <v>0</v>
      </c>
      <c r="L500" t="n">
        <v>0</v>
      </c>
      <c r="M500" t="n">
        <v>0</v>
      </c>
      <c r="N500" t="n">
        <v>0</v>
      </c>
      <c r="O500" t="n">
        <v>0</v>
      </c>
      <c r="P500" t="n">
        <v>0</v>
      </c>
      <c r="Q500" t="n">
        <v>0</v>
      </c>
      <c r="R500" s="2" t="inlineStr"/>
    </row>
    <row r="501" ht="15" customHeight="1">
      <c r="A501" t="inlineStr">
        <is>
          <t>A 21404-2022</t>
        </is>
      </c>
      <c r="B501" s="1" t="n">
        <v>44705.94037037037</v>
      </c>
      <c r="C501" s="1" t="n">
        <v>46048</v>
      </c>
      <c r="D501" t="inlineStr">
        <is>
          <t>VÄSTERNORRLANDS LÄN</t>
        </is>
      </c>
      <c r="E501" t="inlineStr">
        <is>
          <t>SOLLEFTEÅ</t>
        </is>
      </c>
      <c r="F501" t="inlineStr">
        <is>
          <t>SCA</t>
        </is>
      </c>
      <c r="G501" t="n">
        <v>6.7</v>
      </c>
      <c r="H501" t="n">
        <v>0</v>
      </c>
      <c r="I501" t="n">
        <v>0</v>
      </c>
      <c r="J501" t="n">
        <v>0</v>
      </c>
      <c r="K501" t="n">
        <v>0</v>
      </c>
      <c r="L501" t="n">
        <v>0</v>
      </c>
      <c r="M501" t="n">
        <v>0</v>
      </c>
      <c r="N501" t="n">
        <v>0</v>
      </c>
      <c r="O501" t="n">
        <v>0</v>
      </c>
      <c r="P501" t="n">
        <v>0</v>
      </c>
      <c r="Q501" t="n">
        <v>0</v>
      </c>
      <c r="R501" s="2" t="inlineStr"/>
    </row>
    <row r="502" ht="15" customHeight="1">
      <c r="A502" t="inlineStr">
        <is>
          <t>A 23034-2021</t>
        </is>
      </c>
      <c r="B502" s="1" t="n">
        <v>44328.94113425926</v>
      </c>
      <c r="C502" s="1" t="n">
        <v>46048</v>
      </c>
      <c r="D502" t="inlineStr">
        <is>
          <t>VÄSTERNORRLANDS LÄN</t>
        </is>
      </c>
      <c r="E502" t="inlineStr">
        <is>
          <t>SOLLEFTEÅ</t>
        </is>
      </c>
      <c r="F502" t="inlineStr">
        <is>
          <t>SCA</t>
        </is>
      </c>
      <c r="G502" t="n">
        <v>0.6</v>
      </c>
      <c r="H502" t="n">
        <v>0</v>
      </c>
      <c r="I502" t="n">
        <v>0</v>
      </c>
      <c r="J502" t="n">
        <v>0</v>
      </c>
      <c r="K502" t="n">
        <v>0</v>
      </c>
      <c r="L502" t="n">
        <v>0</v>
      </c>
      <c r="M502" t="n">
        <v>0</v>
      </c>
      <c r="N502" t="n">
        <v>0</v>
      </c>
      <c r="O502" t="n">
        <v>0</v>
      </c>
      <c r="P502" t="n">
        <v>0</v>
      </c>
      <c r="Q502" t="n">
        <v>0</v>
      </c>
      <c r="R502" s="2" t="inlineStr"/>
    </row>
    <row r="503" ht="15" customHeight="1">
      <c r="A503" t="inlineStr">
        <is>
          <t>A 22101-2022</t>
        </is>
      </c>
      <c r="B503" s="1" t="n">
        <v>44711.94153935185</v>
      </c>
      <c r="C503" s="1" t="n">
        <v>46048</v>
      </c>
      <c r="D503" t="inlineStr">
        <is>
          <t>VÄSTERNORRLANDS LÄN</t>
        </is>
      </c>
      <c r="E503" t="inlineStr">
        <is>
          <t>SOLLEFTEÅ</t>
        </is>
      </c>
      <c r="F503" t="inlineStr">
        <is>
          <t>SCA</t>
        </is>
      </c>
      <c r="G503" t="n">
        <v>1</v>
      </c>
      <c r="H503" t="n">
        <v>0</v>
      </c>
      <c r="I503" t="n">
        <v>0</v>
      </c>
      <c r="J503" t="n">
        <v>0</v>
      </c>
      <c r="K503" t="n">
        <v>0</v>
      </c>
      <c r="L503" t="n">
        <v>0</v>
      </c>
      <c r="M503" t="n">
        <v>0</v>
      </c>
      <c r="N503" t="n">
        <v>0</v>
      </c>
      <c r="O503" t="n">
        <v>0</v>
      </c>
      <c r="P503" t="n">
        <v>0</v>
      </c>
      <c r="Q503" t="n">
        <v>0</v>
      </c>
      <c r="R503" s="2" t="inlineStr"/>
    </row>
    <row r="504" ht="15" customHeight="1">
      <c r="A504" t="inlineStr">
        <is>
          <t>A 57856-2021</t>
        </is>
      </c>
      <c r="B504" s="1" t="n">
        <v>44484.98627314815</v>
      </c>
      <c r="C504" s="1" t="n">
        <v>46048</v>
      </c>
      <c r="D504" t="inlineStr">
        <is>
          <t>VÄSTERNORRLANDS LÄN</t>
        </is>
      </c>
      <c r="E504" t="inlineStr">
        <is>
          <t>SOLLEFTEÅ</t>
        </is>
      </c>
      <c r="F504" t="inlineStr">
        <is>
          <t>SCA</t>
        </is>
      </c>
      <c r="G504" t="n">
        <v>1</v>
      </c>
      <c r="H504" t="n">
        <v>0</v>
      </c>
      <c r="I504" t="n">
        <v>0</v>
      </c>
      <c r="J504" t="n">
        <v>0</v>
      </c>
      <c r="K504" t="n">
        <v>0</v>
      </c>
      <c r="L504" t="n">
        <v>0</v>
      </c>
      <c r="M504" t="n">
        <v>0</v>
      </c>
      <c r="N504" t="n">
        <v>0</v>
      </c>
      <c r="O504" t="n">
        <v>0</v>
      </c>
      <c r="P504" t="n">
        <v>0</v>
      </c>
      <c r="Q504" t="n">
        <v>0</v>
      </c>
      <c r="R504" s="2" t="inlineStr"/>
    </row>
    <row r="505" ht="15" customHeight="1">
      <c r="A505" t="inlineStr">
        <is>
          <t>A 38430-2022</t>
        </is>
      </c>
      <c r="B505" s="1" t="n">
        <v>44812</v>
      </c>
      <c r="C505" s="1" t="n">
        <v>46048</v>
      </c>
      <c r="D505" t="inlineStr">
        <is>
          <t>VÄSTERNORRLANDS LÄN</t>
        </is>
      </c>
      <c r="E505" t="inlineStr">
        <is>
          <t>SOLLEFTEÅ</t>
        </is>
      </c>
      <c r="G505" t="n">
        <v>0.7</v>
      </c>
      <c r="H505" t="n">
        <v>0</v>
      </c>
      <c r="I505" t="n">
        <v>0</v>
      </c>
      <c r="J505" t="n">
        <v>0</v>
      </c>
      <c r="K505" t="n">
        <v>0</v>
      </c>
      <c r="L505" t="n">
        <v>0</v>
      </c>
      <c r="M505" t="n">
        <v>0</v>
      </c>
      <c r="N505" t="n">
        <v>0</v>
      </c>
      <c r="O505" t="n">
        <v>0</v>
      </c>
      <c r="P505" t="n">
        <v>0</v>
      </c>
      <c r="Q505" t="n">
        <v>0</v>
      </c>
      <c r="R505" s="2" t="inlineStr"/>
    </row>
    <row r="506" ht="15" customHeight="1">
      <c r="A506" t="inlineStr">
        <is>
          <t>A 7889-2021</t>
        </is>
      </c>
      <c r="B506" s="1" t="n">
        <v>44242</v>
      </c>
      <c r="C506" s="1" t="n">
        <v>46048</v>
      </c>
      <c r="D506" t="inlineStr">
        <is>
          <t>VÄSTERNORRLANDS LÄN</t>
        </is>
      </c>
      <c r="E506" t="inlineStr">
        <is>
          <t>SOLLEFTEÅ</t>
        </is>
      </c>
      <c r="F506" t="inlineStr">
        <is>
          <t>SCA</t>
        </is>
      </c>
      <c r="G506" t="n">
        <v>1</v>
      </c>
      <c r="H506" t="n">
        <v>0</v>
      </c>
      <c r="I506" t="n">
        <v>0</v>
      </c>
      <c r="J506" t="n">
        <v>0</v>
      </c>
      <c r="K506" t="n">
        <v>0</v>
      </c>
      <c r="L506" t="n">
        <v>0</v>
      </c>
      <c r="M506" t="n">
        <v>0</v>
      </c>
      <c r="N506" t="n">
        <v>0</v>
      </c>
      <c r="O506" t="n">
        <v>0</v>
      </c>
      <c r="P506" t="n">
        <v>0</v>
      </c>
      <c r="Q506" t="n">
        <v>0</v>
      </c>
      <c r="R506" s="2" t="inlineStr"/>
    </row>
    <row r="507" ht="15" customHeight="1">
      <c r="A507" t="inlineStr">
        <is>
          <t>A 26416-2022</t>
        </is>
      </c>
      <c r="B507" s="1" t="n">
        <v>44735.94130787037</v>
      </c>
      <c r="C507" s="1" t="n">
        <v>46048</v>
      </c>
      <c r="D507" t="inlineStr">
        <is>
          <t>VÄSTERNORRLANDS LÄN</t>
        </is>
      </c>
      <c r="E507" t="inlineStr">
        <is>
          <t>SOLLEFTEÅ</t>
        </is>
      </c>
      <c r="F507" t="inlineStr">
        <is>
          <t>SCA</t>
        </is>
      </c>
      <c r="G507" t="n">
        <v>0.9</v>
      </c>
      <c r="H507" t="n">
        <v>0</v>
      </c>
      <c r="I507" t="n">
        <v>0</v>
      </c>
      <c r="J507" t="n">
        <v>0</v>
      </c>
      <c r="K507" t="n">
        <v>0</v>
      </c>
      <c r="L507" t="n">
        <v>0</v>
      </c>
      <c r="M507" t="n">
        <v>0</v>
      </c>
      <c r="N507" t="n">
        <v>0</v>
      </c>
      <c r="O507" t="n">
        <v>0</v>
      </c>
      <c r="P507" t="n">
        <v>0</v>
      </c>
      <c r="Q507" t="n">
        <v>0</v>
      </c>
      <c r="R507" s="2" t="inlineStr"/>
    </row>
    <row r="508" ht="15" customHeight="1">
      <c r="A508" t="inlineStr">
        <is>
          <t>A 42303-2022</t>
        </is>
      </c>
      <c r="B508" s="1" t="n">
        <v>44830.95473379629</v>
      </c>
      <c r="C508" s="1" t="n">
        <v>46048</v>
      </c>
      <c r="D508" t="inlineStr">
        <is>
          <t>VÄSTERNORRLANDS LÄN</t>
        </is>
      </c>
      <c r="E508" t="inlineStr">
        <is>
          <t>SOLLEFTEÅ</t>
        </is>
      </c>
      <c r="F508" t="inlineStr">
        <is>
          <t>SCA</t>
        </is>
      </c>
      <c r="G508" t="n">
        <v>2</v>
      </c>
      <c r="H508" t="n">
        <v>0</v>
      </c>
      <c r="I508" t="n">
        <v>0</v>
      </c>
      <c r="J508" t="n">
        <v>0</v>
      </c>
      <c r="K508" t="n">
        <v>0</v>
      </c>
      <c r="L508" t="n">
        <v>0</v>
      </c>
      <c r="M508" t="n">
        <v>0</v>
      </c>
      <c r="N508" t="n">
        <v>0</v>
      </c>
      <c r="O508" t="n">
        <v>0</v>
      </c>
      <c r="P508" t="n">
        <v>0</v>
      </c>
      <c r="Q508" t="n">
        <v>0</v>
      </c>
      <c r="R508" s="2" t="inlineStr"/>
    </row>
    <row r="509" ht="15" customHeight="1">
      <c r="A509" t="inlineStr">
        <is>
          <t>A 64939-2021</t>
        </is>
      </c>
      <c r="B509" s="1" t="n">
        <v>44512</v>
      </c>
      <c r="C509" s="1" t="n">
        <v>46048</v>
      </c>
      <c r="D509" t="inlineStr">
        <is>
          <t>VÄSTERNORRLANDS LÄN</t>
        </is>
      </c>
      <c r="E509" t="inlineStr">
        <is>
          <t>SOLLEFTEÅ</t>
        </is>
      </c>
      <c r="G509" t="n">
        <v>0.8</v>
      </c>
      <c r="H509" t="n">
        <v>0</v>
      </c>
      <c r="I509" t="n">
        <v>0</v>
      </c>
      <c r="J509" t="n">
        <v>0</v>
      </c>
      <c r="K509" t="n">
        <v>0</v>
      </c>
      <c r="L509" t="n">
        <v>0</v>
      </c>
      <c r="M509" t="n">
        <v>0</v>
      </c>
      <c r="N509" t="n">
        <v>0</v>
      </c>
      <c r="O509" t="n">
        <v>0</v>
      </c>
      <c r="P509" t="n">
        <v>0</v>
      </c>
      <c r="Q509" t="n">
        <v>0</v>
      </c>
      <c r="R509" s="2" t="inlineStr"/>
    </row>
    <row r="510" ht="15" customHeight="1">
      <c r="A510" t="inlineStr">
        <is>
          <t>A 30039-2022</t>
        </is>
      </c>
      <c r="B510" s="1" t="n">
        <v>44756.94572916667</v>
      </c>
      <c r="C510" s="1" t="n">
        <v>46048</v>
      </c>
      <c r="D510" t="inlineStr">
        <is>
          <t>VÄSTERNORRLANDS LÄN</t>
        </is>
      </c>
      <c r="E510" t="inlineStr">
        <is>
          <t>SOLLEFTEÅ</t>
        </is>
      </c>
      <c r="F510" t="inlineStr">
        <is>
          <t>SCA</t>
        </is>
      </c>
      <c r="G510" t="n">
        <v>1.9</v>
      </c>
      <c r="H510" t="n">
        <v>0</v>
      </c>
      <c r="I510" t="n">
        <v>0</v>
      </c>
      <c r="J510" t="n">
        <v>0</v>
      </c>
      <c r="K510" t="n">
        <v>0</v>
      </c>
      <c r="L510" t="n">
        <v>0</v>
      </c>
      <c r="M510" t="n">
        <v>0</v>
      </c>
      <c r="N510" t="n">
        <v>0</v>
      </c>
      <c r="O510" t="n">
        <v>0</v>
      </c>
      <c r="P510" t="n">
        <v>0</v>
      </c>
      <c r="Q510" t="n">
        <v>0</v>
      </c>
      <c r="R510" s="2" t="inlineStr"/>
    </row>
    <row r="511" ht="15" customHeight="1">
      <c r="A511" t="inlineStr">
        <is>
          <t>A 25339-2022</t>
        </is>
      </c>
      <c r="B511" s="1" t="n">
        <v>44731.9378125</v>
      </c>
      <c r="C511" s="1" t="n">
        <v>46048</v>
      </c>
      <c r="D511" t="inlineStr">
        <is>
          <t>VÄSTERNORRLANDS LÄN</t>
        </is>
      </c>
      <c r="E511" t="inlineStr">
        <is>
          <t>SOLLEFTEÅ</t>
        </is>
      </c>
      <c r="F511" t="inlineStr">
        <is>
          <t>SCA</t>
        </is>
      </c>
      <c r="G511" t="n">
        <v>2.7</v>
      </c>
      <c r="H511" t="n">
        <v>0</v>
      </c>
      <c r="I511" t="n">
        <v>0</v>
      </c>
      <c r="J511" t="n">
        <v>0</v>
      </c>
      <c r="K511" t="n">
        <v>0</v>
      </c>
      <c r="L511" t="n">
        <v>0</v>
      </c>
      <c r="M511" t="n">
        <v>0</v>
      </c>
      <c r="N511" t="n">
        <v>0</v>
      </c>
      <c r="O511" t="n">
        <v>0</v>
      </c>
      <c r="P511" t="n">
        <v>0</v>
      </c>
      <c r="Q511" t="n">
        <v>0</v>
      </c>
      <c r="R511" s="2" t="inlineStr"/>
    </row>
    <row r="512" ht="15" customHeight="1">
      <c r="A512" t="inlineStr">
        <is>
          <t>A 18878-2021</t>
        </is>
      </c>
      <c r="B512" s="1" t="n">
        <v>44307</v>
      </c>
      <c r="C512" s="1" t="n">
        <v>46048</v>
      </c>
      <c r="D512" t="inlineStr">
        <is>
          <t>VÄSTERNORRLANDS LÄN</t>
        </is>
      </c>
      <c r="E512" t="inlineStr">
        <is>
          <t>SOLLEFTEÅ</t>
        </is>
      </c>
      <c r="F512" t="inlineStr">
        <is>
          <t>SCA</t>
        </is>
      </c>
      <c r="G512" t="n">
        <v>1.5</v>
      </c>
      <c r="H512" t="n">
        <v>0</v>
      </c>
      <c r="I512" t="n">
        <v>0</v>
      </c>
      <c r="J512" t="n">
        <v>0</v>
      </c>
      <c r="K512" t="n">
        <v>0</v>
      </c>
      <c r="L512" t="n">
        <v>0</v>
      </c>
      <c r="M512" t="n">
        <v>0</v>
      </c>
      <c r="N512" t="n">
        <v>0</v>
      </c>
      <c r="O512" t="n">
        <v>0</v>
      </c>
      <c r="P512" t="n">
        <v>0</v>
      </c>
      <c r="Q512" t="n">
        <v>0</v>
      </c>
      <c r="R512" s="2" t="inlineStr"/>
    </row>
    <row r="513" ht="15" customHeight="1">
      <c r="A513" t="inlineStr">
        <is>
          <t>A 27018-2022</t>
        </is>
      </c>
      <c r="B513" s="1" t="n">
        <v>44740</v>
      </c>
      <c r="C513" s="1" t="n">
        <v>46048</v>
      </c>
      <c r="D513" t="inlineStr">
        <is>
          <t>VÄSTERNORRLANDS LÄN</t>
        </is>
      </c>
      <c r="E513" t="inlineStr">
        <is>
          <t>SOLLEFTEÅ</t>
        </is>
      </c>
      <c r="F513" t="inlineStr">
        <is>
          <t>SCA</t>
        </is>
      </c>
      <c r="G513" t="n">
        <v>1.8</v>
      </c>
      <c r="H513" t="n">
        <v>0</v>
      </c>
      <c r="I513" t="n">
        <v>0</v>
      </c>
      <c r="J513" t="n">
        <v>0</v>
      </c>
      <c r="K513" t="n">
        <v>0</v>
      </c>
      <c r="L513" t="n">
        <v>0</v>
      </c>
      <c r="M513" t="n">
        <v>0</v>
      </c>
      <c r="N513" t="n">
        <v>0</v>
      </c>
      <c r="O513" t="n">
        <v>0</v>
      </c>
      <c r="P513" t="n">
        <v>0</v>
      </c>
      <c r="Q513" t="n">
        <v>0</v>
      </c>
      <c r="R513" s="2" t="inlineStr"/>
    </row>
    <row r="514" ht="15" customHeight="1">
      <c r="A514" t="inlineStr">
        <is>
          <t>A 41192-2022</t>
        </is>
      </c>
      <c r="B514" s="1" t="n">
        <v>44825.94971064815</v>
      </c>
      <c r="C514" s="1" t="n">
        <v>46048</v>
      </c>
      <c r="D514" t="inlineStr">
        <is>
          <t>VÄSTERNORRLANDS LÄN</t>
        </is>
      </c>
      <c r="E514" t="inlineStr">
        <is>
          <t>SOLLEFTEÅ</t>
        </is>
      </c>
      <c r="F514" t="inlineStr">
        <is>
          <t>SCA</t>
        </is>
      </c>
      <c r="G514" t="n">
        <v>0.9</v>
      </c>
      <c r="H514" t="n">
        <v>0</v>
      </c>
      <c r="I514" t="n">
        <v>0</v>
      </c>
      <c r="J514" t="n">
        <v>0</v>
      </c>
      <c r="K514" t="n">
        <v>0</v>
      </c>
      <c r="L514" t="n">
        <v>0</v>
      </c>
      <c r="M514" t="n">
        <v>0</v>
      </c>
      <c r="N514" t="n">
        <v>0</v>
      </c>
      <c r="O514" t="n">
        <v>0</v>
      </c>
      <c r="P514" t="n">
        <v>0</v>
      </c>
      <c r="Q514" t="n">
        <v>0</v>
      </c>
      <c r="R514" s="2" t="inlineStr"/>
    </row>
    <row r="515" ht="15" customHeight="1">
      <c r="A515" t="inlineStr">
        <is>
          <t>A 41195-2022</t>
        </is>
      </c>
      <c r="B515" s="1" t="n">
        <v>44825.94988425926</v>
      </c>
      <c r="C515" s="1" t="n">
        <v>46048</v>
      </c>
      <c r="D515" t="inlineStr">
        <is>
          <t>VÄSTERNORRLANDS LÄN</t>
        </is>
      </c>
      <c r="E515" t="inlineStr">
        <is>
          <t>SOLLEFTEÅ</t>
        </is>
      </c>
      <c r="F515" t="inlineStr">
        <is>
          <t>SCA</t>
        </is>
      </c>
      <c r="G515" t="n">
        <v>3.4</v>
      </c>
      <c r="H515" t="n">
        <v>0</v>
      </c>
      <c r="I515" t="n">
        <v>0</v>
      </c>
      <c r="J515" t="n">
        <v>0</v>
      </c>
      <c r="K515" t="n">
        <v>0</v>
      </c>
      <c r="L515" t="n">
        <v>0</v>
      </c>
      <c r="M515" t="n">
        <v>0</v>
      </c>
      <c r="N515" t="n">
        <v>0</v>
      </c>
      <c r="O515" t="n">
        <v>0</v>
      </c>
      <c r="P515" t="n">
        <v>0</v>
      </c>
      <c r="Q515" t="n">
        <v>0</v>
      </c>
      <c r="R515" s="2" t="inlineStr"/>
    </row>
    <row r="516" ht="15" customHeight="1">
      <c r="A516" t="inlineStr">
        <is>
          <t>A 26415-2022</t>
        </is>
      </c>
      <c r="B516" s="1" t="n">
        <v>44735</v>
      </c>
      <c r="C516" s="1" t="n">
        <v>46048</v>
      </c>
      <c r="D516" t="inlineStr">
        <is>
          <t>VÄSTERNORRLANDS LÄN</t>
        </is>
      </c>
      <c r="E516" t="inlineStr">
        <is>
          <t>SOLLEFTEÅ</t>
        </is>
      </c>
      <c r="F516" t="inlineStr">
        <is>
          <t>SCA</t>
        </is>
      </c>
      <c r="G516" t="n">
        <v>1.6</v>
      </c>
      <c r="H516" t="n">
        <v>0</v>
      </c>
      <c r="I516" t="n">
        <v>0</v>
      </c>
      <c r="J516" t="n">
        <v>0</v>
      </c>
      <c r="K516" t="n">
        <v>0</v>
      </c>
      <c r="L516" t="n">
        <v>0</v>
      </c>
      <c r="M516" t="n">
        <v>0</v>
      </c>
      <c r="N516" t="n">
        <v>0</v>
      </c>
      <c r="O516" t="n">
        <v>0</v>
      </c>
      <c r="P516" t="n">
        <v>0</v>
      </c>
      <c r="Q516" t="n">
        <v>0</v>
      </c>
      <c r="R516" s="2" t="inlineStr"/>
    </row>
    <row r="517" ht="15" customHeight="1">
      <c r="A517" t="inlineStr">
        <is>
          <t>A 61424-2021</t>
        </is>
      </c>
      <c r="B517" s="1" t="n">
        <v>44500.93637731481</v>
      </c>
      <c r="C517" s="1" t="n">
        <v>46048</v>
      </c>
      <c r="D517" t="inlineStr">
        <is>
          <t>VÄSTERNORRLANDS LÄN</t>
        </is>
      </c>
      <c r="E517" t="inlineStr">
        <is>
          <t>SOLLEFTEÅ</t>
        </is>
      </c>
      <c r="F517" t="inlineStr">
        <is>
          <t>SCA</t>
        </is>
      </c>
      <c r="G517" t="n">
        <v>2.5</v>
      </c>
      <c r="H517" t="n">
        <v>0</v>
      </c>
      <c r="I517" t="n">
        <v>0</v>
      </c>
      <c r="J517" t="n">
        <v>0</v>
      </c>
      <c r="K517" t="n">
        <v>0</v>
      </c>
      <c r="L517" t="n">
        <v>0</v>
      </c>
      <c r="M517" t="n">
        <v>0</v>
      </c>
      <c r="N517" t="n">
        <v>0</v>
      </c>
      <c r="O517" t="n">
        <v>0</v>
      </c>
      <c r="P517" t="n">
        <v>0</v>
      </c>
      <c r="Q517" t="n">
        <v>0</v>
      </c>
      <c r="R517" s="2" t="inlineStr"/>
    </row>
    <row r="518" ht="15" customHeight="1">
      <c r="A518" t="inlineStr">
        <is>
          <t>A 73886-2021</t>
        </is>
      </c>
      <c r="B518" s="1" t="n">
        <v>44553</v>
      </c>
      <c r="C518" s="1" t="n">
        <v>46048</v>
      </c>
      <c r="D518" t="inlineStr">
        <is>
          <t>VÄSTERNORRLANDS LÄN</t>
        </is>
      </c>
      <c r="E518" t="inlineStr">
        <is>
          <t>SOLLEFTEÅ</t>
        </is>
      </c>
      <c r="G518" t="n">
        <v>0.7</v>
      </c>
      <c r="H518" t="n">
        <v>0</v>
      </c>
      <c r="I518" t="n">
        <v>0</v>
      </c>
      <c r="J518" t="n">
        <v>0</v>
      </c>
      <c r="K518" t="n">
        <v>0</v>
      </c>
      <c r="L518" t="n">
        <v>0</v>
      </c>
      <c r="M518" t="n">
        <v>0</v>
      </c>
      <c r="N518" t="n">
        <v>0</v>
      </c>
      <c r="O518" t="n">
        <v>0</v>
      </c>
      <c r="P518" t="n">
        <v>0</v>
      </c>
      <c r="Q518" t="n">
        <v>0</v>
      </c>
      <c r="R518" s="2" t="inlineStr"/>
    </row>
    <row r="519" ht="15" customHeight="1">
      <c r="A519" t="inlineStr">
        <is>
          <t>A 3549-2022</t>
        </is>
      </c>
      <c r="B519" s="1" t="n">
        <v>44585</v>
      </c>
      <c r="C519" s="1" t="n">
        <v>46048</v>
      </c>
      <c r="D519" t="inlineStr">
        <is>
          <t>VÄSTERNORRLANDS LÄN</t>
        </is>
      </c>
      <c r="E519" t="inlineStr">
        <is>
          <t>SOLLEFTEÅ</t>
        </is>
      </c>
      <c r="F519" t="inlineStr">
        <is>
          <t>SCA</t>
        </is>
      </c>
      <c r="G519" t="n">
        <v>4.9</v>
      </c>
      <c r="H519" t="n">
        <v>0</v>
      </c>
      <c r="I519" t="n">
        <v>0</v>
      </c>
      <c r="J519" t="n">
        <v>0</v>
      </c>
      <c r="K519" t="n">
        <v>0</v>
      </c>
      <c r="L519" t="n">
        <v>0</v>
      </c>
      <c r="M519" t="n">
        <v>0</v>
      </c>
      <c r="N519" t="n">
        <v>0</v>
      </c>
      <c r="O519" t="n">
        <v>0</v>
      </c>
      <c r="P519" t="n">
        <v>0</v>
      </c>
      <c r="Q519" t="n">
        <v>0</v>
      </c>
      <c r="R519" s="2" t="inlineStr"/>
    </row>
    <row r="520" ht="15" customHeight="1">
      <c r="A520" t="inlineStr">
        <is>
          <t>A 58755-2021</t>
        </is>
      </c>
      <c r="B520" s="1" t="n">
        <v>44489</v>
      </c>
      <c r="C520" s="1" t="n">
        <v>46048</v>
      </c>
      <c r="D520" t="inlineStr">
        <is>
          <t>VÄSTERNORRLANDS LÄN</t>
        </is>
      </c>
      <c r="E520" t="inlineStr">
        <is>
          <t>SOLLEFTEÅ</t>
        </is>
      </c>
      <c r="G520" t="n">
        <v>12.2</v>
      </c>
      <c r="H520" t="n">
        <v>0</v>
      </c>
      <c r="I520" t="n">
        <v>0</v>
      </c>
      <c r="J520" t="n">
        <v>0</v>
      </c>
      <c r="K520" t="n">
        <v>0</v>
      </c>
      <c r="L520" t="n">
        <v>0</v>
      </c>
      <c r="M520" t="n">
        <v>0</v>
      </c>
      <c r="N520" t="n">
        <v>0</v>
      </c>
      <c r="O520" t="n">
        <v>0</v>
      </c>
      <c r="P520" t="n">
        <v>0</v>
      </c>
      <c r="Q520" t="n">
        <v>0</v>
      </c>
      <c r="R520" s="2" t="inlineStr"/>
    </row>
    <row r="521" ht="15" customHeight="1">
      <c r="A521" t="inlineStr">
        <is>
          <t>A 32091-2021</t>
        </is>
      </c>
      <c r="B521" s="1" t="n">
        <v>44370</v>
      </c>
      <c r="C521" s="1" t="n">
        <v>46048</v>
      </c>
      <c r="D521" t="inlineStr">
        <is>
          <t>VÄSTERNORRLANDS LÄN</t>
        </is>
      </c>
      <c r="E521" t="inlineStr">
        <is>
          <t>SOLLEFTEÅ</t>
        </is>
      </c>
      <c r="G521" t="n">
        <v>1.3</v>
      </c>
      <c r="H521" t="n">
        <v>0</v>
      </c>
      <c r="I521" t="n">
        <v>0</v>
      </c>
      <c r="J521" t="n">
        <v>0</v>
      </c>
      <c r="K521" t="n">
        <v>0</v>
      </c>
      <c r="L521" t="n">
        <v>0</v>
      </c>
      <c r="M521" t="n">
        <v>0</v>
      </c>
      <c r="N521" t="n">
        <v>0</v>
      </c>
      <c r="O521" t="n">
        <v>0</v>
      </c>
      <c r="P521" t="n">
        <v>0</v>
      </c>
      <c r="Q521" t="n">
        <v>0</v>
      </c>
      <c r="R521" s="2" t="inlineStr"/>
    </row>
    <row r="522" ht="15" customHeight="1">
      <c r="A522" t="inlineStr">
        <is>
          <t>A 23032-2021</t>
        </is>
      </c>
      <c r="B522" s="1" t="n">
        <v>44328.9410300926</v>
      </c>
      <c r="C522" s="1" t="n">
        <v>46048</v>
      </c>
      <c r="D522" t="inlineStr">
        <is>
          <t>VÄSTERNORRLANDS LÄN</t>
        </is>
      </c>
      <c r="E522" t="inlineStr">
        <is>
          <t>SOLLEFTEÅ</t>
        </is>
      </c>
      <c r="F522" t="inlineStr">
        <is>
          <t>SCA</t>
        </is>
      </c>
      <c r="G522" t="n">
        <v>1</v>
      </c>
      <c r="H522" t="n">
        <v>0</v>
      </c>
      <c r="I522" t="n">
        <v>0</v>
      </c>
      <c r="J522" t="n">
        <v>0</v>
      </c>
      <c r="K522" t="n">
        <v>0</v>
      </c>
      <c r="L522" t="n">
        <v>0</v>
      </c>
      <c r="M522" t="n">
        <v>0</v>
      </c>
      <c r="N522" t="n">
        <v>0</v>
      </c>
      <c r="O522" t="n">
        <v>0</v>
      </c>
      <c r="P522" t="n">
        <v>0</v>
      </c>
      <c r="Q522" t="n">
        <v>0</v>
      </c>
      <c r="R522" s="2" t="inlineStr"/>
    </row>
    <row r="523" ht="15" customHeight="1">
      <c r="A523" t="inlineStr">
        <is>
          <t>A 6170-2022</t>
        </is>
      </c>
      <c r="B523" s="1" t="n">
        <v>44599</v>
      </c>
      <c r="C523" s="1" t="n">
        <v>46048</v>
      </c>
      <c r="D523" t="inlineStr">
        <is>
          <t>VÄSTERNORRLANDS LÄN</t>
        </is>
      </c>
      <c r="E523" t="inlineStr">
        <is>
          <t>SOLLEFTEÅ</t>
        </is>
      </c>
      <c r="G523" t="n">
        <v>1.6</v>
      </c>
      <c r="H523" t="n">
        <v>0</v>
      </c>
      <c r="I523" t="n">
        <v>0</v>
      </c>
      <c r="J523" t="n">
        <v>0</v>
      </c>
      <c r="K523" t="n">
        <v>0</v>
      </c>
      <c r="L523" t="n">
        <v>0</v>
      </c>
      <c r="M523" t="n">
        <v>0</v>
      </c>
      <c r="N523" t="n">
        <v>0</v>
      </c>
      <c r="O523" t="n">
        <v>0</v>
      </c>
      <c r="P523" t="n">
        <v>0</v>
      </c>
      <c r="Q523" t="n">
        <v>0</v>
      </c>
      <c r="R523" s="2" t="inlineStr"/>
    </row>
    <row r="524" ht="15" customHeight="1">
      <c r="A524" t="inlineStr">
        <is>
          <t>A 34267-2022</t>
        </is>
      </c>
      <c r="B524" s="1" t="n">
        <v>44791.9455787037</v>
      </c>
      <c r="C524" s="1" t="n">
        <v>46048</v>
      </c>
      <c r="D524" t="inlineStr">
        <is>
          <t>VÄSTERNORRLANDS LÄN</t>
        </is>
      </c>
      <c r="E524" t="inlineStr">
        <is>
          <t>SOLLEFTEÅ</t>
        </is>
      </c>
      <c r="F524" t="inlineStr">
        <is>
          <t>SCA</t>
        </is>
      </c>
      <c r="G524" t="n">
        <v>0.4</v>
      </c>
      <c r="H524" t="n">
        <v>0</v>
      </c>
      <c r="I524" t="n">
        <v>0</v>
      </c>
      <c r="J524" t="n">
        <v>0</v>
      </c>
      <c r="K524" t="n">
        <v>0</v>
      </c>
      <c r="L524" t="n">
        <v>0</v>
      </c>
      <c r="M524" t="n">
        <v>0</v>
      </c>
      <c r="N524" t="n">
        <v>0</v>
      </c>
      <c r="O524" t="n">
        <v>0</v>
      </c>
      <c r="P524" t="n">
        <v>0</v>
      </c>
      <c r="Q524" t="n">
        <v>0</v>
      </c>
      <c r="R524" s="2" t="inlineStr"/>
    </row>
    <row r="525" ht="15" customHeight="1">
      <c r="A525" t="inlineStr">
        <is>
          <t>A 38095-2022</t>
        </is>
      </c>
      <c r="B525" s="1" t="n">
        <v>44811</v>
      </c>
      <c r="C525" s="1" t="n">
        <v>46048</v>
      </c>
      <c r="D525" t="inlineStr">
        <is>
          <t>VÄSTERNORRLANDS LÄN</t>
        </is>
      </c>
      <c r="E525" t="inlineStr">
        <is>
          <t>SOLLEFTEÅ</t>
        </is>
      </c>
      <c r="F525" t="inlineStr">
        <is>
          <t>SCA</t>
        </is>
      </c>
      <c r="G525" t="n">
        <v>4.4</v>
      </c>
      <c r="H525" t="n">
        <v>0</v>
      </c>
      <c r="I525" t="n">
        <v>0</v>
      </c>
      <c r="J525" t="n">
        <v>0</v>
      </c>
      <c r="K525" t="n">
        <v>0</v>
      </c>
      <c r="L525" t="n">
        <v>0</v>
      </c>
      <c r="M525" t="n">
        <v>0</v>
      </c>
      <c r="N525" t="n">
        <v>0</v>
      </c>
      <c r="O525" t="n">
        <v>0</v>
      </c>
      <c r="P525" t="n">
        <v>0</v>
      </c>
      <c r="Q525" t="n">
        <v>0</v>
      </c>
      <c r="R525" s="2" t="inlineStr"/>
    </row>
    <row r="526" ht="15" customHeight="1">
      <c r="A526" t="inlineStr">
        <is>
          <t>A 41196-2022</t>
        </is>
      </c>
      <c r="B526" s="1" t="n">
        <v>44825.94994212963</v>
      </c>
      <c r="C526" s="1" t="n">
        <v>46048</v>
      </c>
      <c r="D526" t="inlineStr">
        <is>
          <t>VÄSTERNORRLANDS LÄN</t>
        </is>
      </c>
      <c r="E526" t="inlineStr">
        <is>
          <t>SOLLEFTEÅ</t>
        </is>
      </c>
      <c r="F526" t="inlineStr">
        <is>
          <t>SCA</t>
        </is>
      </c>
      <c r="G526" t="n">
        <v>0.6</v>
      </c>
      <c r="H526" t="n">
        <v>0</v>
      </c>
      <c r="I526" t="n">
        <v>0</v>
      </c>
      <c r="J526" t="n">
        <v>0</v>
      </c>
      <c r="K526" t="n">
        <v>0</v>
      </c>
      <c r="L526" t="n">
        <v>0</v>
      </c>
      <c r="M526" t="n">
        <v>0</v>
      </c>
      <c r="N526" t="n">
        <v>0</v>
      </c>
      <c r="O526" t="n">
        <v>0</v>
      </c>
      <c r="P526" t="n">
        <v>0</v>
      </c>
      <c r="Q526" t="n">
        <v>0</v>
      </c>
      <c r="R526" s="2" t="inlineStr"/>
    </row>
    <row r="527" ht="15" customHeight="1">
      <c r="A527" t="inlineStr">
        <is>
          <t>A 3551-2022</t>
        </is>
      </c>
      <c r="B527" s="1" t="n">
        <v>44585.93800925926</v>
      </c>
      <c r="C527" s="1" t="n">
        <v>46048</v>
      </c>
      <c r="D527" t="inlineStr">
        <is>
          <t>VÄSTERNORRLANDS LÄN</t>
        </is>
      </c>
      <c r="E527" t="inlineStr">
        <is>
          <t>SOLLEFTEÅ</t>
        </is>
      </c>
      <c r="F527" t="inlineStr">
        <is>
          <t>SCA</t>
        </is>
      </c>
      <c r="G527" t="n">
        <v>0.8</v>
      </c>
      <c r="H527" t="n">
        <v>0</v>
      </c>
      <c r="I527" t="n">
        <v>0</v>
      </c>
      <c r="J527" t="n">
        <v>0</v>
      </c>
      <c r="K527" t="n">
        <v>0</v>
      </c>
      <c r="L527" t="n">
        <v>0</v>
      </c>
      <c r="M527" t="n">
        <v>0</v>
      </c>
      <c r="N527" t="n">
        <v>0</v>
      </c>
      <c r="O527" t="n">
        <v>0</v>
      </c>
      <c r="P527" t="n">
        <v>0</v>
      </c>
      <c r="Q527" t="n">
        <v>0</v>
      </c>
      <c r="R527" s="2" t="inlineStr"/>
    </row>
    <row r="528" ht="15" customHeight="1">
      <c r="A528" t="inlineStr">
        <is>
          <t>A 40539-2021</t>
        </is>
      </c>
      <c r="B528" s="1" t="n">
        <v>44420</v>
      </c>
      <c r="C528" s="1" t="n">
        <v>46048</v>
      </c>
      <c r="D528" t="inlineStr">
        <is>
          <t>VÄSTERNORRLANDS LÄN</t>
        </is>
      </c>
      <c r="E528" t="inlineStr">
        <is>
          <t>SOLLEFTEÅ</t>
        </is>
      </c>
      <c r="G528" t="n">
        <v>1.9</v>
      </c>
      <c r="H528" t="n">
        <v>0</v>
      </c>
      <c r="I528" t="n">
        <v>0</v>
      </c>
      <c r="J528" t="n">
        <v>0</v>
      </c>
      <c r="K528" t="n">
        <v>0</v>
      </c>
      <c r="L528" t="n">
        <v>0</v>
      </c>
      <c r="M528" t="n">
        <v>0</v>
      </c>
      <c r="N528" t="n">
        <v>0</v>
      </c>
      <c r="O528" t="n">
        <v>0</v>
      </c>
      <c r="P528" t="n">
        <v>0</v>
      </c>
      <c r="Q528" t="n">
        <v>0</v>
      </c>
      <c r="R528" s="2" t="inlineStr"/>
    </row>
    <row r="529" ht="15" customHeight="1">
      <c r="A529" t="inlineStr">
        <is>
          <t>A 35574-2021</t>
        </is>
      </c>
      <c r="B529" s="1" t="n">
        <v>44385.93663194445</v>
      </c>
      <c r="C529" s="1" t="n">
        <v>46048</v>
      </c>
      <c r="D529" t="inlineStr">
        <is>
          <t>VÄSTERNORRLANDS LÄN</t>
        </is>
      </c>
      <c r="E529" t="inlineStr">
        <is>
          <t>SOLLEFTEÅ</t>
        </is>
      </c>
      <c r="F529" t="inlineStr">
        <is>
          <t>SCA</t>
        </is>
      </c>
      <c r="G529" t="n">
        <v>1.2</v>
      </c>
      <c r="H529" t="n">
        <v>0</v>
      </c>
      <c r="I529" t="n">
        <v>0</v>
      </c>
      <c r="J529" t="n">
        <v>0</v>
      </c>
      <c r="K529" t="n">
        <v>0</v>
      </c>
      <c r="L529" t="n">
        <v>0</v>
      </c>
      <c r="M529" t="n">
        <v>0</v>
      </c>
      <c r="N529" t="n">
        <v>0</v>
      </c>
      <c r="O529" t="n">
        <v>0</v>
      </c>
      <c r="P529" t="n">
        <v>0</v>
      </c>
      <c r="Q529" t="n">
        <v>0</v>
      </c>
      <c r="R529" s="2" t="inlineStr"/>
    </row>
    <row r="530" ht="15" customHeight="1">
      <c r="A530" t="inlineStr">
        <is>
          <t>A 12758-2022</t>
        </is>
      </c>
      <c r="B530" s="1" t="n">
        <v>44641</v>
      </c>
      <c r="C530" s="1" t="n">
        <v>46048</v>
      </c>
      <c r="D530" t="inlineStr">
        <is>
          <t>VÄSTERNORRLANDS LÄN</t>
        </is>
      </c>
      <c r="E530" t="inlineStr">
        <is>
          <t>SOLLEFTEÅ</t>
        </is>
      </c>
      <c r="G530" t="n">
        <v>0.1</v>
      </c>
      <c r="H530" t="n">
        <v>0</v>
      </c>
      <c r="I530" t="n">
        <v>0</v>
      </c>
      <c r="J530" t="n">
        <v>0</v>
      </c>
      <c r="K530" t="n">
        <v>0</v>
      </c>
      <c r="L530" t="n">
        <v>0</v>
      </c>
      <c r="M530" t="n">
        <v>0</v>
      </c>
      <c r="N530" t="n">
        <v>0</v>
      </c>
      <c r="O530" t="n">
        <v>0</v>
      </c>
      <c r="P530" t="n">
        <v>0</v>
      </c>
      <c r="Q530" t="n">
        <v>0</v>
      </c>
      <c r="R530" s="2" t="inlineStr"/>
    </row>
    <row r="531" ht="15" customHeight="1">
      <c r="A531" t="inlineStr">
        <is>
          <t>A 53012-2022</t>
        </is>
      </c>
      <c r="B531" s="1" t="n">
        <v>44875.95450231482</v>
      </c>
      <c r="C531" s="1" t="n">
        <v>46048</v>
      </c>
      <c r="D531" t="inlineStr">
        <is>
          <t>VÄSTERNORRLANDS LÄN</t>
        </is>
      </c>
      <c r="E531" t="inlineStr">
        <is>
          <t>SOLLEFTEÅ</t>
        </is>
      </c>
      <c r="F531" t="inlineStr">
        <is>
          <t>SCA</t>
        </is>
      </c>
      <c r="G531" t="n">
        <v>0.9</v>
      </c>
      <c r="H531" t="n">
        <v>0</v>
      </c>
      <c r="I531" t="n">
        <v>0</v>
      </c>
      <c r="J531" t="n">
        <v>0</v>
      </c>
      <c r="K531" t="n">
        <v>0</v>
      </c>
      <c r="L531" t="n">
        <v>0</v>
      </c>
      <c r="M531" t="n">
        <v>0</v>
      </c>
      <c r="N531" t="n">
        <v>0</v>
      </c>
      <c r="O531" t="n">
        <v>0</v>
      </c>
      <c r="P531" t="n">
        <v>0</v>
      </c>
      <c r="Q531" t="n">
        <v>0</v>
      </c>
      <c r="R531" s="2" t="inlineStr"/>
    </row>
    <row r="532" ht="15" customHeight="1">
      <c r="A532" t="inlineStr">
        <is>
          <t>A 10308-2022</t>
        </is>
      </c>
      <c r="B532" s="1" t="n">
        <v>44622</v>
      </c>
      <c r="C532" s="1" t="n">
        <v>46048</v>
      </c>
      <c r="D532" t="inlineStr">
        <is>
          <t>VÄSTERNORRLANDS LÄN</t>
        </is>
      </c>
      <c r="E532" t="inlineStr">
        <is>
          <t>SOLLEFTEÅ</t>
        </is>
      </c>
      <c r="F532" t="inlineStr">
        <is>
          <t>SCA</t>
        </is>
      </c>
      <c r="G532" t="n">
        <v>1.3</v>
      </c>
      <c r="H532" t="n">
        <v>0</v>
      </c>
      <c r="I532" t="n">
        <v>0</v>
      </c>
      <c r="J532" t="n">
        <v>0</v>
      </c>
      <c r="K532" t="n">
        <v>0</v>
      </c>
      <c r="L532" t="n">
        <v>0</v>
      </c>
      <c r="M532" t="n">
        <v>0</v>
      </c>
      <c r="N532" t="n">
        <v>0</v>
      </c>
      <c r="O532" t="n">
        <v>0</v>
      </c>
      <c r="P532" t="n">
        <v>0</v>
      </c>
      <c r="Q532" t="n">
        <v>0</v>
      </c>
      <c r="R532" s="2" t="inlineStr"/>
    </row>
    <row r="533" ht="15" customHeight="1">
      <c r="A533" t="inlineStr">
        <is>
          <t>A 10311-2022</t>
        </is>
      </c>
      <c r="B533" s="1" t="n">
        <v>44622.94049768519</v>
      </c>
      <c r="C533" s="1" t="n">
        <v>46048</v>
      </c>
      <c r="D533" t="inlineStr">
        <is>
          <t>VÄSTERNORRLANDS LÄN</t>
        </is>
      </c>
      <c r="E533" t="inlineStr">
        <is>
          <t>SOLLEFTEÅ</t>
        </is>
      </c>
      <c r="F533" t="inlineStr">
        <is>
          <t>SCA</t>
        </is>
      </c>
      <c r="G533" t="n">
        <v>3.2</v>
      </c>
      <c r="H533" t="n">
        <v>0</v>
      </c>
      <c r="I533" t="n">
        <v>0</v>
      </c>
      <c r="J533" t="n">
        <v>0</v>
      </c>
      <c r="K533" t="n">
        <v>0</v>
      </c>
      <c r="L533" t="n">
        <v>0</v>
      </c>
      <c r="M533" t="n">
        <v>0</v>
      </c>
      <c r="N533" t="n">
        <v>0</v>
      </c>
      <c r="O533" t="n">
        <v>0</v>
      </c>
      <c r="P533" t="n">
        <v>0</v>
      </c>
      <c r="Q533" t="n">
        <v>0</v>
      </c>
      <c r="R533" s="2" t="inlineStr"/>
    </row>
    <row r="534" ht="15" customHeight="1">
      <c r="A534" t="inlineStr">
        <is>
          <t>A 10141-2022</t>
        </is>
      </c>
      <c r="B534" s="1" t="n">
        <v>44621</v>
      </c>
      <c r="C534" s="1" t="n">
        <v>46048</v>
      </c>
      <c r="D534" t="inlineStr">
        <is>
          <t>VÄSTERNORRLANDS LÄN</t>
        </is>
      </c>
      <c r="E534" t="inlineStr">
        <is>
          <t>SOLLEFTEÅ</t>
        </is>
      </c>
      <c r="F534" t="inlineStr">
        <is>
          <t>SCA</t>
        </is>
      </c>
      <c r="G534" t="n">
        <v>15.5</v>
      </c>
      <c r="H534" t="n">
        <v>0</v>
      </c>
      <c r="I534" t="n">
        <v>0</v>
      </c>
      <c r="J534" t="n">
        <v>0</v>
      </c>
      <c r="K534" t="n">
        <v>0</v>
      </c>
      <c r="L534" t="n">
        <v>0</v>
      </c>
      <c r="M534" t="n">
        <v>0</v>
      </c>
      <c r="N534" t="n">
        <v>0</v>
      </c>
      <c r="O534" t="n">
        <v>0</v>
      </c>
      <c r="P534" t="n">
        <v>0</v>
      </c>
      <c r="Q534" t="n">
        <v>0</v>
      </c>
      <c r="R534" s="2" t="inlineStr"/>
    </row>
    <row r="535" ht="15" customHeight="1">
      <c r="A535" t="inlineStr">
        <is>
          <t>A 10198-2022</t>
        </is>
      </c>
      <c r="B535" s="1" t="n">
        <v>44622.44116898148</v>
      </c>
      <c r="C535" s="1" t="n">
        <v>46048</v>
      </c>
      <c r="D535" t="inlineStr">
        <is>
          <t>VÄSTERNORRLANDS LÄN</t>
        </is>
      </c>
      <c r="E535" t="inlineStr">
        <is>
          <t>SOLLEFTEÅ</t>
        </is>
      </c>
      <c r="G535" t="n">
        <v>5.9</v>
      </c>
      <c r="H535" t="n">
        <v>0</v>
      </c>
      <c r="I535" t="n">
        <v>0</v>
      </c>
      <c r="J535" t="n">
        <v>0</v>
      </c>
      <c r="K535" t="n">
        <v>0</v>
      </c>
      <c r="L535" t="n">
        <v>0</v>
      </c>
      <c r="M535" t="n">
        <v>0</v>
      </c>
      <c r="N535" t="n">
        <v>0</v>
      </c>
      <c r="O535" t="n">
        <v>0</v>
      </c>
      <c r="P535" t="n">
        <v>0</v>
      </c>
      <c r="Q535" t="n">
        <v>0</v>
      </c>
      <c r="R535" s="2" t="inlineStr"/>
    </row>
    <row r="536" ht="15" customHeight="1">
      <c r="A536" t="inlineStr">
        <is>
          <t>A 23639-2021</t>
        </is>
      </c>
      <c r="B536" s="1" t="n">
        <v>44334</v>
      </c>
      <c r="C536" s="1" t="n">
        <v>46048</v>
      </c>
      <c r="D536" t="inlineStr">
        <is>
          <t>VÄSTERNORRLANDS LÄN</t>
        </is>
      </c>
      <c r="E536" t="inlineStr">
        <is>
          <t>SOLLEFTEÅ</t>
        </is>
      </c>
      <c r="F536" t="inlineStr">
        <is>
          <t>Kyrkan</t>
        </is>
      </c>
      <c r="G536" t="n">
        <v>5.4</v>
      </c>
      <c r="H536" t="n">
        <v>0</v>
      </c>
      <c r="I536" t="n">
        <v>0</v>
      </c>
      <c r="J536" t="n">
        <v>0</v>
      </c>
      <c r="K536" t="n">
        <v>0</v>
      </c>
      <c r="L536" t="n">
        <v>0</v>
      </c>
      <c r="M536" t="n">
        <v>0</v>
      </c>
      <c r="N536" t="n">
        <v>0</v>
      </c>
      <c r="O536" t="n">
        <v>0</v>
      </c>
      <c r="P536" t="n">
        <v>0</v>
      </c>
      <c r="Q536" t="n">
        <v>0</v>
      </c>
      <c r="R536" s="2" t="inlineStr"/>
    </row>
    <row r="537" ht="15" customHeight="1">
      <c r="A537" t="inlineStr">
        <is>
          <t>A 10309-2022</t>
        </is>
      </c>
      <c r="B537" s="1" t="n">
        <v>44622</v>
      </c>
      <c r="C537" s="1" t="n">
        <v>46048</v>
      </c>
      <c r="D537" t="inlineStr">
        <is>
          <t>VÄSTERNORRLANDS LÄN</t>
        </is>
      </c>
      <c r="E537" t="inlineStr">
        <is>
          <t>SOLLEFTEÅ</t>
        </is>
      </c>
      <c r="F537" t="inlineStr">
        <is>
          <t>SCA</t>
        </is>
      </c>
      <c r="G537" t="n">
        <v>0.6</v>
      </c>
      <c r="H537" t="n">
        <v>0</v>
      </c>
      <c r="I537" t="n">
        <v>0</v>
      </c>
      <c r="J537" t="n">
        <v>0</v>
      </c>
      <c r="K537" t="n">
        <v>0</v>
      </c>
      <c r="L537" t="n">
        <v>0</v>
      </c>
      <c r="M537" t="n">
        <v>0</v>
      </c>
      <c r="N537" t="n">
        <v>0</v>
      </c>
      <c r="O537" t="n">
        <v>0</v>
      </c>
      <c r="P537" t="n">
        <v>0</v>
      </c>
      <c r="Q537" t="n">
        <v>0</v>
      </c>
      <c r="R537" s="2" t="inlineStr"/>
    </row>
    <row r="538" ht="15" customHeight="1">
      <c r="A538" t="inlineStr">
        <is>
          <t>A 25295-2022</t>
        </is>
      </c>
      <c r="B538" s="1" t="n">
        <v>44730.94094907407</v>
      </c>
      <c r="C538" s="1" t="n">
        <v>46048</v>
      </c>
      <c r="D538" t="inlineStr">
        <is>
          <t>VÄSTERNORRLANDS LÄN</t>
        </is>
      </c>
      <c r="E538" t="inlineStr">
        <is>
          <t>SOLLEFTEÅ</t>
        </is>
      </c>
      <c r="F538" t="inlineStr">
        <is>
          <t>SCA</t>
        </is>
      </c>
      <c r="G538" t="n">
        <v>2.3</v>
      </c>
      <c r="H538" t="n">
        <v>0</v>
      </c>
      <c r="I538" t="n">
        <v>0</v>
      </c>
      <c r="J538" t="n">
        <v>0</v>
      </c>
      <c r="K538" t="n">
        <v>0</v>
      </c>
      <c r="L538" t="n">
        <v>0</v>
      </c>
      <c r="M538" t="n">
        <v>0</v>
      </c>
      <c r="N538" t="n">
        <v>0</v>
      </c>
      <c r="O538" t="n">
        <v>0</v>
      </c>
      <c r="P538" t="n">
        <v>0</v>
      </c>
      <c r="Q538" t="n">
        <v>0</v>
      </c>
      <c r="R538" s="2" t="inlineStr"/>
    </row>
    <row r="539" ht="15" customHeight="1">
      <c r="A539" t="inlineStr">
        <is>
          <t>A 10310-2022</t>
        </is>
      </c>
      <c r="B539" s="1" t="n">
        <v>44622.94043981482</v>
      </c>
      <c r="C539" s="1" t="n">
        <v>46048</v>
      </c>
      <c r="D539" t="inlineStr">
        <is>
          <t>VÄSTERNORRLANDS LÄN</t>
        </is>
      </c>
      <c r="E539" t="inlineStr">
        <is>
          <t>SOLLEFTEÅ</t>
        </is>
      </c>
      <c r="F539" t="inlineStr">
        <is>
          <t>SCA</t>
        </is>
      </c>
      <c r="G539" t="n">
        <v>1.3</v>
      </c>
      <c r="H539" t="n">
        <v>0</v>
      </c>
      <c r="I539" t="n">
        <v>0</v>
      </c>
      <c r="J539" t="n">
        <v>0</v>
      </c>
      <c r="K539" t="n">
        <v>0</v>
      </c>
      <c r="L539" t="n">
        <v>0</v>
      </c>
      <c r="M539" t="n">
        <v>0</v>
      </c>
      <c r="N539" t="n">
        <v>0</v>
      </c>
      <c r="O539" t="n">
        <v>0</v>
      </c>
      <c r="P539" t="n">
        <v>0</v>
      </c>
      <c r="Q539" t="n">
        <v>0</v>
      </c>
      <c r="R539" s="2" t="inlineStr"/>
    </row>
    <row r="540" ht="15" customHeight="1">
      <c r="A540" t="inlineStr">
        <is>
          <t>A 72977-2021</t>
        </is>
      </c>
      <c r="B540" s="1" t="n">
        <v>44548</v>
      </c>
      <c r="C540" s="1" t="n">
        <v>46048</v>
      </c>
      <c r="D540" t="inlineStr">
        <is>
          <t>VÄSTERNORRLANDS LÄN</t>
        </is>
      </c>
      <c r="E540" t="inlineStr">
        <is>
          <t>SOLLEFTEÅ</t>
        </is>
      </c>
      <c r="F540" t="inlineStr">
        <is>
          <t>SCA</t>
        </is>
      </c>
      <c r="G540" t="n">
        <v>6.1</v>
      </c>
      <c r="H540" t="n">
        <v>0</v>
      </c>
      <c r="I540" t="n">
        <v>0</v>
      </c>
      <c r="J540" t="n">
        <v>0</v>
      </c>
      <c r="K540" t="n">
        <v>0</v>
      </c>
      <c r="L540" t="n">
        <v>0</v>
      </c>
      <c r="M540" t="n">
        <v>0</v>
      </c>
      <c r="N540" t="n">
        <v>0</v>
      </c>
      <c r="O540" t="n">
        <v>0</v>
      </c>
      <c r="P540" t="n">
        <v>0</v>
      </c>
      <c r="Q540" t="n">
        <v>0</v>
      </c>
      <c r="R540" s="2" t="inlineStr"/>
    </row>
    <row r="541" ht="15" customHeight="1">
      <c r="A541" t="inlineStr">
        <is>
          <t>A 11133-2022</t>
        </is>
      </c>
      <c r="B541" s="1" t="n">
        <v>44628</v>
      </c>
      <c r="C541" s="1" t="n">
        <v>46048</v>
      </c>
      <c r="D541" t="inlineStr">
        <is>
          <t>VÄSTERNORRLANDS LÄN</t>
        </is>
      </c>
      <c r="E541" t="inlineStr">
        <is>
          <t>SOLLEFTEÅ</t>
        </is>
      </c>
      <c r="F541" t="inlineStr">
        <is>
          <t>SCA</t>
        </is>
      </c>
      <c r="G541" t="n">
        <v>1.4</v>
      </c>
      <c r="H541" t="n">
        <v>0</v>
      </c>
      <c r="I541" t="n">
        <v>0</v>
      </c>
      <c r="J541" t="n">
        <v>0</v>
      </c>
      <c r="K541" t="n">
        <v>0</v>
      </c>
      <c r="L541" t="n">
        <v>0</v>
      </c>
      <c r="M541" t="n">
        <v>0</v>
      </c>
      <c r="N541" t="n">
        <v>0</v>
      </c>
      <c r="O541" t="n">
        <v>0</v>
      </c>
      <c r="P541" t="n">
        <v>0</v>
      </c>
      <c r="Q541" t="n">
        <v>0</v>
      </c>
      <c r="R541" s="2" t="inlineStr"/>
    </row>
    <row r="542" ht="15" customHeight="1">
      <c r="A542" t="inlineStr">
        <is>
          <t>A 18570-2022</t>
        </is>
      </c>
      <c r="B542" s="1" t="n">
        <v>44686.94278935185</v>
      </c>
      <c r="C542" s="1" t="n">
        <v>46048</v>
      </c>
      <c r="D542" t="inlineStr">
        <is>
          <t>VÄSTERNORRLANDS LÄN</t>
        </is>
      </c>
      <c r="E542" t="inlineStr">
        <is>
          <t>SOLLEFTEÅ</t>
        </is>
      </c>
      <c r="F542" t="inlineStr">
        <is>
          <t>SCA</t>
        </is>
      </c>
      <c r="G542" t="n">
        <v>1.1</v>
      </c>
      <c r="H542" t="n">
        <v>0</v>
      </c>
      <c r="I542" t="n">
        <v>0</v>
      </c>
      <c r="J542" t="n">
        <v>0</v>
      </c>
      <c r="K542" t="n">
        <v>0</v>
      </c>
      <c r="L542" t="n">
        <v>0</v>
      </c>
      <c r="M542" t="n">
        <v>0</v>
      </c>
      <c r="N542" t="n">
        <v>0</v>
      </c>
      <c r="O542" t="n">
        <v>0</v>
      </c>
      <c r="P542" t="n">
        <v>0</v>
      </c>
      <c r="Q542" t="n">
        <v>0</v>
      </c>
      <c r="R542" s="2" t="inlineStr"/>
    </row>
    <row r="543" ht="15" customHeight="1">
      <c r="A543" t="inlineStr">
        <is>
          <t>A 6121-2022</t>
        </is>
      </c>
      <c r="B543" s="1" t="n">
        <v>44599</v>
      </c>
      <c r="C543" s="1" t="n">
        <v>46048</v>
      </c>
      <c r="D543" t="inlineStr">
        <is>
          <t>VÄSTERNORRLANDS LÄN</t>
        </is>
      </c>
      <c r="E543" t="inlineStr">
        <is>
          <t>SOLLEFTEÅ</t>
        </is>
      </c>
      <c r="G543" t="n">
        <v>2</v>
      </c>
      <c r="H543" t="n">
        <v>0</v>
      </c>
      <c r="I543" t="n">
        <v>0</v>
      </c>
      <c r="J543" t="n">
        <v>0</v>
      </c>
      <c r="K543" t="n">
        <v>0</v>
      </c>
      <c r="L543" t="n">
        <v>0</v>
      </c>
      <c r="M543" t="n">
        <v>0</v>
      </c>
      <c r="N543" t="n">
        <v>0</v>
      </c>
      <c r="O543" t="n">
        <v>0</v>
      </c>
      <c r="P543" t="n">
        <v>0</v>
      </c>
      <c r="Q543" t="n">
        <v>0</v>
      </c>
      <c r="R543" s="2" t="inlineStr"/>
    </row>
    <row r="544" ht="15" customHeight="1">
      <c r="A544" t="inlineStr">
        <is>
          <t>A 73566-2021</t>
        </is>
      </c>
      <c r="B544" s="1" t="n">
        <v>44551.94106481481</v>
      </c>
      <c r="C544" s="1" t="n">
        <v>46048</v>
      </c>
      <c r="D544" t="inlineStr">
        <is>
          <t>VÄSTERNORRLANDS LÄN</t>
        </is>
      </c>
      <c r="E544" t="inlineStr">
        <is>
          <t>SOLLEFTEÅ</t>
        </is>
      </c>
      <c r="F544" t="inlineStr">
        <is>
          <t>SCA</t>
        </is>
      </c>
      <c r="G544" t="n">
        <v>1.2</v>
      </c>
      <c r="H544" t="n">
        <v>0</v>
      </c>
      <c r="I544" t="n">
        <v>0</v>
      </c>
      <c r="J544" t="n">
        <v>0</v>
      </c>
      <c r="K544" t="n">
        <v>0</v>
      </c>
      <c r="L544" t="n">
        <v>0</v>
      </c>
      <c r="M544" t="n">
        <v>0</v>
      </c>
      <c r="N544" t="n">
        <v>0</v>
      </c>
      <c r="O544" t="n">
        <v>0</v>
      </c>
      <c r="P544" t="n">
        <v>0</v>
      </c>
      <c r="Q544" t="n">
        <v>0</v>
      </c>
      <c r="R544" s="2" t="inlineStr"/>
    </row>
    <row r="545" ht="15" customHeight="1">
      <c r="A545" t="inlineStr">
        <is>
          <t>A 14065-2022</t>
        </is>
      </c>
      <c r="B545" s="1" t="n">
        <v>44650</v>
      </c>
      <c r="C545" s="1" t="n">
        <v>46048</v>
      </c>
      <c r="D545" t="inlineStr">
        <is>
          <t>VÄSTERNORRLANDS LÄN</t>
        </is>
      </c>
      <c r="E545" t="inlineStr">
        <is>
          <t>SOLLEFTEÅ</t>
        </is>
      </c>
      <c r="F545" t="inlineStr">
        <is>
          <t>SCA</t>
        </is>
      </c>
      <c r="G545" t="n">
        <v>2.5</v>
      </c>
      <c r="H545" t="n">
        <v>0</v>
      </c>
      <c r="I545" t="n">
        <v>0</v>
      </c>
      <c r="J545" t="n">
        <v>0</v>
      </c>
      <c r="K545" t="n">
        <v>0</v>
      </c>
      <c r="L545" t="n">
        <v>0</v>
      </c>
      <c r="M545" t="n">
        <v>0</v>
      </c>
      <c r="N545" t="n">
        <v>0</v>
      </c>
      <c r="O545" t="n">
        <v>0</v>
      </c>
      <c r="P545" t="n">
        <v>0</v>
      </c>
      <c r="Q545" t="n">
        <v>0</v>
      </c>
      <c r="R545" s="2" t="inlineStr"/>
    </row>
    <row r="546" ht="15" customHeight="1">
      <c r="A546" t="inlineStr">
        <is>
          <t>A 59343-2021</t>
        </is>
      </c>
      <c r="B546" s="1" t="n">
        <v>44490</v>
      </c>
      <c r="C546" s="1" t="n">
        <v>46048</v>
      </c>
      <c r="D546" t="inlineStr">
        <is>
          <t>VÄSTERNORRLANDS LÄN</t>
        </is>
      </c>
      <c r="E546" t="inlineStr">
        <is>
          <t>SOLLEFTEÅ</t>
        </is>
      </c>
      <c r="G546" t="n">
        <v>1.9</v>
      </c>
      <c r="H546" t="n">
        <v>0</v>
      </c>
      <c r="I546" t="n">
        <v>0</v>
      </c>
      <c r="J546" t="n">
        <v>0</v>
      </c>
      <c r="K546" t="n">
        <v>0</v>
      </c>
      <c r="L546" t="n">
        <v>0</v>
      </c>
      <c r="M546" t="n">
        <v>0</v>
      </c>
      <c r="N546" t="n">
        <v>0</v>
      </c>
      <c r="O546" t="n">
        <v>0</v>
      </c>
      <c r="P546" t="n">
        <v>0</v>
      </c>
      <c r="Q546" t="n">
        <v>0</v>
      </c>
      <c r="R546" s="2" t="inlineStr"/>
    </row>
    <row r="547" ht="15" customHeight="1">
      <c r="A547" t="inlineStr">
        <is>
          <t>A 69916-2021</t>
        </is>
      </c>
      <c r="B547" s="1" t="n">
        <v>44532</v>
      </c>
      <c r="C547" s="1" t="n">
        <v>46048</v>
      </c>
      <c r="D547" t="inlineStr">
        <is>
          <t>VÄSTERNORRLANDS LÄN</t>
        </is>
      </c>
      <c r="E547" t="inlineStr">
        <is>
          <t>SOLLEFTEÅ</t>
        </is>
      </c>
      <c r="F547" t="inlineStr">
        <is>
          <t>SCA</t>
        </is>
      </c>
      <c r="G547" t="n">
        <v>2.4</v>
      </c>
      <c r="H547" t="n">
        <v>0</v>
      </c>
      <c r="I547" t="n">
        <v>0</v>
      </c>
      <c r="J547" t="n">
        <v>0</v>
      </c>
      <c r="K547" t="n">
        <v>0</v>
      </c>
      <c r="L547" t="n">
        <v>0</v>
      </c>
      <c r="M547" t="n">
        <v>0</v>
      </c>
      <c r="N547" t="n">
        <v>0</v>
      </c>
      <c r="O547" t="n">
        <v>0</v>
      </c>
      <c r="P547" t="n">
        <v>0</v>
      </c>
      <c r="Q547" t="n">
        <v>0</v>
      </c>
      <c r="R547" s="2" t="inlineStr"/>
    </row>
    <row r="548" ht="15" customHeight="1">
      <c r="A548" t="inlineStr">
        <is>
          <t>A 69919-2021</t>
        </is>
      </c>
      <c r="B548" s="1" t="n">
        <v>44532.94325231481</v>
      </c>
      <c r="C548" s="1" t="n">
        <v>46048</v>
      </c>
      <c r="D548" t="inlineStr">
        <is>
          <t>VÄSTERNORRLANDS LÄN</t>
        </is>
      </c>
      <c r="E548" t="inlineStr">
        <is>
          <t>SOLLEFTEÅ</t>
        </is>
      </c>
      <c r="F548" t="inlineStr">
        <is>
          <t>SCA</t>
        </is>
      </c>
      <c r="G548" t="n">
        <v>2.2</v>
      </c>
      <c r="H548" t="n">
        <v>0</v>
      </c>
      <c r="I548" t="n">
        <v>0</v>
      </c>
      <c r="J548" t="n">
        <v>0</v>
      </c>
      <c r="K548" t="n">
        <v>0</v>
      </c>
      <c r="L548" t="n">
        <v>0</v>
      </c>
      <c r="M548" t="n">
        <v>0</v>
      </c>
      <c r="N548" t="n">
        <v>0</v>
      </c>
      <c r="O548" t="n">
        <v>0</v>
      </c>
      <c r="P548" t="n">
        <v>0</v>
      </c>
      <c r="Q548" t="n">
        <v>0</v>
      </c>
      <c r="R548" s="2" t="inlineStr"/>
    </row>
    <row r="549" ht="15" customHeight="1">
      <c r="A549" t="inlineStr">
        <is>
          <t>A 39944-2022</t>
        </is>
      </c>
      <c r="B549" s="1" t="n">
        <v>44819</v>
      </c>
      <c r="C549" s="1" t="n">
        <v>46048</v>
      </c>
      <c r="D549" t="inlineStr">
        <is>
          <t>VÄSTERNORRLANDS LÄN</t>
        </is>
      </c>
      <c r="E549" t="inlineStr">
        <is>
          <t>SOLLEFTEÅ</t>
        </is>
      </c>
      <c r="F549" t="inlineStr">
        <is>
          <t>SCA</t>
        </is>
      </c>
      <c r="G549" t="n">
        <v>0.6</v>
      </c>
      <c r="H549" t="n">
        <v>0</v>
      </c>
      <c r="I549" t="n">
        <v>0</v>
      </c>
      <c r="J549" t="n">
        <v>0</v>
      </c>
      <c r="K549" t="n">
        <v>0</v>
      </c>
      <c r="L549" t="n">
        <v>0</v>
      </c>
      <c r="M549" t="n">
        <v>0</v>
      </c>
      <c r="N549" t="n">
        <v>0</v>
      </c>
      <c r="O549" t="n">
        <v>0</v>
      </c>
      <c r="P549" t="n">
        <v>0</v>
      </c>
      <c r="Q549" t="n">
        <v>0</v>
      </c>
      <c r="R549" s="2" t="inlineStr"/>
    </row>
    <row r="550" ht="15" customHeight="1">
      <c r="A550" t="inlineStr">
        <is>
          <t>A 24735-2022</t>
        </is>
      </c>
      <c r="B550" s="1" t="n">
        <v>44727.94346064814</v>
      </c>
      <c r="C550" s="1" t="n">
        <v>46048</v>
      </c>
      <c r="D550" t="inlineStr">
        <is>
          <t>VÄSTERNORRLANDS LÄN</t>
        </is>
      </c>
      <c r="E550" t="inlineStr">
        <is>
          <t>SOLLEFTEÅ</t>
        </is>
      </c>
      <c r="F550" t="inlineStr">
        <is>
          <t>SCA</t>
        </is>
      </c>
      <c r="G550" t="n">
        <v>1.8</v>
      </c>
      <c r="H550" t="n">
        <v>0</v>
      </c>
      <c r="I550" t="n">
        <v>0</v>
      </c>
      <c r="J550" t="n">
        <v>0</v>
      </c>
      <c r="K550" t="n">
        <v>0</v>
      </c>
      <c r="L550" t="n">
        <v>0</v>
      </c>
      <c r="M550" t="n">
        <v>0</v>
      </c>
      <c r="N550" t="n">
        <v>0</v>
      </c>
      <c r="O550" t="n">
        <v>0</v>
      </c>
      <c r="P550" t="n">
        <v>0</v>
      </c>
      <c r="Q550" t="n">
        <v>0</v>
      </c>
      <c r="R550" s="2" t="inlineStr"/>
    </row>
    <row r="551" ht="15" customHeight="1">
      <c r="A551" t="inlineStr">
        <is>
          <t>A 54146-2021</t>
        </is>
      </c>
      <c r="B551" s="1" t="n">
        <v>44469</v>
      </c>
      <c r="C551" s="1" t="n">
        <v>46048</v>
      </c>
      <c r="D551" t="inlineStr">
        <is>
          <t>VÄSTERNORRLANDS LÄN</t>
        </is>
      </c>
      <c r="E551" t="inlineStr">
        <is>
          <t>SOLLEFTEÅ</t>
        </is>
      </c>
      <c r="G551" t="n">
        <v>2.1</v>
      </c>
      <c r="H551" t="n">
        <v>0</v>
      </c>
      <c r="I551" t="n">
        <v>0</v>
      </c>
      <c r="J551" t="n">
        <v>0</v>
      </c>
      <c r="K551" t="n">
        <v>0</v>
      </c>
      <c r="L551" t="n">
        <v>0</v>
      </c>
      <c r="M551" t="n">
        <v>0</v>
      </c>
      <c r="N551" t="n">
        <v>0</v>
      </c>
      <c r="O551" t="n">
        <v>0</v>
      </c>
      <c r="P551" t="n">
        <v>0</v>
      </c>
      <c r="Q551" t="n">
        <v>0</v>
      </c>
      <c r="R551" s="2" t="inlineStr"/>
    </row>
    <row r="552" ht="15" customHeight="1">
      <c r="A552" t="inlineStr">
        <is>
          <t>A 30936-2022</t>
        </is>
      </c>
      <c r="B552" s="1" t="n">
        <v>44767.94028935185</v>
      </c>
      <c r="C552" s="1" t="n">
        <v>46048</v>
      </c>
      <c r="D552" t="inlineStr">
        <is>
          <t>VÄSTERNORRLANDS LÄN</t>
        </is>
      </c>
      <c r="E552" t="inlineStr">
        <is>
          <t>SOLLEFTEÅ</t>
        </is>
      </c>
      <c r="F552" t="inlineStr">
        <is>
          <t>SCA</t>
        </is>
      </c>
      <c r="G552" t="n">
        <v>1</v>
      </c>
      <c r="H552" t="n">
        <v>0</v>
      </c>
      <c r="I552" t="n">
        <v>0</v>
      </c>
      <c r="J552" t="n">
        <v>0</v>
      </c>
      <c r="K552" t="n">
        <v>0</v>
      </c>
      <c r="L552" t="n">
        <v>0</v>
      </c>
      <c r="M552" t="n">
        <v>0</v>
      </c>
      <c r="N552" t="n">
        <v>0</v>
      </c>
      <c r="O552" t="n">
        <v>0</v>
      </c>
      <c r="P552" t="n">
        <v>0</v>
      </c>
      <c r="Q552" t="n">
        <v>0</v>
      </c>
      <c r="R552" s="2" t="inlineStr"/>
    </row>
    <row r="553" ht="15" customHeight="1">
      <c r="A553" t="inlineStr">
        <is>
          <t>A 14477-2022</t>
        </is>
      </c>
      <c r="B553" s="1" t="n">
        <v>44654.93954861111</v>
      </c>
      <c r="C553" s="1" t="n">
        <v>46048</v>
      </c>
      <c r="D553" t="inlineStr">
        <is>
          <t>VÄSTERNORRLANDS LÄN</t>
        </is>
      </c>
      <c r="E553" t="inlineStr">
        <is>
          <t>SOLLEFTEÅ</t>
        </is>
      </c>
      <c r="F553" t="inlineStr">
        <is>
          <t>SCA</t>
        </is>
      </c>
      <c r="G553" t="n">
        <v>1.5</v>
      </c>
      <c r="H553" t="n">
        <v>0</v>
      </c>
      <c r="I553" t="n">
        <v>0</v>
      </c>
      <c r="J553" t="n">
        <v>0</v>
      </c>
      <c r="K553" t="n">
        <v>0</v>
      </c>
      <c r="L553" t="n">
        <v>0</v>
      </c>
      <c r="M553" t="n">
        <v>0</v>
      </c>
      <c r="N553" t="n">
        <v>0</v>
      </c>
      <c r="O553" t="n">
        <v>0</v>
      </c>
      <c r="P553" t="n">
        <v>0</v>
      </c>
      <c r="Q553" t="n">
        <v>0</v>
      </c>
      <c r="R553" s="2" t="inlineStr"/>
    </row>
    <row r="554" ht="15" customHeight="1">
      <c r="A554" t="inlineStr">
        <is>
          <t>A 14447-2022</t>
        </is>
      </c>
      <c r="B554" s="1" t="n">
        <v>44652.94510416667</v>
      </c>
      <c r="C554" s="1" t="n">
        <v>46048</v>
      </c>
      <c r="D554" t="inlineStr">
        <is>
          <t>VÄSTERNORRLANDS LÄN</t>
        </is>
      </c>
      <c r="E554" t="inlineStr">
        <is>
          <t>SOLLEFTEÅ</t>
        </is>
      </c>
      <c r="F554" t="inlineStr">
        <is>
          <t>SCA</t>
        </is>
      </c>
      <c r="G554" t="n">
        <v>1.7</v>
      </c>
      <c r="H554" t="n">
        <v>0</v>
      </c>
      <c r="I554" t="n">
        <v>0</v>
      </c>
      <c r="J554" t="n">
        <v>0</v>
      </c>
      <c r="K554" t="n">
        <v>0</v>
      </c>
      <c r="L554" t="n">
        <v>0</v>
      </c>
      <c r="M554" t="n">
        <v>0</v>
      </c>
      <c r="N554" t="n">
        <v>0</v>
      </c>
      <c r="O554" t="n">
        <v>0</v>
      </c>
      <c r="P554" t="n">
        <v>0</v>
      </c>
      <c r="Q554" t="n">
        <v>0</v>
      </c>
      <c r="R554" s="2" t="inlineStr"/>
    </row>
    <row r="555" ht="15" customHeight="1">
      <c r="A555" t="inlineStr">
        <is>
          <t>A 27283-2022</t>
        </is>
      </c>
      <c r="B555" s="1" t="n">
        <v>44741.94023148148</v>
      </c>
      <c r="C555" s="1" t="n">
        <v>46048</v>
      </c>
      <c r="D555" t="inlineStr">
        <is>
          <t>VÄSTERNORRLANDS LÄN</t>
        </is>
      </c>
      <c r="E555" t="inlineStr">
        <is>
          <t>SOLLEFTEÅ</t>
        </is>
      </c>
      <c r="F555" t="inlineStr">
        <is>
          <t>SCA</t>
        </is>
      </c>
      <c r="G555" t="n">
        <v>1.5</v>
      </c>
      <c r="H555" t="n">
        <v>0</v>
      </c>
      <c r="I555" t="n">
        <v>0</v>
      </c>
      <c r="J555" t="n">
        <v>0</v>
      </c>
      <c r="K555" t="n">
        <v>0</v>
      </c>
      <c r="L555" t="n">
        <v>0</v>
      </c>
      <c r="M555" t="n">
        <v>0</v>
      </c>
      <c r="N555" t="n">
        <v>0</v>
      </c>
      <c r="O555" t="n">
        <v>0</v>
      </c>
      <c r="P555" t="n">
        <v>0</v>
      </c>
      <c r="Q555" t="n">
        <v>0</v>
      </c>
      <c r="R555" s="2" t="inlineStr"/>
    </row>
    <row r="556" ht="15" customHeight="1">
      <c r="A556" t="inlineStr">
        <is>
          <t>A 37242-2022</t>
        </is>
      </c>
      <c r="B556" s="1" t="n">
        <v>44806.94675925926</v>
      </c>
      <c r="C556" s="1" t="n">
        <v>46048</v>
      </c>
      <c r="D556" t="inlineStr">
        <is>
          <t>VÄSTERNORRLANDS LÄN</t>
        </is>
      </c>
      <c r="E556" t="inlineStr">
        <is>
          <t>SOLLEFTEÅ</t>
        </is>
      </c>
      <c r="F556" t="inlineStr">
        <is>
          <t>SCA</t>
        </is>
      </c>
      <c r="G556" t="n">
        <v>1.1</v>
      </c>
      <c r="H556" t="n">
        <v>0</v>
      </c>
      <c r="I556" t="n">
        <v>0</v>
      </c>
      <c r="J556" t="n">
        <v>0</v>
      </c>
      <c r="K556" t="n">
        <v>0</v>
      </c>
      <c r="L556" t="n">
        <v>0</v>
      </c>
      <c r="M556" t="n">
        <v>0</v>
      </c>
      <c r="N556" t="n">
        <v>0</v>
      </c>
      <c r="O556" t="n">
        <v>0</v>
      </c>
      <c r="P556" t="n">
        <v>0</v>
      </c>
      <c r="Q556" t="n">
        <v>0</v>
      </c>
      <c r="R556" s="2" t="inlineStr"/>
    </row>
    <row r="557" ht="15" customHeight="1">
      <c r="A557" t="inlineStr">
        <is>
          <t>A 53289-2021</t>
        </is>
      </c>
      <c r="B557" s="1" t="n">
        <v>44467</v>
      </c>
      <c r="C557" s="1" t="n">
        <v>46048</v>
      </c>
      <c r="D557" t="inlineStr">
        <is>
          <t>VÄSTERNORRLANDS LÄN</t>
        </is>
      </c>
      <c r="E557" t="inlineStr">
        <is>
          <t>SOLLEFTEÅ</t>
        </is>
      </c>
      <c r="G557" t="n">
        <v>6.5</v>
      </c>
      <c r="H557" t="n">
        <v>0</v>
      </c>
      <c r="I557" t="n">
        <v>0</v>
      </c>
      <c r="J557" t="n">
        <v>0</v>
      </c>
      <c r="K557" t="n">
        <v>0</v>
      </c>
      <c r="L557" t="n">
        <v>0</v>
      </c>
      <c r="M557" t="n">
        <v>0</v>
      </c>
      <c r="N557" t="n">
        <v>0</v>
      </c>
      <c r="O557" t="n">
        <v>0</v>
      </c>
      <c r="P557" t="n">
        <v>0</v>
      </c>
      <c r="Q557" t="n">
        <v>0</v>
      </c>
      <c r="R557" s="2" t="inlineStr"/>
    </row>
    <row r="558" ht="15" customHeight="1">
      <c r="A558" t="inlineStr">
        <is>
          <t>A 21635-2022</t>
        </is>
      </c>
      <c r="B558" s="1" t="n">
        <v>44706.92628472222</v>
      </c>
      <c r="C558" s="1" t="n">
        <v>46048</v>
      </c>
      <c r="D558" t="inlineStr">
        <is>
          <t>VÄSTERNORRLANDS LÄN</t>
        </is>
      </c>
      <c r="E558" t="inlineStr">
        <is>
          <t>SOLLEFTEÅ</t>
        </is>
      </c>
      <c r="G558" t="n">
        <v>0.3</v>
      </c>
      <c r="H558" t="n">
        <v>0</v>
      </c>
      <c r="I558" t="n">
        <v>0</v>
      </c>
      <c r="J558" t="n">
        <v>0</v>
      </c>
      <c r="K558" t="n">
        <v>0</v>
      </c>
      <c r="L558" t="n">
        <v>0</v>
      </c>
      <c r="M558" t="n">
        <v>0</v>
      </c>
      <c r="N558" t="n">
        <v>0</v>
      </c>
      <c r="O558" t="n">
        <v>0</v>
      </c>
      <c r="P558" t="n">
        <v>0</v>
      </c>
      <c r="Q558" t="n">
        <v>0</v>
      </c>
      <c r="R558" s="2" t="inlineStr"/>
    </row>
    <row r="559" ht="15" customHeight="1">
      <c r="A559" t="inlineStr">
        <is>
          <t>A 54573-2022</t>
        </is>
      </c>
      <c r="B559" s="1" t="n">
        <v>44882.95532407407</v>
      </c>
      <c r="C559" s="1" t="n">
        <v>46048</v>
      </c>
      <c r="D559" t="inlineStr">
        <is>
          <t>VÄSTERNORRLANDS LÄN</t>
        </is>
      </c>
      <c r="E559" t="inlineStr">
        <is>
          <t>SOLLEFTEÅ</t>
        </is>
      </c>
      <c r="F559" t="inlineStr">
        <is>
          <t>SCA</t>
        </is>
      </c>
      <c r="G559" t="n">
        <v>0.9</v>
      </c>
      <c r="H559" t="n">
        <v>0</v>
      </c>
      <c r="I559" t="n">
        <v>0</v>
      </c>
      <c r="J559" t="n">
        <v>0</v>
      </c>
      <c r="K559" t="n">
        <v>0</v>
      </c>
      <c r="L559" t="n">
        <v>0</v>
      </c>
      <c r="M559" t="n">
        <v>0</v>
      </c>
      <c r="N559" t="n">
        <v>0</v>
      </c>
      <c r="O559" t="n">
        <v>0</v>
      </c>
      <c r="P559" t="n">
        <v>0</v>
      </c>
      <c r="Q559" t="n">
        <v>0</v>
      </c>
      <c r="R559" s="2" t="inlineStr"/>
    </row>
    <row r="560" ht="15" customHeight="1">
      <c r="A560" t="inlineStr">
        <is>
          <t>A 576-2022</t>
        </is>
      </c>
      <c r="B560" s="1" t="n">
        <v>44566.92086805555</v>
      </c>
      <c r="C560" s="1" t="n">
        <v>46048</v>
      </c>
      <c r="D560" t="inlineStr">
        <is>
          <t>VÄSTERNORRLANDS LÄN</t>
        </is>
      </c>
      <c r="E560" t="inlineStr">
        <is>
          <t>SOLLEFTEÅ</t>
        </is>
      </c>
      <c r="G560" t="n">
        <v>1.9</v>
      </c>
      <c r="H560" t="n">
        <v>0</v>
      </c>
      <c r="I560" t="n">
        <v>0</v>
      </c>
      <c r="J560" t="n">
        <v>0</v>
      </c>
      <c r="K560" t="n">
        <v>0</v>
      </c>
      <c r="L560" t="n">
        <v>0</v>
      </c>
      <c r="M560" t="n">
        <v>0</v>
      </c>
      <c r="N560" t="n">
        <v>0</v>
      </c>
      <c r="O560" t="n">
        <v>0</v>
      </c>
      <c r="P560" t="n">
        <v>0</v>
      </c>
      <c r="Q560" t="n">
        <v>0</v>
      </c>
      <c r="R560" s="2" t="inlineStr"/>
    </row>
    <row r="561" ht="15" customHeight="1">
      <c r="A561" t="inlineStr">
        <is>
          <t>A 50656-2022</t>
        </is>
      </c>
      <c r="B561" s="1" t="n">
        <v>44866</v>
      </c>
      <c r="C561" s="1" t="n">
        <v>46048</v>
      </c>
      <c r="D561" t="inlineStr">
        <is>
          <t>VÄSTERNORRLANDS LÄN</t>
        </is>
      </c>
      <c r="E561" t="inlineStr">
        <is>
          <t>SOLLEFTEÅ</t>
        </is>
      </c>
      <c r="F561" t="inlineStr">
        <is>
          <t>SCA</t>
        </is>
      </c>
      <c r="G561" t="n">
        <v>2.2</v>
      </c>
      <c r="H561" t="n">
        <v>0</v>
      </c>
      <c r="I561" t="n">
        <v>0</v>
      </c>
      <c r="J561" t="n">
        <v>0</v>
      </c>
      <c r="K561" t="n">
        <v>0</v>
      </c>
      <c r="L561" t="n">
        <v>0</v>
      </c>
      <c r="M561" t="n">
        <v>0</v>
      </c>
      <c r="N561" t="n">
        <v>0</v>
      </c>
      <c r="O561" t="n">
        <v>0</v>
      </c>
      <c r="P561" t="n">
        <v>0</v>
      </c>
      <c r="Q561" t="n">
        <v>0</v>
      </c>
      <c r="R561" s="2" t="inlineStr"/>
    </row>
    <row r="562" ht="15" customHeight="1">
      <c r="A562" t="inlineStr">
        <is>
          <t>A 33990-2022</t>
        </is>
      </c>
      <c r="B562" s="1" t="n">
        <v>44790</v>
      </c>
      <c r="C562" s="1" t="n">
        <v>46048</v>
      </c>
      <c r="D562" t="inlineStr">
        <is>
          <t>VÄSTERNORRLANDS LÄN</t>
        </is>
      </c>
      <c r="E562" t="inlineStr">
        <is>
          <t>SOLLEFTEÅ</t>
        </is>
      </c>
      <c r="F562" t="inlineStr">
        <is>
          <t>SCA</t>
        </is>
      </c>
      <c r="G562" t="n">
        <v>1.4</v>
      </c>
      <c r="H562" t="n">
        <v>0</v>
      </c>
      <c r="I562" t="n">
        <v>0</v>
      </c>
      <c r="J562" t="n">
        <v>0</v>
      </c>
      <c r="K562" t="n">
        <v>0</v>
      </c>
      <c r="L562" t="n">
        <v>0</v>
      </c>
      <c r="M562" t="n">
        <v>0</v>
      </c>
      <c r="N562" t="n">
        <v>0</v>
      </c>
      <c r="O562" t="n">
        <v>0</v>
      </c>
      <c r="P562" t="n">
        <v>0</v>
      </c>
      <c r="Q562" t="n">
        <v>0</v>
      </c>
      <c r="R562" s="2" t="inlineStr"/>
    </row>
    <row r="563" ht="15" customHeight="1">
      <c r="A563" t="inlineStr">
        <is>
          <t>A 16419-2022</t>
        </is>
      </c>
      <c r="B563" s="1" t="n">
        <v>44671</v>
      </c>
      <c r="C563" s="1" t="n">
        <v>46048</v>
      </c>
      <c r="D563" t="inlineStr">
        <is>
          <t>VÄSTERNORRLANDS LÄN</t>
        </is>
      </c>
      <c r="E563" t="inlineStr">
        <is>
          <t>SOLLEFTEÅ</t>
        </is>
      </c>
      <c r="F563" t="inlineStr">
        <is>
          <t>Kommuner</t>
        </is>
      </c>
      <c r="G563" t="n">
        <v>0.5</v>
      </c>
      <c r="H563" t="n">
        <v>0</v>
      </c>
      <c r="I563" t="n">
        <v>0</v>
      </c>
      <c r="J563" t="n">
        <v>0</v>
      </c>
      <c r="K563" t="n">
        <v>0</v>
      </c>
      <c r="L563" t="n">
        <v>0</v>
      </c>
      <c r="M563" t="n">
        <v>0</v>
      </c>
      <c r="N563" t="n">
        <v>0</v>
      </c>
      <c r="O563" t="n">
        <v>0</v>
      </c>
      <c r="P563" t="n">
        <v>0</v>
      </c>
      <c r="Q563" t="n">
        <v>0</v>
      </c>
      <c r="R563" s="2" t="inlineStr"/>
    </row>
    <row r="564" ht="15" customHeight="1">
      <c r="A564" t="inlineStr">
        <is>
          <t>A 16088-2022</t>
        </is>
      </c>
      <c r="B564" s="1" t="n">
        <v>44665</v>
      </c>
      <c r="C564" s="1" t="n">
        <v>46048</v>
      </c>
      <c r="D564" t="inlineStr">
        <is>
          <t>VÄSTERNORRLANDS LÄN</t>
        </is>
      </c>
      <c r="E564" t="inlineStr">
        <is>
          <t>SOLLEFTEÅ</t>
        </is>
      </c>
      <c r="F564" t="inlineStr">
        <is>
          <t>Holmen skog AB</t>
        </is>
      </c>
      <c r="G564" t="n">
        <v>0.5</v>
      </c>
      <c r="H564" t="n">
        <v>0</v>
      </c>
      <c r="I564" t="n">
        <v>0</v>
      </c>
      <c r="J564" t="n">
        <v>0</v>
      </c>
      <c r="K564" t="n">
        <v>0</v>
      </c>
      <c r="L564" t="n">
        <v>0</v>
      </c>
      <c r="M564" t="n">
        <v>0</v>
      </c>
      <c r="N564" t="n">
        <v>0</v>
      </c>
      <c r="O564" t="n">
        <v>0</v>
      </c>
      <c r="P564" t="n">
        <v>0</v>
      </c>
      <c r="Q564" t="n">
        <v>0</v>
      </c>
      <c r="R564" s="2" t="inlineStr"/>
    </row>
    <row r="565" ht="15" customHeight="1">
      <c r="A565" t="inlineStr">
        <is>
          <t>A 39947-2022</t>
        </is>
      </c>
      <c r="B565" s="1" t="n">
        <v>44819</v>
      </c>
      <c r="C565" s="1" t="n">
        <v>46048</v>
      </c>
      <c r="D565" t="inlineStr">
        <is>
          <t>VÄSTERNORRLANDS LÄN</t>
        </is>
      </c>
      <c r="E565" t="inlineStr">
        <is>
          <t>SOLLEFTEÅ</t>
        </is>
      </c>
      <c r="F565" t="inlineStr">
        <is>
          <t>SCA</t>
        </is>
      </c>
      <c r="G565" t="n">
        <v>1.5</v>
      </c>
      <c r="H565" t="n">
        <v>0</v>
      </c>
      <c r="I565" t="n">
        <v>0</v>
      </c>
      <c r="J565" t="n">
        <v>0</v>
      </c>
      <c r="K565" t="n">
        <v>0</v>
      </c>
      <c r="L565" t="n">
        <v>0</v>
      </c>
      <c r="M565" t="n">
        <v>0</v>
      </c>
      <c r="N565" t="n">
        <v>0</v>
      </c>
      <c r="O565" t="n">
        <v>0</v>
      </c>
      <c r="P565" t="n">
        <v>0</v>
      </c>
      <c r="Q565" t="n">
        <v>0</v>
      </c>
      <c r="R565" s="2" t="inlineStr"/>
    </row>
    <row r="566" ht="15" customHeight="1">
      <c r="A566" t="inlineStr">
        <is>
          <t>A 40610-2022</t>
        </is>
      </c>
      <c r="B566" s="1" t="n">
        <v>44823.94981481481</v>
      </c>
      <c r="C566" s="1" t="n">
        <v>46048</v>
      </c>
      <c r="D566" t="inlineStr">
        <is>
          <t>VÄSTERNORRLANDS LÄN</t>
        </is>
      </c>
      <c r="E566" t="inlineStr">
        <is>
          <t>SOLLEFTEÅ</t>
        </is>
      </c>
      <c r="F566" t="inlineStr">
        <is>
          <t>SCA</t>
        </is>
      </c>
      <c r="G566" t="n">
        <v>1</v>
      </c>
      <c r="H566" t="n">
        <v>0</v>
      </c>
      <c r="I566" t="n">
        <v>0</v>
      </c>
      <c r="J566" t="n">
        <v>0</v>
      </c>
      <c r="K566" t="n">
        <v>0</v>
      </c>
      <c r="L566" t="n">
        <v>0</v>
      </c>
      <c r="M566" t="n">
        <v>0</v>
      </c>
      <c r="N566" t="n">
        <v>0</v>
      </c>
      <c r="O566" t="n">
        <v>0</v>
      </c>
      <c r="P566" t="n">
        <v>0</v>
      </c>
      <c r="Q566" t="n">
        <v>0</v>
      </c>
      <c r="R566" s="2" t="inlineStr"/>
    </row>
    <row r="567" ht="15" customHeight="1">
      <c r="A567" t="inlineStr">
        <is>
          <t>A 45117-2022</t>
        </is>
      </c>
      <c r="B567" s="1" t="n">
        <v>44843.94648148148</v>
      </c>
      <c r="C567" s="1" t="n">
        <v>46048</v>
      </c>
      <c r="D567" t="inlineStr">
        <is>
          <t>VÄSTERNORRLANDS LÄN</t>
        </is>
      </c>
      <c r="E567" t="inlineStr">
        <is>
          <t>SOLLEFTEÅ</t>
        </is>
      </c>
      <c r="F567" t="inlineStr">
        <is>
          <t>SCA</t>
        </is>
      </c>
      <c r="G567" t="n">
        <v>1.6</v>
      </c>
      <c r="H567" t="n">
        <v>0</v>
      </c>
      <c r="I567" t="n">
        <v>0</v>
      </c>
      <c r="J567" t="n">
        <v>0</v>
      </c>
      <c r="K567" t="n">
        <v>0</v>
      </c>
      <c r="L567" t="n">
        <v>0</v>
      </c>
      <c r="M567" t="n">
        <v>0</v>
      </c>
      <c r="N567" t="n">
        <v>0</v>
      </c>
      <c r="O567" t="n">
        <v>0</v>
      </c>
      <c r="P567" t="n">
        <v>0</v>
      </c>
      <c r="Q567" t="n">
        <v>0</v>
      </c>
      <c r="R567" s="2" t="inlineStr"/>
    </row>
    <row r="568" ht="15" customHeight="1">
      <c r="A568" t="inlineStr">
        <is>
          <t>A 11653-2022</t>
        </is>
      </c>
      <c r="B568" s="1" t="n">
        <v>44631</v>
      </c>
      <c r="C568" s="1" t="n">
        <v>46048</v>
      </c>
      <c r="D568" t="inlineStr">
        <is>
          <t>VÄSTERNORRLANDS LÄN</t>
        </is>
      </c>
      <c r="E568" t="inlineStr">
        <is>
          <t>SOLLEFTEÅ</t>
        </is>
      </c>
      <c r="F568" t="inlineStr">
        <is>
          <t>SCA</t>
        </is>
      </c>
      <c r="G568" t="n">
        <v>6.4</v>
      </c>
      <c r="H568" t="n">
        <v>0</v>
      </c>
      <c r="I568" t="n">
        <v>0</v>
      </c>
      <c r="J568" t="n">
        <v>0</v>
      </c>
      <c r="K568" t="n">
        <v>0</v>
      </c>
      <c r="L568" t="n">
        <v>0</v>
      </c>
      <c r="M568" t="n">
        <v>0</v>
      </c>
      <c r="N568" t="n">
        <v>0</v>
      </c>
      <c r="O568" t="n">
        <v>0</v>
      </c>
      <c r="P568" t="n">
        <v>0</v>
      </c>
      <c r="Q568" t="n">
        <v>0</v>
      </c>
      <c r="R568" s="2" t="inlineStr"/>
    </row>
    <row r="569" ht="15" customHeight="1">
      <c r="A569" t="inlineStr">
        <is>
          <t>A 11677-2022</t>
        </is>
      </c>
      <c r="B569" s="1" t="n">
        <v>44633</v>
      </c>
      <c r="C569" s="1" t="n">
        <v>46048</v>
      </c>
      <c r="D569" t="inlineStr">
        <is>
          <t>VÄSTERNORRLANDS LÄN</t>
        </is>
      </c>
      <c r="E569" t="inlineStr">
        <is>
          <t>SOLLEFTEÅ</t>
        </is>
      </c>
      <c r="F569" t="inlineStr">
        <is>
          <t>SCA</t>
        </is>
      </c>
      <c r="G569" t="n">
        <v>6.1</v>
      </c>
      <c r="H569" t="n">
        <v>0</v>
      </c>
      <c r="I569" t="n">
        <v>0</v>
      </c>
      <c r="J569" t="n">
        <v>0</v>
      </c>
      <c r="K569" t="n">
        <v>0</v>
      </c>
      <c r="L569" t="n">
        <v>0</v>
      </c>
      <c r="M569" t="n">
        <v>0</v>
      </c>
      <c r="N569" t="n">
        <v>0</v>
      </c>
      <c r="O569" t="n">
        <v>0</v>
      </c>
      <c r="P569" t="n">
        <v>0</v>
      </c>
      <c r="Q569" t="n">
        <v>0</v>
      </c>
      <c r="R569" s="2" t="inlineStr"/>
    </row>
    <row r="570" ht="15" customHeight="1">
      <c r="A570" t="inlineStr">
        <is>
          <t>A 24720-2021</t>
        </is>
      </c>
      <c r="B570" s="1" t="n">
        <v>44340</v>
      </c>
      <c r="C570" s="1" t="n">
        <v>46048</v>
      </c>
      <c r="D570" t="inlineStr">
        <is>
          <t>VÄSTERNORRLANDS LÄN</t>
        </is>
      </c>
      <c r="E570" t="inlineStr">
        <is>
          <t>SOLLEFTEÅ</t>
        </is>
      </c>
      <c r="G570" t="n">
        <v>0.8</v>
      </c>
      <c r="H570" t="n">
        <v>0</v>
      </c>
      <c r="I570" t="n">
        <v>0</v>
      </c>
      <c r="J570" t="n">
        <v>0</v>
      </c>
      <c r="K570" t="n">
        <v>0</v>
      </c>
      <c r="L570" t="n">
        <v>0</v>
      </c>
      <c r="M570" t="n">
        <v>0</v>
      </c>
      <c r="N570" t="n">
        <v>0</v>
      </c>
      <c r="O570" t="n">
        <v>0</v>
      </c>
      <c r="P570" t="n">
        <v>0</v>
      </c>
      <c r="Q570" t="n">
        <v>0</v>
      </c>
      <c r="R570" s="2" t="inlineStr"/>
    </row>
    <row r="571" ht="15" customHeight="1">
      <c r="A571" t="inlineStr">
        <is>
          <t>A 36579-2021</t>
        </is>
      </c>
      <c r="B571" s="1" t="n">
        <v>44391.59509259259</v>
      </c>
      <c r="C571" s="1" t="n">
        <v>46048</v>
      </c>
      <c r="D571" t="inlineStr">
        <is>
          <t>VÄSTERNORRLANDS LÄN</t>
        </is>
      </c>
      <c r="E571" t="inlineStr">
        <is>
          <t>SOLLEFTEÅ</t>
        </is>
      </c>
      <c r="G571" t="n">
        <v>6.9</v>
      </c>
      <c r="H571" t="n">
        <v>0</v>
      </c>
      <c r="I571" t="n">
        <v>0</v>
      </c>
      <c r="J571" t="n">
        <v>0</v>
      </c>
      <c r="K571" t="n">
        <v>0</v>
      </c>
      <c r="L571" t="n">
        <v>0</v>
      </c>
      <c r="M571" t="n">
        <v>0</v>
      </c>
      <c r="N571" t="n">
        <v>0</v>
      </c>
      <c r="O571" t="n">
        <v>0</v>
      </c>
      <c r="P571" t="n">
        <v>0</v>
      </c>
      <c r="Q571" t="n">
        <v>0</v>
      </c>
      <c r="R571" s="2" t="inlineStr"/>
    </row>
    <row r="572" ht="15" customHeight="1">
      <c r="A572" t="inlineStr">
        <is>
          <t>A 44042-2022</t>
        </is>
      </c>
      <c r="B572" s="1" t="n">
        <v>44838.94877314815</v>
      </c>
      <c r="C572" s="1" t="n">
        <v>46048</v>
      </c>
      <c r="D572" t="inlineStr">
        <is>
          <t>VÄSTERNORRLANDS LÄN</t>
        </is>
      </c>
      <c r="E572" t="inlineStr">
        <is>
          <t>SOLLEFTEÅ</t>
        </is>
      </c>
      <c r="F572" t="inlineStr">
        <is>
          <t>SCA</t>
        </is>
      </c>
      <c r="G572" t="n">
        <v>5.6</v>
      </c>
      <c r="H572" t="n">
        <v>0</v>
      </c>
      <c r="I572" t="n">
        <v>0</v>
      </c>
      <c r="J572" t="n">
        <v>0</v>
      </c>
      <c r="K572" t="n">
        <v>0</v>
      </c>
      <c r="L572" t="n">
        <v>0</v>
      </c>
      <c r="M572" t="n">
        <v>0</v>
      </c>
      <c r="N572" t="n">
        <v>0</v>
      </c>
      <c r="O572" t="n">
        <v>0</v>
      </c>
      <c r="P572" t="n">
        <v>0</v>
      </c>
      <c r="Q572" t="n">
        <v>0</v>
      </c>
      <c r="R572" s="2" t="inlineStr"/>
    </row>
    <row r="573" ht="15" customHeight="1">
      <c r="A573" t="inlineStr">
        <is>
          <t>A 58726-2021</t>
        </is>
      </c>
      <c r="B573" s="1" t="n">
        <v>44489</v>
      </c>
      <c r="C573" s="1" t="n">
        <v>46048</v>
      </c>
      <c r="D573" t="inlineStr">
        <is>
          <t>VÄSTERNORRLANDS LÄN</t>
        </is>
      </c>
      <c r="E573" t="inlineStr">
        <is>
          <t>SOLLEFTEÅ</t>
        </is>
      </c>
      <c r="G573" t="n">
        <v>1.5</v>
      </c>
      <c r="H573" t="n">
        <v>0</v>
      </c>
      <c r="I573" t="n">
        <v>0</v>
      </c>
      <c r="J573" t="n">
        <v>0</v>
      </c>
      <c r="K573" t="n">
        <v>0</v>
      </c>
      <c r="L573" t="n">
        <v>0</v>
      </c>
      <c r="M573" t="n">
        <v>0</v>
      </c>
      <c r="N573" t="n">
        <v>0</v>
      </c>
      <c r="O573" t="n">
        <v>0</v>
      </c>
      <c r="P573" t="n">
        <v>0</v>
      </c>
      <c r="Q573" t="n">
        <v>0</v>
      </c>
      <c r="R573" s="2" t="inlineStr"/>
    </row>
    <row r="574" ht="15" customHeight="1">
      <c r="A574" t="inlineStr">
        <is>
          <t>A 54249-2022</t>
        </is>
      </c>
      <c r="B574" s="1" t="n">
        <v>44881.95111111111</v>
      </c>
      <c r="C574" s="1" t="n">
        <v>46048</v>
      </c>
      <c r="D574" t="inlineStr">
        <is>
          <t>VÄSTERNORRLANDS LÄN</t>
        </is>
      </c>
      <c r="E574" t="inlineStr">
        <is>
          <t>SOLLEFTEÅ</t>
        </is>
      </c>
      <c r="F574" t="inlineStr">
        <is>
          <t>SCA</t>
        </is>
      </c>
      <c r="G574" t="n">
        <v>1.2</v>
      </c>
      <c r="H574" t="n">
        <v>0</v>
      </c>
      <c r="I574" t="n">
        <v>0</v>
      </c>
      <c r="J574" t="n">
        <v>0</v>
      </c>
      <c r="K574" t="n">
        <v>0</v>
      </c>
      <c r="L574" t="n">
        <v>0</v>
      </c>
      <c r="M574" t="n">
        <v>0</v>
      </c>
      <c r="N574" t="n">
        <v>0</v>
      </c>
      <c r="O574" t="n">
        <v>0</v>
      </c>
      <c r="P574" t="n">
        <v>0</v>
      </c>
      <c r="Q574" t="n">
        <v>0</v>
      </c>
      <c r="R574" s="2" t="inlineStr"/>
    </row>
    <row r="575" ht="15" customHeight="1">
      <c r="A575" t="inlineStr">
        <is>
          <t>A 46058-2021</t>
        </is>
      </c>
      <c r="B575" s="1" t="n">
        <v>44441.94364583334</v>
      </c>
      <c r="C575" s="1" t="n">
        <v>46048</v>
      </c>
      <c r="D575" t="inlineStr">
        <is>
          <t>VÄSTERNORRLANDS LÄN</t>
        </is>
      </c>
      <c r="E575" t="inlineStr">
        <is>
          <t>SOLLEFTEÅ</t>
        </is>
      </c>
      <c r="F575" t="inlineStr">
        <is>
          <t>SCA</t>
        </is>
      </c>
      <c r="G575" t="n">
        <v>0.7</v>
      </c>
      <c r="H575" t="n">
        <v>0</v>
      </c>
      <c r="I575" t="n">
        <v>0</v>
      </c>
      <c r="J575" t="n">
        <v>0</v>
      </c>
      <c r="K575" t="n">
        <v>0</v>
      </c>
      <c r="L575" t="n">
        <v>0</v>
      </c>
      <c r="M575" t="n">
        <v>0</v>
      </c>
      <c r="N575" t="n">
        <v>0</v>
      </c>
      <c r="O575" t="n">
        <v>0</v>
      </c>
      <c r="P575" t="n">
        <v>0</v>
      </c>
      <c r="Q575" t="n">
        <v>0</v>
      </c>
      <c r="R575" s="2" t="inlineStr"/>
    </row>
    <row r="576" ht="15" customHeight="1">
      <c r="A576" t="inlineStr">
        <is>
          <t>A 9586-2022</t>
        </is>
      </c>
      <c r="B576" s="1" t="n">
        <v>44617</v>
      </c>
      <c r="C576" s="1" t="n">
        <v>46048</v>
      </c>
      <c r="D576" t="inlineStr">
        <is>
          <t>VÄSTERNORRLANDS LÄN</t>
        </is>
      </c>
      <c r="E576" t="inlineStr">
        <is>
          <t>SOLLEFTEÅ</t>
        </is>
      </c>
      <c r="F576" t="inlineStr">
        <is>
          <t>Övriga Aktiebolag</t>
        </is>
      </c>
      <c r="G576" t="n">
        <v>2.9</v>
      </c>
      <c r="H576" t="n">
        <v>0</v>
      </c>
      <c r="I576" t="n">
        <v>0</v>
      </c>
      <c r="J576" t="n">
        <v>0</v>
      </c>
      <c r="K576" t="n">
        <v>0</v>
      </c>
      <c r="L576" t="n">
        <v>0</v>
      </c>
      <c r="M576" t="n">
        <v>0</v>
      </c>
      <c r="N576" t="n">
        <v>0</v>
      </c>
      <c r="O576" t="n">
        <v>0</v>
      </c>
      <c r="P576" t="n">
        <v>0</v>
      </c>
      <c r="Q576" t="n">
        <v>0</v>
      </c>
      <c r="R576" s="2" t="inlineStr"/>
    </row>
    <row r="577" ht="15" customHeight="1">
      <c r="A577" t="inlineStr">
        <is>
          <t>A 42634-2022</t>
        </is>
      </c>
      <c r="B577" s="1" t="n">
        <v>44831.94565972222</v>
      </c>
      <c r="C577" s="1" t="n">
        <v>46048</v>
      </c>
      <c r="D577" t="inlineStr">
        <is>
          <t>VÄSTERNORRLANDS LÄN</t>
        </is>
      </c>
      <c r="E577" t="inlineStr">
        <is>
          <t>SOLLEFTEÅ</t>
        </is>
      </c>
      <c r="F577" t="inlineStr">
        <is>
          <t>SCA</t>
        </is>
      </c>
      <c r="G577" t="n">
        <v>5.5</v>
      </c>
      <c r="H577" t="n">
        <v>0</v>
      </c>
      <c r="I577" t="n">
        <v>0</v>
      </c>
      <c r="J577" t="n">
        <v>0</v>
      </c>
      <c r="K577" t="n">
        <v>0</v>
      </c>
      <c r="L577" t="n">
        <v>0</v>
      </c>
      <c r="M577" t="n">
        <v>0</v>
      </c>
      <c r="N577" t="n">
        <v>0</v>
      </c>
      <c r="O577" t="n">
        <v>0</v>
      </c>
      <c r="P577" t="n">
        <v>0</v>
      </c>
      <c r="Q577" t="n">
        <v>0</v>
      </c>
      <c r="R577" s="2" t="inlineStr"/>
    </row>
    <row r="578" ht="15" customHeight="1">
      <c r="A578" t="inlineStr">
        <is>
          <t>A 20062-2022</t>
        </is>
      </c>
      <c r="B578" s="1" t="n">
        <v>44697</v>
      </c>
      <c r="C578" s="1" t="n">
        <v>46048</v>
      </c>
      <c r="D578" t="inlineStr">
        <is>
          <t>VÄSTERNORRLANDS LÄN</t>
        </is>
      </c>
      <c r="E578" t="inlineStr">
        <is>
          <t>SOLLEFTEÅ</t>
        </is>
      </c>
      <c r="G578" t="n">
        <v>0.5</v>
      </c>
      <c r="H578" t="n">
        <v>0</v>
      </c>
      <c r="I578" t="n">
        <v>0</v>
      </c>
      <c r="J578" t="n">
        <v>0</v>
      </c>
      <c r="K578" t="n">
        <v>0</v>
      </c>
      <c r="L578" t="n">
        <v>0</v>
      </c>
      <c r="M578" t="n">
        <v>0</v>
      </c>
      <c r="N578" t="n">
        <v>0</v>
      </c>
      <c r="O578" t="n">
        <v>0</v>
      </c>
      <c r="P578" t="n">
        <v>0</v>
      </c>
      <c r="Q578" t="n">
        <v>0</v>
      </c>
      <c r="R578" s="2" t="inlineStr"/>
    </row>
    <row r="579" ht="15" customHeight="1">
      <c r="A579" t="inlineStr">
        <is>
          <t>A 60324-2021</t>
        </is>
      </c>
      <c r="B579" s="1" t="n">
        <v>44495.94048611111</v>
      </c>
      <c r="C579" s="1" t="n">
        <v>46048</v>
      </c>
      <c r="D579" t="inlineStr">
        <is>
          <t>VÄSTERNORRLANDS LÄN</t>
        </is>
      </c>
      <c r="E579" t="inlineStr">
        <is>
          <t>SOLLEFTEÅ</t>
        </is>
      </c>
      <c r="F579" t="inlineStr">
        <is>
          <t>SCA</t>
        </is>
      </c>
      <c r="G579" t="n">
        <v>1.9</v>
      </c>
      <c r="H579" t="n">
        <v>0</v>
      </c>
      <c r="I579" t="n">
        <v>0</v>
      </c>
      <c r="J579" t="n">
        <v>0</v>
      </c>
      <c r="K579" t="n">
        <v>0</v>
      </c>
      <c r="L579" t="n">
        <v>0</v>
      </c>
      <c r="M579" t="n">
        <v>0</v>
      </c>
      <c r="N579" t="n">
        <v>0</v>
      </c>
      <c r="O579" t="n">
        <v>0</v>
      </c>
      <c r="P579" t="n">
        <v>0</v>
      </c>
      <c r="Q579" t="n">
        <v>0</v>
      </c>
      <c r="R579" s="2" t="inlineStr"/>
    </row>
    <row r="580" ht="15" customHeight="1">
      <c r="A580" t="inlineStr">
        <is>
          <t>A 27926-2022</t>
        </is>
      </c>
      <c r="B580" s="1" t="n">
        <v>44743</v>
      </c>
      <c r="C580" s="1" t="n">
        <v>46048</v>
      </c>
      <c r="D580" t="inlineStr">
        <is>
          <t>VÄSTERNORRLANDS LÄN</t>
        </is>
      </c>
      <c r="E580" t="inlineStr">
        <is>
          <t>SOLLEFTEÅ</t>
        </is>
      </c>
      <c r="F580" t="inlineStr">
        <is>
          <t>SCA</t>
        </is>
      </c>
      <c r="G580" t="n">
        <v>3.2</v>
      </c>
      <c r="H580" t="n">
        <v>0</v>
      </c>
      <c r="I580" t="n">
        <v>0</v>
      </c>
      <c r="J580" t="n">
        <v>0</v>
      </c>
      <c r="K580" t="n">
        <v>0</v>
      </c>
      <c r="L580" t="n">
        <v>0</v>
      </c>
      <c r="M580" t="n">
        <v>0</v>
      </c>
      <c r="N580" t="n">
        <v>0</v>
      </c>
      <c r="O580" t="n">
        <v>0</v>
      </c>
      <c r="P580" t="n">
        <v>0</v>
      </c>
      <c r="Q580" t="n">
        <v>0</v>
      </c>
      <c r="R580" s="2" t="inlineStr"/>
    </row>
    <row r="581" ht="15" customHeight="1">
      <c r="A581" t="inlineStr">
        <is>
          <t>A 12568-2022</t>
        </is>
      </c>
      <c r="B581" s="1" t="n">
        <v>44638.94277777777</v>
      </c>
      <c r="C581" s="1" t="n">
        <v>46048</v>
      </c>
      <c r="D581" t="inlineStr">
        <is>
          <t>VÄSTERNORRLANDS LÄN</t>
        </is>
      </c>
      <c r="E581" t="inlineStr">
        <is>
          <t>SOLLEFTEÅ</t>
        </is>
      </c>
      <c r="F581" t="inlineStr">
        <is>
          <t>SCA</t>
        </is>
      </c>
      <c r="G581" t="n">
        <v>5.4</v>
      </c>
      <c r="H581" t="n">
        <v>0</v>
      </c>
      <c r="I581" t="n">
        <v>0</v>
      </c>
      <c r="J581" t="n">
        <v>0</v>
      </c>
      <c r="K581" t="n">
        <v>0</v>
      </c>
      <c r="L581" t="n">
        <v>0</v>
      </c>
      <c r="M581" t="n">
        <v>0</v>
      </c>
      <c r="N581" t="n">
        <v>0</v>
      </c>
      <c r="O581" t="n">
        <v>0</v>
      </c>
      <c r="P581" t="n">
        <v>0</v>
      </c>
      <c r="Q581" t="n">
        <v>0</v>
      </c>
      <c r="R581" s="2" t="inlineStr"/>
    </row>
    <row r="582" ht="15" customHeight="1">
      <c r="A582" t="inlineStr">
        <is>
          <t>A 22224-2021</t>
        </is>
      </c>
      <c r="B582" s="1" t="n">
        <v>44326</v>
      </c>
      <c r="C582" s="1" t="n">
        <v>46048</v>
      </c>
      <c r="D582" t="inlineStr">
        <is>
          <t>VÄSTERNORRLANDS LÄN</t>
        </is>
      </c>
      <c r="E582" t="inlineStr">
        <is>
          <t>SOLLEFTEÅ</t>
        </is>
      </c>
      <c r="F582" t="inlineStr">
        <is>
          <t>Kommuner</t>
        </is>
      </c>
      <c r="G582" t="n">
        <v>2.3</v>
      </c>
      <c r="H582" t="n">
        <v>0</v>
      </c>
      <c r="I582" t="n">
        <v>0</v>
      </c>
      <c r="J582" t="n">
        <v>0</v>
      </c>
      <c r="K582" t="n">
        <v>0</v>
      </c>
      <c r="L582" t="n">
        <v>0</v>
      </c>
      <c r="M582" t="n">
        <v>0</v>
      </c>
      <c r="N582" t="n">
        <v>0</v>
      </c>
      <c r="O582" t="n">
        <v>0</v>
      </c>
      <c r="P582" t="n">
        <v>0</v>
      </c>
      <c r="Q582" t="n">
        <v>0</v>
      </c>
      <c r="R582" s="2" t="inlineStr"/>
    </row>
    <row r="583" ht="15" customHeight="1">
      <c r="A583" t="inlineStr">
        <is>
          <t>A 40608-2022</t>
        </is>
      </c>
      <c r="B583" s="1" t="n">
        <v>44823.94972222222</v>
      </c>
      <c r="C583" s="1" t="n">
        <v>46048</v>
      </c>
      <c r="D583" t="inlineStr">
        <is>
          <t>VÄSTERNORRLANDS LÄN</t>
        </is>
      </c>
      <c r="E583" t="inlineStr">
        <is>
          <t>SOLLEFTEÅ</t>
        </is>
      </c>
      <c r="F583" t="inlineStr">
        <is>
          <t>SCA</t>
        </is>
      </c>
      <c r="G583" t="n">
        <v>3.1</v>
      </c>
      <c r="H583" t="n">
        <v>0</v>
      </c>
      <c r="I583" t="n">
        <v>0</v>
      </c>
      <c r="J583" t="n">
        <v>0</v>
      </c>
      <c r="K583" t="n">
        <v>0</v>
      </c>
      <c r="L583" t="n">
        <v>0</v>
      </c>
      <c r="M583" t="n">
        <v>0</v>
      </c>
      <c r="N583" t="n">
        <v>0</v>
      </c>
      <c r="O583" t="n">
        <v>0</v>
      </c>
      <c r="P583" t="n">
        <v>0</v>
      </c>
      <c r="Q583" t="n">
        <v>0</v>
      </c>
      <c r="R583" s="2" t="inlineStr"/>
    </row>
    <row r="584" ht="15" customHeight="1">
      <c r="A584" t="inlineStr">
        <is>
          <t>A 29292-2022</t>
        </is>
      </c>
      <c r="B584" s="1" t="n">
        <v>44750</v>
      </c>
      <c r="C584" s="1" t="n">
        <v>46048</v>
      </c>
      <c r="D584" t="inlineStr">
        <is>
          <t>VÄSTERNORRLANDS LÄN</t>
        </is>
      </c>
      <c r="E584" t="inlineStr">
        <is>
          <t>SOLLEFTEÅ</t>
        </is>
      </c>
      <c r="F584" t="inlineStr">
        <is>
          <t>SCA</t>
        </is>
      </c>
      <c r="G584" t="n">
        <v>2.4</v>
      </c>
      <c r="H584" t="n">
        <v>0</v>
      </c>
      <c r="I584" t="n">
        <v>0</v>
      </c>
      <c r="J584" t="n">
        <v>0</v>
      </c>
      <c r="K584" t="n">
        <v>0</v>
      </c>
      <c r="L584" t="n">
        <v>0</v>
      </c>
      <c r="M584" t="n">
        <v>0</v>
      </c>
      <c r="N584" t="n">
        <v>0</v>
      </c>
      <c r="O584" t="n">
        <v>0</v>
      </c>
      <c r="P584" t="n">
        <v>0</v>
      </c>
      <c r="Q584" t="n">
        <v>0</v>
      </c>
      <c r="R584" s="2" t="inlineStr"/>
    </row>
    <row r="585" ht="15" customHeight="1">
      <c r="A585" t="inlineStr">
        <is>
          <t>A 47268-2022</t>
        </is>
      </c>
      <c r="B585" s="1" t="n">
        <v>44852.94989583334</v>
      </c>
      <c r="C585" s="1" t="n">
        <v>46048</v>
      </c>
      <c r="D585" t="inlineStr">
        <is>
          <t>VÄSTERNORRLANDS LÄN</t>
        </is>
      </c>
      <c r="E585" t="inlineStr">
        <is>
          <t>SOLLEFTEÅ</t>
        </is>
      </c>
      <c r="F585" t="inlineStr">
        <is>
          <t>SCA</t>
        </is>
      </c>
      <c r="G585" t="n">
        <v>2.3</v>
      </c>
      <c r="H585" t="n">
        <v>0</v>
      </c>
      <c r="I585" t="n">
        <v>0</v>
      </c>
      <c r="J585" t="n">
        <v>0</v>
      </c>
      <c r="K585" t="n">
        <v>0</v>
      </c>
      <c r="L585" t="n">
        <v>0</v>
      </c>
      <c r="M585" t="n">
        <v>0</v>
      </c>
      <c r="N585" t="n">
        <v>0</v>
      </c>
      <c r="O585" t="n">
        <v>0</v>
      </c>
      <c r="P585" t="n">
        <v>0</v>
      </c>
      <c r="Q585" t="n">
        <v>0</v>
      </c>
      <c r="R585" s="2" t="inlineStr"/>
    </row>
    <row r="586" ht="15" customHeight="1">
      <c r="A586" t="inlineStr">
        <is>
          <t>A 59309-2021</t>
        </is>
      </c>
      <c r="B586" s="1" t="n">
        <v>44490.93883101852</v>
      </c>
      <c r="C586" s="1" t="n">
        <v>46048</v>
      </c>
      <c r="D586" t="inlineStr">
        <is>
          <t>VÄSTERNORRLANDS LÄN</t>
        </is>
      </c>
      <c r="E586" t="inlineStr">
        <is>
          <t>SOLLEFTEÅ</t>
        </is>
      </c>
      <c r="F586" t="inlineStr">
        <is>
          <t>SCA</t>
        </is>
      </c>
      <c r="G586" t="n">
        <v>2.2</v>
      </c>
      <c r="H586" t="n">
        <v>0</v>
      </c>
      <c r="I586" t="n">
        <v>0</v>
      </c>
      <c r="J586" t="n">
        <v>0</v>
      </c>
      <c r="K586" t="n">
        <v>0</v>
      </c>
      <c r="L586" t="n">
        <v>0</v>
      </c>
      <c r="M586" t="n">
        <v>0</v>
      </c>
      <c r="N586" t="n">
        <v>0</v>
      </c>
      <c r="O586" t="n">
        <v>0</v>
      </c>
      <c r="P586" t="n">
        <v>0</v>
      </c>
      <c r="Q586" t="n">
        <v>0</v>
      </c>
      <c r="R586" s="2" t="inlineStr"/>
    </row>
    <row r="587" ht="15" customHeight="1">
      <c r="A587" t="inlineStr">
        <is>
          <t>A 20950-2022</t>
        </is>
      </c>
      <c r="B587" s="1" t="n">
        <v>44701</v>
      </c>
      <c r="C587" s="1" t="n">
        <v>46048</v>
      </c>
      <c r="D587" t="inlineStr">
        <is>
          <t>VÄSTERNORRLANDS LÄN</t>
        </is>
      </c>
      <c r="E587" t="inlineStr">
        <is>
          <t>SOLLEFTEÅ</t>
        </is>
      </c>
      <c r="F587" t="inlineStr">
        <is>
          <t>SCA</t>
        </is>
      </c>
      <c r="G587" t="n">
        <v>1</v>
      </c>
      <c r="H587" t="n">
        <v>0</v>
      </c>
      <c r="I587" t="n">
        <v>0</v>
      </c>
      <c r="J587" t="n">
        <v>0</v>
      </c>
      <c r="K587" t="n">
        <v>0</v>
      </c>
      <c r="L587" t="n">
        <v>0</v>
      </c>
      <c r="M587" t="n">
        <v>0</v>
      </c>
      <c r="N587" t="n">
        <v>0</v>
      </c>
      <c r="O587" t="n">
        <v>0</v>
      </c>
      <c r="P587" t="n">
        <v>0</v>
      </c>
      <c r="Q587" t="n">
        <v>0</v>
      </c>
      <c r="R587" s="2" t="inlineStr"/>
    </row>
    <row r="588" ht="15" customHeight="1">
      <c r="A588" t="inlineStr">
        <is>
          <t>A 72949-2021</t>
        </is>
      </c>
      <c r="B588" s="1" t="n">
        <v>44547.92181712963</v>
      </c>
      <c r="C588" s="1" t="n">
        <v>46048</v>
      </c>
      <c r="D588" t="inlineStr">
        <is>
          <t>VÄSTERNORRLANDS LÄN</t>
        </is>
      </c>
      <c r="E588" t="inlineStr">
        <is>
          <t>SOLLEFTEÅ</t>
        </is>
      </c>
      <c r="G588" t="n">
        <v>0.5</v>
      </c>
      <c r="H588" t="n">
        <v>0</v>
      </c>
      <c r="I588" t="n">
        <v>0</v>
      </c>
      <c r="J588" t="n">
        <v>0</v>
      </c>
      <c r="K588" t="n">
        <v>0</v>
      </c>
      <c r="L588" t="n">
        <v>0</v>
      </c>
      <c r="M588" t="n">
        <v>0</v>
      </c>
      <c r="N588" t="n">
        <v>0</v>
      </c>
      <c r="O588" t="n">
        <v>0</v>
      </c>
      <c r="P588" t="n">
        <v>0</v>
      </c>
      <c r="Q588" t="n">
        <v>0</v>
      </c>
      <c r="R588" s="2" t="inlineStr"/>
    </row>
    <row r="589" ht="15" customHeight="1">
      <c r="A589" t="inlineStr">
        <is>
          <t>A 66856-2021</t>
        </is>
      </c>
      <c r="B589" s="1" t="n">
        <v>44522</v>
      </c>
      <c r="C589" s="1" t="n">
        <v>46048</v>
      </c>
      <c r="D589" t="inlineStr">
        <is>
          <t>VÄSTERNORRLANDS LÄN</t>
        </is>
      </c>
      <c r="E589" t="inlineStr">
        <is>
          <t>SOLLEFTEÅ</t>
        </is>
      </c>
      <c r="G589" t="n">
        <v>1.2</v>
      </c>
      <c r="H589" t="n">
        <v>0</v>
      </c>
      <c r="I589" t="n">
        <v>0</v>
      </c>
      <c r="J589" t="n">
        <v>0</v>
      </c>
      <c r="K589" t="n">
        <v>0</v>
      </c>
      <c r="L589" t="n">
        <v>0</v>
      </c>
      <c r="M589" t="n">
        <v>0</v>
      </c>
      <c r="N589" t="n">
        <v>0</v>
      </c>
      <c r="O589" t="n">
        <v>0</v>
      </c>
      <c r="P589" t="n">
        <v>0</v>
      </c>
      <c r="Q589" t="n">
        <v>0</v>
      </c>
      <c r="R589" s="2" t="inlineStr"/>
    </row>
    <row r="590" ht="15" customHeight="1">
      <c r="A590" t="inlineStr">
        <is>
          <t>A 12191-2022</t>
        </is>
      </c>
      <c r="B590" s="1" t="n">
        <v>44636.9250925926</v>
      </c>
      <c r="C590" s="1" t="n">
        <v>46048</v>
      </c>
      <c r="D590" t="inlineStr">
        <is>
          <t>VÄSTERNORRLANDS LÄN</t>
        </is>
      </c>
      <c r="E590" t="inlineStr">
        <is>
          <t>SOLLEFTEÅ</t>
        </is>
      </c>
      <c r="G590" t="n">
        <v>0.6</v>
      </c>
      <c r="H590" t="n">
        <v>0</v>
      </c>
      <c r="I590" t="n">
        <v>0</v>
      </c>
      <c r="J590" t="n">
        <v>0</v>
      </c>
      <c r="K590" t="n">
        <v>0</v>
      </c>
      <c r="L590" t="n">
        <v>0</v>
      </c>
      <c r="M590" t="n">
        <v>0</v>
      </c>
      <c r="N590" t="n">
        <v>0</v>
      </c>
      <c r="O590" t="n">
        <v>0</v>
      </c>
      <c r="P590" t="n">
        <v>0</v>
      </c>
      <c r="Q590" t="n">
        <v>0</v>
      </c>
      <c r="R590" s="2" t="inlineStr"/>
    </row>
    <row r="591" ht="15" customHeight="1">
      <c r="A591" t="inlineStr">
        <is>
          <t>A 58688-2021</t>
        </is>
      </c>
      <c r="B591" s="1" t="n">
        <v>44489</v>
      </c>
      <c r="C591" s="1" t="n">
        <v>46048</v>
      </c>
      <c r="D591" t="inlineStr">
        <is>
          <t>VÄSTERNORRLANDS LÄN</t>
        </is>
      </c>
      <c r="E591" t="inlineStr">
        <is>
          <t>SOLLEFTEÅ</t>
        </is>
      </c>
      <c r="G591" t="n">
        <v>2.3</v>
      </c>
      <c r="H591" t="n">
        <v>0</v>
      </c>
      <c r="I591" t="n">
        <v>0</v>
      </c>
      <c r="J591" t="n">
        <v>0</v>
      </c>
      <c r="K591" t="n">
        <v>0</v>
      </c>
      <c r="L591" t="n">
        <v>0</v>
      </c>
      <c r="M591" t="n">
        <v>0</v>
      </c>
      <c r="N591" t="n">
        <v>0</v>
      </c>
      <c r="O591" t="n">
        <v>0</v>
      </c>
      <c r="P591" t="n">
        <v>0</v>
      </c>
      <c r="Q591" t="n">
        <v>0</v>
      </c>
      <c r="R591" s="2" t="inlineStr"/>
    </row>
    <row r="592" ht="15" customHeight="1">
      <c r="A592" t="inlineStr">
        <is>
          <t>A 10139-2022</t>
        </is>
      </c>
      <c r="B592" s="1" t="n">
        <v>44621</v>
      </c>
      <c r="C592" s="1" t="n">
        <v>46048</v>
      </c>
      <c r="D592" t="inlineStr">
        <is>
          <t>VÄSTERNORRLANDS LÄN</t>
        </is>
      </c>
      <c r="E592" t="inlineStr">
        <is>
          <t>SOLLEFTEÅ</t>
        </is>
      </c>
      <c r="F592" t="inlineStr">
        <is>
          <t>SCA</t>
        </is>
      </c>
      <c r="G592" t="n">
        <v>6</v>
      </c>
      <c r="H592" t="n">
        <v>0</v>
      </c>
      <c r="I592" t="n">
        <v>0</v>
      </c>
      <c r="J592" t="n">
        <v>0</v>
      </c>
      <c r="K592" t="n">
        <v>0</v>
      </c>
      <c r="L592" t="n">
        <v>0</v>
      </c>
      <c r="M592" t="n">
        <v>0</v>
      </c>
      <c r="N592" t="n">
        <v>0</v>
      </c>
      <c r="O592" t="n">
        <v>0</v>
      </c>
      <c r="P592" t="n">
        <v>0</v>
      </c>
      <c r="Q592" t="n">
        <v>0</v>
      </c>
      <c r="R592" s="2" t="inlineStr"/>
    </row>
    <row r="593" ht="15" customHeight="1">
      <c r="A593" t="inlineStr">
        <is>
          <t>A 19414-2022</t>
        </is>
      </c>
      <c r="B593" s="1" t="n">
        <v>44693</v>
      </c>
      <c r="C593" s="1" t="n">
        <v>46048</v>
      </c>
      <c r="D593" t="inlineStr">
        <is>
          <t>VÄSTERNORRLANDS LÄN</t>
        </is>
      </c>
      <c r="E593" t="inlineStr">
        <is>
          <t>SOLLEFTEÅ</t>
        </is>
      </c>
      <c r="G593" t="n">
        <v>0.3</v>
      </c>
      <c r="H593" t="n">
        <v>0</v>
      </c>
      <c r="I593" t="n">
        <v>0</v>
      </c>
      <c r="J593" t="n">
        <v>0</v>
      </c>
      <c r="K593" t="n">
        <v>0</v>
      </c>
      <c r="L593" t="n">
        <v>0</v>
      </c>
      <c r="M593" t="n">
        <v>0</v>
      </c>
      <c r="N593" t="n">
        <v>0</v>
      </c>
      <c r="O593" t="n">
        <v>0</v>
      </c>
      <c r="P593" t="n">
        <v>0</v>
      </c>
      <c r="Q593" t="n">
        <v>0</v>
      </c>
      <c r="R593" s="2" t="inlineStr"/>
    </row>
    <row r="594" ht="15" customHeight="1">
      <c r="A594" t="inlineStr">
        <is>
          <t>A 23445-2022</t>
        </is>
      </c>
      <c r="B594" s="1" t="n">
        <v>44720.94123842593</v>
      </c>
      <c r="C594" s="1" t="n">
        <v>46048</v>
      </c>
      <c r="D594" t="inlineStr">
        <is>
          <t>VÄSTERNORRLANDS LÄN</t>
        </is>
      </c>
      <c r="E594" t="inlineStr">
        <is>
          <t>SOLLEFTEÅ</t>
        </is>
      </c>
      <c r="F594" t="inlineStr">
        <is>
          <t>SCA</t>
        </is>
      </c>
      <c r="G594" t="n">
        <v>6.8</v>
      </c>
      <c r="H594" t="n">
        <v>0</v>
      </c>
      <c r="I594" t="n">
        <v>0</v>
      </c>
      <c r="J594" t="n">
        <v>0</v>
      </c>
      <c r="K594" t="n">
        <v>0</v>
      </c>
      <c r="L594" t="n">
        <v>0</v>
      </c>
      <c r="M594" t="n">
        <v>0</v>
      </c>
      <c r="N594" t="n">
        <v>0</v>
      </c>
      <c r="O594" t="n">
        <v>0</v>
      </c>
      <c r="P594" t="n">
        <v>0</v>
      </c>
      <c r="Q594" t="n">
        <v>0</v>
      </c>
      <c r="R594" s="2" t="inlineStr"/>
    </row>
    <row r="595" ht="15" customHeight="1">
      <c r="A595" t="inlineStr">
        <is>
          <t>A 43220-2021</t>
        </is>
      </c>
      <c r="B595" s="1" t="n">
        <v>44431.9378125</v>
      </c>
      <c r="C595" s="1" t="n">
        <v>46048</v>
      </c>
      <c r="D595" t="inlineStr">
        <is>
          <t>VÄSTERNORRLANDS LÄN</t>
        </is>
      </c>
      <c r="E595" t="inlineStr">
        <is>
          <t>SOLLEFTEÅ</t>
        </is>
      </c>
      <c r="F595" t="inlineStr">
        <is>
          <t>SCA</t>
        </is>
      </c>
      <c r="G595" t="n">
        <v>1</v>
      </c>
      <c r="H595" t="n">
        <v>0</v>
      </c>
      <c r="I595" t="n">
        <v>0</v>
      </c>
      <c r="J595" t="n">
        <v>0</v>
      </c>
      <c r="K595" t="n">
        <v>0</v>
      </c>
      <c r="L595" t="n">
        <v>0</v>
      </c>
      <c r="M595" t="n">
        <v>0</v>
      </c>
      <c r="N595" t="n">
        <v>0</v>
      </c>
      <c r="O595" t="n">
        <v>0</v>
      </c>
      <c r="P595" t="n">
        <v>0</v>
      </c>
      <c r="Q595" t="n">
        <v>0</v>
      </c>
      <c r="R595" s="2" t="inlineStr"/>
    </row>
    <row r="596" ht="15" customHeight="1">
      <c r="A596" t="inlineStr">
        <is>
          <t>A 26498-2021</t>
        </is>
      </c>
      <c r="B596" s="1" t="n">
        <v>44348</v>
      </c>
      <c r="C596" s="1" t="n">
        <v>46048</v>
      </c>
      <c r="D596" t="inlineStr">
        <is>
          <t>VÄSTERNORRLANDS LÄN</t>
        </is>
      </c>
      <c r="E596" t="inlineStr">
        <is>
          <t>SOLLEFTEÅ</t>
        </is>
      </c>
      <c r="G596" t="n">
        <v>7.8</v>
      </c>
      <c r="H596" t="n">
        <v>0</v>
      </c>
      <c r="I596" t="n">
        <v>0</v>
      </c>
      <c r="J596" t="n">
        <v>0</v>
      </c>
      <c r="K596" t="n">
        <v>0</v>
      </c>
      <c r="L596" t="n">
        <v>0</v>
      </c>
      <c r="M596" t="n">
        <v>0</v>
      </c>
      <c r="N596" t="n">
        <v>0</v>
      </c>
      <c r="O596" t="n">
        <v>0</v>
      </c>
      <c r="P596" t="n">
        <v>0</v>
      </c>
      <c r="Q596" t="n">
        <v>0</v>
      </c>
      <c r="R596" s="2" t="inlineStr"/>
    </row>
    <row r="597" ht="15" customHeight="1">
      <c r="A597" t="inlineStr">
        <is>
          <t>A 16093-2022</t>
        </is>
      </c>
      <c r="B597" s="1" t="n">
        <v>44665</v>
      </c>
      <c r="C597" s="1" t="n">
        <v>46048</v>
      </c>
      <c r="D597" t="inlineStr">
        <is>
          <t>VÄSTERNORRLANDS LÄN</t>
        </is>
      </c>
      <c r="E597" t="inlineStr">
        <is>
          <t>SOLLEFTEÅ</t>
        </is>
      </c>
      <c r="F597" t="inlineStr">
        <is>
          <t>Holmen skog AB</t>
        </is>
      </c>
      <c r="G597" t="n">
        <v>1.2</v>
      </c>
      <c r="H597" t="n">
        <v>0</v>
      </c>
      <c r="I597" t="n">
        <v>0</v>
      </c>
      <c r="J597" t="n">
        <v>0</v>
      </c>
      <c r="K597" t="n">
        <v>0</v>
      </c>
      <c r="L597" t="n">
        <v>0</v>
      </c>
      <c r="M597" t="n">
        <v>0</v>
      </c>
      <c r="N597" t="n">
        <v>0</v>
      </c>
      <c r="O597" t="n">
        <v>0</v>
      </c>
      <c r="P597" t="n">
        <v>0</v>
      </c>
      <c r="Q597" t="n">
        <v>0</v>
      </c>
      <c r="R597" s="2" t="inlineStr"/>
    </row>
    <row r="598" ht="15" customHeight="1">
      <c r="A598" t="inlineStr">
        <is>
          <t>A 15241-2022</t>
        </is>
      </c>
      <c r="B598" s="1" t="n">
        <v>44658.9375</v>
      </c>
      <c r="C598" s="1" t="n">
        <v>46048</v>
      </c>
      <c r="D598" t="inlineStr">
        <is>
          <t>VÄSTERNORRLANDS LÄN</t>
        </is>
      </c>
      <c r="E598" t="inlineStr">
        <is>
          <t>SOLLEFTEÅ</t>
        </is>
      </c>
      <c r="F598" t="inlineStr">
        <is>
          <t>SCA</t>
        </is>
      </c>
      <c r="G598" t="n">
        <v>1.4</v>
      </c>
      <c r="H598" t="n">
        <v>0</v>
      </c>
      <c r="I598" t="n">
        <v>0</v>
      </c>
      <c r="J598" t="n">
        <v>0</v>
      </c>
      <c r="K598" t="n">
        <v>0</v>
      </c>
      <c r="L598" t="n">
        <v>0</v>
      </c>
      <c r="M598" t="n">
        <v>0</v>
      </c>
      <c r="N598" t="n">
        <v>0</v>
      </c>
      <c r="O598" t="n">
        <v>0</v>
      </c>
      <c r="P598" t="n">
        <v>0</v>
      </c>
      <c r="Q598" t="n">
        <v>0</v>
      </c>
      <c r="R598" s="2" t="inlineStr"/>
    </row>
    <row r="599" ht="15" customHeight="1">
      <c r="A599" t="inlineStr">
        <is>
          <t>A 58573-2021</t>
        </is>
      </c>
      <c r="B599" s="1" t="n">
        <v>44488</v>
      </c>
      <c r="C599" s="1" t="n">
        <v>46048</v>
      </c>
      <c r="D599" t="inlineStr">
        <is>
          <t>VÄSTERNORRLANDS LÄN</t>
        </is>
      </c>
      <c r="E599" t="inlineStr">
        <is>
          <t>SOLLEFTEÅ</t>
        </is>
      </c>
      <c r="G599" t="n">
        <v>0.3</v>
      </c>
      <c r="H599" t="n">
        <v>0</v>
      </c>
      <c r="I599" t="n">
        <v>0</v>
      </c>
      <c r="J599" t="n">
        <v>0</v>
      </c>
      <c r="K599" t="n">
        <v>0</v>
      </c>
      <c r="L599" t="n">
        <v>0</v>
      </c>
      <c r="M599" t="n">
        <v>0</v>
      </c>
      <c r="N599" t="n">
        <v>0</v>
      </c>
      <c r="O599" t="n">
        <v>0</v>
      </c>
      <c r="P599" t="n">
        <v>0</v>
      </c>
      <c r="Q599" t="n">
        <v>0</v>
      </c>
      <c r="R599" s="2" t="inlineStr"/>
    </row>
    <row r="600" ht="15" customHeight="1">
      <c r="A600" t="inlineStr">
        <is>
          <t>A 21715-2022</t>
        </is>
      </c>
      <c r="B600" s="1" t="n">
        <v>44707.94020833333</v>
      </c>
      <c r="C600" s="1" t="n">
        <v>46048</v>
      </c>
      <c r="D600" t="inlineStr">
        <is>
          <t>VÄSTERNORRLANDS LÄN</t>
        </is>
      </c>
      <c r="E600" t="inlineStr">
        <is>
          <t>SOLLEFTEÅ</t>
        </is>
      </c>
      <c r="F600" t="inlineStr">
        <is>
          <t>SCA</t>
        </is>
      </c>
      <c r="G600" t="n">
        <v>2.9</v>
      </c>
      <c r="H600" t="n">
        <v>0</v>
      </c>
      <c r="I600" t="n">
        <v>0</v>
      </c>
      <c r="J600" t="n">
        <v>0</v>
      </c>
      <c r="K600" t="n">
        <v>0</v>
      </c>
      <c r="L600" t="n">
        <v>0</v>
      </c>
      <c r="M600" t="n">
        <v>0</v>
      </c>
      <c r="N600" t="n">
        <v>0</v>
      </c>
      <c r="O600" t="n">
        <v>0</v>
      </c>
      <c r="P600" t="n">
        <v>0</v>
      </c>
      <c r="Q600" t="n">
        <v>0</v>
      </c>
      <c r="R600" s="2" t="inlineStr"/>
    </row>
    <row r="601" ht="15" customHeight="1">
      <c r="A601" t="inlineStr">
        <is>
          <t>A 20296-2022</t>
        </is>
      </c>
      <c r="B601" s="1" t="n">
        <v>44698</v>
      </c>
      <c r="C601" s="1" t="n">
        <v>46048</v>
      </c>
      <c r="D601" t="inlineStr">
        <is>
          <t>VÄSTERNORRLANDS LÄN</t>
        </is>
      </c>
      <c r="E601" t="inlineStr">
        <is>
          <t>SOLLEFTEÅ</t>
        </is>
      </c>
      <c r="G601" t="n">
        <v>0.5</v>
      </c>
      <c r="H601" t="n">
        <v>0</v>
      </c>
      <c r="I601" t="n">
        <v>0</v>
      </c>
      <c r="J601" t="n">
        <v>0</v>
      </c>
      <c r="K601" t="n">
        <v>0</v>
      </c>
      <c r="L601" t="n">
        <v>0</v>
      </c>
      <c r="M601" t="n">
        <v>0</v>
      </c>
      <c r="N601" t="n">
        <v>0</v>
      </c>
      <c r="O601" t="n">
        <v>0</v>
      </c>
      <c r="P601" t="n">
        <v>0</v>
      </c>
      <c r="Q601" t="n">
        <v>0</v>
      </c>
      <c r="R601" s="2" t="inlineStr"/>
    </row>
    <row r="602" ht="15" customHeight="1">
      <c r="A602" t="inlineStr">
        <is>
          <t>A 43766-2022</t>
        </is>
      </c>
      <c r="B602" s="1" t="n">
        <v>44837.92642361111</v>
      </c>
      <c r="C602" s="1" t="n">
        <v>46048</v>
      </c>
      <c r="D602" t="inlineStr">
        <is>
          <t>VÄSTERNORRLANDS LÄN</t>
        </is>
      </c>
      <c r="E602" t="inlineStr">
        <is>
          <t>SOLLEFTEÅ</t>
        </is>
      </c>
      <c r="F602" t="inlineStr">
        <is>
          <t>Kyrkan</t>
        </is>
      </c>
      <c r="G602" t="n">
        <v>0.7</v>
      </c>
      <c r="H602" t="n">
        <v>0</v>
      </c>
      <c r="I602" t="n">
        <v>0</v>
      </c>
      <c r="J602" t="n">
        <v>0</v>
      </c>
      <c r="K602" t="n">
        <v>0</v>
      </c>
      <c r="L602" t="n">
        <v>0</v>
      </c>
      <c r="M602" t="n">
        <v>0</v>
      </c>
      <c r="N602" t="n">
        <v>0</v>
      </c>
      <c r="O602" t="n">
        <v>0</v>
      </c>
      <c r="P602" t="n">
        <v>0</v>
      </c>
      <c r="Q602" t="n">
        <v>0</v>
      </c>
      <c r="R602" s="2" t="inlineStr"/>
    </row>
    <row r="603" ht="15" customHeight="1">
      <c r="A603" t="inlineStr">
        <is>
          <t>A 3555-2022</t>
        </is>
      </c>
      <c r="B603" s="1" t="n">
        <v>44585.93820601852</v>
      </c>
      <c r="C603" s="1" t="n">
        <v>46048</v>
      </c>
      <c r="D603" t="inlineStr">
        <is>
          <t>VÄSTERNORRLANDS LÄN</t>
        </is>
      </c>
      <c r="E603" t="inlineStr">
        <is>
          <t>SOLLEFTEÅ</t>
        </is>
      </c>
      <c r="F603" t="inlineStr">
        <is>
          <t>SCA</t>
        </is>
      </c>
      <c r="G603" t="n">
        <v>2</v>
      </c>
      <c r="H603" t="n">
        <v>0</v>
      </c>
      <c r="I603" t="n">
        <v>0</v>
      </c>
      <c r="J603" t="n">
        <v>0</v>
      </c>
      <c r="K603" t="n">
        <v>0</v>
      </c>
      <c r="L603" t="n">
        <v>0</v>
      </c>
      <c r="M603" t="n">
        <v>0</v>
      </c>
      <c r="N603" t="n">
        <v>0</v>
      </c>
      <c r="O603" t="n">
        <v>0</v>
      </c>
      <c r="P603" t="n">
        <v>0</v>
      </c>
      <c r="Q603" t="n">
        <v>0</v>
      </c>
      <c r="R603" s="2" t="inlineStr"/>
    </row>
    <row r="604" ht="15" customHeight="1">
      <c r="A604" t="inlineStr">
        <is>
          <t>A 33083-2022</t>
        </is>
      </c>
      <c r="B604" s="1" t="n">
        <v>44785</v>
      </c>
      <c r="C604" s="1" t="n">
        <v>46048</v>
      </c>
      <c r="D604" t="inlineStr">
        <is>
          <t>VÄSTERNORRLANDS LÄN</t>
        </is>
      </c>
      <c r="E604" t="inlineStr">
        <is>
          <t>SOLLEFTEÅ</t>
        </is>
      </c>
      <c r="G604" t="n">
        <v>0.3</v>
      </c>
      <c r="H604" t="n">
        <v>0</v>
      </c>
      <c r="I604" t="n">
        <v>0</v>
      </c>
      <c r="J604" t="n">
        <v>0</v>
      </c>
      <c r="K604" t="n">
        <v>0</v>
      </c>
      <c r="L604" t="n">
        <v>0</v>
      </c>
      <c r="M604" t="n">
        <v>0</v>
      </c>
      <c r="N604" t="n">
        <v>0</v>
      </c>
      <c r="O604" t="n">
        <v>0</v>
      </c>
      <c r="P604" t="n">
        <v>0</v>
      </c>
      <c r="Q604" t="n">
        <v>0</v>
      </c>
      <c r="R604" s="2" t="inlineStr"/>
    </row>
    <row r="605" ht="15" customHeight="1">
      <c r="A605" t="inlineStr">
        <is>
          <t>A 20458-2025</t>
        </is>
      </c>
      <c r="B605" s="1" t="n">
        <v>45775.52623842593</v>
      </c>
      <c r="C605" s="1" t="n">
        <v>46048</v>
      </c>
      <c r="D605" t="inlineStr">
        <is>
          <t>VÄSTERNORRLANDS LÄN</t>
        </is>
      </c>
      <c r="E605" t="inlineStr">
        <is>
          <t>SOLLEFTEÅ</t>
        </is>
      </c>
      <c r="G605" t="n">
        <v>2</v>
      </c>
      <c r="H605" t="n">
        <v>0</v>
      </c>
      <c r="I605" t="n">
        <v>0</v>
      </c>
      <c r="J605" t="n">
        <v>0</v>
      </c>
      <c r="K605" t="n">
        <v>0</v>
      </c>
      <c r="L605" t="n">
        <v>0</v>
      </c>
      <c r="M605" t="n">
        <v>0</v>
      </c>
      <c r="N605" t="n">
        <v>0</v>
      </c>
      <c r="O605" t="n">
        <v>0</v>
      </c>
      <c r="P605" t="n">
        <v>0</v>
      </c>
      <c r="Q605" t="n">
        <v>0</v>
      </c>
      <c r="R605" s="2" t="inlineStr"/>
    </row>
    <row r="606" ht="15" customHeight="1">
      <c r="A606" t="inlineStr">
        <is>
          <t>A 20702-2022</t>
        </is>
      </c>
      <c r="B606" s="1" t="n">
        <v>44700.92697916667</v>
      </c>
      <c r="C606" s="1" t="n">
        <v>46048</v>
      </c>
      <c r="D606" t="inlineStr">
        <is>
          <t>VÄSTERNORRLANDS LÄN</t>
        </is>
      </c>
      <c r="E606" t="inlineStr">
        <is>
          <t>SOLLEFTEÅ</t>
        </is>
      </c>
      <c r="G606" t="n">
        <v>5.1</v>
      </c>
      <c r="H606" t="n">
        <v>0</v>
      </c>
      <c r="I606" t="n">
        <v>0</v>
      </c>
      <c r="J606" t="n">
        <v>0</v>
      </c>
      <c r="K606" t="n">
        <v>0</v>
      </c>
      <c r="L606" t="n">
        <v>0</v>
      </c>
      <c r="M606" t="n">
        <v>0</v>
      </c>
      <c r="N606" t="n">
        <v>0</v>
      </c>
      <c r="O606" t="n">
        <v>0</v>
      </c>
      <c r="P606" t="n">
        <v>0</v>
      </c>
      <c r="Q606" t="n">
        <v>0</v>
      </c>
      <c r="R606" s="2" t="inlineStr"/>
    </row>
    <row r="607" ht="15" customHeight="1">
      <c r="A607" t="inlineStr">
        <is>
          <t>A 22341-2022</t>
        </is>
      </c>
      <c r="B607" s="1" t="n">
        <v>44712.94197916667</v>
      </c>
      <c r="C607" s="1" t="n">
        <v>46048</v>
      </c>
      <c r="D607" t="inlineStr">
        <is>
          <t>VÄSTERNORRLANDS LÄN</t>
        </is>
      </c>
      <c r="E607" t="inlineStr">
        <is>
          <t>SOLLEFTEÅ</t>
        </is>
      </c>
      <c r="F607" t="inlineStr">
        <is>
          <t>SCA</t>
        </is>
      </c>
      <c r="G607" t="n">
        <v>1.9</v>
      </c>
      <c r="H607" t="n">
        <v>0</v>
      </c>
      <c r="I607" t="n">
        <v>0</v>
      </c>
      <c r="J607" t="n">
        <v>0</v>
      </c>
      <c r="K607" t="n">
        <v>0</v>
      </c>
      <c r="L607" t="n">
        <v>0</v>
      </c>
      <c r="M607" t="n">
        <v>0</v>
      </c>
      <c r="N607" t="n">
        <v>0</v>
      </c>
      <c r="O607" t="n">
        <v>0</v>
      </c>
      <c r="P607" t="n">
        <v>0</v>
      </c>
      <c r="Q607" t="n">
        <v>0</v>
      </c>
      <c r="R607" s="2" t="inlineStr"/>
    </row>
    <row r="608" ht="15" customHeight="1">
      <c r="A608" t="inlineStr">
        <is>
          <t>A 31444-2022</t>
        </is>
      </c>
      <c r="B608" s="1" t="n">
        <v>44774</v>
      </c>
      <c r="C608" s="1" t="n">
        <v>46048</v>
      </c>
      <c r="D608" t="inlineStr">
        <is>
          <t>VÄSTERNORRLANDS LÄN</t>
        </is>
      </c>
      <c r="E608" t="inlineStr">
        <is>
          <t>SOLLEFTEÅ</t>
        </is>
      </c>
      <c r="F608" t="inlineStr">
        <is>
          <t>SCA</t>
        </is>
      </c>
      <c r="G608" t="n">
        <v>1.5</v>
      </c>
      <c r="H608" t="n">
        <v>0</v>
      </c>
      <c r="I608" t="n">
        <v>0</v>
      </c>
      <c r="J608" t="n">
        <v>0</v>
      </c>
      <c r="K608" t="n">
        <v>0</v>
      </c>
      <c r="L608" t="n">
        <v>0</v>
      </c>
      <c r="M608" t="n">
        <v>0</v>
      </c>
      <c r="N608" t="n">
        <v>0</v>
      </c>
      <c r="O608" t="n">
        <v>0</v>
      </c>
      <c r="P608" t="n">
        <v>0</v>
      </c>
      <c r="Q608" t="n">
        <v>0</v>
      </c>
      <c r="R608" s="2" t="inlineStr"/>
    </row>
    <row r="609" ht="15" customHeight="1">
      <c r="A609" t="inlineStr">
        <is>
          <t>A 29914-2024</t>
        </is>
      </c>
      <c r="B609" s="1" t="n">
        <v>45487.92814814814</v>
      </c>
      <c r="C609" s="1" t="n">
        <v>46048</v>
      </c>
      <c r="D609" t="inlineStr">
        <is>
          <t>VÄSTERNORRLANDS LÄN</t>
        </is>
      </c>
      <c r="E609" t="inlineStr">
        <is>
          <t>SOLLEFTEÅ</t>
        </is>
      </c>
      <c r="G609" t="n">
        <v>6.3</v>
      </c>
      <c r="H609" t="n">
        <v>0</v>
      </c>
      <c r="I609" t="n">
        <v>0</v>
      </c>
      <c r="J609" t="n">
        <v>0</v>
      </c>
      <c r="K609" t="n">
        <v>0</v>
      </c>
      <c r="L609" t="n">
        <v>0</v>
      </c>
      <c r="M609" t="n">
        <v>0</v>
      </c>
      <c r="N609" t="n">
        <v>0</v>
      </c>
      <c r="O609" t="n">
        <v>0</v>
      </c>
      <c r="P609" t="n">
        <v>0</v>
      </c>
      <c r="Q609" t="n">
        <v>0</v>
      </c>
      <c r="R609" s="2" t="inlineStr"/>
    </row>
    <row r="610" ht="15" customHeight="1">
      <c r="A610" t="inlineStr">
        <is>
          <t>A 72958-2021</t>
        </is>
      </c>
      <c r="B610" s="1" t="n">
        <v>44547</v>
      </c>
      <c r="C610" s="1" t="n">
        <v>46048</v>
      </c>
      <c r="D610" t="inlineStr">
        <is>
          <t>VÄSTERNORRLANDS LÄN</t>
        </is>
      </c>
      <c r="E610" t="inlineStr">
        <is>
          <t>SOLLEFTEÅ</t>
        </is>
      </c>
      <c r="F610" t="inlineStr">
        <is>
          <t>SCA</t>
        </is>
      </c>
      <c r="G610" t="n">
        <v>2.2</v>
      </c>
      <c r="H610" t="n">
        <v>0</v>
      </c>
      <c r="I610" t="n">
        <v>0</v>
      </c>
      <c r="J610" t="n">
        <v>0</v>
      </c>
      <c r="K610" t="n">
        <v>0</v>
      </c>
      <c r="L610" t="n">
        <v>0</v>
      </c>
      <c r="M610" t="n">
        <v>0</v>
      </c>
      <c r="N610" t="n">
        <v>0</v>
      </c>
      <c r="O610" t="n">
        <v>0</v>
      </c>
      <c r="P610" t="n">
        <v>0</v>
      </c>
      <c r="Q610" t="n">
        <v>0</v>
      </c>
      <c r="R610" s="2" t="inlineStr"/>
    </row>
    <row r="611" ht="15" customHeight="1">
      <c r="A611" t="inlineStr">
        <is>
          <t>A 35747-2022</t>
        </is>
      </c>
      <c r="B611" s="1" t="n">
        <v>44799</v>
      </c>
      <c r="C611" s="1" t="n">
        <v>46048</v>
      </c>
      <c r="D611" t="inlineStr">
        <is>
          <t>VÄSTERNORRLANDS LÄN</t>
        </is>
      </c>
      <c r="E611" t="inlineStr">
        <is>
          <t>SOLLEFTEÅ</t>
        </is>
      </c>
      <c r="F611" t="inlineStr">
        <is>
          <t>SCA</t>
        </is>
      </c>
      <c r="G611" t="n">
        <v>2.5</v>
      </c>
      <c r="H611" t="n">
        <v>0</v>
      </c>
      <c r="I611" t="n">
        <v>0</v>
      </c>
      <c r="J611" t="n">
        <v>0</v>
      </c>
      <c r="K611" t="n">
        <v>0</v>
      </c>
      <c r="L611" t="n">
        <v>0</v>
      </c>
      <c r="M611" t="n">
        <v>0</v>
      </c>
      <c r="N611" t="n">
        <v>0</v>
      </c>
      <c r="O611" t="n">
        <v>0</v>
      </c>
      <c r="P611" t="n">
        <v>0</v>
      </c>
      <c r="Q611" t="n">
        <v>0</v>
      </c>
      <c r="R611" s="2" t="inlineStr"/>
    </row>
    <row r="612" ht="15" customHeight="1">
      <c r="A612" t="inlineStr">
        <is>
          <t>A 53955-2021</t>
        </is>
      </c>
      <c r="B612" s="1" t="n">
        <v>44469</v>
      </c>
      <c r="C612" s="1" t="n">
        <v>46048</v>
      </c>
      <c r="D612" t="inlineStr">
        <is>
          <t>VÄSTERNORRLANDS LÄN</t>
        </is>
      </c>
      <c r="E612" t="inlineStr">
        <is>
          <t>SOLLEFTEÅ</t>
        </is>
      </c>
      <c r="F612" t="inlineStr">
        <is>
          <t>SCA</t>
        </is>
      </c>
      <c r="G612" t="n">
        <v>1.3</v>
      </c>
      <c r="H612" t="n">
        <v>0</v>
      </c>
      <c r="I612" t="n">
        <v>0</v>
      </c>
      <c r="J612" t="n">
        <v>0</v>
      </c>
      <c r="K612" t="n">
        <v>0</v>
      </c>
      <c r="L612" t="n">
        <v>0</v>
      </c>
      <c r="M612" t="n">
        <v>0</v>
      </c>
      <c r="N612" t="n">
        <v>0</v>
      </c>
      <c r="O612" t="n">
        <v>0</v>
      </c>
      <c r="P612" t="n">
        <v>0</v>
      </c>
      <c r="Q612" t="n">
        <v>0</v>
      </c>
      <c r="R612" s="2" t="inlineStr"/>
    </row>
    <row r="613" ht="15" customHeight="1">
      <c r="A613" t="inlineStr">
        <is>
          <t>A 19633-2025</t>
        </is>
      </c>
      <c r="B613" s="1" t="n">
        <v>45770.64655092593</v>
      </c>
      <c r="C613" s="1" t="n">
        <v>46048</v>
      </c>
      <c r="D613" t="inlineStr">
        <is>
          <t>VÄSTERNORRLANDS LÄN</t>
        </is>
      </c>
      <c r="E613" t="inlineStr">
        <is>
          <t>SOLLEFTEÅ</t>
        </is>
      </c>
      <c r="G613" t="n">
        <v>9.9</v>
      </c>
      <c r="H613" t="n">
        <v>0</v>
      </c>
      <c r="I613" t="n">
        <v>0</v>
      </c>
      <c r="J613" t="n">
        <v>0</v>
      </c>
      <c r="K613" t="n">
        <v>0</v>
      </c>
      <c r="L613" t="n">
        <v>0</v>
      </c>
      <c r="M613" t="n">
        <v>0</v>
      </c>
      <c r="N613" t="n">
        <v>0</v>
      </c>
      <c r="O613" t="n">
        <v>0</v>
      </c>
      <c r="P613" t="n">
        <v>0</v>
      </c>
      <c r="Q613" t="n">
        <v>0</v>
      </c>
      <c r="R613" s="2" t="inlineStr"/>
    </row>
    <row r="614" ht="15" customHeight="1">
      <c r="A614" t="inlineStr">
        <is>
          <t>A 19510-2021</t>
        </is>
      </c>
      <c r="B614" s="1" t="n">
        <v>44308</v>
      </c>
      <c r="C614" s="1" t="n">
        <v>46048</v>
      </c>
      <c r="D614" t="inlineStr">
        <is>
          <t>VÄSTERNORRLANDS LÄN</t>
        </is>
      </c>
      <c r="E614" t="inlineStr">
        <is>
          <t>SOLLEFTEÅ</t>
        </is>
      </c>
      <c r="F614" t="inlineStr">
        <is>
          <t>Kyrkan</t>
        </is>
      </c>
      <c r="G614" t="n">
        <v>19.6</v>
      </c>
      <c r="H614" t="n">
        <v>0</v>
      </c>
      <c r="I614" t="n">
        <v>0</v>
      </c>
      <c r="J614" t="n">
        <v>0</v>
      </c>
      <c r="K614" t="n">
        <v>0</v>
      </c>
      <c r="L614" t="n">
        <v>0</v>
      </c>
      <c r="M614" t="n">
        <v>0</v>
      </c>
      <c r="N614" t="n">
        <v>0</v>
      </c>
      <c r="O614" t="n">
        <v>0</v>
      </c>
      <c r="P614" t="n">
        <v>0</v>
      </c>
      <c r="Q614" t="n">
        <v>0</v>
      </c>
      <c r="R614" s="2" t="inlineStr"/>
    </row>
    <row r="615" ht="15" customHeight="1">
      <c r="A615" t="inlineStr">
        <is>
          <t>A 28893-2022</t>
        </is>
      </c>
      <c r="B615" s="1" t="n">
        <v>44749.53978009259</v>
      </c>
      <c r="C615" s="1" t="n">
        <v>46048</v>
      </c>
      <c r="D615" t="inlineStr">
        <is>
          <t>VÄSTERNORRLANDS LÄN</t>
        </is>
      </c>
      <c r="E615" t="inlineStr">
        <is>
          <t>SOLLEFTEÅ</t>
        </is>
      </c>
      <c r="G615" t="n">
        <v>1.7</v>
      </c>
      <c r="H615" t="n">
        <v>0</v>
      </c>
      <c r="I615" t="n">
        <v>0</v>
      </c>
      <c r="J615" t="n">
        <v>0</v>
      </c>
      <c r="K615" t="n">
        <v>0</v>
      </c>
      <c r="L615" t="n">
        <v>0</v>
      </c>
      <c r="M615" t="n">
        <v>0</v>
      </c>
      <c r="N615" t="n">
        <v>0</v>
      </c>
      <c r="O615" t="n">
        <v>0</v>
      </c>
      <c r="P615" t="n">
        <v>0</v>
      </c>
      <c r="Q615" t="n">
        <v>0</v>
      </c>
      <c r="R615" s="2" t="inlineStr"/>
    </row>
    <row r="616" ht="15" customHeight="1">
      <c r="A616" t="inlineStr">
        <is>
          <t>A 33709-2023</t>
        </is>
      </c>
      <c r="B616" s="1" t="n">
        <v>45132.92300925926</v>
      </c>
      <c r="C616" s="1" t="n">
        <v>46048</v>
      </c>
      <c r="D616" t="inlineStr">
        <is>
          <t>VÄSTERNORRLANDS LÄN</t>
        </is>
      </c>
      <c r="E616" t="inlineStr">
        <is>
          <t>SOLLEFTEÅ</t>
        </is>
      </c>
      <c r="G616" t="n">
        <v>1.7</v>
      </c>
      <c r="H616" t="n">
        <v>0</v>
      </c>
      <c r="I616" t="n">
        <v>0</v>
      </c>
      <c r="J616" t="n">
        <v>0</v>
      </c>
      <c r="K616" t="n">
        <v>0</v>
      </c>
      <c r="L616" t="n">
        <v>0</v>
      </c>
      <c r="M616" t="n">
        <v>0</v>
      </c>
      <c r="N616" t="n">
        <v>0</v>
      </c>
      <c r="O616" t="n">
        <v>0</v>
      </c>
      <c r="P616" t="n">
        <v>0</v>
      </c>
      <c r="Q616" t="n">
        <v>0</v>
      </c>
      <c r="R616" s="2" t="inlineStr"/>
    </row>
    <row r="617" ht="15" customHeight="1">
      <c r="A617" t="inlineStr">
        <is>
          <t>A 72315-2021</t>
        </is>
      </c>
      <c r="B617" s="1" t="n">
        <v>44545</v>
      </c>
      <c r="C617" s="1" t="n">
        <v>46048</v>
      </c>
      <c r="D617" t="inlineStr">
        <is>
          <t>VÄSTERNORRLANDS LÄN</t>
        </is>
      </c>
      <c r="E617" t="inlineStr">
        <is>
          <t>SOLLEFTEÅ</t>
        </is>
      </c>
      <c r="F617" t="inlineStr">
        <is>
          <t>SCA</t>
        </is>
      </c>
      <c r="G617" t="n">
        <v>6.6</v>
      </c>
      <c r="H617" t="n">
        <v>0</v>
      </c>
      <c r="I617" t="n">
        <v>0</v>
      </c>
      <c r="J617" t="n">
        <v>0</v>
      </c>
      <c r="K617" t="n">
        <v>0</v>
      </c>
      <c r="L617" t="n">
        <v>0</v>
      </c>
      <c r="M617" t="n">
        <v>0</v>
      </c>
      <c r="N617" t="n">
        <v>0</v>
      </c>
      <c r="O617" t="n">
        <v>0</v>
      </c>
      <c r="P617" t="n">
        <v>0</v>
      </c>
      <c r="Q617" t="n">
        <v>0</v>
      </c>
      <c r="R617" s="2" t="inlineStr"/>
    </row>
    <row r="618" ht="15" customHeight="1">
      <c r="A618" t="inlineStr">
        <is>
          <t>A 41334-2021</t>
        </is>
      </c>
      <c r="B618" s="1" t="n">
        <v>44424</v>
      </c>
      <c r="C618" s="1" t="n">
        <v>46048</v>
      </c>
      <c r="D618" t="inlineStr">
        <is>
          <t>VÄSTERNORRLANDS LÄN</t>
        </is>
      </c>
      <c r="E618" t="inlineStr">
        <is>
          <t>SOLLEFTEÅ</t>
        </is>
      </c>
      <c r="G618" t="n">
        <v>1</v>
      </c>
      <c r="H618" t="n">
        <v>0</v>
      </c>
      <c r="I618" t="n">
        <v>0</v>
      </c>
      <c r="J618" t="n">
        <v>0</v>
      </c>
      <c r="K618" t="n">
        <v>0</v>
      </c>
      <c r="L618" t="n">
        <v>0</v>
      </c>
      <c r="M618" t="n">
        <v>0</v>
      </c>
      <c r="N618" t="n">
        <v>0</v>
      </c>
      <c r="O618" t="n">
        <v>0</v>
      </c>
      <c r="P618" t="n">
        <v>0</v>
      </c>
      <c r="Q618" t="n">
        <v>0</v>
      </c>
      <c r="R618" s="2" t="inlineStr"/>
    </row>
    <row r="619" ht="15" customHeight="1">
      <c r="A619" t="inlineStr">
        <is>
          <t>A 68317-2021</t>
        </is>
      </c>
      <c r="B619" s="1" t="n">
        <v>44526.94339120371</v>
      </c>
      <c r="C619" s="1" t="n">
        <v>46048</v>
      </c>
      <c r="D619" t="inlineStr">
        <is>
          <t>VÄSTERNORRLANDS LÄN</t>
        </is>
      </c>
      <c r="E619" t="inlineStr">
        <is>
          <t>SOLLEFTEÅ</t>
        </is>
      </c>
      <c r="F619" t="inlineStr">
        <is>
          <t>SCA</t>
        </is>
      </c>
      <c r="G619" t="n">
        <v>5.1</v>
      </c>
      <c r="H619" t="n">
        <v>0</v>
      </c>
      <c r="I619" t="n">
        <v>0</v>
      </c>
      <c r="J619" t="n">
        <v>0</v>
      </c>
      <c r="K619" t="n">
        <v>0</v>
      </c>
      <c r="L619" t="n">
        <v>0</v>
      </c>
      <c r="M619" t="n">
        <v>0</v>
      </c>
      <c r="N619" t="n">
        <v>0</v>
      </c>
      <c r="O619" t="n">
        <v>0</v>
      </c>
      <c r="P619" t="n">
        <v>0</v>
      </c>
      <c r="Q619" t="n">
        <v>0</v>
      </c>
      <c r="R619" s="2" t="inlineStr"/>
    </row>
    <row r="620" ht="15" customHeight="1">
      <c r="A620" t="inlineStr">
        <is>
          <t>A 9070-2025</t>
        </is>
      </c>
      <c r="B620" s="1" t="n">
        <v>45713.65658564815</v>
      </c>
      <c r="C620" s="1" t="n">
        <v>46048</v>
      </c>
      <c r="D620" t="inlineStr">
        <is>
          <t>VÄSTERNORRLANDS LÄN</t>
        </is>
      </c>
      <c r="E620" t="inlineStr">
        <is>
          <t>SOLLEFTEÅ</t>
        </is>
      </c>
      <c r="F620" t="inlineStr">
        <is>
          <t>SCA</t>
        </is>
      </c>
      <c r="G620" t="n">
        <v>6.4</v>
      </c>
      <c r="H620" t="n">
        <v>0</v>
      </c>
      <c r="I620" t="n">
        <v>0</v>
      </c>
      <c r="J620" t="n">
        <v>0</v>
      </c>
      <c r="K620" t="n">
        <v>0</v>
      </c>
      <c r="L620" t="n">
        <v>0</v>
      </c>
      <c r="M620" t="n">
        <v>0</v>
      </c>
      <c r="N620" t="n">
        <v>0</v>
      </c>
      <c r="O620" t="n">
        <v>0</v>
      </c>
      <c r="P620" t="n">
        <v>0</v>
      </c>
      <c r="Q620" t="n">
        <v>0</v>
      </c>
      <c r="R620" s="2" t="inlineStr"/>
    </row>
    <row r="621" ht="15" customHeight="1">
      <c r="A621" t="inlineStr">
        <is>
          <t>A 14061-2022</t>
        </is>
      </c>
      <c r="B621" s="1" t="n">
        <v>44650.94005787037</v>
      </c>
      <c r="C621" s="1" t="n">
        <v>46048</v>
      </c>
      <c r="D621" t="inlineStr">
        <is>
          <t>VÄSTERNORRLANDS LÄN</t>
        </is>
      </c>
      <c r="E621" t="inlineStr">
        <is>
          <t>SOLLEFTEÅ</t>
        </is>
      </c>
      <c r="F621" t="inlineStr">
        <is>
          <t>SCA</t>
        </is>
      </c>
      <c r="G621" t="n">
        <v>1.5</v>
      </c>
      <c r="H621" t="n">
        <v>0</v>
      </c>
      <c r="I621" t="n">
        <v>0</v>
      </c>
      <c r="J621" t="n">
        <v>0</v>
      </c>
      <c r="K621" t="n">
        <v>0</v>
      </c>
      <c r="L621" t="n">
        <v>0</v>
      </c>
      <c r="M621" t="n">
        <v>0</v>
      </c>
      <c r="N621" t="n">
        <v>0</v>
      </c>
      <c r="O621" t="n">
        <v>0</v>
      </c>
      <c r="P621" t="n">
        <v>0</v>
      </c>
      <c r="Q621" t="n">
        <v>0</v>
      </c>
      <c r="R621" s="2" t="inlineStr"/>
    </row>
    <row r="622" ht="15" customHeight="1">
      <c r="A622" t="inlineStr">
        <is>
          <t>A 34737-2023</t>
        </is>
      </c>
      <c r="B622" s="1" t="n">
        <v>45139</v>
      </c>
      <c r="C622" s="1" t="n">
        <v>46048</v>
      </c>
      <c r="D622" t="inlineStr">
        <is>
          <t>VÄSTERNORRLANDS LÄN</t>
        </is>
      </c>
      <c r="E622" t="inlineStr">
        <is>
          <t>SOLLEFTEÅ</t>
        </is>
      </c>
      <c r="F622" t="inlineStr">
        <is>
          <t>SCA</t>
        </is>
      </c>
      <c r="G622" t="n">
        <v>4.5</v>
      </c>
      <c r="H622" t="n">
        <v>0</v>
      </c>
      <c r="I622" t="n">
        <v>0</v>
      </c>
      <c r="J622" t="n">
        <v>0</v>
      </c>
      <c r="K622" t="n">
        <v>0</v>
      </c>
      <c r="L622" t="n">
        <v>0</v>
      </c>
      <c r="M622" t="n">
        <v>0</v>
      </c>
      <c r="N622" t="n">
        <v>0</v>
      </c>
      <c r="O622" t="n">
        <v>0</v>
      </c>
      <c r="P622" t="n">
        <v>0</v>
      </c>
      <c r="Q622" t="n">
        <v>0</v>
      </c>
      <c r="R622" s="2" t="inlineStr"/>
    </row>
    <row r="623" ht="15" customHeight="1">
      <c r="A623" t="inlineStr">
        <is>
          <t>A 51249-2022</t>
        </is>
      </c>
      <c r="B623" s="1" t="n">
        <v>44866</v>
      </c>
      <c r="C623" s="1" t="n">
        <v>46048</v>
      </c>
      <c r="D623" t="inlineStr">
        <is>
          <t>VÄSTERNORRLANDS LÄN</t>
        </is>
      </c>
      <c r="E623" t="inlineStr">
        <is>
          <t>SOLLEFTEÅ</t>
        </is>
      </c>
      <c r="G623" t="n">
        <v>1.8</v>
      </c>
      <c r="H623" t="n">
        <v>0</v>
      </c>
      <c r="I623" t="n">
        <v>0</v>
      </c>
      <c r="J623" t="n">
        <v>0</v>
      </c>
      <c r="K623" t="n">
        <v>0</v>
      </c>
      <c r="L623" t="n">
        <v>0</v>
      </c>
      <c r="M623" t="n">
        <v>0</v>
      </c>
      <c r="N623" t="n">
        <v>0</v>
      </c>
      <c r="O623" t="n">
        <v>0</v>
      </c>
      <c r="P623" t="n">
        <v>0</v>
      </c>
      <c r="Q623" t="n">
        <v>0</v>
      </c>
      <c r="R623" s="2" t="inlineStr"/>
    </row>
    <row r="624" ht="15" customHeight="1">
      <c r="A624" t="inlineStr">
        <is>
          <t>A 35502-2024</t>
        </is>
      </c>
      <c r="B624" s="1" t="n">
        <v>45531</v>
      </c>
      <c r="C624" s="1" t="n">
        <v>46048</v>
      </c>
      <c r="D624" t="inlineStr">
        <is>
          <t>VÄSTERNORRLANDS LÄN</t>
        </is>
      </c>
      <c r="E624" t="inlineStr">
        <is>
          <t>SOLLEFTEÅ</t>
        </is>
      </c>
      <c r="F624" t="inlineStr">
        <is>
          <t>Övriga Aktiebolag</t>
        </is>
      </c>
      <c r="G624" t="n">
        <v>1.1</v>
      </c>
      <c r="H624" t="n">
        <v>0</v>
      </c>
      <c r="I624" t="n">
        <v>0</v>
      </c>
      <c r="J624" t="n">
        <v>0</v>
      </c>
      <c r="K624" t="n">
        <v>0</v>
      </c>
      <c r="L624" t="n">
        <v>0</v>
      </c>
      <c r="M624" t="n">
        <v>0</v>
      </c>
      <c r="N624" t="n">
        <v>0</v>
      </c>
      <c r="O624" t="n">
        <v>0</v>
      </c>
      <c r="P624" t="n">
        <v>0</v>
      </c>
      <c r="Q624" t="n">
        <v>0</v>
      </c>
      <c r="R624" s="2" t="inlineStr"/>
    </row>
    <row r="625" ht="15" customHeight="1">
      <c r="A625" t="inlineStr">
        <is>
          <t>A 35509-2024</t>
        </is>
      </c>
      <c r="B625" s="1" t="n">
        <v>45531</v>
      </c>
      <c r="C625" s="1" t="n">
        <v>46048</v>
      </c>
      <c r="D625" t="inlineStr">
        <is>
          <t>VÄSTERNORRLANDS LÄN</t>
        </is>
      </c>
      <c r="E625" t="inlineStr">
        <is>
          <t>SOLLEFTEÅ</t>
        </is>
      </c>
      <c r="G625" t="n">
        <v>2.5</v>
      </c>
      <c r="H625" t="n">
        <v>0</v>
      </c>
      <c r="I625" t="n">
        <v>0</v>
      </c>
      <c r="J625" t="n">
        <v>0</v>
      </c>
      <c r="K625" t="n">
        <v>0</v>
      </c>
      <c r="L625" t="n">
        <v>0</v>
      </c>
      <c r="M625" t="n">
        <v>0</v>
      </c>
      <c r="N625" t="n">
        <v>0</v>
      </c>
      <c r="O625" t="n">
        <v>0</v>
      </c>
      <c r="P625" t="n">
        <v>0</v>
      </c>
      <c r="Q625" t="n">
        <v>0</v>
      </c>
      <c r="R625" s="2" t="inlineStr"/>
    </row>
    <row r="626" ht="15" customHeight="1">
      <c r="A626" t="inlineStr">
        <is>
          <t>A 22342-2022</t>
        </is>
      </c>
      <c r="B626" s="1" t="n">
        <v>44712.94203703704</v>
      </c>
      <c r="C626" s="1" t="n">
        <v>46048</v>
      </c>
      <c r="D626" t="inlineStr">
        <is>
          <t>VÄSTERNORRLANDS LÄN</t>
        </is>
      </c>
      <c r="E626" t="inlineStr">
        <is>
          <t>SOLLEFTEÅ</t>
        </is>
      </c>
      <c r="F626" t="inlineStr">
        <is>
          <t>SCA</t>
        </is>
      </c>
      <c r="G626" t="n">
        <v>3.9</v>
      </c>
      <c r="H626" t="n">
        <v>0</v>
      </c>
      <c r="I626" t="n">
        <v>0</v>
      </c>
      <c r="J626" t="n">
        <v>0</v>
      </c>
      <c r="K626" t="n">
        <v>0</v>
      </c>
      <c r="L626" t="n">
        <v>0</v>
      </c>
      <c r="M626" t="n">
        <v>0</v>
      </c>
      <c r="N626" t="n">
        <v>0</v>
      </c>
      <c r="O626" t="n">
        <v>0</v>
      </c>
      <c r="P626" t="n">
        <v>0</v>
      </c>
      <c r="Q626" t="n">
        <v>0</v>
      </c>
      <c r="R626" s="2" t="inlineStr"/>
    </row>
    <row r="627" ht="15" customHeight="1">
      <c r="A627" t="inlineStr">
        <is>
          <t>A 54574-2024</t>
        </is>
      </c>
      <c r="B627" s="1" t="n">
        <v>45617.65201388889</v>
      </c>
      <c r="C627" s="1" t="n">
        <v>46048</v>
      </c>
      <c r="D627" t="inlineStr">
        <is>
          <t>VÄSTERNORRLANDS LÄN</t>
        </is>
      </c>
      <c r="E627" t="inlineStr">
        <is>
          <t>SOLLEFTEÅ</t>
        </is>
      </c>
      <c r="G627" t="n">
        <v>2.1</v>
      </c>
      <c r="H627" t="n">
        <v>0</v>
      </c>
      <c r="I627" t="n">
        <v>0</v>
      </c>
      <c r="J627" t="n">
        <v>0</v>
      </c>
      <c r="K627" t="n">
        <v>0</v>
      </c>
      <c r="L627" t="n">
        <v>0</v>
      </c>
      <c r="M627" t="n">
        <v>0</v>
      </c>
      <c r="N627" t="n">
        <v>0</v>
      </c>
      <c r="O627" t="n">
        <v>0</v>
      </c>
      <c r="P627" t="n">
        <v>0</v>
      </c>
      <c r="Q627" t="n">
        <v>0</v>
      </c>
      <c r="R627" s="2" t="inlineStr"/>
    </row>
    <row r="628" ht="15" customHeight="1">
      <c r="A628" t="inlineStr">
        <is>
          <t>A 26955-2024</t>
        </is>
      </c>
      <c r="B628" s="1" t="n">
        <v>45470.97040509259</v>
      </c>
      <c r="C628" s="1" t="n">
        <v>46048</v>
      </c>
      <c r="D628" t="inlineStr">
        <is>
          <t>VÄSTERNORRLANDS LÄN</t>
        </is>
      </c>
      <c r="E628" t="inlineStr">
        <is>
          <t>SOLLEFTEÅ</t>
        </is>
      </c>
      <c r="F628" t="inlineStr">
        <is>
          <t>SCA</t>
        </is>
      </c>
      <c r="G628" t="n">
        <v>5.1</v>
      </c>
      <c r="H628" t="n">
        <v>0</v>
      </c>
      <c r="I628" t="n">
        <v>0</v>
      </c>
      <c r="J628" t="n">
        <v>0</v>
      </c>
      <c r="K628" t="n">
        <v>0</v>
      </c>
      <c r="L628" t="n">
        <v>0</v>
      </c>
      <c r="M628" t="n">
        <v>0</v>
      </c>
      <c r="N628" t="n">
        <v>0</v>
      </c>
      <c r="O628" t="n">
        <v>0</v>
      </c>
      <c r="P628" t="n">
        <v>0</v>
      </c>
      <c r="Q628" t="n">
        <v>0</v>
      </c>
      <c r="R628" s="2" t="inlineStr"/>
    </row>
    <row r="629" ht="15" customHeight="1">
      <c r="A629" t="inlineStr">
        <is>
          <t>A 14612-2025</t>
        </is>
      </c>
      <c r="B629" s="1" t="n">
        <v>45742</v>
      </c>
      <c r="C629" s="1" t="n">
        <v>46048</v>
      </c>
      <c r="D629" t="inlineStr">
        <is>
          <t>VÄSTERNORRLANDS LÄN</t>
        </is>
      </c>
      <c r="E629" t="inlineStr">
        <is>
          <t>SOLLEFTEÅ</t>
        </is>
      </c>
      <c r="G629" t="n">
        <v>1</v>
      </c>
      <c r="H629" t="n">
        <v>0</v>
      </c>
      <c r="I629" t="n">
        <v>0</v>
      </c>
      <c r="J629" t="n">
        <v>0</v>
      </c>
      <c r="K629" t="n">
        <v>0</v>
      </c>
      <c r="L629" t="n">
        <v>0</v>
      </c>
      <c r="M629" t="n">
        <v>0</v>
      </c>
      <c r="N629" t="n">
        <v>0</v>
      </c>
      <c r="O629" t="n">
        <v>0</v>
      </c>
      <c r="P629" t="n">
        <v>0</v>
      </c>
      <c r="Q629" t="n">
        <v>0</v>
      </c>
      <c r="R629" s="2" t="inlineStr"/>
    </row>
    <row r="630" ht="15" customHeight="1">
      <c r="A630" t="inlineStr">
        <is>
          <t>A 55898-2022</t>
        </is>
      </c>
      <c r="B630" s="1" t="n">
        <v>44888.95342592592</v>
      </c>
      <c r="C630" s="1" t="n">
        <v>46048</v>
      </c>
      <c r="D630" t="inlineStr">
        <is>
          <t>VÄSTERNORRLANDS LÄN</t>
        </is>
      </c>
      <c r="E630" t="inlineStr">
        <is>
          <t>SOLLEFTEÅ</t>
        </is>
      </c>
      <c r="F630" t="inlineStr">
        <is>
          <t>SCA</t>
        </is>
      </c>
      <c r="G630" t="n">
        <v>2.4</v>
      </c>
      <c r="H630" t="n">
        <v>0</v>
      </c>
      <c r="I630" t="n">
        <v>0</v>
      </c>
      <c r="J630" t="n">
        <v>0</v>
      </c>
      <c r="K630" t="n">
        <v>0</v>
      </c>
      <c r="L630" t="n">
        <v>0</v>
      </c>
      <c r="M630" t="n">
        <v>0</v>
      </c>
      <c r="N630" t="n">
        <v>0</v>
      </c>
      <c r="O630" t="n">
        <v>0</v>
      </c>
      <c r="P630" t="n">
        <v>0</v>
      </c>
      <c r="Q630" t="n">
        <v>0</v>
      </c>
      <c r="R630" s="2" t="inlineStr"/>
    </row>
    <row r="631" ht="15" customHeight="1">
      <c r="A631" t="inlineStr">
        <is>
          <t>A 53120-2024</t>
        </is>
      </c>
      <c r="B631" s="1" t="n">
        <v>45611</v>
      </c>
      <c r="C631" s="1" t="n">
        <v>46048</v>
      </c>
      <c r="D631" t="inlineStr">
        <is>
          <t>VÄSTERNORRLANDS LÄN</t>
        </is>
      </c>
      <c r="E631" t="inlineStr">
        <is>
          <t>SOLLEFTEÅ</t>
        </is>
      </c>
      <c r="G631" t="n">
        <v>2.5</v>
      </c>
      <c r="H631" t="n">
        <v>0</v>
      </c>
      <c r="I631" t="n">
        <v>0</v>
      </c>
      <c r="J631" t="n">
        <v>0</v>
      </c>
      <c r="K631" t="n">
        <v>0</v>
      </c>
      <c r="L631" t="n">
        <v>0</v>
      </c>
      <c r="M631" t="n">
        <v>0</v>
      </c>
      <c r="N631" t="n">
        <v>0</v>
      </c>
      <c r="O631" t="n">
        <v>0</v>
      </c>
      <c r="P631" t="n">
        <v>0</v>
      </c>
      <c r="Q631" t="n">
        <v>0</v>
      </c>
      <c r="R631" s="2" t="inlineStr"/>
    </row>
    <row r="632" ht="15" customHeight="1">
      <c r="A632" t="inlineStr">
        <is>
          <t>A 37826-2022</t>
        </is>
      </c>
      <c r="B632" s="1" t="n">
        <v>44810.94175925926</v>
      </c>
      <c r="C632" s="1" t="n">
        <v>46048</v>
      </c>
      <c r="D632" t="inlineStr">
        <is>
          <t>VÄSTERNORRLANDS LÄN</t>
        </is>
      </c>
      <c r="E632" t="inlineStr">
        <is>
          <t>SOLLEFTEÅ</t>
        </is>
      </c>
      <c r="F632" t="inlineStr">
        <is>
          <t>SCA</t>
        </is>
      </c>
      <c r="G632" t="n">
        <v>1.3</v>
      </c>
      <c r="H632" t="n">
        <v>0</v>
      </c>
      <c r="I632" t="n">
        <v>0</v>
      </c>
      <c r="J632" t="n">
        <v>0</v>
      </c>
      <c r="K632" t="n">
        <v>0</v>
      </c>
      <c r="L632" t="n">
        <v>0</v>
      </c>
      <c r="M632" t="n">
        <v>0</v>
      </c>
      <c r="N632" t="n">
        <v>0</v>
      </c>
      <c r="O632" t="n">
        <v>0</v>
      </c>
      <c r="P632" t="n">
        <v>0</v>
      </c>
      <c r="Q632" t="n">
        <v>0</v>
      </c>
      <c r="R632" s="2" t="inlineStr"/>
    </row>
    <row r="633" ht="15" customHeight="1">
      <c r="A633" t="inlineStr">
        <is>
          <t>A 16083-2022</t>
        </is>
      </c>
      <c r="B633" s="1" t="n">
        <v>44665</v>
      </c>
      <c r="C633" s="1" t="n">
        <v>46048</v>
      </c>
      <c r="D633" t="inlineStr">
        <is>
          <t>VÄSTERNORRLANDS LÄN</t>
        </is>
      </c>
      <c r="E633" t="inlineStr">
        <is>
          <t>SOLLEFTEÅ</t>
        </is>
      </c>
      <c r="F633" t="inlineStr">
        <is>
          <t>Holmen skog AB</t>
        </is>
      </c>
      <c r="G633" t="n">
        <v>6.8</v>
      </c>
      <c r="H633" t="n">
        <v>0</v>
      </c>
      <c r="I633" t="n">
        <v>0</v>
      </c>
      <c r="J633" t="n">
        <v>0</v>
      </c>
      <c r="K633" t="n">
        <v>0</v>
      </c>
      <c r="L633" t="n">
        <v>0</v>
      </c>
      <c r="M633" t="n">
        <v>0</v>
      </c>
      <c r="N633" t="n">
        <v>0</v>
      </c>
      <c r="O633" t="n">
        <v>0</v>
      </c>
      <c r="P633" t="n">
        <v>0</v>
      </c>
      <c r="Q633" t="n">
        <v>0</v>
      </c>
      <c r="R633" s="2" t="inlineStr"/>
    </row>
    <row r="634" ht="15" customHeight="1">
      <c r="A634" t="inlineStr">
        <is>
          <t>A 154-2025</t>
        </is>
      </c>
      <c r="B634" s="1" t="n">
        <v>45659</v>
      </c>
      <c r="C634" s="1" t="n">
        <v>46048</v>
      </c>
      <c r="D634" t="inlineStr">
        <is>
          <t>VÄSTERNORRLANDS LÄN</t>
        </is>
      </c>
      <c r="E634" t="inlineStr">
        <is>
          <t>SOLLEFTEÅ</t>
        </is>
      </c>
      <c r="F634" t="inlineStr">
        <is>
          <t>Holmen skog AB</t>
        </is>
      </c>
      <c r="G634" t="n">
        <v>4.5</v>
      </c>
      <c r="H634" t="n">
        <v>0</v>
      </c>
      <c r="I634" t="n">
        <v>0</v>
      </c>
      <c r="J634" t="n">
        <v>0</v>
      </c>
      <c r="K634" t="n">
        <v>0</v>
      </c>
      <c r="L634" t="n">
        <v>0</v>
      </c>
      <c r="M634" t="n">
        <v>0</v>
      </c>
      <c r="N634" t="n">
        <v>0</v>
      </c>
      <c r="O634" t="n">
        <v>0</v>
      </c>
      <c r="P634" t="n">
        <v>0</v>
      </c>
      <c r="Q634" t="n">
        <v>0</v>
      </c>
      <c r="R634" s="2" t="inlineStr"/>
    </row>
    <row r="635" ht="15" customHeight="1">
      <c r="A635" t="inlineStr">
        <is>
          <t>A 61845-2024</t>
        </is>
      </c>
      <c r="B635" s="1" t="n">
        <v>45646</v>
      </c>
      <c r="C635" s="1" t="n">
        <v>46048</v>
      </c>
      <c r="D635" t="inlineStr">
        <is>
          <t>VÄSTERNORRLANDS LÄN</t>
        </is>
      </c>
      <c r="E635" t="inlineStr">
        <is>
          <t>SOLLEFTEÅ</t>
        </is>
      </c>
      <c r="G635" t="n">
        <v>9.4</v>
      </c>
      <c r="H635" t="n">
        <v>0</v>
      </c>
      <c r="I635" t="n">
        <v>0</v>
      </c>
      <c r="J635" t="n">
        <v>0</v>
      </c>
      <c r="K635" t="n">
        <v>0</v>
      </c>
      <c r="L635" t="n">
        <v>0</v>
      </c>
      <c r="M635" t="n">
        <v>0</v>
      </c>
      <c r="N635" t="n">
        <v>0</v>
      </c>
      <c r="O635" t="n">
        <v>0</v>
      </c>
      <c r="P635" t="n">
        <v>0</v>
      </c>
      <c r="Q635" t="n">
        <v>0</v>
      </c>
      <c r="R635" s="2" t="inlineStr"/>
    </row>
    <row r="636" ht="15" customHeight="1">
      <c r="A636" t="inlineStr">
        <is>
          <t>A 61849-2024</t>
        </is>
      </c>
      <c r="B636" s="1" t="n">
        <v>45646</v>
      </c>
      <c r="C636" s="1" t="n">
        <v>46048</v>
      </c>
      <c r="D636" t="inlineStr">
        <is>
          <t>VÄSTERNORRLANDS LÄN</t>
        </is>
      </c>
      <c r="E636" t="inlineStr">
        <is>
          <t>SOLLEFTEÅ</t>
        </is>
      </c>
      <c r="G636" t="n">
        <v>1.6</v>
      </c>
      <c r="H636" t="n">
        <v>0</v>
      </c>
      <c r="I636" t="n">
        <v>0</v>
      </c>
      <c r="J636" t="n">
        <v>0</v>
      </c>
      <c r="K636" t="n">
        <v>0</v>
      </c>
      <c r="L636" t="n">
        <v>0</v>
      </c>
      <c r="M636" t="n">
        <v>0</v>
      </c>
      <c r="N636" t="n">
        <v>0</v>
      </c>
      <c r="O636" t="n">
        <v>0</v>
      </c>
      <c r="P636" t="n">
        <v>0</v>
      </c>
      <c r="Q636" t="n">
        <v>0</v>
      </c>
      <c r="R636" s="2" t="inlineStr"/>
    </row>
    <row r="637" ht="15" customHeight="1">
      <c r="A637" t="inlineStr">
        <is>
          <t>A 33077-2022</t>
        </is>
      </c>
      <c r="B637" s="1" t="n">
        <v>44785</v>
      </c>
      <c r="C637" s="1" t="n">
        <v>46048</v>
      </c>
      <c r="D637" t="inlineStr">
        <is>
          <t>VÄSTERNORRLANDS LÄN</t>
        </is>
      </c>
      <c r="E637" t="inlineStr">
        <is>
          <t>SOLLEFTEÅ</t>
        </is>
      </c>
      <c r="G637" t="n">
        <v>0.2</v>
      </c>
      <c r="H637" t="n">
        <v>0</v>
      </c>
      <c r="I637" t="n">
        <v>0</v>
      </c>
      <c r="J637" t="n">
        <v>0</v>
      </c>
      <c r="K637" t="n">
        <v>0</v>
      </c>
      <c r="L637" t="n">
        <v>0</v>
      </c>
      <c r="M637" t="n">
        <v>0</v>
      </c>
      <c r="N637" t="n">
        <v>0</v>
      </c>
      <c r="O637" t="n">
        <v>0</v>
      </c>
      <c r="P637" t="n">
        <v>0</v>
      </c>
      <c r="Q637" t="n">
        <v>0</v>
      </c>
      <c r="R637" s="2" t="inlineStr"/>
    </row>
    <row r="638" ht="15" customHeight="1">
      <c r="A638" t="inlineStr">
        <is>
          <t>A 5862-2025</t>
        </is>
      </c>
      <c r="B638" s="1" t="n">
        <v>45695.35061342592</v>
      </c>
      <c r="C638" s="1" t="n">
        <v>46048</v>
      </c>
      <c r="D638" t="inlineStr">
        <is>
          <t>VÄSTERNORRLANDS LÄN</t>
        </is>
      </c>
      <c r="E638" t="inlineStr">
        <is>
          <t>SOLLEFTEÅ</t>
        </is>
      </c>
      <c r="F638" t="inlineStr">
        <is>
          <t>Holmen skog AB</t>
        </is>
      </c>
      <c r="G638" t="n">
        <v>0.3</v>
      </c>
      <c r="H638" t="n">
        <v>0</v>
      </c>
      <c r="I638" t="n">
        <v>0</v>
      </c>
      <c r="J638" t="n">
        <v>0</v>
      </c>
      <c r="K638" t="n">
        <v>0</v>
      </c>
      <c r="L638" t="n">
        <v>0</v>
      </c>
      <c r="M638" t="n">
        <v>0</v>
      </c>
      <c r="N638" t="n">
        <v>0</v>
      </c>
      <c r="O638" t="n">
        <v>0</v>
      </c>
      <c r="P638" t="n">
        <v>0</v>
      </c>
      <c r="Q638" t="n">
        <v>0</v>
      </c>
      <c r="R638" s="2" t="inlineStr"/>
    </row>
    <row r="639" ht="15" customHeight="1">
      <c r="A639" t="inlineStr">
        <is>
          <t>A 31477-2024</t>
        </is>
      </c>
      <c r="B639" s="1" t="n">
        <v>45505</v>
      </c>
      <c r="C639" s="1" t="n">
        <v>46048</v>
      </c>
      <c r="D639" t="inlineStr">
        <is>
          <t>VÄSTERNORRLANDS LÄN</t>
        </is>
      </c>
      <c r="E639" t="inlineStr">
        <is>
          <t>SOLLEFTEÅ</t>
        </is>
      </c>
      <c r="F639" t="inlineStr">
        <is>
          <t>SCA</t>
        </is>
      </c>
      <c r="G639" t="n">
        <v>7.3</v>
      </c>
      <c r="H639" t="n">
        <v>0</v>
      </c>
      <c r="I639" t="n">
        <v>0</v>
      </c>
      <c r="J639" t="n">
        <v>0</v>
      </c>
      <c r="K639" t="n">
        <v>0</v>
      </c>
      <c r="L639" t="n">
        <v>0</v>
      </c>
      <c r="M639" t="n">
        <v>0</v>
      </c>
      <c r="N639" t="n">
        <v>0</v>
      </c>
      <c r="O639" t="n">
        <v>0</v>
      </c>
      <c r="P639" t="n">
        <v>0</v>
      </c>
      <c r="Q639" t="n">
        <v>0</v>
      </c>
      <c r="R639" s="2" t="inlineStr"/>
    </row>
    <row r="640" ht="15" customHeight="1">
      <c r="A640" t="inlineStr">
        <is>
          <t>A 31537-2024</t>
        </is>
      </c>
      <c r="B640" s="1" t="n">
        <v>45505.96146990741</v>
      </c>
      <c r="C640" s="1" t="n">
        <v>46048</v>
      </c>
      <c r="D640" t="inlineStr">
        <is>
          <t>VÄSTERNORRLANDS LÄN</t>
        </is>
      </c>
      <c r="E640" t="inlineStr">
        <is>
          <t>SOLLEFTEÅ</t>
        </is>
      </c>
      <c r="F640" t="inlineStr">
        <is>
          <t>SCA</t>
        </is>
      </c>
      <c r="G640" t="n">
        <v>2.7</v>
      </c>
      <c r="H640" t="n">
        <v>0</v>
      </c>
      <c r="I640" t="n">
        <v>0</v>
      </c>
      <c r="J640" t="n">
        <v>0</v>
      </c>
      <c r="K640" t="n">
        <v>0</v>
      </c>
      <c r="L640" t="n">
        <v>0</v>
      </c>
      <c r="M640" t="n">
        <v>0</v>
      </c>
      <c r="N640" t="n">
        <v>0</v>
      </c>
      <c r="O640" t="n">
        <v>0</v>
      </c>
      <c r="P640" t="n">
        <v>0</v>
      </c>
      <c r="Q640" t="n">
        <v>0</v>
      </c>
      <c r="R640" s="2" t="inlineStr"/>
    </row>
    <row r="641" ht="15" customHeight="1">
      <c r="A641" t="inlineStr">
        <is>
          <t>A 14302-2022</t>
        </is>
      </c>
      <c r="B641" s="1" t="n">
        <v>44651</v>
      </c>
      <c r="C641" s="1" t="n">
        <v>46048</v>
      </c>
      <c r="D641" t="inlineStr">
        <is>
          <t>VÄSTERNORRLANDS LÄN</t>
        </is>
      </c>
      <c r="E641" t="inlineStr">
        <is>
          <t>SOLLEFTEÅ</t>
        </is>
      </c>
      <c r="F641" t="inlineStr">
        <is>
          <t>SCA</t>
        </is>
      </c>
      <c r="G641" t="n">
        <v>2.7</v>
      </c>
      <c r="H641" t="n">
        <v>0</v>
      </c>
      <c r="I641" t="n">
        <v>0</v>
      </c>
      <c r="J641" t="n">
        <v>0</v>
      </c>
      <c r="K641" t="n">
        <v>0</v>
      </c>
      <c r="L641" t="n">
        <v>0</v>
      </c>
      <c r="M641" t="n">
        <v>0</v>
      </c>
      <c r="N641" t="n">
        <v>0</v>
      </c>
      <c r="O641" t="n">
        <v>0</v>
      </c>
      <c r="P641" t="n">
        <v>0</v>
      </c>
      <c r="Q641" t="n">
        <v>0</v>
      </c>
      <c r="R641" s="2" t="inlineStr"/>
    </row>
    <row r="642" ht="15" customHeight="1">
      <c r="A642" t="inlineStr">
        <is>
          <t>A 47329-2023</t>
        </is>
      </c>
      <c r="B642" s="1" t="n">
        <v>45196</v>
      </c>
      <c r="C642" s="1" t="n">
        <v>46048</v>
      </c>
      <c r="D642" t="inlineStr">
        <is>
          <t>VÄSTERNORRLANDS LÄN</t>
        </is>
      </c>
      <c r="E642" t="inlineStr">
        <is>
          <t>SOLLEFTEÅ</t>
        </is>
      </c>
      <c r="F642" t="inlineStr">
        <is>
          <t>SCA</t>
        </is>
      </c>
      <c r="G642" t="n">
        <v>1.6</v>
      </c>
      <c r="H642" t="n">
        <v>0</v>
      </c>
      <c r="I642" t="n">
        <v>0</v>
      </c>
      <c r="J642" t="n">
        <v>0</v>
      </c>
      <c r="K642" t="n">
        <v>0</v>
      </c>
      <c r="L642" t="n">
        <v>0</v>
      </c>
      <c r="M642" t="n">
        <v>0</v>
      </c>
      <c r="N642" t="n">
        <v>0</v>
      </c>
      <c r="O642" t="n">
        <v>0</v>
      </c>
      <c r="P642" t="n">
        <v>0</v>
      </c>
      <c r="Q642" t="n">
        <v>0</v>
      </c>
      <c r="R642" s="2" t="inlineStr"/>
    </row>
    <row r="643" ht="15" customHeight="1">
      <c r="A643" t="inlineStr">
        <is>
          <t>A 41925-2024</t>
        </is>
      </c>
      <c r="B643" s="1" t="n">
        <v>45561</v>
      </c>
      <c r="C643" s="1" t="n">
        <v>46048</v>
      </c>
      <c r="D643" t="inlineStr">
        <is>
          <t>VÄSTERNORRLANDS LÄN</t>
        </is>
      </c>
      <c r="E643" t="inlineStr">
        <is>
          <t>SOLLEFTEÅ</t>
        </is>
      </c>
      <c r="G643" t="n">
        <v>6.6</v>
      </c>
      <c r="H643" t="n">
        <v>0</v>
      </c>
      <c r="I643" t="n">
        <v>0</v>
      </c>
      <c r="J643" t="n">
        <v>0</v>
      </c>
      <c r="K643" t="n">
        <v>0</v>
      </c>
      <c r="L643" t="n">
        <v>0</v>
      </c>
      <c r="M643" t="n">
        <v>0</v>
      </c>
      <c r="N643" t="n">
        <v>0</v>
      </c>
      <c r="O643" t="n">
        <v>0</v>
      </c>
      <c r="P643" t="n">
        <v>0</v>
      </c>
      <c r="Q643" t="n">
        <v>0</v>
      </c>
      <c r="R643" s="2" t="inlineStr"/>
    </row>
    <row r="644" ht="15" customHeight="1">
      <c r="A644" t="inlineStr">
        <is>
          <t>A 47175-2024</t>
        </is>
      </c>
      <c r="B644" s="1" t="n">
        <v>45586</v>
      </c>
      <c r="C644" s="1" t="n">
        <v>46048</v>
      </c>
      <c r="D644" t="inlineStr">
        <is>
          <t>VÄSTERNORRLANDS LÄN</t>
        </is>
      </c>
      <c r="E644" t="inlineStr">
        <is>
          <t>SOLLEFTEÅ</t>
        </is>
      </c>
      <c r="G644" t="n">
        <v>2.2</v>
      </c>
      <c r="H644" t="n">
        <v>0</v>
      </c>
      <c r="I644" t="n">
        <v>0</v>
      </c>
      <c r="J644" t="n">
        <v>0</v>
      </c>
      <c r="K644" t="n">
        <v>0</v>
      </c>
      <c r="L644" t="n">
        <v>0</v>
      </c>
      <c r="M644" t="n">
        <v>0</v>
      </c>
      <c r="N644" t="n">
        <v>0</v>
      </c>
      <c r="O644" t="n">
        <v>0</v>
      </c>
      <c r="P644" t="n">
        <v>0</v>
      </c>
      <c r="Q644" t="n">
        <v>0</v>
      </c>
      <c r="R644" s="2" t="inlineStr"/>
    </row>
    <row r="645" ht="15" customHeight="1">
      <c r="A645" t="inlineStr">
        <is>
          <t>A 58808-2024</t>
        </is>
      </c>
      <c r="B645" s="1" t="n">
        <v>45636.34446759259</v>
      </c>
      <c r="C645" s="1" t="n">
        <v>46048</v>
      </c>
      <c r="D645" t="inlineStr">
        <is>
          <t>VÄSTERNORRLANDS LÄN</t>
        </is>
      </c>
      <c r="E645" t="inlineStr">
        <is>
          <t>SOLLEFTEÅ</t>
        </is>
      </c>
      <c r="G645" t="n">
        <v>1.9</v>
      </c>
      <c r="H645" t="n">
        <v>0</v>
      </c>
      <c r="I645" t="n">
        <v>0</v>
      </c>
      <c r="J645" t="n">
        <v>0</v>
      </c>
      <c r="K645" t="n">
        <v>0</v>
      </c>
      <c r="L645" t="n">
        <v>0</v>
      </c>
      <c r="M645" t="n">
        <v>0</v>
      </c>
      <c r="N645" t="n">
        <v>0</v>
      </c>
      <c r="O645" t="n">
        <v>0</v>
      </c>
      <c r="P645" t="n">
        <v>0</v>
      </c>
      <c r="Q645" t="n">
        <v>0</v>
      </c>
      <c r="R645" s="2" t="inlineStr"/>
    </row>
    <row r="646" ht="15" customHeight="1">
      <c r="A646" t="inlineStr">
        <is>
          <t>A 48240-2022</t>
        </is>
      </c>
      <c r="B646" s="1" t="n">
        <v>44858</v>
      </c>
      <c r="C646" s="1" t="n">
        <v>46048</v>
      </c>
      <c r="D646" t="inlineStr">
        <is>
          <t>VÄSTERNORRLANDS LÄN</t>
        </is>
      </c>
      <c r="E646" t="inlineStr">
        <is>
          <t>SOLLEFTEÅ</t>
        </is>
      </c>
      <c r="G646" t="n">
        <v>0.3</v>
      </c>
      <c r="H646" t="n">
        <v>0</v>
      </c>
      <c r="I646" t="n">
        <v>0</v>
      </c>
      <c r="J646" t="n">
        <v>0</v>
      </c>
      <c r="K646" t="n">
        <v>0</v>
      </c>
      <c r="L646" t="n">
        <v>0</v>
      </c>
      <c r="M646" t="n">
        <v>0</v>
      </c>
      <c r="N646" t="n">
        <v>0</v>
      </c>
      <c r="O646" t="n">
        <v>0</v>
      </c>
      <c r="P646" t="n">
        <v>0</v>
      </c>
      <c r="Q646" t="n">
        <v>0</v>
      </c>
      <c r="R646" s="2" t="inlineStr"/>
    </row>
    <row r="647" ht="15" customHeight="1">
      <c r="A647" t="inlineStr">
        <is>
          <t>A 11241-2022</t>
        </is>
      </c>
      <c r="B647" s="1" t="n">
        <v>44629</v>
      </c>
      <c r="C647" s="1" t="n">
        <v>46048</v>
      </c>
      <c r="D647" t="inlineStr">
        <is>
          <t>VÄSTERNORRLANDS LÄN</t>
        </is>
      </c>
      <c r="E647" t="inlineStr">
        <is>
          <t>SOLLEFTEÅ</t>
        </is>
      </c>
      <c r="F647" t="inlineStr">
        <is>
          <t>Kommuner</t>
        </is>
      </c>
      <c r="G647" t="n">
        <v>1.6</v>
      </c>
      <c r="H647" t="n">
        <v>0</v>
      </c>
      <c r="I647" t="n">
        <v>0</v>
      </c>
      <c r="J647" t="n">
        <v>0</v>
      </c>
      <c r="K647" t="n">
        <v>0</v>
      </c>
      <c r="L647" t="n">
        <v>0</v>
      </c>
      <c r="M647" t="n">
        <v>0</v>
      </c>
      <c r="N647" t="n">
        <v>0</v>
      </c>
      <c r="O647" t="n">
        <v>0</v>
      </c>
      <c r="P647" t="n">
        <v>0</v>
      </c>
      <c r="Q647" t="n">
        <v>0</v>
      </c>
      <c r="R647" s="2" t="inlineStr"/>
    </row>
    <row r="648" ht="15" customHeight="1">
      <c r="A648" t="inlineStr">
        <is>
          <t>A 41474-2022</t>
        </is>
      </c>
      <c r="B648" s="1" t="n">
        <v>44826.94859953703</v>
      </c>
      <c r="C648" s="1" t="n">
        <v>46048</v>
      </c>
      <c r="D648" t="inlineStr">
        <is>
          <t>VÄSTERNORRLANDS LÄN</t>
        </is>
      </c>
      <c r="E648" t="inlineStr">
        <is>
          <t>SOLLEFTEÅ</t>
        </is>
      </c>
      <c r="F648" t="inlineStr">
        <is>
          <t>SCA</t>
        </is>
      </c>
      <c r="G648" t="n">
        <v>0.8</v>
      </c>
      <c r="H648" t="n">
        <v>0</v>
      </c>
      <c r="I648" t="n">
        <v>0</v>
      </c>
      <c r="J648" t="n">
        <v>0</v>
      </c>
      <c r="K648" t="n">
        <v>0</v>
      </c>
      <c r="L648" t="n">
        <v>0</v>
      </c>
      <c r="M648" t="n">
        <v>0</v>
      </c>
      <c r="N648" t="n">
        <v>0</v>
      </c>
      <c r="O648" t="n">
        <v>0</v>
      </c>
      <c r="P648" t="n">
        <v>0</v>
      </c>
      <c r="Q648" t="n">
        <v>0</v>
      </c>
      <c r="R648" s="2" t="inlineStr"/>
    </row>
    <row r="649" ht="15" customHeight="1">
      <c r="A649" t="inlineStr">
        <is>
          <t>A 26435-2022</t>
        </is>
      </c>
      <c r="B649" s="1" t="n">
        <v>44736.93902777778</v>
      </c>
      <c r="C649" s="1" t="n">
        <v>46048</v>
      </c>
      <c r="D649" t="inlineStr">
        <is>
          <t>VÄSTERNORRLANDS LÄN</t>
        </is>
      </c>
      <c r="E649" t="inlineStr">
        <is>
          <t>SOLLEFTEÅ</t>
        </is>
      </c>
      <c r="F649" t="inlineStr">
        <is>
          <t>SCA</t>
        </is>
      </c>
      <c r="G649" t="n">
        <v>5</v>
      </c>
      <c r="H649" t="n">
        <v>0</v>
      </c>
      <c r="I649" t="n">
        <v>0</v>
      </c>
      <c r="J649" t="n">
        <v>0</v>
      </c>
      <c r="K649" t="n">
        <v>0</v>
      </c>
      <c r="L649" t="n">
        <v>0</v>
      </c>
      <c r="M649" t="n">
        <v>0</v>
      </c>
      <c r="N649" t="n">
        <v>0</v>
      </c>
      <c r="O649" t="n">
        <v>0</v>
      </c>
      <c r="P649" t="n">
        <v>0</v>
      </c>
      <c r="Q649" t="n">
        <v>0</v>
      </c>
      <c r="R649" s="2" t="inlineStr"/>
    </row>
    <row r="650" ht="15" customHeight="1">
      <c r="A650" t="inlineStr">
        <is>
          <t>A 2114-2023</t>
        </is>
      </c>
      <c r="B650" s="1" t="n">
        <v>44939.93809027778</v>
      </c>
      <c r="C650" s="1" t="n">
        <v>46048</v>
      </c>
      <c r="D650" t="inlineStr">
        <is>
          <t>VÄSTERNORRLANDS LÄN</t>
        </is>
      </c>
      <c r="E650" t="inlineStr">
        <is>
          <t>SOLLEFTEÅ</t>
        </is>
      </c>
      <c r="F650" t="inlineStr">
        <is>
          <t>SCA</t>
        </is>
      </c>
      <c r="G650" t="n">
        <v>0.6</v>
      </c>
      <c r="H650" t="n">
        <v>0</v>
      </c>
      <c r="I650" t="n">
        <v>0</v>
      </c>
      <c r="J650" t="n">
        <v>0</v>
      </c>
      <c r="K650" t="n">
        <v>0</v>
      </c>
      <c r="L650" t="n">
        <v>0</v>
      </c>
      <c r="M650" t="n">
        <v>0</v>
      </c>
      <c r="N650" t="n">
        <v>0</v>
      </c>
      <c r="O650" t="n">
        <v>0</v>
      </c>
      <c r="P650" t="n">
        <v>0</v>
      </c>
      <c r="Q650" t="n">
        <v>0</v>
      </c>
      <c r="R650" s="2" t="inlineStr"/>
    </row>
    <row r="651" ht="15" customHeight="1">
      <c r="A651" t="inlineStr">
        <is>
          <t>A 41813-2022</t>
        </is>
      </c>
      <c r="B651" s="1" t="n">
        <v>44827.94520833333</v>
      </c>
      <c r="C651" s="1" t="n">
        <v>46048</v>
      </c>
      <c r="D651" t="inlineStr">
        <is>
          <t>VÄSTERNORRLANDS LÄN</t>
        </is>
      </c>
      <c r="E651" t="inlineStr">
        <is>
          <t>SOLLEFTEÅ</t>
        </is>
      </c>
      <c r="F651" t="inlineStr">
        <is>
          <t>SCA</t>
        </is>
      </c>
      <c r="G651" t="n">
        <v>3.1</v>
      </c>
      <c r="H651" t="n">
        <v>0</v>
      </c>
      <c r="I651" t="n">
        <v>0</v>
      </c>
      <c r="J651" t="n">
        <v>0</v>
      </c>
      <c r="K651" t="n">
        <v>0</v>
      </c>
      <c r="L651" t="n">
        <v>0</v>
      </c>
      <c r="M651" t="n">
        <v>0</v>
      </c>
      <c r="N651" t="n">
        <v>0</v>
      </c>
      <c r="O651" t="n">
        <v>0</v>
      </c>
      <c r="P651" t="n">
        <v>0</v>
      </c>
      <c r="Q651" t="n">
        <v>0</v>
      </c>
      <c r="R651" s="2" t="inlineStr"/>
    </row>
    <row r="652" ht="15" customHeight="1">
      <c r="A652" t="inlineStr">
        <is>
          <t>A 42983-2024</t>
        </is>
      </c>
      <c r="B652" s="1" t="n">
        <v>45567.37471064815</v>
      </c>
      <c r="C652" s="1" t="n">
        <v>46048</v>
      </c>
      <c r="D652" t="inlineStr">
        <is>
          <t>VÄSTERNORRLANDS LÄN</t>
        </is>
      </c>
      <c r="E652" t="inlineStr">
        <is>
          <t>SOLLEFTEÅ</t>
        </is>
      </c>
      <c r="F652" t="inlineStr">
        <is>
          <t>SCA</t>
        </is>
      </c>
      <c r="G652" t="n">
        <v>2.4</v>
      </c>
      <c r="H652" t="n">
        <v>0</v>
      </c>
      <c r="I652" t="n">
        <v>0</v>
      </c>
      <c r="J652" t="n">
        <v>0</v>
      </c>
      <c r="K652" t="n">
        <v>0</v>
      </c>
      <c r="L652" t="n">
        <v>0</v>
      </c>
      <c r="M652" t="n">
        <v>0</v>
      </c>
      <c r="N652" t="n">
        <v>0</v>
      </c>
      <c r="O652" t="n">
        <v>0</v>
      </c>
      <c r="P652" t="n">
        <v>0</v>
      </c>
      <c r="Q652" t="n">
        <v>0</v>
      </c>
      <c r="R652" s="2" t="inlineStr"/>
    </row>
    <row r="653" ht="15" customHeight="1">
      <c r="A653" t="inlineStr">
        <is>
          <t>A 27082-2022</t>
        </is>
      </c>
      <c r="B653" s="1" t="n">
        <v>44741</v>
      </c>
      <c r="C653" s="1" t="n">
        <v>46048</v>
      </c>
      <c r="D653" t="inlineStr">
        <is>
          <t>VÄSTERNORRLANDS LÄN</t>
        </is>
      </c>
      <c r="E653" t="inlineStr">
        <is>
          <t>SOLLEFTEÅ</t>
        </is>
      </c>
      <c r="G653" t="n">
        <v>8.199999999999999</v>
      </c>
      <c r="H653" t="n">
        <v>0</v>
      </c>
      <c r="I653" t="n">
        <v>0</v>
      </c>
      <c r="J653" t="n">
        <v>0</v>
      </c>
      <c r="K653" t="n">
        <v>0</v>
      </c>
      <c r="L653" t="n">
        <v>0</v>
      </c>
      <c r="M653" t="n">
        <v>0</v>
      </c>
      <c r="N653" t="n">
        <v>0</v>
      </c>
      <c r="O653" t="n">
        <v>0</v>
      </c>
      <c r="P653" t="n">
        <v>0</v>
      </c>
      <c r="Q653" t="n">
        <v>0</v>
      </c>
      <c r="R653" s="2" t="inlineStr"/>
    </row>
    <row r="654" ht="15" customHeight="1">
      <c r="A654" t="inlineStr">
        <is>
          <t>A 42984-2024</t>
        </is>
      </c>
      <c r="B654" s="1" t="n">
        <v>45567.37532407408</v>
      </c>
      <c r="C654" s="1" t="n">
        <v>46048</v>
      </c>
      <c r="D654" t="inlineStr">
        <is>
          <t>VÄSTERNORRLANDS LÄN</t>
        </is>
      </c>
      <c r="E654" t="inlineStr">
        <is>
          <t>SOLLEFTEÅ</t>
        </is>
      </c>
      <c r="G654" t="n">
        <v>0.8</v>
      </c>
      <c r="H654" t="n">
        <v>0</v>
      </c>
      <c r="I654" t="n">
        <v>0</v>
      </c>
      <c r="J654" t="n">
        <v>0</v>
      </c>
      <c r="K654" t="n">
        <v>0</v>
      </c>
      <c r="L654" t="n">
        <v>0</v>
      </c>
      <c r="M654" t="n">
        <v>0</v>
      </c>
      <c r="N654" t="n">
        <v>0</v>
      </c>
      <c r="O654" t="n">
        <v>0</v>
      </c>
      <c r="P654" t="n">
        <v>0</v>
      </c>
      <c r="Q654" t="n">
        <v>0</v>
      </c>
      <c r="R654" s="2" t="inlineStr"/>
    </row>
    <row r="655" ht="15" customHeight="1">
      <c r="A655" t="inlineStr">
        <is>
          <t>A 42985-2024</t>
        </is>
      </c>
      <c r="B655" s="1" t="n">
        <v>45567.37533564815</v>
      </c>
      <c r="C655" s="1" t="n">
        <v>46048</v>
      </c>
      <c r="D655" t="inlineStr">
        <is>
          <t>VÄSTERNORRLANDS LÄN</t>
        </is>
      </c>
      <c r="E655" t="inlineStr">
        <is>
          <t>SOLLEFTEÅ</t>
        </is>
      </c>
      <c r="G655" t="n">
        <v>0.5</v>
      </c>
      <c r="H655" t="n">
        <v>0</v>
      </c>
      <c r="I655" t="n">
        <v>0</v>
      </c>
      <c r="J655" t="n">
        <v>0</v>
      </c>
      <c r="K655" t="n">
        <v>0</v>
      </c>
      <c r="L655" t="n">
        <v>0</v>
      </c>
      <c r="M655" t="n">
        <v>0</v>
      </c>
      <c r="N655" t="n">
        <v>0</v>
      </c>
      <c r="O655" t="n">
        <v>0</v>
      </c>
      <c r="P655" t="n">
        <v>0</v>
      </c>
      <c r="Q655" t="n">
        <v>0</v>
      </c>
      <c r="R655" s="2" t="inlineStr"/>
    </row>
    <row r="656" ht="15" customHeight="1">
      <c r="A656" t="inlineStr">
        <is>
          <t>A 48964-2023</t>
        </is>
      </c>
      <c r="B656" s="1" t="n">
        <v>45204</v>
      </c>
      <c r="C656" s="1" t="n">
        <v>46048</v>
      </c>
      <c r="D656" t="inlineStr">
        <is>
          <t>VÄSTERNORRLANDS LÄN</t>
        </is>
      </c>
      <c r="E656" t="inlineStr">
        <is>
          <t>SOLLEFTEÅ</t>
        </is>
      </c>
      <c r="G656" t="n">
        <v>6.1</v>
      </c>
      <c r="H656" t="n">
        <v>0</v>
      </c>
      <c r="I656" t="n">
        <v>0</v>
      </c>
      <c r="J656" t="n">
        <v>0</v>
      </c>
      <c r="K656" t="n">
        <v>0</v>
      </c>
      <c r="L656" t="n">
        <v>0</v>
      </c>
      <c r="M656" t="n">
        <v>0</v>
      </c>
      <c r="N656" t="n">
        <v>0</v>
      </c>
      <c r="O656" t="n">
        <v>0</v>
      </c>
      <c r="P656" t="n">
        <v>0</v>
      </c>
      <c r="Q656" t="n">
        <v>0</v>
      </c>
      <c r="R656" s="2" t="inlineStr"/>
    </row>
    <row r="657" ht="15" customHeight="1">
      <c r="A657" t="inlineStr">
        <is>
          <t>A 62357-2023</t>
        </is>
      </c>
      <c r="B657" s="1" t="n">
        <v>45267.95109953704</v>
      </c>
      <c r="C657" s="1" t="n">
        <v>46048</v>
      </c>
      <c r="D657" t="inlineStr">
        <is>
          <t>VÄSTERNORRLANDS LÄN</t>
        </is>
      </c>
      <c r="E657" t="inlineStr">
        <is>
          <t>SOLLEFTEÅ</t>
        </is>
      </c>
      <c r="F657" t="inlineStr">
        <is>
          <t>SCA</t>
        </is>
      </c>
      <c r="G657" t="n">
        <v>1.7</v>
      </c>
      <c r="H657" t="n">
        <v>0</v>
      </c>
      <c r="I657" t="n">
        <v>0</v>
      </c>
      <c r="J657" t="n">
        <v>0</v>
      </c>
      <c r="K657" t="n">
        <v>0</v>
      </c>
      <c r="L657" t="n">
        <v>0</v>
      </c>
      <c r="M657" t="n">
        <v>0</v>
      </c>
      <c r="N657" t="n">
        <v>0</v>
      </c>
      <c r="O657" t="n">
        <v>0</v>
      </c>
      <c r="P657" t="n">
        <v>0</v>
      </c>
      <c r="Q657" t="n">
        <v>0</v>
      </c>
      <c r="R657" s="2" t="inlineStr"/>
    </row>
    <row r="658" ht="15" customHeight="1">
      <c r="A658" t="inlineStr">
        <is>
          <t>A 31914-2023</t>
        </is>
      </c>
      <c r="B658" s="1" t="n">
        <v>45118</v>
      </c>
      <c r="C658" s="1" t="n">
        <v>46048</v>
      </c>
      <c r="D658" t="inlineStr">
        <is>
          <t>VÄSTERNORRLANDS LÄN</t>
        </is>
      </c>
      <c r="E658" t="inlineStr">
        <is>
          <t>SOLLEFTEÅ</t>
        </is>
      </c>
      <c r="G658" t="n">
        <v>1.4</v>
      </c>
      <c r="H658" t="n">
        <v>0</v>
      </c>
      <c r="I658" t="n">
        <v>0</v>
      </c>
      <c r="J658" t="n">
        <v>0</v>
      </c>
      <c r="K658" t="n">
        <v>0</v>
      </c>
      <c r="L658" t="n">
        <v>0</v>
      </c>
      <c r="M658" t="n">
        <v>0</v>
      </c>
      <c r="N658" t="n">
        <v>0</v>
      </c>
      <c r="O658" t="n">
        <v>0</v>
      </c>
      <c r="P658" t="n">
        <v>0</v>
      </c>
      <c r="Q658" t="n">
        <v>0</v>
      </c>
      <c r="R658" s="2" t="inlineStr"/>
    </row>
    <row r="659" ht="15" customHeight="1">
      <c r="A659" t="inlineStr">
        <is>
          <t>A 48785-2024</t>
        </is>
      </c>
      <c r="B659" s="1" t="n">
        <v>45593</v>
      </c>
      <c r="C659" s="1" t="n">
        <v>46048</v>
      </c>
      <c r="D659" t="inlineStr">
        <is>
          <t>VÄSTERNORRLANDS LÄN</t>
        </is>
      </c>
      <c r="E659" t="inlineStr">
        <is>
          <t>SOLLEFTEÅ</t>
        </is>
      </c>
      <c r="F659" t="inlineStr">
        <is>
          <t>SCA</t>
        </is>
      </c>
      <c r="G659" t="n">
        <v>0.9</v>
      </c>
      <c r="H659" t="n">
        <v>0</v>
      </c>
      <c r="I659" t="n">
        <v>0</v>
      </c>
      <c r="J659" t="n">
        <v>0</v>
      </c>
      <c r="K659" t="n">
        <v>0</v>
      </c>
      <c r="L659" t="n">
        <v>0</v>
      </c>
      <c r="M659" t="n">
        <v>0</v>
      </c>
      <c r="N659" t="n">
        <v>0</v>
      </c>
      <c r="O659" t="n">
        <v>0</v>
      </c>
      <c r="P659" t="n">
        <v>0</v>
      </c>
      <c r="Q659" t="n">
        <v>0</v>
      </c>
      <c r="R659" s="2" t="inlineStr"/>
    </row>
    <row r="660" ht="15" customHeight="1">
      <c r="A660" t="inlineStr">
        <is>
          <t>A 58357-2024</t>
        </is>
      </c>
      <c r="B660" s="1" t="n">
        <v>45632</v>
      </c>
      <c r="C660" s="1" t="n">
        <v>46048</v>
      </c>
      <c r="D660" t="inlineStr">
        <is>
          <t>VÄSTERNORRLANDS LÄN</t>
        </is>
      </c>
      <c r="E660" t="inlineStr">
        <is>
          <t>SOLLEFTEÅ</t>
        </is>
      </c>
      <c r="G660" t="n">
        <v>3.3</v>
      </c>
      <c r="H660" t="n">
        <v>0</v>
      </c>
      <c r="I660" t="n">
        <v>0</v>
      </c>
      <c r="J660" t="n">
        <v>0</v>
      </c>
      <c r="K660" t="n">
        <v>0</v>
      </c>
      <c r="L660" t="n">
        <v>0</v>
      </c>
      <c r="M660" t="n">
        <v>0</v>
      </c>
      <c r="N660" t="n">
        <v>0</v>
      </c>
      <c r="O660" t="n">
        <v>0</v>
      </c>
      <c r="P660" t="n">
        <v>0</v>
      </c>
      <c r="Q660" t="n">
        <v>0</v>
      </c>
      <c r="R660" s="2" t="inlineStr"/>
    </row>
    <row r="661" ht="15" customHeight="1">
      <c r="A661" t="inlineStr">
        <is>
          <t>A 58360-2024</t>
        </is>
      </c>
      <c r="B661" s="1" t="n">
        <v>45632</v>
      </c>
      <c r="C661" s="1" t="n">
        <v>46048</v>
      </c>
      <c r="D661" t="inlineStr">
        <is>
          <t>VÄSTERNORRLANDS LÄN</t>
        </is>
      </c>
      <c r="E661" t="inlineStr">
        <is>
          <t>SOLLEFTEÅ</t>
        </is>
      </c>
      <c r="G661" t="n">
        <v>3.7</v>
      </c>
      <c r="H661" t="n">
        <v>0</v>
      </c>
      <c r="I661" t="n">
        <v>0</v>
      </c>
      <c r="J661" t="n">
        <v>0</v>
      </c>
      <c r="K661" t="n">
        <v>0</v>
      </c>
      <c r="L661" t="n">
        <v>0</v>
      </c>
      <c r="M661" t="n">
        <v>0</v>
      </c>
      <c r="N661" t="n">
        <v>0</v>
      </c>
      <c r="O661" t="n">
        <v>0</v>
      </c>
      <c r="P661" t="n">
        <v>0</v>
      </c>
      <c r="Q661" t="n">
        <v>0</v>
      </c>
      <c r="R661" s="2" t="inlineStr"/>
    </row>
    <row r="662" ht="15" customHeight="1">
      <c r="A662" t="inlineStr">
        <is>
          <t>A 34100-2023</t>
        </is>
      </c>
      <c r="B662" s="1" t="n">
        <v>45125</v>
      </c>
      <c r="C662" s="1" t="n">
        <v>46048</v>
      </c>
      <c r="D662" t="inlineStr">
        <is>
          <t>VÄSTERNORRLANDS LÄN</t>
        </is>
      </c>
      <c r="E662" t="inlineStr">
        <is>
          <t>SOLLEFTEÅ</t>
        </is>
      </c>
      <c r="F662" t="inlineStr">
        <is>
          <t>SCA</t>
        </is>
      </c>
      <c r="G662" t="n">
        <v>1.5</v>
      </c>
      <c r="H662" t="n">
        <v>0</v>
      </c>
      <c r="I662" t="n">
        <v>0</v>
      </c>
      <c r="J662" t="n">
        <v>0</v>
      </c>
      <c r="K662" t="n">
        <v>0</v>
      </c>
      <c r="L662" t="n">
        <v>0</v>
      </c>
      <c r="M662" t="n">
        <v>0</v>
      </c>
      <c r="N662" t="n">
        <v>0</v>
      </c>
      <c r="O662" t="n">
        <v>0</v>
      </c>
      <c r="P662" t="n">
        <v>0</v>
      </c>
      <c r="Q662" t="n">
        <v>0</v>
      </c>
      <c r="R662" s="2" t="inlineStr"/>
    </row>
    <row r="663" ht="15" customHeight="1">
      <c r="A663" t="inlineStr">
        <is>
          <t>A 46130-2022</t>
        </is>
      </c>
      <c r="B663" s="1" t="n">
        <v>44844</v>
      </c>
      <c r="C663" s="1" t="n">
        <v>46048</v>
      </c>
      <c r="D663" t="inlineStr">
        <is>
          <t>VÄSTERNORRLANDS LÄN</t>
        </is>
      </c>
      <c r="E663" t="inlineStr">
        <is>
          <t>SOLLEFTEÅ</t>
        </is>
      </c>
      <c r="F663" t="inlineStr">
        <is>
          <t>SCA</t>
        </is>
      </c>
      <c r="G663" t="n">
        <v>2</v>
      </c>
      <c r="H663" t="n">
        <v>0</v>
      </c>
      <c r="I663" t="n">
        <v>0</v>
      </c>
      <c r="J663" t="n">
        <v>0</v>
      </c>
      <c r="K663" t="n">
        <v>0</v>
      </c>
      <c r="L663" t="n">
        <v>0</v>
      </c>
      <c r="M663" t="n">
        <v>0</v>
      </c>
      <c r="N663" t="n">
        <v>0</v>
      </c>
      <c r="O663" t="n">
        <v>0</v>
      </c>
      <c r="P663" t="n">
        <v>0</v>
      </c>
      <c r="Q663" t="n">
        <v>0</v>
      </c>
      <c r="R663" s="2" t="inlineStr"/>
    </row>
    <row r="664" ht="15" customHeight="1">
      <c r="A664" t="inlineStr">
        <is>
          <t>A 45118-2022</t>
        </is>
      </c>
      <c r="B664" s="1" t="n">
        <v>44843</v>
      </c>
      <c r="C664" s="1" t="n">
        <v>46048</v>
      </c>
      <c r="D664" t="inlineStr">
        <is>
          <t>VÄSTERNORRLANDS LÄN</t>
        </is>
      </c>
      <c r="E664" t="inlineStr">
        <is>
          <t>SOLLEFTEÅ</t>
        </is>
      </c>
      <c r="F664" t="inlineStr">
        <is>
          <t>SCA</t>
        </is>
      </c>
      <c r="G664" t="n">
        <v>3.1</v>
      </c>
      <c r="H664" t="n">
        <v>0</v>
      </c>
      <c r="I664" t="n">
        <v>0</v>
      </c>
      <c r="J664" t="n">
        <v>0</v>
      </c>
      <c r="K664" t="n">
        <v>0</v>
      </c>
      <c r="L664" t="n">
        <v>0</v>
      </c>
      <c r="M664" t="n">
        <v>0</v>
      </c>
      <c r="N664" t="n">
        <v>0</v>
      </c>
      <c r="O664" t="n">
        <v>0</v>
      </c>
      <c r="P664" t="n">
        <v>0</v>
      </c>
      <c r="Q664" t="n">
        <v>0</v>
      </c>
      <c r="R664" s="2" t="inlineStr"/>
    </row>
    <row r="665" ht="15" customHeight="1">
      <c r="A665" t="inlineStr">
        <is>
          <t>A 33241-2024</t>
        </is>
      </c>
      <c r="B665" s="1" t="n">
        <v>45518.60484953703</v>
      </c>
      <c r="C665" s="1" t="n">
        <v>46048</v>
      </c>
      <c r="D665" t="inlineStr">
        <is>
          <t>VÄSTERNORRLANDS LÄN</t>
        </is>
      </c>
      <c r="E665" t="inlineStr">
        <is>
          <t>SOLLEFTEÅ</t>
        </is>
      </c>
      <c r="G665" t="n">
        <v>4.1</v>
      </c>
      <c r="H665" t="n">
        <v>0</v>
      </c>
      <c r="I665" t="n">
        <v>0</v>
      </c>
      <c r="J665" t="n">
        <v>0</v>
      </c>
      <c r="K665" t="n">
        <v>0</v>
      </c>
      <c r="L665" t="n">
        <v>0</v>
      </c>
      <c r="M665" t="n">
        <v>0</v>
      </c>
      <c r="N665" t="n">
        <v>0</v>
      </c>
      <c r="O665" t="n">
        <v>0</v>
      </c>
      <c r="P665" t="n">
        <v>0</v>
      </c>
      <c r="Q665" t="n">
        <v>0</v>
      </c>
      <c r="R665" s="2" t="inlineStr"/>
    </row>
    <row r="666" ht="15" customHeight="1">
      <c r="A666" t="inlineStr">
        <is>
          <t>A 19949-2025</t>
        </is>
      </c>
      <c r="B666" s="1" t="n">
        <v>45771.65688657408</v>
      </c>
      <c r="C666" s="1" t="n">
        <v>46048</v>
      </c>
      <c r="D666" t="inlineStr">
        <is>
          <t>VÄSTERNORRLANDS LÄN</t>
        </is>
      </c>
      <c r="E666" t="inlineStr">
        <is>
          <t>SOLLEFTEÅ</t>
        </is>
      </c>
      <c r="F666" t="inlineStr">
        <is>
          <t>SCA</t>
        </is>
      </c>
      <c r="G666" t="n">
        <v>2.6</v>
      </c>
      <c r="H666" t="n">
        <v>0</v>
      </c>
      <c r="I666" t="n">
        <v>0</v>
      </c>
      <c r="J666" t="n">
        <v>0</v>
      </c>
      <c r="K666" t="n">
        <v>0</v>
      </c>
      <c r="L666" t="n">
        <v>0</v>
      </c>
      <c r="M666" t="n">
        <v>0</v>
      </c>
      <c r="N666" t="n">
        <v>0</v>
      </c>
      <c r="O666" t="n">
        <v>0</v>
      </c>
      <c r="P666" t="n">
        <v>0</v>
      </c>
      <c r="Q666" t="n">
        <v>0</v>
      </c>
      <c r="R666" s="2" t="inlineStr"/>
    </row>
    <row r="667" ht="15" customHeight="1">
      <c r="A667" t="inlineStr">
        <is>
          <t>A 54607-2023</t>
        </is>
      </c>
      <c r="B667" s="1" t="n">
        <v>45233.95748842593</v>
      </c>
      <c r="C667" s="1" t="n">
        <v>46048</v>
      </c>
      <c r="D667" t="inlineStr">
        <is>
          <t>VÄSTERNORRLANDS LÄN</t>
        </is>
      </c>
      <c r="E667" t="inlineStr">
        <is>
          <t>SOLLEFTEÅ</t>
        </is>
      </c>
      <c r="F667" t="inlineStr">
        <is>
          <t>SCA</t>
        </is>
      </c>
      <c r="G667" t="n">
        <v>9.300000000000001</v>
      </c>
      <c r="H667" t="n">
        <v>0</v>
      </c>
      <c r="I667" t="n">
        <v>0</v>
      </c>
      <c r="J667" t="n">
        <v>0</v>
      </c>
      <c r="K667" t="n">
        <v>0</v>
      </c>
      <c r="L667" t="n">
        <v>0</v>
      </c>
      <c r="M667" t="n">
        <v>0</v>
      </c>
      <c r="N667" t="n">
        <v>0</v>
      </c>
      <c r="O667" t="n">
        <v>0</v>
      </c>
      <c r="P667" t="n">
        <v>0</v>
      </c>
      <c r="Q667" t="n">
        <v>0</v>
      </c>
      <c r="R667" s="2" t="inlineStr"/>
    </row>
    <row r="668" ht="15" customHeight="1">
      <c r="A668" t="inlineStr">
        <is>
          <t>A 41420-2024</t>
        </is>
      </c>
      <c r="B668" s="1" t="n">
        <v>45560.34616898148</v>
      </c>
      <c r="C668" s="1" t="n">
        <v>46048</v>
      </c>
      <c r="D668" t="inlineStr">
        <is>
          <t>VÄSTERNORRLANDS LÄN</t>
        </is>
      </c>
      <c r="E668" t="inlineStr">
        <is>
          <t>SOLLEFTEÅ</t>
        </is>
      </c>
      <c r="F668" t="inlineStr">
        <is>
          <t>SCA</t>
        </is>
      </c>
      <c r="G668" t="n">
        <v>6.1</v>
      </c>
      <c r="H668" t="n">
        <v>0</v>
      </c>
      <c r="I668" t="n">
        <v>0</v>
      </c>
      <c r="J668" t="n">
        <v>0</v>
      </c>
      <c r="K668" t="n">
        <v>0</v>
      </c>
      <c r="L668" t="n">
        <v>0</v>
      </c>
      <c r="M668" t="n">
        <v>0</v>
      </c>
      <c r="N668" t="n">
        <v>0</v>
      </c>
      <c r="O668" t="n">
        <v>0</v>
      </c>
      <c r="P668" t="n">
        <v>0</v>
      </c>
      <c r="Q668" t="n">
        <v>0</v>
      </c>
      <c r="R668" s="2" t="inlineStr"/>
    </row>
    <row r="669" ht="15" customHeight="1">
      <c r="A669" t="inlineStr">
        <is>
          <t>A 48021-2024</t>
        </is>
      </c>
      <c r="B669" s="1" t="n">
        <v>45589.47032407407</v>
      </c>
      <c r="C669" s="1" t="n">
        <v>46048</v>
      </c>
      <c r="D669" t="inlineStr">
        <is>
          <t>VÄSTERNORRLANDS LÄN</t>
        </is>
      </c>
      <c r="E669" t="inlineStr">
        <is>
          <t>SOLLEFTEÅ</t>
        </is>
      </c>
      <c r="G669" t="n">
        <v>1.9</v>
      </c>
      <c r="H669" t="n">
        <v>0</v>
      </c>
      <c r="I669" t="n">
        <v>0</v>
      </c>
      <c r="J669" t="n">
        <v>0</v>
      </c>
      <c r="K669" t="n">
        <v>0</v>
      </c>
      <c r="L669" t="n">
        <v>0</v>
      </c>
      <c r="M669" t="n">
        <v>0</v>
      </c>
      <c r="N669" t="n">
        <v>0</v>
      </c>
      <c r="O669" t="n">
        <v>0</v>
      </c>
      <c r="P669" t="n">
        <v>0</v>
      </c>
      <c r="Q669" t="n">
        <v>0</v>
      </c>
      <c r="R669" s="2" t="inlineStr"/>
    </row>
    <row r="670" ht="15" customHeight="1">
      <c r="A670" t="inlineStr">
        <is>
          <t>A 3873-2025</t>
        </is>
      </c>
      <c r="B670" s="1" t="n">
        <v>45684</v>
      </c>
      <c r="C670" s="1" t="n">
        <v>46048</v>
      </c>
      <c r="D670" t="inlineStr">
        <is>
          <t>VÄSTERNORRLANDS LÄN</t>
        </is>
      </c>
      <c r="E670" t="inlineStr">
        <is>
          <t>SOLLEFTEÅ</t>
        </is>
      </c>
      <c r="G670" t="n">
        <v>0.7</v>
      </c>
      <c r="H670" t="n">
        <v>0</v>
      </c>
      <c r="I670" t="n">
        <v>0</v>
      </c>
      <c r="J670" t="n">
        <v>0</v>
      </c>
      <c r="K670" t="n">
        <v>0</v>
      </c>
      <c r="L670" t="n">
        <v>0</v>
      </c>
      <c r="M670" t="n">
        <v>0</v>
      </c>
      <c r="N670" t="n">
        <v>0</v>
      </c>
      <c r="O670" t="n">
        <v>0</v>
      </c>
      <c r="P670" t="n">
        <v>0</v>
      </c>
      <c r="Q670" t="n">
        <v>0</v>
      </c>
      <c r="R670" s="2" t="inlineStr"/>
    </row>
    <row r="671" ht="15" customHeight="1">
      <c r="A671" t="inlineStr">
        <is>
          <t>A 5001-2023</t>
        </is>
      </c>
      <c r="B671" s="1" t="n">
        <v>44956</v>
      </c>
      <c r="C671" s="1" t="n">
        <v>46048</v>
      </c>
      <c r="D671" t="inlineStr">
        <is>
          <t>VÄSTERNORRLANDS LÄN</t>
        </is>
      </c>
      <c r="E671" t="inlineStr">
        <is>
          <t>SOLLEFTEÅ</t>
        </is>
      </c>
      <c r="G671" t="n">
        <v>1.4</v>
      </c>
      <c r="H671" t="n">
        <v>0</v>
      </c>
      <c r="I671" t="n">
        <v>0</v>
      </c>
      <c r="J671" t="n">
        <v>0</v>
      </c>
      <c r="K671" t="n">
        <v>0</v>
      </c>
      <c r="L671" t="n">
        <v>0</v>
      </c>
      <c r="M671" t="n">
        <v>0</v>
      </c>
      <c r="N671" t="n">
        <v>0</v>
      </c>
      <c r="O671" t="n">
        <v>0</v>
      </c>
      <c r="P671" t="n">
        <v>0</v>
      </c>
      <c r="Q671" t="n">
        <v>0</v>
      </c>
      <c r="R671" s="2" t="inlineStr"/>
    </row>
    <row r="672" ht="15" customHeight="1">
      <c r="A672" t="inlineStr">
        <is>
          <t>A 20550-2025</t>
        </is>
      </c>
      <c r="B672" s="1" t="n">
        <v>45775.6360300926</v>
      </c>
      <c r="C672" s="1" t="n">
        <v>46048</v>
      </c>
      <c r="D672" t="inlineStr">
        <is>
          <t>VÄSTERNORRLANDS LÄN</t>
        </is>
      </c>
      <c r="E672" t="inlineStr">
        <is>
          <t>SOLLEFTEÅ</t>
        </is>
      </c>
      <c r="F672" t="inlineStr">
        <is>
          <t>SCA</t>
        </is>
      </c>
      <c r="G672" t="n">
        <v>6.9</v>
      </c>
      <c r="H672" t="n">
        <v>0</v>
      </c>
      <c r="I672" t="n">
        <v>0</v>
      </c>
      <c r="J672" t="n">
        <v>0</v>
      </c>
      <c r="K672" t="n">
        <v>0</v>
      </c>
      <c r="L672" t="n">
        <v>0</v>
      </c>
      <c r="M672" t="n">
        <v>0</v>
      </c>
      <c r="N672" t="n">
        <v>0</v>
      </c>
      <c r="O672" t="n">
        <v>0</v>
      </c>
      <c r="P672" t="n">
        <v>0</v>
      </c>
      <c r="Q672" t="n">
        <v>0</v>
      </c>
      <c r="R672" s="2" t="inlineStr"/>
    </row>
    <row r="673" ht="15" customHeight="1">
      <c r="A673" t="inlineStr">
        <is>
          <t>A 30236-2022</t>
        </is>
      </c>
      <c r="B673" s="1" t="n">
        <v>44757</v>
      </c>
      <c r="C673" s="1" t="n">
        <v>46048</v>
      </c>
      <c r="D673" t="inlineStr">
        <is>
          <t>VÄSTERNORRLANDS LÄN</t>
        </is>
      </c>
      <c r="E673" t="inlineStr">
        <is>
          <t>SOLLEFTEÅ</t>
        </is>
      </c>
      <c r="F673" t="inlineStr">
        <is>
          <t>SCA</t>
        </is>
      </c>
      <c r="G673" t="n">
        <v>1.3</v>
      </c>
      <c r="H673" t="n">
        <v>0</v>
      </c>
      <c r="I673" t="n">
        <v>0</v>
      </c>
      <c r="J673" t="n">
        <v>0</v>
      </c>
      <c r="K673" t="n">
        <v>0</v>
      </c>
      <c r="L673" t="n">
        <v>0</v>
      </c>
      <c r="M673" t="n">
        <v>0</v>
      </c>
      <c r="N673" t="n">
        <v>0</v>
      </c>
      <c r="O673" t="n">
        <v>0</v>
      </c>
      <c r="P673" t="n">
        <v>0</v>
      </c>
      <c r="Q673" t="n">
        <v>0</v>
      </c>
      <c r="R673" s="2" t="inlineStr"/>
    </row>
    <row r="674" ht="15" customHeight="1">
      <c r="A674" t="inlineStr">
        <is>
          <t>A 8893-2025</t>
        </is>
      </c>
      <c r="B674" s="1" t="n">
        <v>45713.4065162037</v>
      </c>
      <c r="C674" s="1" t="n">
        <v>46048</v>
      </c>
      <c r="D674" t="inlineStr">
        <is>
          <t>VÄSTERNORRLANDS LÄN</t>
        </is>
      </c>
      <c r="E674" t="inlineStr">
        <is>
          <t>SOLLEFTEÅ</t>
        </is>
      </c>
      <c r="F674" t="inlineStr">
        <is>
          <t>SCA</t>
        </is>
      </c>
      <c r="G674" t="n">
        <v>2</v>
      </c>
      <c r="H674" t="n">
        <v>0</v>
      </c>
      <c r="I674" t="n">
        <v>0</v>
      </c>
      <c r="J674" t="n">
        <v>0</v>
      </c>
      <c r="K674" t="n">
        <v>0</v>
      </c>
      <c r="L674" t="n">
        <v>0</v>
      </c>
      <c r="M674" t="n">
        <v>0</v>
      </c>
      <c r="N674" t="n">
        <v>0</v>
      </c>
      <c r="O674" t="n">
        <v>0</v>
      </c>
      <c r="P674" t="n">
        <v>0</v>
      </c>
      <c r="Q674" t="n">
        <v>0</v>
      </c>
      <c r="R674" s="2" t="inlineStr"/>
    </row>
    <row r="675" ht="15" customHeight="1">
      <c r="A675" t="inlineStr">
        <is>
          <t>A 8894-2025</t>
        </is>
      </c>
      <c r="B675" s="1" t="n">
        <v>45713.40665509259</v>
      </c>
      <c r="C675" s="1" t="n">
        <v>46048</v>
      </c>
      <c r="D675" t="inlineStr">
        <is>
          <t>VÄSTERNORRLANDS LÄN</t>
        </is>
      </c>
      <c r="E675" t="inlineStr">
        <is>
          <t>SOLLEFTEÅ</t>
        </is>
      </c>
      <c r="G675" t="n">
        <v>8.4</v>
      </c>
      <c r="H675" t="n">
        <v>0</v>
      </c>
      <c r="I675" t="n">
        <v>0</v>
      </c>
      <c r="J675" t="n">
        <v>0</v>
      </c>
      <c r="K675" t="n">
        <v>0</v>
      </c>
      <c r="L675" t="n">
        <v>0</v>
      </c>
      <c r="M675" t="n">
        <v>0</v>
      </c>
      <c r="N675" t="n">
        <v>0</v>
      </c>
      <c r="O675" t="n">
        <v>0</v>
      </c>
      <c r="P675" t="n">
        <v>0</v>
      </c>
      <c r="Q675" t="n">
        <v>0</v>
      </c>
      <c r="R675" s="2" t="inlineStr"/>
    </row>
    <row r="676" ht="15" customHeight="1">
      <c r="A676" t="inlineStr">
        <is>
          <t>A 67822-2021</t>
        </is>
      </c>
      <c r="B676" s="1" t="n">
        <v>44525.45137731481</v>
      </c>
      <c r="C676" s="1" t="n">
        <v>46048</v>
      </c>
      <c r="D676" t="inlineStr">
        <is>
          <t>VÄSTERNORRLANDS LÄN</t>
        </is>
      </c>
      <c r="E676" t="inlineStr">
        <is>
          <t>SOLLEFTEÅ</t>
        </is>
      </c>
      <c r="G676" t="n">
        <v>0.9</v>
      </c>
      <c r="H676" t="n">
        <v>0</v>
      </c>
      <c r="I676" t="n">
        <v>0</v>
      </c>
      <c r="J676" t="n">
        <v>0</v>
      </c>
      <c r="K676" t="n">
        <v>0</v>
      </c>
      <c r="L676" t="n">
        <v>0</v>
      </c>
      <c r="M676" t="n">
        <v>0</v>
      </c>
      <c r="N676" t="n">
        <v>0</v>
      </c>
      <c r="O676" t="n">
        <v>0</v>
      </c>
      <c r="P676" t="n">
        <v>0</v>
      </c>
      <c r="Q676" t="n">
        <v>0</v>
      </c>
      <c r="R676" s="2" t="inlineStr"/>
    </row>
    <row r="677" ht="15" customHeight="1">
      <c r="A677" t="inlineStr">
        <is>
          <t>A 3276-2025</t>
        </is>
      </c>
      <c r="B677" s="1" t="n">
        <v>45679.59986111111</v>
      </c>
      <c r="C677" s="1" t="n">
        <v>46048</v>
      </c>
      <c r="D677" t="inlineStr">
        <is>
          <t>VÄSTERNORRLANDS LÄN</t>
        </is>
      </c>
      <c r="E677" t="inlineStr">
        <is>
          <t>SOLLEFTEÅ</t>
        </is>
      </c>
      <c r="G677" t="n">
        <v>4.2</v>
      </c>
      <c r="H677" t="n">
        <v>0</v>
      </c>
      <c r="I677" t="n">
        <v>0</v>
      </c>
      <c r="J677" t="n">
        <v>0</v>
      </c>
      <c r="K677" t="n">
        <v>0</v>
      </c>
      <c r="L677" t="n">
        <v>0</v>
      </c>
      <c r="M677" t="n">
        <v>0</v>
      </c>
      <c r="N677" t="n">
        <v>0</v>
      </c>
      <c r="O677" t="n">
        <v>0</v>
      </c>
      <c r="P677" t="n">
        <v>0</v>
      </c>
      <c r="Q677" t="n">
        <v>0</v>
      </c>
      <c r="R677" s="2" t="inlineStr"/>
    </row>
    <row r="678" ht="15" customHeight="1">
      <c r="A678" t="inlineStr">
        <is>
          <t>A 8670-2023</t>
        </is>
      </c>
      <c r="B678" s="1" t="n">
        <v>44977</v>
      </c>
      <c r="C678" s="1" t="n">
        <v>46048</v>
      </c>
      <c r="D678" t="inlineStr">
        <is>
          <t>VÄSTERNORRLANDS LÄN</t>
        </is>
      </c>
      <c r="E678" t="inlineStr">
        <is>
          <t>SOLLEFTEÅ</t>
        </is>
      </c>
      <c r="F678" t="inlineStr">
        <is>
          <t>SCA</t>
        </is>
      </c>
      <c r="G678" t="n">
        <v>0.6</v>
      </c>
      <c r="H678" t="n">
        <v>0</v>
      </c>
      <c r="I678" t="n">
        <v>0</v>
      </c>
      <c r="J678" t="n">
        <v>0</v>
      </c>
      <c r="K678" t="n">
        <v>0</v>
      </c>
      <c r="L678" t="n">
        <v>0</v>
      </c>
      <c r="M678" t="n">
        <v>0</v>
      </c>
      <c r="N678" t="n">
        <v>0</v>
      </c>
      <c r="O678" t="n">
        <v>0</v>
      </c>
      <c r="P678" t="n">
        <v>0</v>
      </c>
      <c r="Q678" t="n">
        <v>0</v>
      </c>
      <c r="R678" s="2" t="inlineStr"/>
    </row>
    <row r="679" ht="15" customHeight="1">
      <c r="A679" t="inlineStr">
        <is>
          <t>A 17422-2025</t>
        </is>
      </c>
      <c r="B679" s="1" t="n">
        <v>45757.38570601852</v>
      </c>
      <c r="C679" s="1" t="n">
        <v>46048</v>
      </c>
      <c r="D679" t="inlineStr">
        <is>
          <t>VÄSTERNORRLANDS LÄN</t>
        </is>
      </c>
      <c r="E679" t="inlineStr">
        <is>
          <t>SOLLEFTEÅ</t>
        </is>
      </c>
      <c r="F679" t="inlineStr">
        <is>
          <t>SCA</t>
        </is>
      </c>
      <c r="G679" t="n">
        <v>2.4</v>
      </c>
      <c r="H679" t="n">
        <v>0</v>
      </c>
      <c r="I679" t="n">
        <v>0</v>
      </c>
      <c r="J679" t="n">
        <v>0</v>
      </c>
      <c r="K679" t="n">
        <v>0</v>
      </c>
      <c r="L679" t="n">
        <v>0</v>
      </c>
      <c r="M679" t="n">
        <v>0</v>
      </c>
      <c r="N679" t="n">
        <v>0</v>
      </c>
      <c r="O679" t="n">
        <v>0</v>
      </c>
      <c r="P679" t="n">
        <v>0</v>
      </c>
      <c r="Q679" t="n">
        <v>0</v>
      </c>
      <c r="R679" s="2" t="inlineStr"/>
    </row>
    <row r="680" ht="15" customHeight="1">
      <c r="A680" t="inlineStr">
        <is>
          <t>A 18149-2023</t>
        </is>
      </c>
      <c r="B680" s="1" t="n">
        <v>45040</v>
      </c>
      <c r="C680" s="1" t="n">
        <v>46048</v>
      </c>
      <c r="D680" t="inlineStr">
        <is>
          <t>VÄSTERNORRLANDS LÄN</t>
        </is>
      </c>
      <c r="E680" t="inlineStr">
        <is>
          <t>SOLLEFTEÅ</t>
        </is>
      </c>
      <c r="G680" t="n">
        <v>2.1</v>
      </c>
      <c r="H680" t="n">
        <v>0</v>
      </c>
      <c r="I680" t="n">
        <v>0</v>
      </c>
      <c r="J680" t="n">
        <v>0</v>
      </c>
      <c r="K680" t="n">
        <v>0</v>
      </c>
      <c r="L680" t="n">
        <v>0</v>
      </c>
      <c r="M680" t="n">
        <v>0</v>
      </c>
      <c r="N680" t="n">
        <v>0</v>
      </c>
      <c r="O680" t="n">
        <v>0</v>
      </c>
      <c r="P680" t="n">
        <v>0</v>
      </c>
      <c r="Q680" t="n">
        <v>0</v>
      </c>
      <c r="R680" s="2" t="inlineStr"/>
    </row>
    <row r="681" ht="15" customHeight="1">
      <c r="A681" t="inlineStr">
        <is>
          <t>A 5038-2024</t>
        </is>
      </c>
      <c r="B681" s="1" t="n">
        <v>45329.88456018519</v>
      </c>
      <c r="C681" s="1" t="n">
        <v>46048</v>
      </c>
      <c r="D681" t="inlineStr">
        <is>
          <t>VÄSTERNORRLANDS LÄN</t>
        </is>
      </c>
      <c r="E681" t="inlineStr">
        <is>
          <t>SOLLEFTEÅ</t>
        </is>
      </c>
      <c r="F681" t="inlineStr">
        <is>
          <t>Övriga Aktiebolag</t>
        </is>
      </c>
      <c r="G681" t="n">
        <v>1.2</v>
      </c>
      <c r="H681" t="n">
        <v>0</v>
      </c>
      <c r="I681" t="n">
        <v>0</v>
      </c>
      <c r="J681" t="n">
        <v>0</v>
      </c>
      <c r="K681" t="n">
        <v>0</v>
      </c>
      <c r="L681" t="n">
        <v>0</v>
      </c>
      <c r="M681" t="n">
        <v>0</v>
      </c>
      <c r="N681" t="n">
        <v>0</v>
      </c>
      <c r="O681" t="n">
        <v>0</v>
      </c>
      <c r="P681" t="n">
        <v>0</v>
      </c>
      <c r="Q681" t="n">
        <v>0</v>
      </c>
      <c r="R681" s="2" t="inlineStr"/>
    </row>
    <row r="682" ht="15" customHeight="1">
      <c r="A682" t="inlineStr">
        <is>
          <t>A 62099-2023</t>
        </is>
      </c>
      <c r="B682" s="1" t="n">
        <v>45266</v>
      </c>
      <c r="C682" s="1" t="n">
        <v>46048</v>
      </c>
      <c r="D682" t="inlineStr">
        <is>
          <t>VÄSTERNORRLANDS LÄN</t>
        </is>
      </c>
      <c r="E682" t="inlineStr">
        <is>
          <t>SOLLEFTEÅ</t>
        </is>
      </c>
      <c r="G682" t="n">
        <v>2.6</v>
      </c>
      <c r="H682" t="n">
        <v>0</v>
      </c>
      <c r="I682" t="n">
        <v>0</v>
      </c>
      <c r="J682" t="n">
        <v>0</v>
      </c>
      <c r="K682" t="n">
        <v>0</v>
      </c>
      <c r="L682" t="n">
        <v>0</v>
      </c>
      <c r="M682" t="n">
        <v>0</v>
      </c>
      <c r="N682" t="n">
        <v>0</v>
      </c>
      <c r="O682" t="n">
        <v>0</v>
      </c>
      <c r="P682" t="n">
        <v>0</v>
      </c>
      <c r="Q682" t="n">
        <v>0</v>
      </c>
      <c r="R682" s="2" t="inlineStr"/>
    </row>
    <row r="683" ht="15" customHeight="1">
      <c r="A683" t="inlineStr">
        <is>
          <t>A 9608-2025</t>
        </is>
      </c>
      <c r="B683" s="1" t="n">
        <v>45715.65699074074</v>
      </c>
      <c r="C683" s="1" t="n">
        <v>46048</v>
      </c>
      <c r="D683" t="inlineStr">
        <is>
          <t>VÄSTERNORRLANDS LÄN</t>
        </is>
      </c>
      <c r="E683" t="inlineStr">
        <is>
          <t>SOLLEFTEÅ</t>
        </is>
      </c>
      <c r="F683" t="inlineStr">
        <is>
          <t>SCA</t>
        </is>
      </c>
      <c r="G683" t="n">
        <v>2.5</v>
      </c>
      <c r="H683" t="n">
        <v>0</v>
      </c>
      <c r="I683" t="n">
        <v>0</v>
      </c>
      <c r="J683" t="n">
        <v>0</v>
      </c>
      <c r="K683" t="n">
        <v>0</v>
      </c>
      <c r="L683" t="n">
        <v>0</v>
      </c>
      <c r="M683" t="n">
        <v>0</v>
      </c>
      <c r="N683" t="n">
        <v>0</v>
      </c>
      <c r="O683" t="n">
        <v>0</v>
      </c>
      <c r="P683" t="n">
        <v>0</v>
      </c>
      <c r="Q683" t="n">
        <v>0</v>
      </c>
      <c r="R683" s="2" t="inlineStr"/>
    </row>
    <row r="684" ht="15" customHeight="1">
      <c r="A684" t="inlineStr">
        <is>
          <t>A 12135-2023</t>
        </is>
      </c>
      <c r="B684" s="1" t="n">
        <v>44995</v>
      </c>
      <c r="C684" s="1" t="n">
        <v>46048</v>
      </c>
      <c r="D684" t="inlineStr">
        <is>
          <t>VÄSTERNORRLANDS LÄN</t>
        </is>
      </c>
      <c r="E684" t="inlineStr">
        <is>
          <t>SOLLEFTEÅ</t>
        </is>
      </c>
      <c r="G684" t="n">
        <v>5.7</v>
      </c>
      <c r="H684" t="n">
        <v>0</v>
      </c>
      <c r="I684" t="n">
        <v>0</v>
      </c>
      <c r="J684" t="n">
        <v>0</v>
      </c>
      <c r="K684" t="n">
        <v>0</v>
      </c>
      <c r="L684" t="n">
        <v>0</v>
      </c>
      <c r="M684" t="n">
        <v>0</v>
      </c>
      <c r="N684" t="n">
        <v>0</v>
      </c>
      <c r="O684" t="n">
        <v>0</v>
      </c>
      <c r="P684" t="n">
        <v>0</v>
      </c>
      <c r="Q684" t="n">
        <v>0</v>
      </c>
      <c r="R684" s="2" t="inlineStr"/>
    </row>
    <row r="685" ht="15" customHeight="1">
      <c r="A685" t="inlineStr">
        <is>
          <t>A 29294-2022</t>
        </is>
      </c>
      <c r="B685" s="1" t="n">
        <v>44750.9431712963</v>
      </c>
      <c r="C685" s="1" t="n">
        <v>46048</v>
      </c>
      <c r="D685" t="inlineStr">
        <is>
          <t>VÄSTERNORRLANDS LÄN</t>
        </is>
      </c>
      <c r="E685" t="inlineStr">
        <is>
          <t>SOLLEFTEÅ</t>
        </is>
      </c>
      <c r="F685" t="inlineStr">
        <is>
          <t>SCA</t>
        </is>
      </c>
      <c r="G685" t="n">
        <v>6.7</v>
      </c>
      <c r="H685" t="n">
        <v>0</v>
      </c>
      <c r="I685" t="n">
        <v>0</v>
      </c>
      <c r="J685" t="n">
        <v>0</v>
      </c>
      <c r="K685" t="n">
        <v>0</v>
      </c>
      <c r="L685" t="n">
        <v>0</v>
      </c>
      <c r="M685" t="n">
        <v>0</v>
      </c>
      <c r="N685" t="n">
        <v>0</v>
      </c>
      <c r="O685" t="n">
        <v>0</v>
      </c>
      <c r="P685" t="n">
        <v>0</v>
      </c>
      <c r="Q685" t="n">
        <v>0</v>
      </c>
      <c r="R685" s="2" t="inlineStr"/>
    </row>
    <row r="686" ht="15" customHeight="1">
      <c r="A686" t="inlineStr">
        <is>
          <t>A 60495-2024</t>
        </is>
      </c>
      <c r="B686" s="1" t="n">
        <v>45643.65700231482</v>
      </c>
      <c r="C686" s="1" t="n">
        <v>46048</v>
      </c>
      <c r="D686" t="inlineStr">
        <is>
          <t>VÄSTERNORRLANDS LÄN</t>
        </is>
      </c>
      <c r="E686" t="inlineStr">
        <is>
          <t>SOLLEFTEÅ</t>
        </is>
      </c>
      <c r="F686" t="inlineStr">
        <is>
          <t>SCA</t>
        </is>
      </c>
      <c r="G686" t="n">
        <v>4.6</v>
      </c>
      <c r="H686" t="n">
        <v>0</v>
      </c>
      <c r="I686" t="n">
        <v>0</v>
      </c>
      <c r="J686" t="n">
        <v>0</v>
      </c>
      <c r="K686" t="n">
        <v>0</v>
      </c>
      <c r="L686" t="n">
        <v>0</v>
      </c>
      <c r="M686" t="n">
        <v>0</v>
      </c>
      <c r="N686" t="n">
        <v>0</v>
      </c>
      <c r="O686" t="n">
        <v>0</v>
      </c>
      <c r="P686" t="n">
        <v>0</v>
      </c>
      <c r="Q686" t="n">
        <v>0</v>
      </c>
      <c r="R686" s="2" t="inlineStr"/>
    </row>
    <row r="687" ht="15" customHeight="1">
      <c r="A687" t="inlineStr">
        <is>
          <t>A 2431-2025</t>
        </is>
      </c>
      <c r="B687" s="1" t="n">
        <v>45674.40692129629</v>
      </c>
      <c r="C687" s="1" t="n">
        <v>46048</v>
      </c>
      <c r="D687" t="inlineStr">
        <is>
          <t>VÄSTERNORRLANDS LÄN</t>
        </is>
      </c>
      <c r="E687" t="inlineStr">
        <is>
          <t>SOLLEFTEÅ</t>
        </is>
      </c>
      <c r="F687" t="inlineStr">
        <is>
          <t>SCA</t>
        </is>
      </c>
      <c r="G687" t="n">
        <v>19.2</v>
      </c>
      <c r="H687" t="n">
        <v>0</v>
      </c>
      <c r="I687" t="n">
        <v>0</v>
      </c>
      <c r="J687" t="n">
        <v>0</v>
      </c>
      <c r="K687" t="n">
        <v>0</v>
      </c>
      <c r="L687" t="n">
        <v>0</v>
      </c>
      <c r="M687" t="n">
        <v>0</v>
      </c>
      <c r="N687" t="n">
        <v>0</v>
      </c>
      <c r="O687" t="n">
        <v>0</v>
      </c>
      <c r="P687" t="n">
        <v>0</v>
      </c>
      <c r="Q687" t="n">
        <v>0</v>
      </c>
      <c r="R687" s="2" t="inlineStr"/>
    </row>
    <row r="688" ht="15" customHeight="1">
      <c r="A688" t="inlineStr">
        <is>
          <t>A 61345-2022</t>
        </is>
      </c>
      <c r="B688" s="1" t="n">
        <v>44915</v>
      </c>
      <c r="C688" s="1" t="n">
        <v>46048</v>
      </c>
      <c r="D688" t="inlineStr">
        <is>
          <t>VÄSTERNORRLANDS LÄN</t>
        </is>
      </c>
      <c r="E688" t="inlineStr">
        <is>
          <t>SOLLEFTEÅ</t>
        </is>
      </c>
      <c r="G688" t="n">
        <v>0.5</v>
      </c>
      <c r="H688" t="n">
        <v>0</v>
      </c>
      <c r="I688" t="n">
        <v>0</v>
      </c>
      <c r="J688" t="n">
        <v>0</v>
      </c>
      <c r="K688" t="n">
        <v>0</v>
      </c>
      <c r="L688" t="n">
        <v>0</v>
      </c>
      <c r="M688" t="n">
        <v>0</v>
      </c>
      <c r="N688" t="n">
        <v>0</v>
      </c>
      <c r="O688" t="n">
        <v>0</v>
      </c>
      <c r="P688" t="n">
        <v>0</v>
      </c>
      <c r="Q688" t="n">
        <v>0</v>
      </c>
      <c r="R688" s="2" t="inlineStr"/>
    </row>
    <row r="689" ht="15" customHeight="1">
      <c r="A689" t="inlineStr">
        <is>
          <t>A 61383-2022</t>
        </is>
      </c>
      <c r="B689" s="1" t="n">
        <v>44915</v>
      </c>
      <c r="C689" s="1" t="n">
        <v>46048</v>
      </c>
      <c r="D689" t="inlineStr">
        <is>
          <t>VÄSTERNORRLANDS LÄN</t>
        </is>
      </c>
      <c r="E689" t="inlineStr">
        <is>
          <t>SOLLEFTEÅ</t>
        </is>
      </c>
      <c r="G689" t="n">
        <v>1.3</v>
      </c>
      <c r="H689" t="n">
        <v>0</v>
      </c>
      <c r="I689" t="n">
        <v>0</v>
      </c>
      <c r="J689" t="n">
        <v>0</v>
      </c>
      <c r="K689" t="n">
        <v>0</v>
      </c>
      <c r="L689" t="n">
        <v>0</v>
      </c>
      <c r="M689" t="n">
        <v>0</v>
      </c>
      <c r="N689" t="n">
        <v>0</v>
      </c>
      <c r="O689" t="n">
        <v>0</v>
      </c>
      <c r="P689" t="n">
        <v>0</v>
      </c>
      <c r="Q689" t="n">
        <v>0</v>
      </c>
      <c r="R689" s="2" t="inlineStr"/>
    </row>
    <row r="690" ht="15" customHeight="1">
      <c r="A690" t="inlineStr">
        <is>
          <t>A 9096-2023</t>
        </is>
      </c>
      <c r="B690" s="1" t="n">
        <v>44979.94303240741</v>
      </c>
      <c r="C690" s="1" t="n">
        <v>46048</v>
      </c>
      <c r="D690" t="inlineStr">
        <is>
          <t>VÄSTERNORRLANDS LÄN</t>
        </is>
      </c>
      <c r="E690" t="inlineStr">
        <is>
          <t>SOLLEFTEÅ</t>
        </is>
      </c>
      <c r="F690" t="inlineStr">
        <is>
          <t>SCA</t>
        </is>
      </c>
      <c r="G690" t="n">
        <v>2</v>
      </c>
      <c r="H690" t="n">
        <v>0</v>
      </c>
      <c r="I690" t="n">
        <v>0</v>
      </c>
      <c r="J690" t="n">
        <v>0</v>
      </c>
      <c r="K690" t="n">
        <v>0</v>
      </c>
      <c r="L690" t="n">
        <v>0</v>
      </c>
      <c r="M690" t="n">
        <v>0</v>
      </c>
      <c r="N690" t="n">
        <v>0</v>
      </c>
      <c r="O690" t="n">
        <v>0</v>
      </c>
      <c r="P690" t="n">
        <v>0</v>
      </c>
      <c r="Q690" t="n">
        <v>0</v>
      </c>
      <c r="R690" s="2" t="inlineStr"/>
    </row>
    <row r="691" ht="15" customHeight="1">
      <c r="A691" t="inlineStr">
        <is>
          <t>A 8959-2023</t>
        </is>
      </c>
      <c r="B691" s="1" t="n">
        <v>44974</v>
      </c>
      <c r="C691" s="1" t="n">
        <v>46048</v>
      </c>
      <c r="D691" t="inlineStr">
        <is>
          <t>VÄSTERNORRLANDS LÄN</t>
        </is>
      </c>
      <c r="E691" t="inlineStr">
        <is>
          <t>SOLLEFTEÅ</t>
        </is>
      </c>
      <c r="G691" t="n">
        <v>2.3</v>
      </c>
      <c r="H691" t="n">
        <v>0</v>
      </c>
      <c r="I691" t="n">
        <v>0</v>
      </c>
      <c r="J691" t="n">
        <v>0</v>
      </c>
      <c r="K691" t="n">
        <v>0</v>
      </c>
      <c r="L691" t="n">
        <v>0</v>
      </c>
      <c r="M691" t="n">
        <v>0</v>
      </c>
      <c r="N691" t="n">
        <v>0</v>
      </c>
      <c r="O691" t="n">
        <v>0</v>
      </c>
      <c r="P691" t="n">
        <v>0</v>
      </c>
      <c r="Q691" t="n">
        <v>0</v>
      </c>
      <c r="R691" s="2" t="inlineStr"/>
    </row>
    <row r="692" ht="15" customHeight="1">
      <c r="A692" t="inlineStr">
        <is>
          <t>A 24734-2022</t>
        </is>
      </c>
      <c r="B692" s="1" t="n">
        <v>44727.94329861111</v>
      </c>
      <c r="C692" s="1" t="n">
        <v>46048</v>
      </c>
      <c r="D692" t="inlineStr">
        <is>
          <t>VÄSTERNORRLANDS LÄN</t>
        </is>
      </c>
      <c r="E692" t="inlineStr">
        <is>
          <t>SOLLEFTEÅ</t>
        </is>
      </c>
      <c r="F692" t="inlineStr">
        <is>
          <t>SCA</t>
        </is>
      </c>
      <c r="G692" t="n">
        <v>2.2</v>
      </c>
      <c r="H692" t="n">
        <v>0</v>
      </c>
      <c r="I692" t="n">
        <v>0</v>
      </c>
      <c r="J692" t="n">
        <v>0</v>
      </c>
      <c r="K692" t="n">
        <v>0</v>
      </c>
      <c r="L692" t="n">
        <v>0</v>
      </c>
      <c r="M692" t="n">
        <v>0</v>
      </c>
      <c r="N692" t="n">
        <v>0</v>
      </c>
      <c r="O692" t="n">
        <v>0</v>
      </c>
      <c r="P692" t="n">
        <v>0</v>
      </c>
      <c r="Q692" t="n">
        <v>0</v>
      </c>
      <c r="R692" s="2" t="inlineStr"/>
    </row>
    <row r="693" ht="15" customHeight="1">
      <c r="A693" t="inlineStr">
        <is>
          <t>A 32969-2022</t>
        </is>
      </c>
      <c r="B693" s="1" t="n">
        <v>44784.9402662037</v>
      </c>
      <c r="C693" s="1" t="n">
        <v>46048</v>
      </c>
      <c r="D693" t="inlineStr">
        <is>
          <t>VÄSTERNORRLANDS LÄN</t>
        </is>
      </c>
      <c r="E693" t="inlineStr">
        <is>
          <t>SOLLEFTEÅ</t>
        </is>
      </c>
      <c r="F693" t="inlineStr">
        <is>
          <t>SCA</t>
        </is>
      </c>
      <c r="G693" t="n">
        <v>2.3</v>
      </c>
      <c r="H693" t="n">
        <v>0</v>
      </c>
      <c r="I693" t="n">
        <v>0</v>
      </c>
      <c r="J693" t="n">
        <v>0</v>
      </c>
      <c r="K693" t="n">
        <v>0</v>
      </c>
      <c r="L693" t="n">
        <v>0</v>
      </c>
      <c r="M693" t="n">
        <v>0</v>
      </c>
      <c r="N693" t="n">
        <v>0</v>
      </c>
      <c r="O693" t="n">
        <v>0</v>
      </c>
      <c r="P693" t="n">
        <v>0</v>
      </c>
      <c r="Q693" t="n">
        <v>0</v>
      </c>
      <c r="R693" s="2" t="inlineStr"/>
    </row>
    <row r="694" ht="15" customHeight="1">
      <c r="A694" t="inlineStr">
        <is>
          <t>A 18220-2025</t>
        </is>
      </c>
      <c r="B694" s="1" t="n">
        <v>45761.7190625</v>
      </c>
      <c r="C694" s="1" t="n">
        <v>46048</v>
      </c>
      <c r="D694" t="inlineStr">
        <is>
          <t>VÄSTERNORRLANDS LÄN</t>
        </is>
      </c>
      <c r="E694" t="inlineStr">
        <is>
          <t>SOLLEFTEÅ</t>
        </is>
      </c>
      <c r="G694" t="n">
        <v>3.4</v>
      </c>
      <c r="H694" t="n">
        <v>0</v>
      </c>
      <c r="I694" t="n">
        <v>0</v>
      </c>
      <c r="J694" t="n">
        <v>0</v>
      </c>
      <c r="K694" t="n">
        <v>0</v>
      </c>
      <c r="L694" t="n">
        <v>0</v>
      </c>
      <c r="M694" t="n">
        <v>0</v>
      </c>
      <c r="N694" t="n">
        <v>0</v>
      </c>
      <c r="O694" t="n">
        <v>0</v>
      </c>
      <c r="P694" t="n">
        <v>0</v>
      </c>
      <c r="Q694" t="n">
        <v>0</v>
      </c>
      <c r="R694" s="2" t="inlineStr"/>
    </row>
    <row r="695" ht="15" customHeight="1">
      <c r="A695" t="inlineStr">
        <is>
          <t>A 24199-2024</t>
        </is>
      </c>
      <c r="B695" s="1" t="n">
        <v>45456.96634259259</v>
      </c>
      <c r="C695" s="1" t="n">
        <v>46048</v>
      </c>
      <c r="D695" t="inlineStr">
        <is>
          <t>VÄSTERNORRLANDS LÄN</t>
        </is>
      </c>
      <c r="E695" t="inlineStr">
        <is>
          <t>SOLLEFTEÅ</t>
        </is>
      </c>
      <c r="F695" t="inlineStr">
        <is>
          <t>SCA</t>
        </is>
      </c>
      <c r="G695" t="n">
        <v>1</v>
      </c>
      <c r="H695" t="n">
        <v>0</v>
      </c>
      <c r="I695" t="n">
        <v>0</v>
      </c>
      <c r="J695" t="n">
        <v>0</v>
      </c>
      <c r="K695" t="n">
        <v>0</v>
      </c>
      <c r="L695" t="n">
        <v>0</v>
      </c>
      <c r="M695" t="n">
        <v>0</v>
      </c>
      <c r="N695" t="n">
        <v>0</v>
      </c>
      <c r="O695" t="n">
        <v>0</v>
      </c>
      <c r="P695" t="n">
        <v>0</v>
      </c>
      <c r="Q695" t="n">
        <v>0</v>
      </c>
      <c r="R695" s="2" t="inlineStr"/>
    </row>
    <row r="696" ht="15" customHeight="1">
      <c r="A696" t="inlineStr">
        <is>
          <t>A 24208-2024</t>
        </is>
      </c>
      <c r="B696" s="1" t="n">
        <v>45456.9678125</v>
      </c>
      <c r="C696" s="1" t="n">
        <v>46048</v>
      </c>
      <c r="D696" t="inlineStr">
        <is>
          <t>VÄSTERNORRLANDS LÄN</t>
        </is>
      </c>
      <c r="E696" t="inlineStr">
        <is>
          <t>SOLLEFTEÅ</t>
        </is>
      </c>
      <c r="G696" t="n">
        <v>2.9</v>
      </c>
      <c r="H696" t="n">
        <v>0</v>
      </c>
      <c r="I696" t="n">
        <v>0</v>
      </c>
      <c r="J696" t="n">
        <v>0</v>
      </c>
      <c r="K696" t="n">
        <v>0</v>
      </c>
      <c r="L696" t="n">
        <v>0</v>
      </c>
      <c r="M696" t="n">
        <v>0</v>
      </c>
      <c r="N696" t="n">
        <v>0</v>
      </c>
      <c r="O696" t="n">
        <v>0</v>
      </c>
      <c r="P696" t="n">
        <v>0</v>
      </c>
      <c r="Q696" t="n">
        <v>0</v>
      </c>
      <c r="R696" s="2" t="inlineStr"/>
    </row>
    <row r="697" ht="15" customHeight="1">
      <c r="A697" t="inlineStr">
        <is>
          <t>A 24211-2024</t>
        </is>
      </c>
      <c r="B697" s="1" t="n">
        <v>45456.9681712963</v>
      </c>
      <c r="C697" s="1" t="n">
        <v>46048</v>
      </c>
      <c r="D697" t="inlineStr">
        <is>
          <t>VÄSTERNORRLANDS LÄN</t>
        </is>
      </c>
      <c r="E697" t="inlineStr">
        <is>
          <t>SOLLEFTEÅ</t>
        </is>
      </c>
      <c r="F697" t="inlineStr">
        <is>
          <t>SCA</t>
        </is>
      </c>
      <c r="G697" t="n">
        <v>3.6</v>
      </c>
      <c r="H697" t="n">
        <v>0</v>
      </c>
      <c r="I697" t="n">
        <v>0</v>
      </c>
      <c r="J697" t="n">
        <v>0</v>
      </c>
      <c r="K697" t="n">
        <v>0</v>
      </c>
      <c r="L697" t="n">
        <v>0</v>
      </c>
      <c r="M697" t="n">
        <v>0</v>
      </c>
      <c r="N697" t="n">
        <v>0</v>
      </c>
      <c r="O697" t="n">
        <v>0</v>
      </c>
      <c r="P697" t="n">
        <v>0</v>
      </c>
      <c r="Q697" t="n">
        <v>0</v>
      </c>
      <c r="R697" s="2" t="inlineStr"/>
    </row>
    <row r="698" ht="15" customHeight="1">
      <c r="A698" t="inlineStr">
        <is>
          <t>A 9708-2025</t>
        </is>
      </c>
      <c r="B698" s="1" t="n">
        <v>45716.38607638889</v>
      </c>
      <c r="C698" s="1" t="n">
        <v>46048</v>
      </c>
      <c r="D698" t="inlineStr">
        <is>
          <t>VÄSTERNORRLANDS LÄN</t>
        </is>
      </c>
      <c r="E698" t="inlineStr">
        <is>
          <t>SOLLEFTEÅ</t>
        </is>
      </c>
      <c r="F698" t="inlineStr">
        <is>
          <t>SCA</t>
        </is>
      </c>
      <c r="G698" t="n">
        <v>8.699999999999999</v>
      </c>
      <c r="H698" t="n">
        <v>0</v>
      </c>
      <c r="I698" t="n">
        <v>0</v>
      </c>
      <c r="J698" t="n">
        <v>0</v>
      </c>
      <c r="K698" t="n">
        <v>0</v>
      </c>
      <c r="L698" t="n">
        <v>0</v>
      </c>
      <c r="M698" t="n">
        <v>0</v>
      </c>
      <c r="N698" t="n">
        <v>0</v>
      </c>
      <c r="O698" t="n">
        <v>0</v>
      </c>
      <c r="P698" t="n">
        <v>0</v>
      </c>
      <c r="Q698" t="n">
        <v>0</v>
      </c>
      <c r="R698" s="2" t="inlineStr"/>
    </row>
    <row r="699" ht="15" customHeight="1">
      <c r="A699" t="inlineStr">
        <is>
          <t>A 31672-2022</t>
        </is>
      </c>
      <c r="B699" s="1" t="n">
        <v>44776.36137731482</v>
      </c>
      <c r="C699" s="1" t="n">
        <v>46048</v>
      </c>
      <c r="D699" t="inlineStr">
        <is>
          <t>VÄSTERNORRLANDS LÄN</t>
        </is>
      </c>
      <c r="E699" t="inlineStr">
        <is>
          <t>SOLLEFTEÅ</t>
        </is>
      </c>
      <c r="G699" t="n">
        <v>16.3</v>
      </c>
      <c r="H699" t="n">
        <v>0</v>
      </c>
      <c r="I699" t="n">
        <v>0</v>
      </c>
      <c r="J699" t="n">
        <v>0</v>
      </c>
      <c r="K699" t="n">
        <v>0</v>
      </c>
      <c r="L699" t="n">
        <v>0</v>
      </c>
      <c r="M699" t="n">
        <v>0</v>
      </c>
      <c r="N699" t="n">
        <v>0</v>
      </c>
      <c r="O699" t="n">
        <v>0</v>
      </c>
      <c r="P699" t="n">
        <v>0</v>
      </c>
      <c r="Q699" t="n">
        <v>0</v>
      </c>
      <c r="R699" s="2" t="inlineStr"/>
    </row>
    <row r="700" ht="15" customHeight="1">
      <c r="A700" t="inlineStr">
        <is>
          <t>A 64013-2023</t>
        </is>
      </c>
      <c r="B700" s="1" t="n">
        <v>45278</v>
      </c>
      <c r="C700" s="1" t="n">
        <v>46048</v>
      </c>
      <c r="D700" t="inlineStr">
        <is>
          <t>VÄSTERNORRLANDS LÄN</t>
        </is>
      </c>
      <c r="E700" t="inlineStr">
        <is>
          <t>SOLLEFTEÅ</t>
        </is>
      </c>
      <c r="G700" t="n">
        <v>0.8</v>
      </c>
      <c r="H700" t="n">
        <v>0</v>
      </c>
      <c r="I700" t="n">
        <v>0</v>
      </c>
      <c r="J700" t="n">
        <v>0</v>
      </c>
      <c r="K700" t="n">
        <v>0</v>
      </c>
      <c r="L700" t="n">
        <v>0</v>
      </c>
      <c r="M700" t="n">
        <v>0</v>
      </c>
      <c r="N700" t="n">
        <v>0</v>
      </c>
      <c r="O700" t="n">
        <v>0</v>
      </c>
      <c r="P700" t="n">
        <v>0</v>
      </c>
      <c r="Q700" t="n">
        <v>0</v>
      </c>
      <c r="R700" s="2" t="inlineStr"/>
    </row>
    <row r="701" ht="15" customHeight="1">
      <c r="A701" t="inlineStr">
        <is>
          <t>A 10077-2023</t>
        </is>
      </c>
      <c r="B701" s="1" t="n">
        <v>44985.94408564815</v>
      </c>
      <c r="C701" s="1" t="n">
        <v>46048</v>
      </c>
      <c r="D701" t="inlineStr">
        <is>
          <t>VÄSTERNORRLANDS LÄN</t>
        </is>
      </c>
      <c r="E701" t="inlineStr">
        <is>
          <t>SOLLEFTEÅ</t>
        </is>
      </c>
      <c r="F701" t="inlineStr">
        <is>
          <t>SCA</t>
        </is>
      </c>
      <c r="G701" t="n">
        <v>10.8</v>
      </c>
      <c r="H701" t="n">
        <v>0</v>
      </c>
      <c r="I701" t="n">
        <v>0</v>
      </c>
      <c r="J701" t="n">
        <v>0</v>
      </c>
      <c r="K701" t="n">
        <v>0</v>
      </c>
      <c r="L701" t="n">
        <v>0</v>
      </c>
      <c r="M701" t="n">
        <v>0</v>
      </c>
      <c r="N701" t="n">
        <v>0</v>
      </c>
      <c r="O701" t="n">
        <v>0</v>
      </c>
      <c r="P701" t="n">
        <v>0</v>
      </c>
      <c r="Q701" t="n">
        <v>0</v>
      </c>
      <c r="R701" s="2" t="inlineStr"/>
    </row>
    <row r="702" ht="15" customHeight="1">
      <c r="A702" t="inlineStr">
        <is>
          <t>A 282-2023</t>
        </is>
      </c>
      <c r="B702" s="1" t="n">
        <v>44928</v>
      </c>
      <c r="C702" s="1" t="n">
        <v>46048</v>
      </c>
      <c r="D702" t="inlineStr">
        <is>
          <t>VÄSTERNORRLANDS LÄN</t>
        </is>
      </c>
      <c r="E702" t="inlineStr">
        <is>
          <t>SOLLEFTEÅ</t>
        </is>
      </c>
      <c r="G702" t="n">
        <v>1</v>
      </c>
      <c r="H702" t="n">
        <v>0</v>
      </c>
      <c r="I702" t="n">
        <v>0</v>
      </c>
      <c r="J702" t="n">
        <v>0</v>
      </c>
      <c r="K702" t="n">
        <v>0</v>
      </c>
      <c r="L702" t="n">
        <v>0</v>
      </c>
      <c r="M702" t="n">
        <v>0</v>
      </c>
      <c r="N702" t="n">
        <v>0</v>
      </c>
      <c r="O702" t="n">
        <v>0</v>
      </c>
      <c r="P702" t="n">
        <v>0</v>
      </c>
      <c r="Q702" t="n">
        <v>0</v>
      </c>
      <c r="R702" s="2" t="inlineStr"/>
    </row>
    <row r="703" ht="15" customHeight="1">
      <c r="A703" t="inlineStr">
        <is>
          <t>A 57922-2024</t>
        </is>
      </c>
      <c r="B703" s="1" t="n">
        <v>45631.5107175926</v>
      </c>
      <c r="C703" s="1" t="n">
        <v>46048</v>
      </c>
      <c r="D703" t="inlineStr">
        <is>
          <t>VÄSTERNORRLANDS LÄN</t>
        </is>
      </c>
      <c r="E703" t="inlineStr">
        <is>
          <t>SOLLEFTEÅ</t>
        </is>
      </c>
      <c r="F703" t="inlineStr">
        <is>
          <t>SCA</t>
        </is>
      </c>
      <c r="G703" t="n">
        <v>4.1</v>
      </c>
      <c r="H703" t="n">
        <v>0</v>
      </c>
      <c r="I703" t="n">
        <v>0</v>
      </c>
      <c r="J703" t="n">
        <v>0</v>
      </c>
      <c r="K703" t="n">
        <v>0</v>
      </c>
      <c r="L703" t="n">
        <v>0</v>
      </c>
      <c r="M703" t="n">
        <v>0</v>
      </c>
      <c r="N703" t="n">
        <v>0</v>
      </c>
      <c r="O703" t="n">
        <v>0</v>
      </c>
      <c r="P703" t="n">
        <v>0</v>
      </c>
      <c r="Q703" t="n">
        <v>0</v>
      </c>
      <c r="R703" s="2" t="inlineStr"/>
    </row>
    <row r="704" ht="15" customHeight="1">
      <c r="A704" t="inlineStr">
        <is>
          <t>A 57846-2024</t>
        </is>
      </c>
      <c r="B704" s="1" t="n">
        <v>45631.40759259259</v>
      </c>
      <c r="C704" s="1" t="n">
        <v>46048</v>
      </c>
      <c r="D704" t="inlineStr">
        <is>
          <t>VÄSTERNORRLANDS LÄN</t>
        </is>
      </c>
      <c r="E704" t="inlineStr">
        <is>
          <t>SOLLEFTEÅ</t>
        </is>
      </c>
      <c r="G704" t="n">
        <v>0.3</v>
      </c>
      <c r="H704" t="n">
        <v>0</v>
      </c>
      <c r="I704" t="n">
        <v>0</v>
      </c>
      <c r="J704" t="n">
        <v>0</v>
      </c>
      <c r="K704" t="n">
        <v>0</v>
      </c>
      <c r="L704" t="n">
        <v>0</v>
      </c>
      <c r="M704" t="n">
        <v>0</v>
      </c>
      <c r="N704" t="n">
        <v>0</v>
      </c>
      <c r="O704" t="n">
        <v>0</v>
      </c>
      <c r="P704" t="n">
        <v>0</v>
      </c>
      <c r="Q704" t="n">
        <v>0</v>
      </c>
      <c r="R704" s="2" t="inlineStr"/>
    </row>
    <row r="705" ht="15" customHeight="1">
      <c r="A705" t="inlineStr">
        <is>
          <t>A 10870-2024</t>
        </is>
      </c>
      <c r="B705" s="1" t="n">
        <v>45370.02083333334</v>
      </c>
      <c r="C705" s="1" t="n">
        <v>46048</v>
      </c>
      <c r="D705" t="inlineStr">
        <is>
          <t>VÄSTERNORRLANDS LÄN</t>
        </is>
      </c>
      <c r="E705" t="inlineStr">
        <is>
          <t>SOLLEFTEÅ</t>
        </is>
      </c>
      <c r="F705" t="inlineStr">
        <is>
          <t>SCA</t>
        </is>
      </c>
      <c r="G705" t="n">
        <v>1.4</v>
      </c>
      <c r="H705" t="n">
        <v>0</v>
      </c>
      <c r="I705" t="n">
        <v>0</v>
      </c>
      <c r="J705" t="n">
        <v>0</v>
      </c>
      <c r="K705" t="n">
        <v>0</v>
      </c>
      <c r="L705" t="n">
        <v>0</v>
      </c>
      <c r="M705" t="n">
        <v>0</v>
      </c>
      <c r="N705" t="n">
        <v>0</v>
      </c>
      <c r="O705" t="n">
        <v>0</v>
      </c>
      <c r="P705" t="n">
        <v>0</v>
      </c>
      <c r="Q705" t="n">
        <v>0</v>
      </c>
      <c r="R705" s="2" t="inlineStr"/>
    </row>
    <row r="706" ht="15" customHeight="1">
      <c r="A706" t="inlineStr">
        <is>
          <t>A 20133-2025</t>
        </is>
      </c>
      <c r="B706" s="1" t="n">
        <v>45772.51092592593</v>
      </c>
      <c r="C706" s="1" t="n">
        <v>46048</v>
      </c>
      <c r="D706" t="inlineStr">
        <is>
          <t>VÄSTERNORRLANDS LÄN</t>
        </is>
      </c>
      <c r="E706" t="inlineStr">
        <is>
          <t>SOLLEFTEÅ</t>
        </is>
      </c>
      <c r="F706" t="inlineStr">
        <is>
          <t>SCA</t>
        </is>
      </c>
      <c r="G706" t="n">
        <v>58.2</v>
      </c>
      <c r="H706" t="n">
        <v>0</v>
      </c>
      <c r="I706" t="n">
        <v>0</v>
      </c>
      <c r="J706" t="n">
        <v>0</v>
      </c>
      <c r="K706" t="n">
        <v>0</v>
      </c>
      <c r="L706" t="n">
        <v>0</v>
      </c>
      <c r="M706" t="n">
        <v>0</v>
      </c>
      <c r="N706" t="n">
        <v>0</v>
      </c>
      <c r="O706" t="n">
        <v>0</v>
      </c>
      <c r="P706" t="n">
        <v>0</v>
      </c>
      <c r="Q706" t="n">
        <v>0</v>
      </c>
      <c r="R706" s="2" t="inlineStr"/>
    </row>
    <row r="707" ht="15" customHeight="1">
      <c r="A707" t="inlineStr">
        <is>
          <t>A 34311-2023</t>
        </is>
      </c>
      <c r="B707" s="1" t="n">
        <v>45138.92317129629</v>
      </c>
      <c r="C707" s="1" t="n">
        <v>46048</v>
      </c>
      <c r="D707" t="inlineStr">
        <is>
          <t>VÄSTERNORRLANDS LÄN</t>
        </is>
      </c>
      <c r="E707" t="inlineStr">
        <is>
          <t>SOLLEFTEÅ</t>
        </is>
      </c>
      <c r="G707" t="n">
        <v>0.5</v>
      </c>
      <c r="H707" t="n">
        <v>0</v>
      </c>
      <c r="I707" t="n">
        <v>0</v>
      </c>
      <c r="J707" t="n">
        <v>0</v>
      </c>
      <c r="K707" t="n">
        <v>0</v>
      </c>
      <c r="L707" t="n">
        <v>0</v>
      </c>
      <c r="M707" t="n">
        <v>0</v>
      </c>
      <c r="N707" t="n">
        <v>0</v>
      </c>
      <c r="O707" t="n">
        <v>0</v>
      </c>
      <c r="P707" t="n">
        <v>0</v>
      </c>
      <c r="Q707" t="n">
        <v>0</v>
      </c>
      <c r="R707" s="2" t="inlineStr"/>
    </row>
    <row r="708" ht="15" customHeight="1">
      <c r="A708" t="inlineStr">
        <is>
          <t>A 55643-2021</t>
        </is>
      </c>
      <c r="B708" s="1" t="n">
        <v>44475</v>
      </c>
      <c r="C708" s="1" t="n">
        <v>46048</v>
      </c>
      <c r="D708" t="inlineStr">
        <is>
          <t>VÄSTERNORRLANDS LÄN</t>
        </is>
      </c>
      <c r="E708" t="inlineStr">
        <is>
          <t>SOLLEFTEÅ</t>
        </is>
      </c>
      <c r="G708" t="n">
        <v>1.3</v>
      </c>
      <c r="H708" t="n">
        <v>0</v>
      </c>
      <c r="I708" t="n">
        <v>0</v>
      </c>
      <c r="J708" t="n">
        <v>0</v>
      </c>
      <c r="K708" t="n">
        <v>0</v>
      </c>
      <c r="L708" t="n">
        <v>0</v>
      </c>
      <c r="M708" t="n">
        <v>0</v>
      </c>
      <c r="N708" t="n">
        <v>0</v>
      </c>
      <c r="O708" t="n">
        <v>0</v>
      </c>
      <c r="P708" t="n">
        <v>0</v>
      </c>
      <c r="Q708" t="n">
        <v>0</v>
      </c>
      <c r="R708" s="2" t="inlineStr"/>
    </row>
    <row r="709" ht="15" customHeight="1">
      <c r="A709" t="inlineStr">
        <is>
          <t>A 4131-2025</t>
        </is>
      </c>
      <c r="B709" s="1" t="n">
        <v>45685.34508101852</v>
      </c>
      <c r="C709" s="1" t="n">
        <v>46048</v>
      </c>
      <c r="D709" t="inlineStr">
        <is>
          <t>VÄSTERNORRLANDS LÄN</t>
        </is>
      </c>
      <c r="E709" t="inlineStr">
        <is>
          <t>SOLLEFTEÅ</t>
        </is>
      </c>
      <c r="G709" t="n">
        <v>3.4</v>
      </c>
      <c r="H709" t="n">
        <v>0</v>
      </c>
      <c r="I709" t="n">
        <v>0</v>
      </c>
      <c r="J709" t="n">
        <v>0</v>
      </c>
      <c r="K709" t="n">
        <v>0</v>
      </c>
      <c r="L709" t="n">
        <v>0</v>
      </c>
      <c r="M709" t="n">
        <v>0</v>
      </c>
      <c r="N709" t="n">
        <v>0</v>
      </c>
      <c r="O709" t="n">
        <v>0</v>
      </c>
      <c r="P709" t="n">
        <v>0</v>
      </c>
      <c r="Q709" t="n">
        <v>0</v>
      </c>
      <c r="R709" s="2" t="inlineStr"/>
    </row>
    <row r="710" ht="15" customHeight="1">
      <c r="A710" t="inlineStr">
        <is>
          <t>A 49810-2023</t>
        </is>
      </c>
      <c r="B710" s="1" t="n">
        <v>45212.66369212963</v>
      </c>
      <c r="C710" s="1" t="n">
        <v>46048</v>
      </c>
      <c r="D710" t="inlineStr">
        <is>
          <t>VÄSTERNORRLANDS LÄN</t>
        </is>
      </c>
      <c r="E710" t="inlineStr">
        <is>
          <t>SOLLEFTEÅ</t>
        </is>
      </c>
      <c r="F710" t="inlineStr">
        <is>
          <t>Holmen skog AB</t>
        </is>
      </c>
      <c r="G710" t="n">
        <v>3.4</v>
      </c>
      <c r="H710" t="n">
        <v>0</v>
      </c>
      <c r="I710" t="n">
        <v>0</v>
      </c>
      <c r="J710" t="n">
        <v>0</v>
      </c>
      <c r="K710" t="n">
        <v>0</v>
      </c>
      <c r="L710" t="n">
        <v>0</v>
      </c>
      <c r="M710" t="n">
        <v>0</v>
      </c>
      <c r="N710" t="n">
        <v>0</v>
      </c>
      <c r="O710" t="n">
        <v>0</v>
      </c>
      <c r="P710" t="n">
        <v>0</v>
      </c>
      <c r="Q710" t="n">
        <v>0</v>
      </c>
      <c r="R710" s="2" t="inlineStr"/>
    </row>
    <row r="711" ht="15" customHeight="1">
      <c r="A711" t="inlineStr">
        <is>
          <t>A 43512-2023</t>
        </is>
      </c>
      <c r="B711" s="1" t="n">
        <v>45181</v>
      </c>
      <c r="C711" s="1" t="n">
        <v>46048</v>
      </c>
      <c r="D711" t="inlineStr">
        <is>
          <t>VÄSTERNORRLANDS LÄN</t>
        </is>
      </c>
      <c r="E711" t="inlineStr">
        <is>
          <t>SOLLEFTEÅ</t>
        </is>
      </c>
      <c r="G711" t="n">
        <v>1.8</v>
      </c>
      <c r="H711" t="n">
        <v>0</v>
      </c>
      <c r="I711" t="n">
        <v>0</v>
      </c>
      <c r="J711" t="n">
        <v>0</v>
      </c>
      <c r="K711" t="n">
        <v>0</v>
      </c>
      <c r="L711" t="n">
        <v>0</v>
      </c>
      <c r="M711" t="n">
        <v>0</v>
      </c>
      <c r="N711" t="n">
        <v>0</v>
      </c>
      <c r="O711" t="n">
        <v>0</v>
      </c>
      <c r="P711" t="n">
        <v>0</v>
      </c>
      <c r="Q711" t="n">
        <v>0</v>
      </c>
      <c r="R711" s="2" t="inlineStr"/>
    </row>
    <row r="712" ht="15" customHeight="1">
      <c r="A712" t="inlineStr">
        <is>
          <t>A 3368-2025</t>
        </is>
      </c>
      <c r="B712" s="1" t="n">
        <v>45679</v>
      </c>
      <c r="C712" s="1" t="n">
        <v>46048</v>
      </c>
      <c r="D712" t="inlineStr">
        <is>
          <t>VÄSTERNORRLANDS LÄN</t>
        </is>
      </c>
      <c r="E712" t="inlineStr">
        <is>
          <t>SOLLEFTEÅ</t>
        </is>
      </c>
      <c r="G712" t="n">
        <v>1.8</v>
      </c>
      <c r="H712" t="n">
        <v>0</v>
      </c>
      <c r="I712" t="n">
        <v>0</v>
      </c>
      <c r="J712" t="n">
        <v>0</v>
      </c>
      <c r="K712" t="n">
        <v>0</v>
      </c>
      <c r="L712" t="n">
        <v>0</v>
      </c>
      <c r="M712" t="n">
        <v>0</v>
      </c>
      <c r="N712" t="n">
        <v>0</v>
      </c>
      <c r="O712" t="n">
        <v>0</v>
      </c>
      <c r="P712" t="n">
        <v>0</v>
      </c>
      <c r="Q712" t="n">
        <v>0</v>
      </c>
      <c r="R712" s="2" t="inlineStr"/>
    </row>
    <row r="713" ht="15" customHeight="1">
      <c r="A713" t="inlineStr">
        <is>
          <t>A 13697-2023</t>
        </is>
      </c>
      <c r="B713" s="1" t="n">
        <v>45006.94445601852</v>
      </c>
      <c r="C713" s="1" t="n">
        <v>46048</v>
      </c>
      <c r="D713" t="inlineStr">
        <is>
          <t>VÄSTERNORRLANDS LÄN</t>
        </is>
      </c>
      <c r="E713" t="inlineStr">
        <is>
          <t>SOLLEFTEÅ</t>
        </is>
      </c>
      <c r="F713" t="inlineStr">
        <is>
          <t>SCA</t>
        </is>
      </c>
      <c r="G713" t="n">
        <v>1.5</v>
      </c>
      <c r="H713" t="n">
        <v>0</v>
      </c>
      <c r="I713" t="n">
        <v>0</v>
      </c>
      <c r="J713" t="n">
        <v>0</v>
      </c>
      <c r="K713" t="n">
        <v>0</v>
      </c>
      <c r="L713" t="n">
        <v>0</v>
      </c>
      <c r="M713" t="n">
        <v>0</v>
      </c>
      <c r="N713" t="n">
        <v>0</v>
      </c>
      <c r="O713" t="n">
        <v>0</v>
      </c>
      <c r="P713" t="n">
        <v>0</v>
      </c>
      <c r="Q713" t="n">
        <v>0</v>
      </c>
      <c r="R713" s="2" t="inlineStr"/>
    </row>
    <row r="714" ht="15" customHeight="1">
      <c r="A714" t="inlineStr">
        <is>
          <t>A 32140-2024</t>
        </is>
      </c>
      <c r="B714" s="1" t="n">
        <v>45511.54391203704</v>
      </c>
      <c r="C714" s="1" t="n">
        <v>46048</v>
      </c>
      <c r="D714" t="inlineStr">
        <is>
          <t>VÄSTERNORRLANDS LÄN</t>
        </is>
      </c>
      <c r="E714" t="inlineStr">
        <is>
          <t>SOLLEFTEÅ</t>
        </is>
      </c>
      <c r="F714" t="inlineStr">
        <is>
          <t>Holmen skog AB</t>
        </is>
      </c>
      <c r="G714" t="n">
        <v>3.3</v>
      </c>
      <c r="H714" t="n">
        <v>0</v>
      </c>
      <c r="I714" t="n">
        <v>0</v>
      </c>
      <c r="J714" t="n">
        <v>0</v>
      </c>
      <c r="K714" t="n">
        <v>0</v>
      </c>
      <c r="L714" t="n">
        <v>0</v>
      </c>
      <c r="M714" t="n">
        <v>0</v>
      </c>
      <c r="N714" t="n">
        <v>0</v>
      </c>
      <c r="O714" t="n">
        <v>0</v>
      </c>
      <c r="P714" t="n">
        <v>0</v>
      </c>
      <c r="Q714" t="n">
        <v>0</v>
      </c>
      <c r="R714" s="2" t="inlineStr"/>
    </row>
    <row r="715" ht="15" customHeight="1">
      <c r="A715" t="inlineStr">
        <is>
          <t>A 55859-2023</t>
        </is>
      </c>
      <c r="B715" s="1" t="n">
        <v>45239</v>
      </c>
      <c r="C715" s="1" t="n">
        <v>46048</v>
      </c>
      <c r="D715" t="inlineStr">
        <is>
          <t>VÄSTERNORRLANDS LÄN</t>
        </is>
      </c>
      <c r="E715" t="inlineStr">
        <is>
          <t>SOLLEFTEÅ</t>
        </is>
      </c>
      <c r="F715" t="inlineStr">
        <is>
          <t>Kommuner</t>
        </is>
      </c>
      <c r="G715" t="n">
        <v>0.1</v>
      </c>
      <c r="H715" t="n">
        <v>0</v>
      </c>
      <c r="I715" t="n">
        <v>0</v>
      </c>
      <c r="J715" t="n">
        <v>0</v>
      </c>
      <c r="K715" t="n">
        <v>0</v>
      </c>
      <c r="L715" t="n">
        <v>0</v>
      </c>
      <c r="M715" t="n">
        <v>0</v>
      </c>
      <c r="N715" t="n">
        <v>0</v>
      </c>
      <c r="O715" t="n">
        <v>0</v>
      </c>
      <c r="P715" t="n">
        <v>0</v>
      </c>
      <c r="Q715" t="n">
        <v>0</v>
      </c>
      <c r="R715" s="2" t="inlineStr"/>
    </row>
    <row r="716" ht="15" customHeight="1">
      <c r="A716" t="inlineStr">
        <is>
          <t>A 20223-2024</t>
        </is>
      </c>
      <c r="B716" s="1" t="n">
        <v>45434</v>
      </c>
      <c r="C716" s="1" t="n">
        <v>46048</v>
      </c>
      <c r="D716" t="inlineStr">
        <is>
          <t>VÄSTERNORRLANDS LÄN</t>
        </is>
      </c>
      <c r="E716" t="inlineStr">
        <is>
          <t>SOLLEFTEÅ</t>
        </is>
      </c>
      <c r="G716" t="n">
        <v>5.5</v>
      </c>
      <c r="H716" t="n">
        <v>0</v>
      </c>
      <c r="I716" t="n">
        <v>0</v>
      </c>
      <c r="J716" t="n">
        <v>0</v>
      </c>
      <c r="K716" t="n">
        <v>0</v>
      </c>
      <c r="L716" t="n">
        <v>0</v>
      </c>
      <c r="M716" t="n">
        <v>0</v>
      </c>
      <c r="N716" t="n">
        <v>0</v>
      </c>
      <c r="O716" t="n">
        <v>0</v>
      </c>
      <c r="P716" t="n">
        <v>0</v>
      </c>
      <c r="Q716" t="n">
        <v>0</v>
      </c>
      <c r="R716" s="2" t="inlineStr"/>
    </row>
    <row r="717" ht="15" customHeight="1">
      <c r="A717" t="inlineStr">
        <is>
          <t>A 17032-2025</t>
        </is>
      </c>
      <c r="B717" s="1" t="n">
        <v>45755</v>
      </c>
      <c r="C717" s="1" t="n">
        <v>46048</v>
      </c>
      <c r="D717" t="inlineStr">
        <is>
          <t>VÄSTERNORRLANDS LÄN</t>
        </is>
      </c>
      <c r="E717" t="inlineStr">
        <is>
          <t>SOLLEFTEÅ</t>
        </is>
      </c>
      <c r="F717" t="inlineStr">
        <is>
          <t>SCA</t>
        </is>
      </c>
      <c r="G717" t="n">
        <v>1.6</v>
      </c>
      <c r="H717" t="n">
        <v>0</v>
      </c>
      <c r="I717" t="n">
        <v>0</v>
      </c>
      <c r="J717" t="n">
        <v>0</v>
      </c>
      <c r="K717" t="n">
        <v>0</v>
      </c>
      <c r="L717" t="n">
        <v>0</v>
      </c>
      <c r="M717" t="n">
        <v>0</v>
      </c>
      <c r="N717" t="n">
        <v>0</v>
      </c>
      <c r="O717" t="n">
        <v>0</v>
      </c>
      <c r="P717" t="n">
        <v>0</v>
      </c>
      <c r="Q717" t="n">
        <v>0</v>
      </c>
      <c r="R717" s="2" t="inlineStr"/>
    </row>
    <row r="718" ht="15" customHeight="1">
      <c r="A718" t="inlineStr">
        <is>
          <t>A 15273-2025</t>
        </is>
      </c>
      <c r="B718" s="1" t="n">
        <v>45744.67740740741</v>
      </c>
      <c r="C718" s="1" t="n">
        <v>46048</v>
      </c>
      <c r="D718" t="inlineStr">
        <is>
          <t>VÄSTERNORRLANDS LÄN</t>
        </is>
      </c>
      <c r="E718" t="inlineStr">
        <is>
          <t>SOLLEFTEÅ</t>
        </is>
      </c>
      <c r="F718" t="inlineStr">
        <is>
          <t>SCA</t>
        </is>
      </c>
      <c r="G718" t="n">
        <v>1.3</v>
      </c>
      <c r="H718" t="n">
        <v>0</v>
      </c>
      <c r="I718" t="n">
        <v>0</v>
      </c>
      <c r="J718" t="n">
        <v>0</v>
      </c>
      <c r="K718" t="n">
        <v>0</v>
      </c>
      <c r="L718" t="n">
        <v>0</v>
      </c>
      <c r="M718" t="n">
        <v>0</v>
      </c>
      <c r="N718" t="n">
        <v>0</v>
      </c>
      <c r="O718" t="n">
        <v>0</v>
      </c>
      <c r="P718" t="n">
        <v>0</v>
      </c>
      <c r="Q718" t="n">
        <v>0</v>
      </c>
      <c r="R718" s="2" t="inlineStr"/>
    </row>
    <row r="719" ht="15" customHeight="1">
      <c r="A719" t="inlineStr">
        <is>
          <t>A 13567-2023</t>
        </is>
      </c>
      <c r="B719" s="1" t="n">
        <v>45005</v>
      </c>
      <c r="C719" s="1" t="n">
        <v>46048</v>
      </c>
      <c r="D719" t="inlineStr">
        <is>
          <t>VÄSTERNORRLANDS LÄN</t>
        </is>
      </c>
      <c r="E719" t="inlineStr">
        <is>
          <t>SOLLEFTEÅ</t>
        </is>
      </c>
      <c r="G719" t="n">
        <v>6.9</v>
      </c>
      <c r="H719" t="n">
        <v>0</v>
      </c>
      <c r="I719" t="n">
        <v>0</v>
      </c>
      <c r="J719" t="n">
        <v>0</v>
      </c>
      <c r="K719" t="n">
        <v>0</v>
      </c>
      <c r="L719" t="n">
        <v>0</v>
      </c>
      <c r="M719" t="n">
        <v>0</v>
      </c>
      <c r="N719" t="n">
        <v>0</v>
      </c>
      <c r="O719" t="n">
        <v>0</v>
      </c>
      <c r="P719" t="n">
        <v>0</v>
      </c>
      <c r="Q719" t="n">
        <v>0</v>
      </c>
      <c r="R719" s="2" t="inlineStr"/>
    </row>
    <row r="720" ht="15" customHeight="1">
      <c r="A720" t="inlineStr">
        <is>
          <t>A 13570-2023</t>
        </is>
      </c>
      <c r="B720" s="1" t="n">
        <v>45005</v>
      </c>
      <c r="C720" s="1" t="n">
        <v>46048</v>
      </c>
      <c r="D720" t="inlineStr">
        <is>
          <t>VÄSTERNORRLANDS LÄN</t>
        </is>
      </c>
      <c r="E720" t="inlineStr">
        <is>
          <t>SOLLEFTEÅ</t>
        </is>
      </c>
      <c r="G720" t="n">
        <v>1.9</v>
      </c>
      <c r="H720" t="n">
        <v>0</v>
      </c>
      <c r="I720" t="n">
        <v>0</v>
      </c>
      <c r="J720" t="n">
        <v>0</v>
      </c>
      <c r="K720" t="n">
        <v>0</v>
      </c>
      <c r="L720" t="n">
        <v>0</v>
      </c>
      <c r="M720" t="n">
        <v>0</v>
      </c>
      <c r="N720" t="n">
        <v>0</v>
      </c>
      <c r="O720" t="n">
        <v>0</v>
      </c>
      <c r="P720" t="n">
        <v>0</v>
      </c>
      <c r="Q720" t="n">
        <v>0</v>
      </c>
      <c r="R720" s="2" t="inlineStr"/>
    </row>
    <row r="721" ht="15" customHeight="1">
      <c r="A721" t="inlineStr">
        <is>
          <t>A 56356-2023</t>
        </is>
      </c>
      <c r="B721" s="1" t="n">
        <v>45236</v>
      </c>
      <c r="C721" s="1" t="n">
        <v>46048</v>
      </c>
      <c r="D721" t="inlineStr">
        <is>
          <t>VÄSTERNORRLANDS LÄN</t>
        </is>
      </c>
      <c r="E721" t="inlineStr">
        <is>
          <t>SOLLEFTEÅ</t>
        </is>
      </c>
      <c r="G721" t="n">
        <v>1.8</v>
      </c>
      <c r="H721" t="n">
        <v>0</v>
      </c>
      <c r="I721" t="n">
        <v>0</v>
      </c>
      <c r="J721" t="n">
        <v>0</v>
      </c>
      <c r="K721" t="n">
        <v>0</v>
      </c>
      <c r="L721" t="n">
        <v>0</v>
      </c>
      <c r="M721" t="n">
        <v>0</v>
      </c>
      <c r="N721" t="n">
        <v>0</v>
      </c>
      <c r="O721" t="n">
        <v>0</v>
      </c>
      <c r="P721" t="n">
        <v>0</v>
      </c>
      <c r="Q721" t="n">
        <v>0</v>
      </c>
      <c r="R721" s="2" t="inlineStr"/>
    </row>
    <row r="722" ht="15" customHeight="1">
      <c r="A722" t="inlineStr">
        <is>
          <t>A 20516-2024</t>
        </is>
      </c>
      <c r="B722" s="1" t="n">
        <v>45435</v>
      </c>
      <c r="C722" s="1" t="n">
        <v>46048</v>
      </c>
      <c r="D722" t="inlineStr">
        <is>
          <t>VÄSTERNORRLANDS LÄN</t>
        </is>
      </c>
      <c r="E722" t="inlineStr">
        <is>
          <t>SOLLEFTEÅ</t>
        </is>
      </c>
      <c r="F722" t="inlineStr">
        <is>
          <t>SCA</t>
        </is>
      </c>
      <c r="G722" t="n">
        <v>2.3</v>
      </c>
      <c r="H722" t="n">
        <v>0</v>
      </c>
      <c r="I722" t="n">
        <v>0</v>
      </c>
      <c r="J722" t="n">
        <v>0</v>
      </c>
      <c r="K722" t="n">
        <v>0</v>
      </c>
      <c r="L722" t="n">
        <v>0</v>
      </c>
      <c r="M722" t="n">
        <v>0</v>
      </c>
      <c r="N722" t="n">
        <v>0</v>
      </c>
      <c r="O722" t="n">
        <v>0</v>
      </c>
      <c r="P722" t="n">
        <v>0</v>
      </c>
      <c r="Q722" t="n">
        <v>0</v>
      </c>
      <c r="R722" s="2" t="inlineStr"/>
    </row>
    <row r="723" ht="15" customHeight="1">
      <c r="A723" t="inlineStr">
        <is>
          <t>A 57492-2024</t>
        </is>
      </c>
      <c r="B723" s="1" t="n">
        <v>45630.36827546296</v>
      </c>
      <c r="C723" s="1" t="n">
        <v>46048</v>
      </c>
      <c r="D723" t="inlineStr">
        <is>
          <t>VÄSTERNORRLANDS LÄN</t>
        </is>
      </c>
      <c r="E723" t="inlineStr">
        <is>
          <t>SOLLEFTEÅ</t>
        </is>
      </c>
      <c r="F723" t="inlineStr">
        <is>
          <t>Holmen skog AB</t>
        </is>
      </c>
      <c r="G723" t="n">
        <v>0.2</v>
      </c>
      <c r="H723" t="n">
        <v>0</v>
      </c>
      <c r="I723" t="n">
        <v>0</v>
      </c>
      <c r="J723" t="n">
        <v>0</v>
      </c>
      <c r="K723" t="n">
        <v>0</v>
      </c>
      <c r="L723" t="n">
        <v>0</v>
      </c>
      <c r="M723" t="n">
        <v>0</v>
      </c>
      <c r="N723" t="n">
        <v>0</v>
      </c>
      <c r="O723" t="n">
        <v>0</v>
      </c>
      <c r="P723" t="n">
        <v>0</v>
      </c>
      <c r="Q723" t="n">
        <v>0</v>
      </c>
      <c r="R723" s="2" t="inlineStr"/>
    </row>
    <row r="724" ht="15" customHeight="1">
      <c r="A724" t="inlineStr">
        <is>
          <t>A 57991-2022</t>
        </is>
      </c>
      <c r="B724" s="1" t="n">
        <v>44900.48915509259</v>
      </c>
      <c r="C724" s="1" t="n">
        <v>46048</v>
      </c>
      <c r="D724" t="inlineStr">
        <is>
          <t>VÄSTERNORRLANDS LÄN</t>
        </is>
      </c>
      <c r="E724" t="inlineStr">
        <is>
          <t>SOLLEFTEÅ</t>
        </is>
      </c>
      <c r="G724" t="n">
        <v>14.2</v>
      </c>
      <c r="H724" t="n">
        <v>0</v>
      </c>
      <c r="I724" t="n">
        <v>0</v>
      </c>
      <c r="J724" t="n">
        <v>0</v>
      </c>
      <c r="K724" t="n">
        <v>0</v>
      </c>
      <c r="L724" t="n">
        <v>0</v>
      </c>
      <c r="M724" t="n">
        <v>0</v>
      </c>
      <c r="N724" t="n">
        <v>0</v>
      </c>
      <c r="O724" t="n">
        <v>0</v>
      </c>
      <c r="P724" t="n">
        <v>0</v>
      </c>
      <c r="Q724" t="n">
        <v>0</v>
      </c>
      <c r="R724" s="2" t="inlineStr"/>
    </row>
    <row r="725" ht="15" customHeight="1">
      <c r="A725" t="inlineStr">
        <is>
          <t>A 10437-2025</t>
        </is>
      </c>
      <c r="B725" s="1" t="n">
        <v>45720.67740740741</v>
      </c>
      <c r="C725" s="1" t="n">
        <v>46048</v>
      </c>
      <c r="D725" t="inlineStr">
        <is>
          <t>VÄSTERNORRLANDS LÄN</t>
        </is>
      </c>
      <c r="E725" t="inlineStr">
        <is>
          <t>SOLLEFTEÅ</t>
        </is>
      </c>
      <c r="F725" t="inlineStr">
        <is>
          <t>SCA</t>
        </is>
      </c>
      <c r="G725" t="n">
        <v>1.6</v>
      </c>
      <c r="H725" t="n">
        <v>0</v>
      </c>
      <c r="I725" t="n">
        <v>0</v>
      </c>
      <c r="J725" t="n">
        <v>0</v>
      </c>
      <c r="K725" t="n">
        <v>0</v>
      </c>
      <c r="L725" t="n">
        <v>0</v>
      </c>
      <c r="M725" t="n">
        <v>0</v>
      </c>
      <c r="N725" t="n">
        <v>0</v>
      </c>
      <c r="O725" t="n">
        <v>0</v>
      </c>
      <c r="P725" t="n">
        <v>0</v>
      </c>
      <c r="Q725" t="n">
        <v>0</v>
      </c>
      <c r="R725" s="2" t="inlineStr"/>
    </row>
    <row r="726" ht="15" customHeight="1">
      <c r="A726" t="inlineStr">
        <is>
          <t>A 945-2025</t>
        </is>
      </c>
      <c r="B726" s="1" t="n">
        <v>45666.34412037037</v>
      </c>
      <c r="C726" s="1" t="n">
        <v>46048</v>
      </c>
      <c r="D726" t="inlineStr">
        <is>
          <t>VÄSTERNORRLANDS LÄN</t>
        </is>
      </c>
      <c r="E726" t="inlineStr">
        <is>
          <t>SOLLEFTEÅ</t>
        </is>
      </c>
      <c r="F726" t="inlineStr">
        <is>
          <t>SCA</t>
        </is>
      </c>
      <c r="G726" t="n">
        <v>36.6</v>
      </c>
      <c r="H726" t="n">
        <v>0</v>
      </c>
      <c r="I726" t="n">
        <v>0</v>
      </c>
      <c r="J726" t="n">
        <v>0</v>
      </c>
      <c r="K726" t="n">
        <v>0</v>
      </c>
      <c r="L726" t="n">
        <v>0</v>
      </c>
      <c r="M726" t="n">
        <v>0</v>
      </c>
      <c r="N726" t="n">
        <v>0</v>
      </c>
      <c r="O726" t="n">
        <v>0</v>
      </c>
      <c r="P726" t="n">
        <v>0</v>
      </c>
      <c r="Q726" t="n">
        <v>0</v>
      </c>
      <c r="R726" s="2" t="inlineStr"/>
    </row>
    <row r="727" ht="15" customHeight="1">
      <c r="A727" t="inlineStr">
        <is>
          <t>A 4897-2025</t>
        </is>
      </c>
      <c r="B727" s="1" t="n">
        <v>45688.67913194445</v>
      </c>
      <c r="C727" s="1" t="n">
        <v>46048</v>
      </c>
      <c r="D727" t="inlineStr">
        <is>
          <t>VÄSTERNORRLANDS LÄN</t>
        </is>
      </c>
      <c r="E727" t="inlineStr">
        <is>
          <t>SOLLEFTEÅ</t>
        </is>
      </c>
      <c r="F727" t="inlineStr">
        <is>
          <t>SCA</t>
        </is>
      </c>
      <c r="G727" t="n">
        <v>3</v>
      </c>
      <c r="H727" t="n">
        <v>0</v>
      </c>
      <c r="I727" t="n">
        <v>0</v>
      </c>
      <c r="J727" t="n">
        <v>0</v>
      </c>
      <c r="K727" t="n">
        <v>0</v>
      </c>
      <c r="L727" t="n">
        <v>0</v>
      </c>
      <c r="M727" t="n">
        <v>0</v>
      </c>
      <c r="N727" t="n">
        <v>0</v>
      </c>
      <c r="O727" t="n">
        <v>0</v>
      </c>
      <c r="P727" t="n">
        <v>0</v>
      </c>
      <c r="Q727" t="n">
        <v>0</v>
      </c>
      <c r="R727" s="2" t="inlineStr"/>
    </row>
    <row r="728" ht="15" customHeight="1">
      <c r="A728" t="inlineStr">
        <is>
          <t>A 18761-2023</t>
        </is>
      </c>
      <c r="B728" s="1" t="n">
        <v>45043</v>
      </c>
      <c r="C728" s="1" t="n">
        <v>46048</v>
      </c>
      <c r="D728" t="inlineStr">
        <is>
          <t>VÄSTERNORRLANDS LÄN</t>
        </is>
      </c>
      <c r="E728" t="inlineStr">
        <is>
          <t>SOLLEFTEÅ</t>
        </is>
      </c>
      <c r="F728" t="inlineStr">
        <is>
          <t>SCA</t>
        </is>
      </c>
      <c r="G728" t="n">
        <v>1.2</v>
      </c>
      <c r="H728" t="n">
        <v>0</v>
      </c>
      <c r="I728" t="n">
        <v>0</v>
      </c>
      <c r="J728" t="n">
        <v>0</v>
      </c>
      <c r="K728" t="n">
        <v>0</v>
      </c>
      <c r="L728" t="n">
        <v>0</v>
      </c>
      <c r="M728" t="n">
        <v>0</v>
      </c>
      <c r="N728" t="n">
        <v>0</v>
      </c>
      <c r="O728" t="n">
        <v>0</v>
      </c>
      <c r="P728" t="n">
        <v>0</v>
      </c>
      <c r="Q728" t="n">
        <v>0</v>
      </c>
      <c r="R728" s="2" t="inlineStr"/>
    </row>
    <row r="729" ht="15" customHeight="1">
      <c r="A729" t="inlineStr">
        <is>
          <t>A 18762-2023</t>
        </is>
      </c>
      <c r="B729" s="1" t="n">
        <v>45043</v>
      </c>
      <c r="C729" s="1" t="n">
        <v>46048</v>
      </c>
      <c r="D729" t="inlineStr">
        <is>
          <t>VÄSTERNORRLANDS LÄN</t>
        </is>
      </c>
      <c r="E729" t="inlineStr">
        <is>
          <t>SOLLEFTEÅ</t>
        </is>
      </c>
      <c r="F729" t="inlineStr">
        <is>
          <t>SCA</t>
        </is>
      </c>
      <c r="G729" t="n">
        <v>1.3</v>
      </c>
      <c r="H729" t="n">
        <v>0</v>
      </c>
      <c r="I729" t="n">
        <v>0</v>
      </c>
      <c r="J729" t="n">
        <v>0</v>
      </c>
      <c r="K729" t="n">
        <v>0</v>
      </c>
      <c r="L729" t="n">
        <v>0</v>
      </c>
      <c r="M729" t="n">
        <v>0</v>
      </c>
      <c r="N729" t="n">
        <v>0</v>
      </c>
      <c r="O729" t="n">
        <v>0</v>
      </c>
      <c r="P729" t="n">
        <v>0</v>
      </c>
      <c r="Q729" t="n">
        <v>0</v>
      </c>
      <c r="R729" s="2" t="inlineStr"/>
    </row>
    <row r="730" ht="15" customHeight="1">
      <c r="A730" t="inlineStr">
        <is>
          <t>A 5519-2023</t>
        </is>
      </c>
      <c r="B730" s="1" t="n">
        <v>44960.42409722223</v>
      </c>
      <c r="C730" s="1" t="n">
        <v>46048</v>
      </c>
      <c r="D730" t="inlineStr">
        <is>
          <t>VÄSTERNORRLANDS LÄN</t>
        </is>
      </c>
      <c r="E730" t="inlineStr">
        <is>
          <t>SOLLEFTEÅ</t>
        </is>
      </c>
      <c r="F730" t="inlineStr">
        <is>
          <t>Holmen skog AB</t>
        </is>
      </c>
      <c r="G730" t="n">
        <v>0.5</v>
      </c>
      <c r="H730" t="n">
        <v>0</v>
      </c>
      <c r="I730" t="n">
        <v>0</v>
      </c>
      <c r="J730" t="n">
        <v>0</v>
      </c>
      <c r="K730" t="n">
        <v>0</v>
      </c>
      <c r="L730" t="n">
        <v>0</v>
      </c>
      <c r="M730" t="n">
        <v>0</v>
      </c>
      <c r="N730" t="n">
        <v>0</v>
      </c>
      <c r="O730" t="n">
        <v>0</v>
      </c>
      <c r="P730" t="n">
        <v>0</v>
      </c>
      <c r="Q730" t="n">
        <v>0</v>
      </c>
      <c r="R730" s="2" t="inlineStr"/>
    </row>
    <row r="731" ht="15" customHeight="1">
      <c r="A731" t="inlineStr">
        <is>
          <t>A 18696-2025</t>
        </is>
      </c>
      <c r="B731" s="1" t="n">
        <v>45763.61578703704</v>
      </c>
      <c r="C731" s="1" t="n">
        <v>46048</v>
      </c>
      <c r="D731" t="inlineStr">
        <is>
          <t>VÄSTERNORRLANDS LÄN</t>
        </is>
      </c>
      <c r="E731" t="inlineStr">
        <is>
          <t>SOLLEFTEÅ</t>
        </is>
      </c>
      <c r="F731" t="inlineStr">
        <is>
          <t>SCA</t>
        </is>
      </c>
      <c r="G731" t="n">
        <v>11.4</v>
      </c>
      <c r="H731" t="n">
        <v>0</v>
      </c>
      <c r="I731" t="n">
        <v>0</v>
      </c>
      <c r="J731" t="n">
        <v>0</v>
      </c>
      <c r="K731" t="n">
        <v>0</v>
      </c>
      <c r="L731" t="n">
        <v>0</v>
      </c>
      <c r="M731" t="n">
        <v>0</v>
      </c>
      <c r="N731" t="n">
        <v>0</v>
      </c>
      <c r="O731" t="n">
        <v>0</v>
      </c>
      <c r="P731" t="n">
        <v>0</v>
      </c>
      <c r="Q731" t="n">
        <v>0</v>
      </c>
      <c r="R731" s="2" t="inlineStr"/>
    </row>
    <row r="732" ht="15" customHeight="1">
      <c r="A732" t="inlineStr">
        <is>
          <t>A 20184-2025</t>
        </is>
      </c>
      <c r="B732" s="1" t="n">
        <v>45772.59458333333</v>
      </c>
      <c r="C732" s="1" t="n">
        <v>46048</v>
      </c>
      <c r="D732" t="inlineStr">
        <is>
          <t>VÄSTERNORRLANDS LÄN</t>
        </is>
      </c>
      <c r="E732" t="inlineStr">
        <is>
          <t>SOLLEFTEÅ</t>
        </is>
      </c>
      <c r="F732" t="inlineStr">
        <is>
          <t>SCA</t>
        </is>
      </c>
      <c r="G732" t="n">
        <v>1.2</v>
      </c>
      <c r="H732" t="n">
        <v>0</v>
      </c>
      <c r="I732" t="n">
        <v>0</v>
      </c>
      <c r="J732" t="n">
        <v>0</v>
      </c>
      <c r="K732" t="n">
        <v>0</v>
      </c>
      <c r="L732" t="n">
        <v>0</v>
      </c>
      <c r="M732" t="n">
        <v>0</v>
      </c>
      <c r="N732" t="n">
        <v>0</v>
      </c>
      <c r="O732" t="n">
        <v>0</v>
      </c>
      <c r="P732" t="n">
        <v>0</v>
      </c>
      <c r="Q732" t="n">
        <v>0</v>
      </c>
      <c r="R732" s="2" t="inlineStr"/>
    </row>
    <row r="733" ht="15" customHeight="1">
      <c r="A733" t="inlineStr">
        <is>
          <t>A 6139-2024</t>
        </is>
      </c>
      <c r="B733" s="1" t="n">
        <v>45337</v>
      </c>
      <c r="C733" s="1" t="n">
        <v>46048</v>
      </c>
      <c r="D733" t="inlineStr">
        <is>
          <t>VÄSTERNORRLANDS LÄN</t>
        </is>
      </c>
      <c r="E733" t="inlineStr">
        <is>
          <t>SOLLEFTEÅ</t>
        </is>
      </c>
      <c r="G733" t="n">
        <v>2.9</v>
      </c>
      <c r="H733" t="n">
        <v>0</v>
      </c>
      <c r="I733" t="n">
        <v>0</v>
      </c>
      <c r="J733" t="n">
        <v>0</v>
      </c>
      <c r="K733" t="n">
        <v>0</v>
      </c>
      <c r="L733" t="n">
        <v>0</v>
      </c>
      <c r="M733" t="n">
        <v>0</v>
      </c>
      <c r="N733" t="n">
        <v>0</v>
      </c>
      <c r="O733" t="n">
        <v>0</v>
      </c>
      <c r="P733" t="n">
        <v>0</v>
      </c>
      <c r="Q733" t="n">
        <v>0</v>
      </c>
      <c r="R733" s="2" t="inlineStr"/>
    </row>
    <row r="734" ht="15" customHeight="1">
      <c r="A734" t="inlineStr">
        <is>
          <t>A 5254-2024</t>
        </is>
      </c>
      <c r="B734" s="1" t="n">
        <v>45330</v>
      </c>
      <c r="C734" s="1" t="n">
        <v>46048</v>
      </c>
      <c r="D734" t="inlineStr">
        <is>
          <t>VÄSTERNORRLANDS LÄN</t>
        </is>
      </c>
      <c r="E734" t="inlineStr">
        <is>
          <t>SOLLEFTEÅ</t>
        </is>
      </c>
      <c r="F734" t="inlineStr">
        <is>
          <t>SCA</t>
        </is>
      </c>
      <c r="G734" t="n">
        <v>2.7</v>
      </c>
      <c r="H734" t="n">
        <v>0</v>
      </c>
      <c r="I734" t="n">
        <v>0</v>
      </c>
      <c r="J734" t="n">
        <v>0</v>
      </c>
      <c r="K734" t="n">
        <v>0</v>
      </c>
      <c r="L734" t="n">
        <v>0</v>
      </c>
      <c r="M734" t="n">
        <v>0</v>
      </c>
      <c r="N734" t="n">
        <v>0</v>
      </c>
      <c r="O734" t="n">
        <v>0</v>
      </c>
      <c r="P734" t="n">
        <v>0</v>
      </c>
      <c r="Q734" t="n">
        <v>0</v>
      </c>
      <c r="R734" s="2" t="inlineStr"/>
    </row>
    <row r="735" ht="15" customHeight="1">
      <c r="A735" t="inlineStr">
        <is>
          <t>A 10438-2025</t>
        </is>
      </c>
      <c r="B735" s="1" t="n">
        <v>45720.67761574074</v>
      </c>
      <c r="C735" s="1" t="n">
        <v>46048</v>
      </c>
      <c r="D735" t="inlineStr">
        <is>
          <t>VÄSTERNORRLANDS LÄN</t>
        </is>
      </c>
      <c r="E735" t="inlineStr">
        <is>
          <t>SOLLEFTEÅ</t>
        </is>
      </c>
      <c r="F735" t="inlineStr">
        <is>
          <t>SCA</t>
        </is>
      </c>
      <c r="G735" t="n">
        <v>14.6</v>
      </c>
      <c r="H735" t="n">
        <v>0</v>
      </c>
      <c r="I735" t="n">
        <v>0</v>
      </c>
      <c r="J735" t="n">
        <v>0</v>
      </c>
      <c r="K735" t="n">
        <v>0</v>
      </c>
      <c r="L735" t="n">
        <v>0</v>
      </c>
      <c r="M735" t="n">
        <v>0</v>
      </c>
      <c r="N735" t="n">
        <v>0</v>
      </c>
      <c r="O735" t="n">
        <v>0</v>
      </c>
      <c r="P735" t="n">
        <v>0</v>
      </c>
      <c r="Q735" t="n">
        <v>0</v>
      </c>
      <c r="R735" s="2" t="inlineStr"/>
    </row>
    <row r="736" ht="15" customHeight="1">
      <c r="A736" t="inlineStr">
        <is>
          <t>A 39504-2021</t>
        </is>
      </c>
      <c r="B736" s="1" t="n">
        <v>44414.93480324074</v>
      </c>
      <c r="C736" s="1" t="n">
        <v>46048</v>
      </c>
      <c r="D736" t="inlineStr">
        <is>
          <t>VÄSTERNORRLANDS LÄN</t>
        </is>
      </c>
      <c r="E736" t="inlineStr">
        <is>
          <t>SOLLEFTEÅ</t>
        </is>
      </c>
      <c r="F736" t="inlineStr">
        <is>
          <t>SCA</t>
        </is>
      </c>
      <c r="G736" t="n">
        <v>1.2</v>
      </c>
      <c r="H736" t="n">
        <v>0</v>
      </c>
      <c r="I736" t="n">
        <v>0</v>
      </c>
      <c r="J736" t="n">
        <v>0</v>
      </c>
      <c r="K736" t="n">
        <v>0</v>
      </c>
      <c r="L736" t="n">
        <v>0</v>
      </c>
      <c r="M736" t="n">
        <v>0</v>
      </c>
      <c r="N736" t="n">
        <v>0</v>
      </c>
      <c r="O736" t="n">
        <v>0</v>
      </c>
      <c r="P736" t="n">
        <v>0</v>
      </c>
      <c r="Q736" t="n">
        <v>0</v>
      </c>
      <c r="R736" s="2" t="inlineStr"/>
    </row>
    <row r="737" ht="15" customHeight="1">
      <c r="A737" t="inlineStr">
        <is>
          <t>A 8244-2024</t>
        </is>
      </c>
      <c r="B737" s="1" t="n">
        <v>45351</v>
      </c>
      <c r="C737" s="1" t="n">
        <v>46048</v>
      </c>
      <c r="D737" t="inlineStr">
        <is>
          <t>VÄSTERNORRLANDS LÄN</t>
        </is>
      </c>
      <c r="E737" t="inlineStr">
        <is>
          <t>SOLLEFTEÅ</t>
        </is>
      </c>
      <c r="F737" t="inlineStr">
        <is>
          <t>SCA</t>
        </is>
      </c>
      <c r="G737" t="n">
        <v>0.1</v>
      </c>
      <c r="H737" t="n">
        <v>0</v>
      </c>
      <c r="I737" t="n">
        <v>0</v>
      </c>
      <c r="J737" t="n">
        <v>0</v>
      </c>
      <c r="K737" t="n">
        <v>0</v>
      </c>
      <c r="L737" t="n">
        <v>0</v>
      </c>
      <c r="M737" t="n">
        <v>0</v>
      </c>
      <c r="N737" t="n">
        <v>0</v>
      </c>
      <c r="O737" t="n">
        <v>0</v>
      </c>
      <c r="P737" t="n">
        <v>0</v>
      </c>
      <c r="Q737" t="n">
        <v>0</v>
      </c>
      <c r="R737" s="2" t="inlineStr"/>
    </row>
    <row r="738" ht="15" customHeight="1">
      <c r="A738" t="inlineStr">
        <is>
          <t>A 29956-2023</t>
        </is>
      </c>
      <c r="B738" s="1" t="n">
        <v>45107</v>
      </c>
      <c r="C738" s="1" t="n">
        <v>46048</v>
      </c>
      <c r="D738" t="inlineStr">
        <is>
          <t>VÄSTERNORRLANDS LÄN</t>
        </is>
      </c>
      <c r="E738" t="inlineStr">
        <is>
          <t>SOLLEFTEÅ</t>
        </is>
      </c>
      <c r="F738" t="inlineStr">
        <is>
          <t>SCA</t>
        </is>
      </c>
      <c r="G738" t="n">
        <v>5.7</v>
      </c>
      <c r="H738" t="n">
        <v>0</v>
      </c>
      <c r="I738" t="n">
        <v>0</v>
      </c>
      <c r="J738" t="n">
        <v>0</v>
      </c>
      <c r="K738" t="n">
        <v>0</v>
      </c>
      <c r="L738" t="n">
        <v>0</v>
      </c>
      <c r="M738" t="n">
        <v>0</v>
      </c>
      <c r="N738" t="n">
        <v>0</v>
      </c>
      <c r="O738" t="n">
        <v>0</v>
      </c>
      <c r="P738" t="n">
        <v>0</v>
      </c>
      <c r="Q738" t="n">
        <v>0</v>
      </c>
      <c r="R738" s="2" t="inlineStr"/>
    </row>
    <row r="739" ht="15" customHeight="1">
      <c r="A739" t="inlineStr">
        <is>
          <t>A 58578-2024</t>
        </is>
      </c>
      <c r="B739" s="1" t="n">
        <v>45635</v>
      </c>
      <c r="C739" s="1" t="n">
        <v>46048</v>
      </c>
      <c r="D739" t="inlineStr">
        <is>
          <t>VÄSTERNORRLANDS LÄN</t>
        </is>
      </c>
      <c r="E739" t="inlineStr">
        <is>
          <t>SOLLEFTEÅ</t>
        </is>
      </c>
      <c r="G739" t="n">
        <v>2.2</v>
      </c>
      <c r="H739" t="n">
        <v>0</v>
      </c>
      <c r="I739" t="n">
        <v>0</v>
      </c>
      <c r="J739" t="n">
        <v>0</v>
      </c>
      <c r="K739" t="n">
        <v>0</v>
      </c>
      <c r="L739" t="n">
        <v>0</v>
      </c>
      <c r="M739" t="n">
        <v>0</v>
      </c>
      <c r="N739" t="n">
        <v>0</v>
      </c>
      <c r="O739" t="n">
        <v>0</v>
      </c>
      <c r="P739" t="n">
        <v>0</v>
      </c>
      <c r="Q739" t="n">
        <v>0</v>
      </c>
      <c r="R739" s="2" t="inlineStr"/>
    </row>
    <row r="740" ht="15" customHeight="1">
      <c r="A740" t="inlineStr">
        <is>
          <t>A 58588-2024</t>
        </is>
      </c>
      <c r="B740" s="1" t="n">
        <v>45635.50605324074</v>
      </c>
      <c r="C740" s="1" t="n">
        <v>46048</v>
      </c>
      <c r="D740" t="inlineStr">
        <is>
          <t>VÄSTERNORRLANDS LÄN</t>
        </is>
      </c>
      <c r="E740" t="inlineStr">
        <is>
          <t>SOLLEFTEÅ</t>
        </is>
      </c>
      <c r="G740" t="n">
        <v>0.9</v>
      </c>
      <c r="H740" t="n">
        <v>0</v>
      </c>
      <c r="I740" t="n">
        <v>0</v>
      </c>
      <c r="J740" t="n">
        <v>0</v>
      </c>
      <c r="K740" t="n">
        <v>0</v>
      </c>
      <c r="L740" t="n">
        <v>0</v>
      </c>
      <c r="M740" t="n">
        <v>0</v>
      </c>
      <c r="N740" t="n">
        <v>0</v>
      </c>
      <c r="O740" t="n">
        <v>0</v>
      </c>
      <c r="P740" t="n">
        <v>0</v>
      </c>
      <c r="Q740" t="n">
        <v>0</v>
      </c>
      <c r="R740" s="2" t="inlineStr"/>
    </row>
    <row r="741" ht="15" customHeight="1">
      <c r="A741" t="inlineStr">
        <is>
          <t>A 12539-2023</t>
        </is>
      </c>
      <c r="B741" s="1" t="n">
        <v>45000.01452546296</v>
      </c>
      <c r="C741" s="1" t="n">
        <v>46048</v>
      </c>
      <c r="D741" t="inlineStr">
        <is>
          <t>VÄSTERNORRLANDS LÄN</t>
        </is>
      </c>
      <c r="E741" t="inlineStr">
        <is>
          <t>SOLLEFTEÅ</t>
        </is>
      </c>
      <c r="F741" t="inlineStr">
        <is>
          <t>SCA</t>
        </is>
      </c>
      <c r="G741" t="n">
        <v>3.8</v>
      </c>
      <c r="H741" t="n">
        <v>0</v>
      </c>
      <c r="I741" t="n">
        <v>0</v>
      </c>
      <c r="J741" t="n">
        <v>0</v>
      </c>
      <c r="K741" t="n">
        <v>0</v>
      </c>
      <c r="L741" t="n">
        <v>0</v>
      </c>
      <c r="M741" t="n">
        <v>0</v>
      </c>
      <c r="N741" t="n">
        <v>0</v>
      </c>
      <c r="O741" t="n">
        <v>0</v>
      </c>
      <c r="P741" t="n">
        <v>0</v>
      </c>
      <c r="Q741" t="n">
        <v>0</v>
      </c>
      <c r="R741" s="2" t="inlineStr"/>
    </row>
    <row r="742" ht="15" customHeight="1">
      <c r="A742" t="inlineStr">
        <is>
          <t>A 17999-2022</t>
        </is>
      </c>
      <c r="B742" s="1" t="n">
        <v>44683</v>
      </c>
      <c r="C742" s="1" t="n">
        <v>46048</v>
      </c>
      <c r="D742" t="inlineStr">
        <is>
          <t>VÄSTERNORRLANDS LÄN</t>
        </is>
      </c>
      <c r="E742" t="inlineStr">
        <is>
          <t>SOLLEFTEÅ</t>
        </is>
      </c>
      <c r="F742" t="inlineStr">
        <is>
          <t>SCA</t>
        </is>
      </c>
      <c r="G742" t="n">
        <v>4.8</v>
      </c>
      <c r="H742" t="n">
        <v>0</v>
      </c>
      <c r="I742" t="n">
        <v>0</v>
      </c>
      <c r="J742" t="n">
        <v>0</v>
      </c>
      <c r="K742" t="n">
        <v>0</v>
      </c>
      <c r="L742" t="n">
        <v>0</v>
      </c>
      <c r="M742" t="n">
        <v>0</v>
      </c>
      <c r="N742" t="n">
        <v>0</v>
      </c>
      <c r="O742" t="n">
        <v>0</v>
      </c>
      <c r="P742" t="n">
        <v>0</v>
      </c>
      <c r="Q742" t="n">
        <v>0</v>
      </c>
      <c r="R742" s="2" t="inlineStr"/>
    </row>
    <row r="743" ht="15" customHeight="1">
      <c r="A743" t="inlineStr">
        <is>
          <t>A 2045-2025</t>
        </is>
      </c>
      <c r="B743" s="1" t="n">
        <v>45672.51086805556</v>
      </c>
      <c r="C743" s="1" t="n">
        <v>46048</v>
      </c>
      <c r="D743" t="inlineStr">
        <is>
          <t>VÄSTERNORRLANDS LÄN</t>
        </is>
      </c>
      <c r="E743" t="inlineStr">
        <is>
          <t>SOLLEFTEÅ</t>
        </is>
      </c>
      <c r="F743" t="inlineStr">
        <is>
          <t>SCA</t>
        </is>
      </c>
      <c r="G743" t="n">
        <v>2.4</v>
      </c>
      <c r="H743" t="n">
        <v>0</v>
      </c>
      <c r="I743" t="n">
        <v>0</v>
      </c>
      <c r="J743" t="n">
        <v>0</v>
      </c>
      <c r="K743" t="n">
        <v>0</v>
      </c>
      <c r="L743" t="n">
        <v>0</v>
      </c>
      <c r="M743" t="n">
        <v>0</v>
      </c>
      <c r="N743" t="n">
        <v>0</v>
      </c>
      <c r="O743" t="n">
        <v>0</v>
      </c>
      <c r="P743" t="n">
        <v>0</v>
      </c>
      <c r="Q743" t="n">
        <v>0</v>
      </c>
      <c r="R743" s="2" t="inlineStr"/>
    </row>
    <row r="744" ht="15" customHeight="1">
      <c r="A744" t="inlineStr">
        <is>
          <t>A 2048-2025</t>
        </is>
      </c>
      <c r="B744" s="1" t="n">
        <v>45671</v>
      </c>
      <c r="C744" s="1" t="n">
        <v>46048</v>
      </c>
      <c r="D744" t="inlineStr">
        <is>
          <t>VÄSTERNORRLANDS LÄN</t>
        </is>
      </c>
      <c r="E744" t="inlineStr">
        <is>
          <t>SOLLEFTEÅ</t>
        </is>
      </c>
      <c r="G744" t="n">
        <v>13.5</v>
      </c>
      <c r="H744" t="n">
        <v>0</v>
      </c>
      <c r="I744" t="n">
        <v>0</v>
      </c>
      <c r="J744" t="n">
        <v>0</v>
      </c>
      <c r="K744" t="n">
        <v>0</v>
      </c>
      <c r="L744" t="n">
        <v>0</v>
      </c>
      <c r="M744" t="n">
        <v>0</v>
      </c>
      <c r="N744" t="n">
        <v>0</v>
      </c>
      <c r="O744" t="n">
        <v>0</v>
      </c>
      <c r="P744" t="n">
        <v>0</v>
      </c>
      <c r="Q744" t="n">
        <v>0</v>
      </c>
      <c r="R744" s="2" t="inlineStr"/>
    </row>
    <row r="745" ht="15" customHeight="1">
      <c r="A745" t="inlineStr">
        <is>
          <t>A 22208-2024</t>
        </is>
      </c>
      <c r="B745" s="1" t="n">
        <v>45446.38181712963</v>
      </c>
      <c r="C745" s="1" t="n">
        <v>46048</v>
      </c>
      <c r="D745" t="inlineStr">
        <is>
          <t>VÄSTERNORRLANDS LÄN</t>
        </is>
      </c>
      <c r="E745" t="inlineStr">
        <is>
          <t>SOLLEFTEÅ</t>
        </is>
      </c>
      <c r="G745" t="n">
        <v>2.2</v>
      </c>
      <c r="H745" t="n">
        <v>0</v>
      </c>
      <c r="I745" t="n">
        <v>0</v>
      </c>
      <c r="J745" t="n">
        <v>0</v>
      </c>
      <c r="K745" t="n">
        <v>0</v>
      </c>
      <c r="L745" t="n">
        <v>0</v>
      </c>
      <c r="M745" t="n">
        <v>0</v>
      </c>
      <c r="N745" t="n">
        <v>0</v>
      </c>
      <c r="O745" t="n">
        <v>0</v>
      </c>
      <c r="P745" t="n">
        <v>0</v>
      </c>
      <c r="Q745" t="n">
        <v>0</v>
      </c>
      <c r="R745" s="2" t="inlineStr"/>
    </row>
    <row r="746" ht="15" customHeight="1">
      <c r="A746" t="inlineStr">
        <is>
          <t>A 21109-2025</t>
        </is>
      </c>
      <c r="B746" s="1" t="n">
        <v>45777.67744212963</v>
      </c>
      <c r="C746" s="1" t="n">
        <v>46048</v>
      </c>
      <c r="D746" t="inlineStr">
        <is>
          <t>VÄSTERNORRLANDS LÄN</t>
        </is>
      </c>
      <c r="E746" t="inlineStr">
        <is>
          <t>SOLLEFTEÅ</t>
        </is>
      </c>
      <c r="F746" t="inlineStr">
        <is>
          <t>SCA</t>
        </is>
      </c>
      <c r="G746" t="n">
        <v>38.2</v>
      </c>
      <c r="H746" t="n">
        <v>0</v>
      </c>
      <c r="I746" t="n">
        <v>0</v>
      </c>
      <c r="J746" t="n">
        <v>0</v>
      </c>
      <c r="K746" t="n">
        <v>0</v>
      </c>
      <c r="L746" t="n">
        <v>0</v>
      </c>
      <c r="M746" t="n">
        <v>0</v>
      </c>
      <c r="N746" t="n">
        <v>0</v>
      </c>
      <c r="O746" t="n">
        <v>0</v>
      </c>
      <c r="P746" t="n">
        <v>0</v>
      </c>
      <c r="Q746" t="n">
        <v>0</v>
      </c>
      <c r="R746" s="2" t="inlineStr"/>
    </row>
    <row r="747" ht="15" customHeight="1">
      <c r="A747" t="inlineStr">
        <is>
          <t>A 20867-2025</t>
        </is>
      </c>
      <c r="B747" s="1" t="n">
        <v>45777.34471064815</v>
      </c>
      <c r="C747" s="1" t="n">
        <v>46048</v>
      </c>
      <c r="D747" t="inlineStr">
        <is>
          <t>VÄSTERNORRLANDS LÄN</t>
        </is>
      </c>
      <c r="E747" t="inlineStr">
        <is>
          <t>SOLLEFTEÅ</t>
        </is>
      </c>
      <c r="F747" t="inlineStr">
        <is>
          <t>SCA</t>
        </is>
      </c>
      <c r="G747" t="n">
        <v>2.6</v>
      </c>
      <c r="H747" t="n">
        <v>0</v>
      </c>
      <c r="I747" t="n">
        <v>0</v>
      </c>
      <c r="J747" t="n">
        <v>0</v>
      </c>
      <c r="K747" t="n">
        <v>0</v>
      </c>
      <c r="L747" t="n">
        <v>0</v>
      </c>
      <c r="M747" t="n">
        <v>0</v>
      </c>
      <c r="N747" t="n">
        <v>0</v>
      </c>
      <c r="O747" t="n">
        <v>0</v>
      </c>
      <c r="P747" t="n">
        <v>0</v>
      </c>
      <c r="Q747" t="n">
        <v>0</v>
      </c>
      <c r="R747" s="2" t="inlineStr"/>
    </row>
    <row r="748" ht="15" customHeight="1">
      <c r="A748" t="inlineStr">
        <is>
          <t>A 4253-2025</t>
        </is>
      </c>
      <c r="B748" s="1" t="n">
        <v>45685.61232638889</v>
      </c>
      <c r="C748" s="1" t="n">
        <v>46048</v>
      </c>
      <c r="D748" t="inlineStr">
        <is>
          <t>VÄSTERNORRLANDS LÄN</t>
        </is>
      </c>
      <c r="E748" t="inlineStr">
        <is>
          <t>SOLLEFTEÅ</t>
        </is>
      </c>
      <c r="G748" t="n">
        <v>0.8</v>
      </c>
      <c r="H748" t="n">
        <v>0</v>
      </c>
      <c r="I748" t="n">
        <v>0</v>
      </c>
      <c r="J748" t="n">
        <v>0</v>
      </c>
      <c r="K748" t="n">
        <v>0</v>
      </c>
      <c r="L748" t="n">
        <v>0</v>
      </c>
      <c r="M748" t="n">
        <v>0</v>
      </c>
      <c r="N748" t="n">
        <v>0</v>
      </c>
      <c r="O748" t="n">
        <v>0</v>
      </c>
      <c r="P748" t="n">
        <v>0</v>
      </c>
      <c r="Q748" t="n">
        <v>0</v>
      </c>
      <c r="R748" s="2" t="inlineStr"/>
    </row>
    <row r="749" ht="15" customHeight="1">
      <c r="A749" t="inlineStr">
        <is>
          <t>A 3194-2025</t>
        </is>
      </c>
      <c r="B749" s="1" t="n">
        <v>45679.42130787037</v>
      </c>
      <c r="C749" s="1" t="n">
        <v>46048</v>
      </c>
      <c r="D749" t="inlineStr">
        <is>
          <t>VÄSTERNORRLANDS LÄN</t>
        </is>
      </c>
      <c r="E749" t="inlineStr">
        <is>
          <t>SOLLEFTEÅ</t>
        </is>
      </c>
      <c r="G749" t="n">
        <v>2.4</v>
      </c>
      <c r="H749" t="n">
        <v>0</v>
      </c>
      <c r="I749" t="n">
        <v>0</v>
      </c>
      <c r="J749" t="n">
        <v>0</v>
      </c>
      <c r="K749" t="n">
        <v>0</v>
      </c>
      <c r="L749" t="n">
        <v>0</v>
      </c>
      <c r="M749" t="n">
        <v>0</v>
      </c>
      <c r="N749" t="n">
        <v>0</v>
      </c>
      <c r="O749" t="n">
        <v>0</v>
      </c>
      <c r="P749" t="n">
        <v>0</v>
      </c>
      <c r="Q749" t="n">
        <v>0</v>
      </c>
      <c r="R749" s="2" t="inlineStr"/>
    </row>
    <row r="750" ht="15" customHeight="1">
      <c r="A750" t="inlineStr">
        <is>
          <t>A 59474-2024</t>
        </is>
      </c>
      <c r="B750" s="1" t="n">
        <v>45638.504375</v>
      </c>
      <c r="C750" s="1" t="n">
        <v>46048</v>
      </c>
      <c r="D750" t="inlineStr">
        <is>
          <t>VÄSTERNORRLANDS LÄN</t>
        </is>
      </c>
      <c r="E750" t="inlineStr">
        <is>
          <t>SOLLEFTEÅ</t>
        </is>
      </c>
      <c r="G750" t="n">
        <v>1.2</v>
      </c>
      <c r="H750" t="n">
        <v>0</v>
      </c>
      <c r="I750" t="n">
        <v>0</v>
      </c>
      <c r="J750" t="n">
        <v>0</v>
      </c>
      <c r="K750" t="n">
        <v>0</v>
      </c>
      <c r="L750" t="n">
        <v>0</v>
      </c>
      <c r="M750" t="n">
        <v>0</v>
      </c>
      <c r="N750" t="n">
        <v>0</v>
      </c>
      <c r="O750" t="n">
        <v>0</v>
      </c>
      <c r="P750" t="n">
        <v>0</v>
      </c>
      <c r="Q750" t="n">
        <v>0</v>
      </c>
      <c r="R750" s="2" t="inlineStr"/>
    </row>
    <row r="751" ht="15" customHeight="1">
      <c r="A751" t="inlineStr">
        <is>
          <t>A 47741-2023</t>
        </is>
      </c>
      <c r="B751" s="1" t="n">
        <v>45198</v>
      </c>
      <c r="C751" s="1" t="n">
        <v>46048</v>
      </c>
      <c r="D751" t="inlineStr">
        <is>
          <t>VÄSTERNORRLANDS LÄN</t>
        </is>
      </c>
      <c r="E751" t="inlineStr">
        <is>
          <t>SOLLEFTEÅ</t>
        </is>
      </c>
      <c r="G751" t="n">
        <v>5</v>
      </c>
      <c r="H751" t="n">
        <v>0</v>
      </c>
      <c r="I751" t="n">
        <v>0</v>
      </c>
      <c r="J751" t="n">
        <v>0</v>
      </c>
      <c r="K751" t="n">
        <v>0</v>
      </c>
      <c r="L751" t="n">
        <v>0</v>
      </c>
      <c r="M751" t="n">
        <v>0</v>
      </c>
      <c r="N751" t="n">
        <v>0</v>
      </c>
      <c r="O751" t="n">
        <v>0</v>
      </c>
      <c r="P751" t="n">
        <v>0</v>
      </c>
      <c r="Q751" t="n">
        <v>0</v>
      </c>
      <c r="R751" s="2" t="inlineStr"/>
    </row>
    <row r="752" ht="15" customHeight="1">
      <c r="A752" t="inlineStr">
        <is>
          <t>A 18185-2025</t>
        </is>
      </c>
      <c r="B752" s="1" t="n">
        <v>45761.66724537037</v>
      </c>
      <c r="C752" s="1" t="n">
        <v>46048</v>
      </c>
      <c r="D752" t="inlineStr">
        <is>
          <t>VÄSTERNORRLANDS LÄN</t>
        </is>
      </c>
      <c r="E752" t="inlineStr">
        <is>
          <t>SOLLEFTEÅ</t>
        </is>
      </c>
      <c r="G752" t="n">
        <v>2.5</v>
      </c>
      <c r="H752" t="n">
        <v>0</v>
      </c>
      <c r="I752" t="n">
        <v>0</v>
      </c>
      <c r="J752" t="n">
        <v>0</v>
      </c>
      <c r="K752" t="n">
        <v>0</v>
      </c>
      <c r="L752" t="n">
        <v>0</v>
      </c>
      <c r="M752" t="n">
        <v>0</v>
      </c>
      <c r="N752" t="n">
        <v>0</v>
      </c>
      <c r="O752" t="n">
        <v>0</v>
      </c>
      <c r="P752" t="n">
        <v>0</v>
      </c>
      <c r="Q752" t="n">
        <v>0</v>
      </c>
      <c r="R752" s="2" t="inlineStr"/>
    </row>
    <row r="753" ht="15" customHeight="1">
      <c r="A753" t="inlineStr">
        <is>
          <t>A 18263-2025</t>
        </is>
      </c>
      <c r="B753" s="1" t="n">
        <v>45762.36509259259</v>
      </c>
      <c r="C753" s="1" t="n">
        <v>46048</v>
      </c>
      <c r="D753" t="inlineStr">
        <is>
          <t>VÄSTERNORRLANDS LÄN</t>
        </is>
      </c>
      <c r="E753" t="inlineStr">
        <is>
          <t>SOLLEFTEÅ</t>
        </is>
      </c>
      <c r="F753" t="inlineStr">
        <is>
          <t>SCA</t>
        </is>
      </c>
      <c r="G753" t="n">
        <v>3.4</v>
      </c>
      <c r="H753" t="n">
        <v>0</v>
      </c>
      <c r="I753" t="n">
        <v>0</v>
      </c>
      <c r="J753" t="n">
        <v>0</v>
      </c>
      <c r="K753" t="n">
        <v>0</v>
      </c>
      <c r="L753" t="n">
        <v>0</v>
      </c>
      <c r="M753" t="n">
        <v>0</v>
      </c>
      <c r="N753" t="n">
        <v>0</v>
      </c>
      <c r="O753" t="n">
        <v>0</v>
      </c>
      <c r="P753" t="n">
        <v>0</v>
      </c>
      <c r="Q753" t="n">
        <v>0</v>
      </c>
      <c r="R753" s="2" t="inlineStr"/>
    </row>
    <row r="754" ht="15" customHeight="1">
      <c r="A754" t="inlineStr">
        <is>
          <t>A 62100-2023</t>
        </is>
      </c>
      <c r="B754" s="1" t="n">
        <v>45266.92689814815</v>
      </c>
      <c r="C754" s="1" t="n">
        <v>46048</v>
      </c>
      <c r="D754" t="inlineStr">
        <is>
          <t>VÄSTERNORRLANDS LÄN</t>
        </is>
      </c>
      <c r="E754" t="inlineStr">
        <is>
          <t>SOLLEFTEÅ</t>
        </is>
      </c>
      <c r="G754" t="n">
        <v>16.6</v>
      </c>
      <c r="H754" t="n">
        <v>0</v>
      </c>
      <c r="I754" t="n">
        <v>0</v>
      </c>
      <c r="J754" t="n">
        <v>0</v>
      </c>
      <c r="K754" t="n">
        <v>0</v>
      </c>
      <c r="L754" t="n">
        <v>0</v>
      </c>
      <c r="M754" t="n">
        <v>0</v>
      </c>
      <c r="N754" t="n">
        <v>0</v>
      </c>
      <c r="O754" t="n">
        <v>0</v>
      </c>
      <c r="P754" t="n">
        <v>0</v>
      </c>
      <c r="Q754" t="n">
        <v>0</v>
      </c>
      <c r="R754" s="2" t="inlineStr"/>
    </row>
    <row r="755" ht="15" customHeight="1">
      <c r="A755" t="inlineStr">
        <is>
          <t>A 21088-2025</t>
        </is>
      </c>
      <c r="B755" s="1" t="n">
        <v>45777.61498842593</v>
      </c>
      <c r="C755" s="1" t="n">
        <v>46048</v>
      </c>
      <c r="D755" t="inlineStr">
        <is>
          <t>VÄSTERNORRLANDS LÄN</t>
        </is>
      </c>
      <c r="E755" t="inlineStr">
        <is>
          <t>SOLLEFTEÅ</t>
        </is>
      </c>
      <c r="F755" t="inlineStr">
        <is>
          <t>SCA</t>
        </is>
      </c>
      <c r="G755" t="n">
        <v>1.9</v>
      </c>
      <c r="H755" t="n">
        <v>0</v>
      </c>
      <c r="I755" t="n">
        <v>0</v>
      </c>
      <c r="J755" t="n">
        <v>0</v>
      </c>
      <c r="K755" t="n">
        <v>0</v>
      </c>
      <c r="L755" t="n">
        <v>0</v>
      </c>
      <c r="M755" t="n">
        <v>0</v>
      </c>
      <c r="N755" t="n">
        <v>0</v>
      </c>
      <c r="O755" t="n">
        <v>0</v>
      </c>
      <c r="P755" t="n">
        <v>0</v>
      </c>
      <c r="Q755" t="n">
        <v>0</v>
      </c>
      <c r="R755" s="2" t="inlineStr"/>
    </row>
    <row r="756" ht="15" customHeight="1">
      <c r="A756" t="inlineStr">
        <is>
          <t>A 59501-2023</t>
        </is>
      </c>
      <c r="B756" s="1" t="n">
        <v>45254</v>
      </c>
      <c r="C756" s="1" t="n">
        <v>46048</v>
      </c>
      <c r="D756" t="inlineStr">
        <is>
          <t>VÄSTERNORRLANDS LÄN</t>
        </is>
      </c>
      <c r="E756" t="inlineStr">
        <is>
          <t>SOLLEFTEÅ</t>
        </is>
      </c>
      <c r="F756" t="inlineStr">
        <is>
          <t>Holmen skog AB</t>
        </is>
      </c>
      <c r="G756" t="n">
        <v>7.1</v>
      </c>
      <c r="H756" t="n">
        <v>0</v>
      </c>
      <c r="I756" t="n">
        <v>0</v>
      </c>
      <c r="J756" t="n">
        <v>0</v>
      </c>
      <c r="K756" t="n">
        <v>0</v>
      </c>
      <c r="L756" t="n">
        <v>0</v>
      </c>
      <c r="M756" t="n">
        <v>0</v>
      </c>
      <c r="N756" t="n">
        <v>0</v>
      </c>
      <c r="O756" t="n">
        <v>0</v>
      </c>
      <c r="P756" t="n">
        <v>0</v>
      </c>
      <c r="Q756" t="n">
        <v>0</v>
      </c>
      <c r="R756" s="2" t="inlineStr"/>
    </row>
    <row r="757" ht="15" customHeight="1">
      <c r="A757" t="inlineStr">
        <is>
          <t>A 61784-2023</t>
        </is>
      </c>
      <c r="B757" s="1" t="n">
        <v>45265</v>
      </c>
      <c r="C757" s="1" t="n">
        <v>46048</v>
      </c>
      <c r="D757" t="inlineStr">
        <is>
          <t>VÄSTERNORRLANDS LÄN</t>
        </is>
      </c>
      <c r="E757" t="inlineStr">
        <is>
          <t>SOLLEFTEÅ</t>
        </is>
      </c>
      <c r="F757" t="inlineStr">
        <is>
          <t>SCA</t>
        </is>
      </c>
      <c r="G757" t="n">
        <v>9.1</v>
      </c>
      <c r="H757" t="n">
        <v>0</v>
      </c>
      <c r="I757" t="n">
        <v>0</v>
      </c>
      <c r="J757" t="n">
        <v>0</v>
      </c>
      <c r="K757" t="n">
        <v>0</v>
      </c>
      <c r="L757" t="n">
        <v>0</v>
      </c>
      <c r="M757" t="n">
        <v>0</v>
      </c>
      <c r="N757" t="n">
        <v>0</v>
      </c>
      <c r="O757" t="n">
        <v>0</v>
      </c>
      <c r="P757" t="n">
        <v>0</v>
      </c>
      <c r="Q757" t="n">
        <v>0</v>
      </c>
      <c r="R757" s="2" t="inlineStr"/>
    </row>
    <row r="758" ht="15" customHeight="1">
      <c r="A758" t="inlineStr">
        <is>
          <t>A 20638-2025</t>
        </is>
      </c>
      <c r="B758" s="1" t="n">
        <v>45776.36480324074</v>
      </c>
      <c r="C758" s="1" t="n">
        <v>46048</v>
      </c>
      <c r="D758" t="inlineStr">
        <is>
          <t>VÄSTERNORRLANDS LÄN</t>
        </is>
      </c>
      <c r="E758" t="inlineStr">
        <is>
          <t>SOLLEFTEÅ</t>
        </is>
      </c>
      <c r="G758" t="n">
        <v>2.5</v>
      </c>
      <c r="H758" t="n">
        <v>0</v>
      </c>
      <c r="I758" t="n">
        <v>0</v>
      </c>
      <c r="J758" t="n">
        <v>0</v>
      </c>
      <c r="K758" t="n">
        <v>0</v>
      </c>
      <c r="L758" t="n">
        <v>0</v>
      </c>
      <c r="M758" t="n">
        <v>0</v>
      </c>
      <c r="N758" t="n">
        <v>0</v>
      </c>
      <c r="O758" t="n">
        <v>0</v>
      </c>
      <c r="P758" t="n">
        <v>0</v>
      </c>
      <c r="Q758" t="n">
        <v>0</v>
      </c>
      <c r="R758" s="2" t="inlineStr"/>
    </row>
    <row r="759" ht="15" customHeight="1">
      <c r="A759" t="inlineStr">
        <is>
          <t>A 20793-2025</t>
        </is>
      </c>
      <c r="B759" s="1" t="n">
        <v>45776</v>
      </c>
      <c r="C759" s="1" t="n">
        <v>46048</v>
      </c>
      <c r="D759" t="inlineStr">
        <is>
          <t>VÄSTERNORRLANDS LÄN</t>
        </is>
      </c>
      <c r="E759" t="inlineStr">
        <is>
          <t>SOLLEFTEÅ</t>
        </is>
      </c>
      <c r="G759" t="n">
        <v>1.4</v>
      </c>
      <c r="H759" t="n">
        <v>0</v>
      </c>
      <c r="I759" t="n">
        <v>0</v>
      </c>
      <c r="J759" t="n">
        <v>0</v>
      </c>
      <c r="K759" t="n">
        <v>0</v>
      </c>
      <c r="L759" t="n">
        <v>0</v>
      </c>
      <c r="M759" t="n">
        <v>0</v>
      </c>
      <c r="N759" t="n">
        <v>0</v>
      </c>
      <c r="O759" t="n">
        <v>0</v>
      </c>
      <c r="P759" t="n">
        <v>0</v>
      </c>
      <c r="Q759" t="n">
        <v>0</v>
      </c>
      <c r="R759" s="2" t="inlineStr"/>
    </row>
    <row r="760" ht="15" customHeight="1">
      <c r="A760" t="inlineStr">
        <is>
          <t>A 10554-2022</t>
        </is>
      </c>
      <c r="B760" s="1" t="n">
        <v>44623.93775462963</v>
      </c>
      <c r="C760" s="1" t="n">
        <v>46048</v>
      </c>
      <c r="D760" t="inlineStr">
        <is>
          <t>VÄSTERNORRLANDS LÄN</t>
        </is>
      </c>
      <c r="E760" t="inlineStr">
        <is>
          <t>SOLLEFTEÅ</t>
        </is>
      </c>
      <c r="F760" t="inlineStr">
        <is>
          <t>SCA</t>
        </is>
      </c>
      <c r="G760" t="n">
        <v>1.5</v>
      </c>
      <c r="H760" t="n">
        <v>0</v>
      </c>
      <c r="I760" t="n">
        <v>0</v>
      </c>
      <c r="J760" t="n">
        <v>0</v>
      </c>
      <c r="K760" t="n">
        <v>0</v>
      </c>
      <c r="L760" t="n">
        <v>0</v>
      </c>
      <c r="M760" t="n">
        <v>0</v>
      </c>
      <c r="N760" t="n">
        <v>0</v>
      </c>
      <c r="O760" t="n">
        <v>0</v>
      </c>
      <c r="P760" t="n">
        <v>0</v>
      </c>
      <c r="Q760" t="n">
        <v>0</v>
      </c>
      <c r="R760" s="2" t="inlineStr"/>
    </row>
    <row r="761" ht="15" customHeight="1">
      <c r="A761" t="inlineStr">
        <is>
          <t>A 14252-2025</t>
        </is>
      </c>
      <c r="B761" s="1" t="n">
        <v>45740.61601851852</v>
      </c>
      <c r="C761" s="1" t="n">
        <v>46048</v>
      </c>
      <c r="D761" t="inlineStr">
        <is>
          <t>VÄSTERNORRLANDS LÄN</t>
        </is>
      </c>
      <c r="E761" t="inlineStr">
        <is>
          <t>SOLLEFTEÅ</t>
        </is>
      </c>
      <c r="F761" t="inlineStr">
        <is>
          <t>SCA</t>
        </is>
      </c>
      <c r="G761" t="n">
        <v>4.4</v>
      </c>
      <c r="H761" t="n">
        <v>0</v>
      </c>
      <c r="I761" t="n">
        <v>0</v>
      </c>
      <c r="J761" t="n">
        <v>0</v>
      </c>
      <c r="K761" t="n">
        <v>0</v>
      </c>
      <c r="L761" t="n">
        <v>0</v>
      </c>
      <c r="M761" t="n">
        <v>0</v>
      </c>
      <c r="N761" t="n">
        <v>0</v>
      </c>
      <c r="O761" t="n">
        <v>0</v>
      </c>
      <c r="P761" t="n">
        <v>0</v>
      </c>
      <c r="Q761" t="n">
        <v>0</v>
      </c>
      <c r="R761" s="2" t="inlineStr"/>
    </row>
    <row r="762" ht="15" customHeight="1">
      <c r="A762" t="inlineStr">
        <is>
          <t>A 15978-2023</t>
        </is>
      </c>
      <c r="B762" s="1" t="n">
        <v>45022.94188657407</v>
      </c>
      <c r="C762" s="1" t="n">
        <v>46048</v>
      </c>
      <c r="D762" t="inlineStr">
        <is>
          <t>VÄSTERNORRLANDS LÄN</t>
        </is>
      </c>
      <c r="E762" t="inlineStr">
        <is>
          <t>SOLLEFTEÅ</t>
        </is>
      </c>
      <c r="F762" t="inlineStr">
        <is>
          <t>SCA</t>
        </is>
      </c>
      <c r="G762" t="n">
        <v>3.7</v>
      </c>
      <c r="H762" t="n">
        <v>0</v>
      </c>
      <c r="I762" t="n">
        <v>0</v>
      </c>
      <c r="J762" t="n">
        <v>0</v>
      </c>
      <c r="K762" t="n">
        <v>0</v>
      </c>
      <c r="L762" t="n">
        <v>0</v>
      </c>
      <c r="M762" t="n">
        <v>0</v>
      </c>
      <c r="N762" t="n">
        <v>0</v>
      </c>
      <c r="O762" t="n">
        <v>0</v>
      </c>
      <c r="P762" t="n">
        <v>0</v>
      </c>
      <c r="Q762" t="n">
        <v>0</v>
      </c>
      <c r="R762" s="2" t="inlineStr"/>
    </row>
    <row r="763" ht="15" customHeight="1">
      <c r="A763" t="inlineStr">
        <is>
          <t>A 54538-2022</t>
        </is>
      </c>
      <c r="B763" s="1" t="n">
        <v>44882.77261574074</v>
      </c>
      <c r="C763" s="1" t="n">
        <v>46048</v>
      </c>
      <c r="D763" t="inlineStr">
        <is>
          <t>VÄSTERNORRLANDS LÄN</t>
        </is>
      </c>
      <c r="E763" t="inlineStr">
        <is>
          <t>SOLLEFTEÅ</t>
        </is>
      </c>
      <c r="G763" t="n">
        <v>3.8</v>
      </c>
      <c r="H763" t="n">
        <v>0</v>
      </c>
      <c r="I763" t="n">
        <v>0</v>
      </c>
      <c r="J763" t="n">
        <v>0</v>
      </c>
      <c r="K763" t="n">
        <v>0</v>
      </c>
      <c r="L763" t="n">
        <v>0</v>
      </c>
      <c r="M763" t="n">
        <v>0</v>
      </c>
      <c r="N763" t="n">
        <v>0</v>
      </c>
      <c r="O763" t="n">
        <v>0</v>
      </c>
      <c r="P763" t="n">
        <v>0</v>
      </c>
      <c r="Q763" t="n">
        <v>0</v>
      </c>
      <c r="R763" s="2" t="inlineStr"/>
    </row>
    <row r="764" ht="15" customHeight="1">
      <c r="A764" t="inlineStr">
        <is>
          <t>A 20725-2025</t>
        </is>
      </c>
      <c r="B764" s="1" t="n">
        <v>45776.51074074074</v>
      </c>
      <c r="C764" s="1" t="n">
        <v>46048</v>
      </c>
      <c r="D764" t="inlineStr">
        <is>
          <t>VÄSTERNORRLANDS LÄN</t>
        </is>
      </c>
      <c r="E764" t="inlineStr">
        <is>
          <t>SOLLEFTEÅ</t>
        </is>
      </c>
      <c r="F764" t="inlineStr">
        <is>
          <t>SCA</t>
        </is>
      </c>
      <c r="G764" t="n">
        <v>0.4</v>
      </c>
      <c r="H764" t="n">
        <v>0</v>
      </c>
      <c r="I764" t="n">
        <v>0</v>
      </c>
      <c r="J764" t="n">
        <v>0</v>
      </c>
      <c r="K764" t="n">
        <v>0</v>
      </c>
      <c r="L764" t="n">
        <v>0</v>
      </c>
      <c r="M764" t="n">
        <v>0</v>
      </c>
      <c r="N764" t="n">
        <v>0</v>
      </c>
      <c r="O764" t="n">
        <v>0</v>
      </c>
      <c r="P764" t="n">
        <v>0</v>
      </c>
      <c r="Q764" t="n">
        <v>0</v>
      </c>
      <c r="R764" s="2" t="inlineStr"/>
    </row>
    <row r="765" ht="15" customHeight="1">
      <c r="A765" t="inlineStr">
        <is>
          <t>A 58994-2024</t>
        </is>
      </c>
      <c r="B765" s="1" t="n">
        <v>45636.63717592593</v>
      </c>
      <c r="C765" s="1" t="n">
        <v>46048</v>
      </c>
      <c r="D765" t="inlineStr">
        <is>
          <t>VÄSTERNORRLANDS LÄN</t>
        </is>
      </c>
      <c r="E765" t="inlineStr">
        <is>
          <t>SOLLEFTEÅ</t>
        </is>
      </c>
      <c r="G765" t="n">
        <v>2.6</v>
      </c>
      <c r="H765" t="n">
        <v>0</v>
      </c>
      <c r="I765" t="n">
        <v>0</v>
      </c>
      <c r="J765" t="n">
        <v>0</v>
      </c>
      <c r="K765" t="n">
        <v>0</v>
      </c>
      <c r="L765" t="n">
        <v>0</v>
      </c>
      <c r="M765" t="n">
        <v>0</v>
      </c>
      <c r="N765" t="n">
        <v>0</v>
      </c>
      <c r="O765" t="n">
        <v>0</v>
      </c>
      <c r="P765" t="n">
        <v>0</v>
      </c>
      <c r="Q765" t="n">
        <v>0</v>
      </c>
      <c r="R765" s="2" t="inlineStr"/>
    </row>
    <row r="766" ht="15" customHeight="1">
      <c r="A766" t="inlineStr">
        <is>
          <t>A 16086-2024</t>
        </is>
      </c>
      <c r="B766" s="1" t="n">
        <v>45406</v>
      </c>
      <c r="C766" s="1" t="n">
        <v>46048</v>
      </c>
      <c r="D766" t="inlineStr">
        <is>
          <t>VÄSTERNORRLANDS LÄN</t>
        </is>
      </c>
      <c r="E766" t="inlineStr">
        <is>
          <t>SOLLEFTEÅ</t>
        </is>
      </c>
      <c r="G766" t="n">
        <v>15.9</v>
      </c>
      <c r="H766" t="n">
        <v>0</v>
      </c>
      <c r="I766" t="n">
        <v>0</v>
      </c>
      <c r="J766" t="n">
        <v>0</v>
      </c>
      <c r="K766" t="n">
        <v>0</v>
      </c>
      <c r="L766" t="n">
        <v>0</v>
      </c>
      <c r="M766" t="n">
        <v>0</v>
      </c>
      <c r="N766" t="n">
        <v>0</v>
      </c>
      <c r="O766" t="n">
        <v>0</v>
      </c>
      <c r="P766" t="n">
        <v>0</v>
      </c>
      <c r="Q766" t="n">
        <v>0</v>
      </c>
      <c r="R766" s="2" t="inlineStr"/>
    </row>
    <row r="767" ht="15" customHeight="1">
      <c r="A767" t="inlineStr">
        <is>
          <t>A 16468-2024</t>
        </is>
      </c>
      <c r="B767" s="1" t="n">
        <v>45408.0508449074</v>
      </c>
      <c r="C767" s="1" t="n">
        <v>46048</v>
      </c>
      <c r="D767" t="inlineStr">
        <is>
          <t>VÄSTERNORRLANDS LÄN</t>
        </is>
      </c>
      <c r="E767" t="inlineStr">
        <is>
          <t>SOLLEFTEÅ</t>
        </is>
      </c>
      <c r="F767" t="inlineStr">
        <is>
          <t>SCA</t>
        </is>
      </c>
      <c r="G767" t="n">
        <v>2.9</v>
      </c>
      <c r="H767" t="n">
        <v>0</v>
      </c>
      <c r="I767" t="n">
        <v>0</v>
      </c>
      <c r="J767" t="n">
        <v>0</v>
      </c>
      <c r="K767" t="n">
        <v>0</v>
      </c>
      <c r="L767" t="n">
        <v>0</v>
      </c>
      <c r="M767" t="n">
        <v>0</v>
      </c>
      <c r="N767" t="n">
        <v>0</v>
      </c>
      <c r="O767" t="n">
        <v>0</v>
      </c>
      <c r="P767" t="n">
        <v>0</v>
      </c>
      <c r="Q767" t="n">
        <v>0</v>
      </c>
      <c r="R767" s="2" t="inlineStr"/>
    </row>
    <row r="768" ht="15" customHeight="1">
      <c r="A768" t="inlineStr">
        <is>
          <t>A 52087-2023</t>
        </is>
      </c>
      <c r="B768" s="1" t="n">
        <v>45223</v>
      </c>
      <c r="C768" s="1" t="n">
        <v>46048</v>
      </c>
      <c r="D768" t="inlineStr">
        <is>
          <t>VÄSTERNORRLANDS LÄN</t>
        </is>
      </c>
      <c r="E768" t="inlineStr">
        <is>
          <t>SOLLEFTEÅ</t>
        </is>
      </c>
      <c r="G768" t="n">
        <v>10.7</v>
      </c>
      <c r="H768" t="n">
        <v>0</v>
      </c>
      <c r="I768" t="n">
        <v>0</v>
      </c>
      <c r="J768" t="n">
        <v>0</v>
      </c>
      <c r="K768" t="n">
        <v>0</v>
      </c>
      <c r="L768" t="n">
        <v>0</v>
      </c>
      <c r="M768" t="n">
        <v>0</v>
      </c>
      <c r="N768" t="n">
        <v>0</v>
      </c>
      <c r="O768" t="n">
        <v>0</v>
      </c>
      <c r="P768" t="n">
        <v>0</v>
      </c>
      <c r="Q768" t="n">
        <v>0</v>
      </c>
      <c r="R768" s="2" t="inlineStr"/>
    </row>
    <row r="769" ht="15" customHeight="1">
      <c r="A769" t="inlineStr">
        <is>
          <t>A 34281-2022</t>
        </is>
      </c>
      <c r="B769" s="1" t="n">
        <v>44791</v>
      </c>
      <c r="C769" s="1" t="n">
        <v>46048</v>
      </c>
      <c r="D769" t="inlineStr">
        <is>
          <t>VÄSTERNORRLANDS LÄN</t>
        </is>
      </c>
      <c r="E769" t="inlineStr">
        <is>
          <t>SOLLEFTEÅ</t>
        </is>
      </c>
      <c r="G769" t="n">
        <v>1.8</v>
      </c>
      <c r="H769" t="n">
        <v>0</v>
      </c>
      <c r="I769" t="n">
        <v>0</v>
      </c>
      <c r="J769" t="n">
        <v>0</v>
      </c>
      <c r="K769" t="n">
        <v>0</v>
      </c>
      <c r="L769" t="n">
        <v>0</v>
      </c>
      <c r="M769" t="n">
        <v>0</v>
      </c>
      <c r="N769" t="n">
        <v>0</v>
      </c>
      <c r="O769" t="n">
        <v>0</v>
      </c>
      <c r="P769" t="n">
        <v>0</v>
      </c>
      <c r="Q769" t="n">
        <v>0</v>
      </c>
      <c r="R769" s="2" t="inlineStr"/>
    </row>
    <row r="770" ht="15" customHeight="1">
      <c r="A770" t="inlineStr">
        <is>
          <t>A 43843-2024</t>
        </is>
      </c>
      <c r="B770" s="1" t="n">
        <v>45572</v>
      </c>
      <c r="C770" s="1" t="n">
        <v>46048</v>
      </c>
      <c r="D770" t="inlineStr">
        <is>
          <t>VÄSTERNORRLANDS LÄN</t>
        </is>
      </c>
      <c r="E770" t="inlineStr">
        <is>
          <t>SOLLEFTEÅ</t>
        </is>
      </c>
      <c r="F770" t="inlineStr">
        <is>
          <t>SCA</t>
        </is>
      </c>
      <c r="G770" t="n">
        <v>4</v>
      </c>
      <c r="H770" t="n">
        <v>0</v>
      </c>
      <c r="I770" t="n">
        <v>0</v>
      </c>
      <c r="J770" t="n">
        <v>0</v>
      </c>
      <c r="K770" t="n">
        <v>0</v>
      </c>
      <c r="L770" t="n">
        <v>0</v>
      </c>
      <c r="M770" t="n">
        <v>0</v>
      </c>
      <c r="N770" t="n">
        <v>0</v>
      </c>
      <c r="O770" t="n">
        <v>0</v>
      </c>
      <c r="P770" t="n">
        <v>0</v>
      </c>
      <c r="Q770" t="n">
        <v>0</v>
      </c>
      <c r="R770" s="2" t="inlineStr"/>
    </row>
    <row r="771" ht="15" customHeight="1">
      <c r="A771" t="inlineStr">
        <is>
          <t>A 51527-2024</t>
        </is>
      </c>
      <c r="B771" s="1" t="n">
        <v>45604</v>
      </c>
      <c r="C771" s="1" t="n">
        <v>46048</v>
      </c>
      <c r="D771" t="inlineStr">
        <is>
          <t>VÄSTERNORRLANDS LÄN</t>
        </is>
      </c>
      <c r="E771" t="inlineStr">
        <is>
          <t>SOLLEFTEÅ</t>
        </is>
      </c>
      <c r="G771" t="n">
        <v>2.7</v>
      </c>
      <c r="H771" t="n">
        <v>0</v>
      </c>
      <c r="I771" t="n">
        <v>0</v>
      </c>
      <c r="J771" t="n">
        <v>0</v>
      </c>
      <c r="K771" t="n">
        <v>0</v>
      </c>
      <c r="L771" t="n">
        <v>0</v>
      </c>
      <c r="M771" t="n">
        <v>0</v>
      </c>
      <c r="N771" t="n">
        <v>0</v>
      </c>
      <c r="O771" t="n">
        <v>0</v>
      </c>
      <c r="P771" t="n">
        <v>0</v>
      </c>
      <c r="Q771" t="n">
        <v>0</v>
      </c>
      <c r="R771" s="2" t="inlineStr"/>
    </row>
    <row r="772" ht="15" customHeight="1">
      <c r="A772" t="inlineStr">
        <is>
          <t>A 50720-2024</t>
        </is>
      </c>
      <c r="B772" s="1" t="n">
        <v>45602.38631944444</v>
      </c>
      <c r="C772" s="1" t="n">
        <v>46048</v>
      </c>
      <c r="D772" t="inlineStr">
        <is>
          <t>VÄSTERNORRLANDS LÄN</t>
        </is>
      </c>
      <c r="E772" t="inlineStr">
        <is>
          <t>SOLLEFTEÅ</t>
        </is>
      </c>
      <c r="F772" t="inlineStr">
        <is>
          <t>SCA</t>
        </is>
      </c>
      <c r="G772" t="n">
        <v>0.6</v>
      </c>
      <c r="H772" t="n">
        <v>0</v>
      </c>
      <c r="I772" t="n">
        <v>0</v>
      </c>
      <c r="J772" t="n">
        <v>0</v>
      </c>
      <c r="K772" t="n">
        <v>0</v>
      </c>
      <c r="L772" t="n">
        <v>0</v>
      </c>
      <c r="M772" t="n">
        <v>0</v>
      </c>
      <c r="N772" t="n">
        <v>0</v>
      </c>
      <c r="O772" t="n">
        <v>0</v>
      </c>
      <c r="P772" t="n">
        <v>0</v>
      </c>
      <c r="Q772" t="n">
        <v>0</v>
      </c>
      <c r="R772" s="2" t="inlineStr"/>
    </row>
    <row r="773" ht="15" customHeight="1">
      <c r="A773" t="inlineStr">
        <is>
          <t>A 3990-2024</t>
        </is>
      </c>
      <c r="B773" s="1" t="n">
        <v>45322.94880787037</v>
      </c>
      <c r="C773" s="1" t="n">
        <v>46048</v>
      </c>
      <c r="D773" t="inlineStr">
        <is>
          <t>VÄSTERNORRLANDS LÄN</t>
        </is>
      </c>
      <c r="E773" t="inlineStr">
        <is>
          <t>SOLLEFTEÅ</t>
        </is>
      </c>
      <c r="F773" t="inlineStr">
        <is>
          <t>SCA</t>
        </is>
      </c>
      <c r="G773" t="n">
        <v>6.3</v>
      </c>
      <c r="H773" t="n">
        <v>0</v>
      </c>
      <c r="I773" t="n">
        <v>0</v>
      </c>
      <c r="J773" t="n">
        <v>0</v>
      </c>
      <c r="K773" t="n">
        <v>0</v>
      </c>
      <c r="L773" t="n">
        <v>0</v>
      </c>
      <c r="M773" t="n">
        <v>0</v>
      </c>
      <c r="N773" t="n">
        <v>0</v>
      </c>
      <c r="O773" t="n">
        <v>0</v>
      </c>
      <c r="P773" t="n">
        <v>0</v>
      </c>
      <c r="Q773" t="n">
        <v>0</v>
      </c>
      <c r="R773" s="2" t="inlineStr"/>
    </row>
    <row r="774" ht="15" customHeight="1">
      <c r="A774" t="inlineStr">
        <is>
          <t>A 21269-2025</t>
        </is>
      </c>
      <c r="B774" s="1" t="n">
        <v>45779.62265046296</v>
      </c>
      <c r="C774" s="1" t="n">
        <v>46048</v>
      </c>
      <c r="D774" t="inlineStr">
        <is>
          <t>VÄSTERNORRLANDS LÄN</t>
        </is>
      </c>
      <c r="E774" t="inlineStr">
        <is>
          <t>SOLLEFTEÅ</t>
        </is>
      </c>
      <c r="G774" t="n">
        <v>3.7</v>
      </c>
      <c r="H774" t="n">
        <v>0</v>
      </c>
      <c r="I774" t="n">
        <v>0</v>
      </c>
      <c r="J774" t="n">
        <v>0</v>
      </c>
      <c r="K774" t="n">
        <v>0</v>
      </c>
      <c r="L774" t="n">
        <v>0</v>
      </c>
      <c r="M774" t="n">
        <v>0</v>
      </c>
      <c r="N774" t="n">
        <v>0</v>
      </c>
      <c r="O774" t="n">
        <v>0</v>
      </c>
      <c r="P774" t="n">
        <v>0</v>
      </c>
      <c r="Q774" t="n">
        <v>0</v>
      </c>
      <c r="R774" s="2" t="inlineStr"/>
    </row>
    <row r="775" ht="15" customHeight="1">
      <c r="A775" t="inlineStr">
        <is>
          <t>A 62171-2024</t>
        </is>
      </c>
      <c r="B775" s="1" t="n">
        <v>45657.65657407408</v>
      </c>
      <c r="C775" s="1" t="n">
        <v>46048</v>
      </c>
      <c r="D775" t="inlineStr">
        <is>
          <t>VÄSTERNORRLANDS LÄN</t>
        </is>
      </c>
      <c r="E775" t="inlineStr">
        <is>
          <t>SOLLEFTEÅ</t>
        </is>
      </c>
      <c r="F775" t="inlineStr">
        <is>
          <t>SCA</t>
        </is>
      </c>
      <c r="G775" t="n">
        <v>1.7</v>
      </c>
      <c r="H775" t="n">
        <v>0</v>
      </c>
      <c r="I775" t="n">
        <v>0</v>
      </c>
      <c r="J775" t="n">
        <v>0</v>
      </c>
      <c r="K775" t="n">
        <v>0</v>
      </c>
      <c r="L775" t="n">
        <v>0</v>
      </c>
      <c r="M775" t="n">
        <v>0</v>
      </c>
      <c r="N775" t="n">
        <v>0</v>
      </c>
      <c r="O775" t="n">
        <v>0</v>
      </c>
      <c r="P775" t="n">
        <v>0</v>
      </c>
      <c r="Q775" t="n">
        <v>0</v>
      </c>
      <c r="R775" s="2" t="inlineStr"/>
    </row>
    <row r="776" ht="15" customHeight="1">
      <c r="A776" t="inlineStr">
        <is>
          <t>A 9120-2024</t>
        </is>
      </c>
      <c r="B776" s="1" t="n">
        <v>45358.04091435186</v>
      </c>
      <c r="C776" s="1" t="n">
        <v>46048</v>
      </c>
      <c r="D776" t="inlineStr">
        <is>
          <t>VÄSTERNORRLANDS LÄN</t>
        </is>
      </c>
      <c r="E776" t="inlineStr">
        <is>
          <t>SOLLEFTEÅ</t>
        </is>
      </c>
      <c r="F776" t="inlineStr">
        <is>
          <t>SCA</t>
        </is>
      </c>
      <c r="G776" t="n">
        <v>2.9</v>
      </c>
      <c r="H776" t="n">
        <v>0</v>
      </c>
      <c r="I776" t="n">
        <v>0</v>
      </c>
      <c r="J776" t="n">
        <v>0</v>
      </c>
      <c r="K776" t="n">
        <v>0</v>
      </c>
      <c r="L776" t="n">
        <v>0</v>
      </c>
      <c r="M776" t="n">
        <v>0</v>
      </c>
      <c r="N776" t="n">
        <v>0</v>
      </c>
      <c r="O776" t="n">
        <v>0</v>
      </c>
      <c r="P776" t="n">
        <v>0</v>
      </c>
      <c r="Q776" t="n">
        <v>0</v>
      </c>
      <c r="R776" s="2" t="inlineStr"/>
    </row>
    <row r="777" ht="15" customHeight="1">
      <c r="A777" t="inlineStr">
        <is>
          <t>A 9122-2024</t>
        </is>
      </c>
      <c r="B777" s="1" t="n">
        <v>45358.04107638889</v>
      </c>
      <c r="C777" s="1" t="n">
        <v>46048</v>
      </c>
      <c r="D777" t="inlineStr">
        <is>
          <t>VÄSTERNORRLANDS LÄN</t>
        </is>
      </c>
      <c r="E777" t="inlineStr">
        <is>
          <t>SOLLEFTEÅ</t>
        </is>
      </c>
      <c r="F777" t="inlineStr">
        <is>
          <t>SCA</t>
        </is>
      </c>
      <c r="G777" t="n">
        <v>0.6</v>
      </c>
      <c r="H777" t="n">
        <v>0</v>
      </c>
      <c r="I777" t="n">
        <v>0</v>
      </c>
      <c r="J777" t="n">
        <v>0</v>
      </c>
      <c r="K777" t="n">
        <v>0</v>
      </c>
      <c r="L777" t="n">
        <v>0</v>
      </c>
      <c r="M777" t="n">
        <v>0</v>
      </c>
      <c r="N777" t="n">
        <v>0</v>
      </c>
      <c r="O777" t="n">
        <v>0</v>
      </c>
      <c r="P777" t="n">
        <v>0</v>
      </c>
      <c r="Q777" t="n">
        <v>0</v>
      </c>
      <c r="R777" s="2" t="inlineStr"/>
    </row>
    <row r="778" ht="15" customHeight="1">
      <c r="A778" t="inlineStr">
        <is>
          <t>A 16726-2024</t>
        </is>
      </c>
      <c r="B778" s="1" t="n">
        <v>45409.98535879629</v>
      </c>
      <c r="C778" s="1" t="n">
        <v>46048</v>
      </c>
      <c r="D778" t="inlineStr">
        <is>
          <t>VÄSTERNORRLANDS LÄN</t>
        </is>
      </c>
      <c r="E778" t="inlineStr">
        <is>
          <t>SOLLEFTEÅ</t>
        </is>
      </c>
      <c r="F778" t="inlineStr">
        <is>
          <t>SCA</t>
        </is>
      </c>
      <c r="G778" t="n">
        <v>6.1</v>
      </c>
      <c r="H778" t="n">
        <v>0</v>
      </c>
      <c r="I778" t="n">
        <v>0</v>
      </c>
      <c r="J778" t="n">
        <v>0</v>
      </c>
      <c r="K778" t="n">
        <v>0</v>
      </c>
      <c r="L778" t="n">
        <v>0</v>
      </c>
      <c r="M778" t="n">
        <v>0</v>
      </c>
      <c r="N778" t="n">
        <v>0</v>
      </c>
      <c r="O778" t="n">
        <v>0</v>
      </c>
      <c r="P778" t="n">
        <v>0</v>
      </c>
      <c r="Q778" t="n">
        <v>0</v>
      </c>
      <c r="R778" s="2" t="inlineStr"/>
    </row>
    <row r="779" ht="15" customHeight="1">
      <c r="A779" t="inlineStr">
        <is>
          <t>A 45719-2022</t>
        </is>
      </c>
      <c r="B779" s="1" t="n">
        <v>44845.95533564815</v>
      </c>
      <c r="C779" s="1" t="n">
        <v>46048</v>
      </c>
      <c r="D779" t="inlineStr">
        <is>
          <t>VÄSTERNORRLANDS LÄN</t>
        </is>
      </c>
      <c r="E779" t="inlineStr">
        <is>
          <t>SOLLEFTEÅ</t>
        </is>
      </c>
      <c r="F779" t="inlineStr">
        <is>
          <t>SCA</t>
        </is>
      </c>
      <c r="G779" t="n">
        <v>1.6</v>
      </c>
      <c r="H779" t="n">
        <v>0</v>
      </c>
      <c r="I779" t="n">
        <v>0</v>
      </c>
      <c r="J779" t="n">
        <v>0</v>
      </c>
      <c r="K779" t="n">
        <v>0</v>
      </c>
      <c r="L779" t="n">
        <v>0</v>
      </c>
      <c r="M779" t="n">
        <v>0</v>
      </c>
      <c r="N779" t="n">
        <v>0</v>
      </c>
      <c r="O779" t="n">
        <v>0</v>
      </c>
      <c r="P779" t="n">
        <v>0</v>
      </c>
      <c r="Q779" t="n">
        <v>0</v>
      </c>
      <c r="R779" s="2" t="inlineStr"/>
    </row>
    <row r="780" ht="15" customHeight="1">
      <c r="A780" t="inlineStr">
        <is>
          <t>A 11094-2023</t>
        </is>
      </c>
      <c r="B780" s="1" t="n">
        <v>44986</v>
      </c>
      <c r="C780" s="1" t="n">
        <v>46048</v>
      </c>
      <c r="D780" t="inlineStr">
        <is>
          <t>VÄSTERNORRLANDS LÄN</t>
        </is>
      </c>
      <c r="E780" t="inlineStr">
        <is>
          <t>SOLLEFTEÅ</t>
        </is>
      </c>
      <c r="G780" t="n">
        <v>1.3</v>
      </c>
      <c r="H780" t="n">
        <v>0</v>
      </c>
      <c r="I780" t="n">
        <v>0</v>
      </c>
      <c r="J780" t="n">
        <v>0</v>
      </c>
      <c r="K780" t="n">
        <v>0</v>
      </c>
      <c r="L780" t="n">
        <v>0</v>
      </c>
      <c r="M780" t="n">
        <v>0</v>
      </c>
      <c r="N780" t="n">
        <v>0</v>
      </c>
      <c r="O780" t="n">
        <v>0</v>
      </c>
      <c r="P780" t="n">
        <v>0</v>
      </c>
      <c r="Q780" t="n">
        <v>0</v>
      </c>
      <c r="R780" s="2" t="inlineStr"/>
    </row>
    <row r="781" ht="15" customHeight="1">
      <c r="A781" t="inlineStr">
        <is>
          <t>A 27392-2023</t>
        </is>
      </c>
      <c r="B781" s="1" t="n">
        <v>45096.93997685185</v>
      </c>
      <c r="C781" s="1" t="n">
        <v>46048</v>
      </c>
      <c r="D781" t="inlineStr">
        <is>
          <t>VÄSTERNORRLANDS LÄN</t>
        </is>
      </c>
      <c r="E781" t="inlineStr">
        <is>
          <t>SOLLEFTEÅ</t>
        </is>
      </c>
      <c r="F781" t="inlineStr">
        <is>
          <t>SCA</t>
        </is>
      </c>
      <c r="G781" t="n">
        <v>1.9</v>
      </c>
      <c r="H781" t="n">
        <v>0</v>
      </c>
      <c r="I781" t="n">
        <v>0</v>
      </c>
      <c r="J781" t="n">
        <v>0</v>
      </c>
      <c r="K781" t="n">
        <v>0</v>
      </c>
      <c r="L781" t="n">
        <v>0</v>
      </c>
      <c r="M781" t="n">
        <v>0</v>
      </c>
      <c r="N781" t="n">
        <v>0</v>
      </c>
      <c r="O781" t="n">
        <v>0</v>
      </c>
      <c r="P781" t="n">
        <v>0</v>
      </c>
      <c r="Q781" t="n">
        <v>0</v>
      </c>
      <c r="R781" s="2" t="inlineStr"/>
    </row>
    <row r="782" ht="15" customHeight="1">
      <c r="A782" t="inlineStr">
        <is>
          <t>A 18951-2025</t>
        </is>
      </c>
      <c r="B782" s="1" t="n">
        <v>45764.51086805556</v>
      </c>
      <c r="C782" s="1" t="n">
        <v>46048</v>
      </c>
      <c r="D782" t="inlineStr">
        <is>
          <t>VÄSTERNORRLANDS LÄN</t>
        </is>
      </c>
      <c r="E782" t="inlineStr">
        <is>
          <t>SOLLEFTEÅ</t>
        </is>
      </c>
      <c r="F782" t="inlineStr">
        <is>
          <t>SCA</t>
        </is>
      </c>
      <c r="G782" t="n">
        <v>3.8</v>
      </c>
      <c r="H782" t="n">
        <v>0</v>
      </c>
      <c r="I782" t="n">
        <v>0</v>
      </c>
      <c r="J782" t="n">
        <v>0</v>
      </c>
      <c r="K782" t="n">
        <v>0</v>
      </c>
      <c r="L782" t="n">
        <v>0</v>
      </c>
      <c r="M782" t="n">
        <v>0</v>
      </c>
      <c r="N782" t="n">
        <v>0</v>
      </c>
      <c r="O782" t="n">
        <v>0</v>
      </c>
      <c r="P782" t="n">
        <v>0</v>
      </c>
      <c r="Q782" t="n">
        <v>0</v>
      </c>
      <c r="R782" s="2" t="inlineStr"/>
    </row>
    <row r="783" ht="15" customHeight="1">
      <c r="A783" t="inlineStr">
        <is>
          <t>A 21491-2025</t>
        </is>
      </c>
      <c r="B783" s="1" t="n">
        <v>45782.59578703704</v>
      </c>
      <c r="C783" s="1" t="n">
        <v>46048</v>
      </c>
      <c r="D783" t="inlineStr">
        <is>
          <t>VÄSTERNORRLANDS LÄN</t>
        </is>
      </c>
      <c r="E783" t="inlineStr">
        <is>
          <t>SOLLEFTEÅ</t>
        </is>
      </c>
      <c r="F783" t="inlineStr">
        <is>
          <t>SCA</t>
        </is>
      </c>
      <c r="G783" t="n">
        <v>2.7</v>
      </c>
      <c r="H783" t="n">
        <v>0</v>
      </c>
      <c r="I783" t="n">
        <v>0</v>
      </c>
      <c r="J783" t="n">
        <v>0</v>
      </c>
      <c r="K783" t="n">
        <v>0</v>
      </c>
      <c r="L783" t="n">
        <v>0</v>
      </c>
      <c r="M783" t="n">
        <v>0</v>
      </c>
      <c r="N783" t="n">
        <v>0</v>
      </c>
      <c r="O783" t="n">
        <v>0</v>
      </c>
      <c r="P783" t="n">
        <v>0</v>
      </c>
      <c r="Q783" t="n">
        <v>0</v>
      </c>
      <c r="R783" s="2" t="inlineStr"/>
    </row>
    <row r="784" ht="15" customHeight="1">
      <c r="A784" t="inlineStr">
        <is>
          <t>A 49160-2021</t>
        </is>
      </c>
      <c r="B784" s="1" t="n">
        <v>44453.94021990741</v>
      </c>
      <c r="C784" s="1" t="n">
        <v>46048</v>
      </c>
      <c r="D784" t="inlineStr">
        <is>
          <t>VÄSTERNORRLANDS LÄN</t>
        </is>
      </c>
      <c r="E784" t="inlineStr">
        <is>
          <t>SOLLEFTEÅ</t>
        </is>
      </c>
      <c r="F784" t="inlineStr">
        <is>
          <t>SCA</t>
        </is>
      </c>
      <c r="G784" t="n">
        <v>3.4</v>
      </c>
      <c r="H784" t="n">
        <v>0</v>
      </c>
      <c r="I784" t="n">
        <v>0</v>
      </c>
      <c r="J784" t="n">
        <v>0</v>
      </c>
      <c r="K784" t="n">
        <v>0</v>
      </c>
      <c r="L784" t="n">
        <v>0</v>
      </c>
      <c r="M784" t="n">
        <v>0</v>
      </c>
      <c r="N784" t="n">
        <v>0</v>
      </c>
      <c r="O784" t="n">
        <v>0</v>
      </c>
      <c r="P784" t="n">
        <v>0</v>
      </c>
      <c r="Q784" t="n">
        <v>0</v>
      </c>
      <c r="R784" s="2" t="inlineStr"/>
    </row>
    <row r="785" ht="15" customHeight="1">
      <c r="A785" t="inlineStr">
        <is>
          <t>A 21687-2025</t>
        </is>
      </c>
      <c r="B785" s="1" t="n">
        <v>45783.49135416667</v>
      </c>
      <c r="C785" s="1" t="n">
        <v>46048</v>
      </c>
      <c r="D785" t="inlineStr">
        <is>
          <t>VÄSTERNORRLANDS LÄN</t>
        </is>
      </c>
      <c r="E785" t="inlineStr">
        <is>
          <t>SOLLEFTEÅ</t>
        </is>
      </c>
      <c r="G785" t="n">
        <v>4.1</v>
      </c>
      <c r="H785" t="n">
        <v>0</v>
      </c>
      <c r="I785" t="n">
        <v>0</v>
      </c>
      <c r="J785" t="n">
        <v>0</v>
      </c>
      <c r="K785" t="n">
        <v>0</v>
      </c>
      <c r="L785" t="n">
        <v>0</v>
      </c>
      <c r="M785" t="n">
        <v>0</v>
      </c>
      <c r="N785" t="n">
        <v>0</v>
      </c>
      <c r="O785" t="n">
        <v>0</v>
      </c>
      <c r="P785" t="n">
        <v>0</v>
      </c>
      <c r="Q785" t="n">
        <v>0</v>
      </c>
      <c r="R785" s="2" t="inlineStr"/>
    </row>
    <row r="786" ht="15" customHeight="1">
      <c r="A786" t="inlineStr">
        <is>
          <t>A 57487-2024</t>
        </is>
      </c>
      <c r="B786" s="1" t="n">
        <v>45630.36166666666</v>
      </c>
      <c r="C786" s="1" t="n">
        <v>46048</v>
      </c>
      <c r="D786" t="inlineStr">
        <is>
          <t>VÄSTERNORRLANDS LÄN</t>
        </is>
      </c>
      <c r="E786" t="inlineStr">
        <is>
          <t>SOLLEFTEÅ</t>
        </is>
      </c>
      <c r="F786" t="inlineStr">
        <is>
          <t>Holmen skog AB</t>
        </is>
      </c>
      <c r="G786" t="n">
        <v>0.8</v>
      </c>
      <c r="H786" t="n">
        <v>0</v>
      </c>
      <c r="I786" t="n">
        <v>0</v>
      </c>
      <c r="J786" t="n">
        <v>0</v>
      </c>
      <c r="K786" t="n">
        <v>0</v>
      </c>
      <c r="L786" t="n">
        <v>0</v>
      </c>
      <c r="M786" t="n">
        <v>0</v>
      </c>
      <c r="N786" t="n">
        <v>0</v>
      </c>
      <c r="O786" t="n">
        <v>0</v>
      </c>
      <c r="P786" t="n">
        <v>0</v>
      </c>
      <c r="Q786" t="n">
        <v>0</v>
      </c>
      <c r="R786" s="2" t="inlineStr"/>
    </row>
    <row r="787" ht="15" customHeight="1">
      <c r="A787" t="inlineStr">
        <is>
          <t>A 21346-2025</t>
        </is>
      </c>
      <c r="B787" s="1" t="n">
        <v>45782.40670138889</v>
      </c>
      <c r="C787" s="1" t="n">
        <v>46048</v>
      </c>
      <c r="D787" t="inlineStr">
        <is>
          <t>VÄSTERNORRLANDS LÄN</t>
        </is>
      </c>
      <c r="E787" t="inlineStr">
        <is>
          <t>SOLLEFTEÅ</t>
        </is>
      </c>
      <c r="F787" t="inlineStr">
        <is>
          <t>SCA</t>
        </is>
      </c>
      <c r="G787" t="n">
        <v>4.8</v>
      </c>
      <c r="H787" t="n">
        <v>0</v>
      </c>
      <c r="I787" t="n">
        <v>0</v>
      </c>
      <c r="J787" t="n">
        <v>0</v>
      </c>
      <c r="K787" t="n">
        <v>0</v>
      </c>
      <c r="L787" t="n">
        <v>0</v>
      </c>
      <c r="M787" t="n">
        <v>0</v>
      </c>
      <c r="N787" t="n">
        <v>0</v>
      </c>
      <c r="O787" t="n">
        <v>0</v>
      </c>
      <c r="P787" t="n">
        <v>0</v>
      </c>
      <c r="Q787" t="n">
        <v>0</v>
      </c>
      <c r="R787" s="2" t="inlineStr"/>
    </row>
    <row r="788" ht="15" customHeight="1">
      <c r="A788" t="inlineStr">
        <is>
          <t>A 21481-2025</t>
        </is>
      </c>
      <c r="B788" s="1" t="n">
        <v>45782.59451388889</v>
      </c>
      <c r="C788" s="1" t="n">
        <v>46048</v>
      </c>
      <c r="D788" t="inlineStr">
        <is>
          <t>VÄSTERNORRLANDS LÄN</t>
        </is>
      </c>
      <c r="E788" t="inlineStr">
        <is>
          <t>SOLLEFTEÅ</t>
        </is>
      </c>
      <c r="F788" t="inlineStr">
        <is>
          <t>SCA</t>
        </is>
      </c>
      <c r="G788" t="n">
        <v>3.2</v>
      </c>
      <c r="H788" t="n">
        <v>0</v>
      </c>
      <c r="I788" t="n">
        <v>0</v>
      </c>
      <c r="J788" t="n">
        <v>0</v>
      </c>
      <c r="K788" t="n">
        <v>0</v>
      </c>
      <c r="L788" t="n">
        <v>0</v>
      </c>
      <c r="M788" t="n">
        <v>0</v>
      </c>
      <c r="N788" t="n">
        <v>0</v>
      </c>
      <c r="O788" t="n">
        <v>0</v>
      </c>
      <c r="P788" t="n">
        <v>0</v>
      </c>
      <c r="Q788" t="n">
        <v>0</v>
      </c>
      <c r="R788" s="2" t="inlineStr"/>
    </row>
    <row r="789" ht="15" customHeight="1">
      <c r="A789" t="inlineStr">
        <is>
          <t>A 21348-2025</t>
        </is>
      </c>
      <c r="B789" s="1" t="n">
        <v>45782.40679398148</v>
      </c>
      <c r="C789" s="1" t="n">
        <v>46048</v>
      </c>
      <c r="D789" t="inlineStr">
        <is>
          <t>VÄSTERNORRLANDS LÄN</t>
        </is>
      </c>
      <c r="E789" t="inlineStr">
        <is>
          <t>SOLLEFTEÅ</t>
        </is>
      </c>
      <c r="G789" t="n">
        <v>1</v>
      </c>
      <c r="H789" t="n">
        <v>0</v>
      </c>
      <c r="I789" t="n">
        <v>0</v>
      </c>
      <c r="J789" t="n">
        <v>0</v>
      </c>
      <c r="K789" t="n">
        <v>0</v>
      </c>
      <c r="L789" t="n">
        <v>0</v>
      </c>
      <c r="M789" t="n">
        <v>0</v>
      </c>
      <c r="N789" t="n">
        <v>0</v>
      </c>
      <c r="O789" t="n">
        <v>0</v>
      </c>
      <c r="P789" t="n">
        <v>0</v>
      </c>
      <c r="Q789" t="n">
        <v>0</v>
      </c>
      <c r="R789" s="2" t="inlineStr"/>
    </row>
    <row r="790" ht="15" customHeight="1">
      <c r="A790" t="inlineStr">
        <is>
          <t>A 21429-2025</t>
        </is>
      </c>
      <c r="B790" s="1" t="n">
        <v>45782.51084490741</v>
      </c>
      <c r="C790" s="1" t="n">
        <v>46048</v>
      </c>
      <c r="D790" t="inlineStr">
        <is>
          <t>VÄSTERNORRLANDS LÄN</t>
        </is>
      </c>
      <c r="E790" t="inlineStr">
        <is>
          <t>SOLLEFTEÅ</t>
        </is>
      </c>
      <c r="F790" t="inlineStr">
        <is>
          <t>SCA</t>
        </is>
      </c>
      <c r="G790" t="n">
        <v>3.5</v>
      </c>
      <c r="H790" t="n">
        <v>0</v>
      </c>
      <c r="I790" t="n">
        <v>0</v>
      </c>
      <c r="J790" t="n">
        <v>0</v>
      </c>
      <c r="K790" t="n">
        <v>0</v>
      </c>
      <c r="L790" t="n">
        <v>0</v>
      </c>
      <c r="M790" t="n">
        <v>0</v>
      </c>
      <c r="N790" t="n">
        <v>0</v>
      </c>
      <c r="O790" t="n">
        <v>0</v>
      </c>
      <c r="P790" t="n">
        <v>0</v>
      </c>
      <c r="Q790" t="n">
        <v>0</v>
      </c>
      <c r="R790" s="2" t="inlineStr"/>
    </row>
    <row r="791" ht="15" customHeight="1">
      <c r="A791" t="inlineStr">
        <is>
          <t>A 21455-2025</t>
        </is>
      </c>
      <c r="B791" s="1" t="n">
        <v>45782.55332175926</v>
      </c>
      <c r="C791" s="1" t="n">
        <v>46048</v>
      </c>
      <c r="D791" t="inlineStr">
        <is>
          <t>VÄSTERNORRLANDS LÄN</t>
        </is>
      </c>
      <c r="E791" t="inlineStr">
        <is>
          <t>SOLLEFTEÅ</t>
        </is>
      </c>
      <c r="F791" t="inlineStr">
        <is>
          <t>SCA</t>
        </is>
      </c>
      <c r="G791" t="n">
        <v>10.5</v>
      </c>
      <c r="H791" t="n">
        <v>0</v>
      </c>
      <c r="I791" t="n">
        <v>0</v>
      </c>
      <c r="J791" t="n">
        <v>0</v>
      </c>
      <c r="K791" t="n">
        <v>0</v>
      </c>
      <c r="L791" t="n">
        <v>0</v>
      </c>
      <c r="M791" t="n">
        <v>0</v>
      </c>
      <c r="N791" t="n">
        <v>0</v>
      </c>
      <c r="O791" t="n">
        <v>0</v>
      </c>
      <c r="P791" t="n">
        <v>0</v>
      </c>
      <c r="Q791" t="n">
        <v>0</v>
      </c>
      <c r="R791" s="2" t="inlineStr"/>
    </row>
    <row r="792" ht="15" customHeight="1">
      <c r="A792" t="inlineStr">
        <is>
          <t>A 7234-2024</t>
        </is>
      </c>
      <c r="B792" s="1" t="n">
        <v>45344.65627314815</v>
      </c>
      <c r="C792" s="1" t="n">
        <v>46048</v>
      </c>
      <c r="D792" t="inlineStr">
        <is>
          <t>VÄSTERNORRLANDS LÄN</t>
        </is>
      </c>
      <c r="E792" t="inlineStr">
        <is>
          <t>SOLLEFTEÅ</t>
        </is>
      </c>
      <c r="G792" t="n">
        <v>3.1</v>
      </c>
      <c r="H792" t="n">
        <v>0</v>
      </c>
      <c r="I792" t="n">
        <v>0</v>
      </c>
      <c r="J792" t="n">
        <v>0</v>
      </c>
      <c r="K792" t="n">
        <v>0</v>
      </c>
      <c r="L792" t="n">
        <v>0</v>
      </c>
      <c r="M792" t="n">
        <v>0</v>
      </c>
      <c r="N792" t="n">
        <v>0</v>
      </c>
      <c r="O792" t="n">
        <v>0</v>
      </c>
      <c r="P792" t="n">
        <v>0</v>
      </c>
      <c r="Q792" t="n">
        <v>0</v>
      </c>
      <c r="R792" s="2" t="inlineStr"/>
    </row>
    <row r="793" ht="15" customHeight="1">
      <c r="A793" t="inlineStr">
        <is>
          <t>A 25131-2024</t>
        </is>
      </c>
      <c r="B793" s="1" t="n">
        <v>45462.46725694444</v>
      </c>
      <c r="C793" s="1" t="n">
        <v>46048</v>
      </c>
      <c r="D793" t="inlineStr">
        <is>
          <t>VÄSTERNORRLANDS LÄN</t>
        </is>
      </c>
      <c r="E793" t="inlineStr">
        <is>
          <t>SOLLEFTEÅ</t>
        </is>
      </c>
      <c r="G793" t="n">
        <v>1.3</v>
      </c>
      <c r="H793" t="n">
        <v>0</v>
      </c>
      <c r="I793" t="n">
        <v>0</v>
      </c>
      <c r="J793" t="n">
        <v>0</v>
      </c>
      <c r="K793" t="n">
        <v>0</v>
      </c>
      <c r="L793" t="n">
        <v>0</v>
      </c>
      <c r="M793" t="n">
        <v>0</v>
      </c>
      <c r="N793" t="n">
        <v>0</v>
      </c>
      <c r="O793" t="n">
        <v>0</v>
      </c>
      <c r="P793" t="n">
        <v>0</v>
      </c>
      <c r="Q793" t="n">
        <v>0</v>
      </c>
      <c r="R793" s="2" t="inlineStr"/>
    </row>
    <row r="794" ht="15" customHeight="1">
      <c r="A794" t="inlineStr">
        <is>
          <t>A 21669-2025</t>
        </is>
      </c>
      <c r="B794" s="1" t="n">
        <v>45783.46905092592</v>
      </c>
      <c r="C794" s="1" t="n">
        <v>46048</v>
      </c>
      <c r="D794" t="inlineStr">
        <is>
          <t>VÄSTERNORRLANDS LÄN</t>
        </is>
      </c>
      <c r="E794" t="inlineStr">
        <is>
          <t>SOLLEFTEÅ</t>
        </is>
      </c>
      <c r="F794" t="inlineStr">
        <is>
          <t>SCA</t>
        </is>
      </c>
      <c r="G794" t="n">
        <v>7.8</v>
      </c>
      <c r="H794" t="n">
        <v>0</v>
      </c>
      <c r="I794" t="n">
        <v>0</v>
      </c>
      <c r="J794" t="n">
        <v>0</v>
      </c>
      <c r="K794" t="n">
        <v>0</v>
      </c>
      <c r="L794" t="n">
        <v>0</v>
      </c>
      <c r="M794" t="n">
        <v>0</v>
      </c>
      <c r="N794" t="n">
        <v>0</v>
      </c>
      <c r="O794" t="n">
        <v>0</v>
      </c>
      <c r="P794" t="n">
        <v>0</v>
      </c>
      <c r="Q794" t="n">
        <v>0</v>
      </c>
      <c r="R794" s="2" t="inlineStr"/>
    </row>
    <row r="795" ht="15" customHeight="1">
      <c r="A795" t="inlineStr">
        <is>
          <t>A 21489-2025</t>
        </is>
      </c>
      <c r="B795" s="1" t="n">
        <v>45782.59555555556</v>
      </c>
      <c r="C795" s="1" t="n">
        <v>46048</v>
      </c>
      <c r="D795" t="inlineStr">
        <is>
          <t>VÄSTERNORRLANDS LÄN</t>
        </is>
      </c>
      <c r="E795" t="inlineStr">
        <is>
          <t>SOLLEFTEÅ</t>
        </is>
      </c>
      <c r="F795" t="inlineStr">
        <is>
          <t>SCA</t>
        </is>
      </c>
      <c r="G795" t="n">
        <v>3.6</v>
      </c>
      <c r="H795" t="n">
        <v>0</v>
      </c>
      <c r="I795" t="n">
        <v>0</v>
      </c>
      <c r="J795" t="n">
        <v>0</v>
      </c>
      <c r="K795" t="n">
        <v>0</v>
      </c>
      <c r="L795" t="n">
        <v>0</v>
      </c>
      <c r="M795" t="n">
        <v>0</v>
      </c>
      <c r="N795" t="n">
        <v>0</v>
      </c>
      <c r="O795" t="n">
        <v>0</v>
      </c>
      <c r="P795" t="n">
        <v>0</v>
      </c>
      <c r="Q795" t="n">
        <v>0</v>
      </c>
      <c r="R795" s="2" t="inlineStr"/>
    </row>
    <row r="796" ht="15" customHeight="1">
      <c r="A796" t="inlineStr">
        <is>
          <t>A 17034-2025</t>
        </is>
      </c>
      <c r="B796" s="1" t="n">
        <v>45755.57385416667</v>
      </c>
      <c r="C796" s="1" t="n">
        <v>46048</v>
      </c>
      <c r="D796" t="inlineStr">
        <is>
          <t>VÄSTERNORRLANDS LÄN</t>
        </is>
      </c>
      <c r="E796" t="inlineStr">
        <is>
          <t>SOLLEFTEÅ</t>
        </is>
      </c>
      <c r="F796" t="inlineStr">
        <is>
          <t>SCA</t>
        </is>
      </c>
      <c r="G796" t="n">
        <v>2</v>
      </c>
      <c r="H796" t="n">
        <v>0</v>
      </c>
      <c r="I796" t="n">
        <v>0</v>
      </c>
      <c r="J796" t="n">
        <v>0</v>
      </c>
      <c r="K796" t="n">
        <v>0</v>
      </c>
      <c r="L796" t="n">
        <v>0</v>
      </c>
      <c r="M796" t="n">
        <v>0</v>
      </c>
      <c r="N796" t="n">
        <v>0</v>
      </c>
      <c r="O796" t="n">
        <v>0</v>
      </c>
      <c r="P796" t="n">
        <v>0</v>
      </c>
      <c r="Q796" t="n">
        <v>0</v>
      </c>
      <c r="R796" s="2" t="inlineStr"/>
    </row>
    <row r="797" ht="15" customHeight="1">
      <c r="A797" t="inlineStr">
        <is>
          <t>A 19892-2025</t>
        </is>
      </c>
      <c r="B797" s="1" t="n">
        <v>45771.57461805556</v>
      </c>
      <c r="C797" s="1" t="n">
        <v>46048</v>
      </c>
      <c r="D797" t="inlineStr">
        <is>
          <t>VÄSTERNORRLANDS LÄN</t>
        </is>
      </c>
      <c r="E797" t="inlineStr">
        <is>
          <t>SOLLEFTEÅ</t>
        </is>
      </c>
      <c r="F797" t="inlineStr">
        <is>
          <t>SCA</t>
        </is>
      </c>
      <c r="G797" t="n">
        <v>1.1</v>
      </c>
      <c r="H797" t="n">
        <v>0</v>
      </c>
      <c r="I797" t="n">
        <v>0</v>
      </c>
      <c r="J797" t="n">
        <v>0</v>
      </c>
      <c r="K797" t="n">
        <v>0</v>
      </c>
      <c r="L797" t="n">
        <v>0</v>
      </c>
      <c r="M797" t="n">
        <v>0</v>
      </c>
      <c r="N797" t="n">
        <v>0</v>
      </c>
      <c r="O797" t="n">
        <v>0</v>
      </c>
      <c r="P797" t="n">
        <v>0</v>
      </c>
      <c r="Q797" t="n">
        <v>0</v>
      </c>
      <c r="R797" s="2" t="inlineStr"/>
    </row>
    <row r="798" ht="15" customHeight="1">
      <c r="A798" t="inlineStr">
        <is>
          <t>A 21553-2025</t>
        </is>
      </c>
      <c r="B798" s="1" t="n">
        <v>45782.67805555555</v>
      </c>
      <c r="C798" s="1" t="n">
        <v>46048</v>
      </c>
      <c r="D798" t="inlineStr">
        <is>
          <t>VÄSTERNORRLANDS LÄN</t>
        </is>
      </c>
      <c r="E798" t="inlineStr">
        <is>
          <t>SOLLEFTEÅ</t>
        </is>
      </c>
      <c r="F798" t="inlineStr">
        <is>
          <t>SCA</t>
        </is>
      </c>
      <c r="G798" t="n">
        <v>1.1</v>
      </c>
      <c r="H798" t="n">
        <v>0</v>
      </c>
      <c r="I798" t="n">
        <v>0</v>
      </c>
      <c r="J798" t="n">
        <v>0</v>
      </c>
      <c r="K798" t="n">
        <v>0</v>
      </c>
      <c r="L798" t="n">
        <v>0</v>
      </c>
      <c r="M798" t="n">
        <v>0</v>
      </c>
      <c r="N798" t="n">
        <v>0</v>
      </c>
      <c r="O798" t="n">
        <v>0</v>
      </c>
      <c r="P798" t="n">
        <v>0</v>
      </c>
      <c r="Q798" t="n">
        <v>0</v>
      </c>
      <c r="R798" s="2" t="inlineStr"/>
    </row>
    <row r="799" ht="15" customHeight="1">
      <c r="A799" t="inlineStr">
        <is>
          <t>A 21555-2025</t>
        </is>
      </c>
      <c r="B799" s="1" t="n">
        <v>45782.67828703704</v>
      </c>
      <c r="C799" s="1" t="n">
        <v>46048</v>
      </c>
      <c r="D799" t="inlineStr">
        <is>
          <t>VÄSTERNORRLANDS LÄN</t>
        </is>
      </c>
      <c r="E799" t="inlineStr">
        <is>
          <t>SOLLEFTEÅ</t>
        </is>
      </c>
      <c r="F799" t="inlineStr">
        <is>
          <t>SCA</t>
        </is>
      </c>
      <c r="G799" t="n">
        <v>3.8</v>
      </c>
      <c r="H799" t="n">
        <v>0</v>
      </c>
      <c r="I799" t="n">
        <v>0</v>
      </c>
      <c r="J799" t="n">
        <v>0</v>
      </c>
      <c r="K799" t="n">
        <v>0</v>
      </c>
      <c r="L799" t="n">
        <v>0</v>
      </c>
      <c r="M799" t="n">
        <v>0</v>
      </c>
      <c r="N799" t="n">
        <v>0</v>
      </c>
      <c r="O799" t="n">
        <v>0</v>
      </c>
      <c r="P799" t="n">
        <v>0</v>
      </c>
      <c r="Q799" t="n">
        <v>0</v>
      </c>
      <c r="R799" s="2" t="inlineStr"/>
    </row>
    <row r="800" ht="15" customHeight="1">
      <c r="A800" t="inlineStr">
        <is>
          <t>A 21564-2025</t>
        </is>
      </c>
      <c r="B800" s="1" t="n">
        <v>45782.69837962963</v>
      </c>
      <c r="C800" s="1" t="n">
        <v>46048</v>
      </c>
      <c r="D800" t="inlineStr">
        <is>
          <t>VÄSTERNORRLANDS LÄN</t>
        </is>
      </c>
      <c r="E800" t="inlineStr">
        <is>
          <t>SOLLEFTEÅ</t>
        </is>
      </c>
      <c r="F800" t="inlineStr">
        <is>
          <t>SCA</t>
        </is>
      </c>
      <c r="G800" t="n">
        <v>1.7</v>
      </c>
      <c r="H800" t="n">
        <v>0</v>
      </c>
      <c r="I800" t="n">
        <v>0</v>
      </c>
      <c r="J800" t="n">
        <v>0</v>
      </c>
      <c r="K800" t="n">
        <v>0</v>
      </c>
      <c r="L800" t="n">
        <v>0</v>
      </c>
      <c r="M800" t="n">
        <v>0</v>
      </c>
      <c r="N800" t="n">
        <v>0</v>
      </c>
      <c r="O800" t="n">
        <v>0</v>
      </c>
      <c r="P800" t="n">
        <v>0</v>
      </c>
      <c r="Q800" t="n">
        <v>0</v>
      </c>
      <c r="R800" s="2" t="inlineStr"/>
    </row>
    <row r="801" ht="15" customHeight="1">
      <c r="A801" t="inlineStr">
        <is>
          <t>A 30692-2021</t>
        </is>
      </c>
      <c r="B801" s="1" t="n">
        <v>44365</v>
      </c>
      <c r="C801" s="1" t="n">
        <v>46048</v>
      </c>
      <c r="D801" t="inlineStr">
        <is>
          <t>VÄSTERNORRLANDS LÄN</t>
        </is>
      </c>
      <c r="E801" t="inlineStr">
        <is>
          <t>SOLLEFTEÅ</t>
        </is>
      </c>
      <c r="G801" t="n">
        <v>2.4</v>
      </c>
      <c r="H801" t="n">
        <v>0</v>
      </c>
      <c r="I801" t="n">
        <v>0</v>
      </c>
      <c r="J801" t="n">
        <v>0</v>
      </c>
      <c r="K801" t="n">
        <v>0</v>
      </c>
      <c r="L801" t="n">
        <v>0</v>
      </c>
      <c r="M801" t="n">
        <v>0</v>
      </c>
      <c r="N801" t="n">
        <v>0</v>
      </c>
      <c r="O801" t="n">
        <v>0</v>
      </c>
      <c r="P801" t="n">
        <v>0</v>
      </c>
      <c r="Q801" t="n">
        <v>0</v>
      </c>
      <c r="R801" s="2" t="inlineStr"/>
    </row>
    <row r="802" ht="15" customHeight="1">
      <c r="A802" t="inlineStr">
        <is>
          <t>A 6058-2024</t>
        </is>
      </c>
      <c r="B802" s="1" t="n">
        <v>45336.75866898148</v>
      </c>
      <c r="C802" s="1" t="n">
        <v>46048</v>
      </c>
      <c r="D802" t="inlineStr">
        <is>
          <t>VÄSTERNORRLANDS LÄN</t>
        </is>
      </c>
      <c r="E802" t="inlineStr">
        <is>
          <t>SOLLEFTEÅ</t>
        </is>
      </c>
      <c r="F802" t="inlineStr">
        <is>
          <t>Övriga Aktiebolag</t>
        </is>
      </c>
      <c r="G802" t="n">
        <v>5.2</v>
      </c>
      <c r="H802" t="n">
        <v>0</v>
      </c>
      <c r="I802" t="n">
        <v>0</v>
      </c>
      <c r="J802" t="n">
        <v>0</v>
      </c>
      <c r="K802" t="n">
        <v>0</v>
      </c>
      <c r="L802" t="n">
        <v>0</v>
      </c>
      <c r="M802" t="n">
        <v>0</v>
      </c>
      <c r="N802" t="n">
        <v>0</v>
      </c>
      <c r="O802" t="n">
        <v>0</v>
      </c>
      <c r="P802" t="n">
        <v>0</v>
      </c>
      <c r="Q802" t="n">
        <v>0</v>
      </c>
      <c r="R802" s="2" t="inlineStr"/>
    </row>
    <row r="803" ht="15" customHeight="1">
      <c r="A803" t="inlineStr">
        <is>
          <t>A 21565-2025</t>
        </is>
      </c>
      <c r="B803" s="1" t="n">
        <v>45782</v>
      </c>
      <c r="C803" s="1" t="n">
        <v>46048</v>
      </c>
      <c r="D803" t="inlineStr">
        <is>
          <t>VÄSTERNORRLANDS LÄN</t>
        </is>
      </c>
      <c r="E803" t="inlineStr">
        <is>
          <t>SOLLEFTEÅ</t>
        </is>
      </c>
      <c r="F803" t="inlineStr">
        <is>
          <t>SCA</t>
        </is>
      </c>
      <c r="G803" t="n">
        <v>17.4</v>
      </c>
      <c r="H803" t="n">
        <v>0</v>
      </c>
      <c r="I803" t="n">
        <v>0</v>
      </c>
      <c r="J803" t="n">
        <v>0</v>
      </c>
      <c r="K803" t="n">
        <v>0</v>
      </c>
      <c r="L803" t="n">
        <v>0</v>
      </c>
      <c r="M803" t="n">
        <v>0</v>
      </c>
      <c r="N803" t="n">
        <v>0</v>
      </c>
      <c r="O803" t="n">
        <v>0</v>
      </c>
      <c r="P803" t="n">
        <v>0</v>
      </c>
      <c r="Q803" t="n">
        <v>0</v>
      </c>
      <c r="R803" s="2" t="inlineStr"/>
    </row>
    <row r="804" ht="15" customHeight="1">
      <c r="A804" t="inlineStr">
        <is>
          <t>A 51227-2024</t>
        </is>
      </c>
      <c r="B804" s="1" t="n">
        <v>45603.65729166667</v>
      </c>
      <c r="C804" s="1" t="n">
        <v>46048</v>
      </c>
      <c r="D804" t="inlineStr">
        <is>
          <t>VÄSTERNORRLANDS LÄN</t>
        </is>
      </c>
      <c r="E804" t="inlineStr">
        <is>
          <t>SOLLEFTEÅ</t>
        </is>
      </c>
      <c r="F804" t="inlineStr">
        <is>
          <t>SCA</t>
        </is>
      </c>
      <c r="G804" t="n">
        <v>5.5</v>
      </c>
      <c r="H804" t="n">
        <v>0</v>
      </c>
      <c r="I804" t="n">
        <v>0</v>
      </c>
      <c r="J804" t="n">
        <v>0</v>
      </c>
      <c r="K804" t="n">
        <v>0</v>
      </c>
      <c r="L804" t="n">
        <v>0</v>
      </c>
      <c r="M804" t="n">
        <v>0</v>
      </c>
      <c r="N804" t="n">
        <v>0</v>
      </c>
      <c r="O804" t="n">
        <v>0</v>
      </c>
      <c r="P804" t="n">
        <v>0</v>
      </c>
      <c r="Q804" t="n">
        <v>0</v>
      </c>
      <c r="R804" s="2" t="inlineStr"/>
    </row>
    <row r="805" ht="15" customHeight="1">
      <c r="A805" t="inlineStr">
        <is>
          <t>A 21863-2025</t>
        </is>
      </c>
      <c r="B805" s="1" t="n">
        <v>45784.36532407408</v>
      </c>
      <c r="C805" s="1" t="n">
        <v>46048</v>
      </c>
      <c r="D805" t="inlineStr">
        <is>
          <t>VÄSTERNORRLANDS LÄN</t>
        </is>
      </c>
      <c r="E805" t="inlineStr">
        <is>
          <t>SOLLEFTEÅ</t>
        </is>
      </c>
      <c r="F805" t="inlineStr">
        <is>
          <t>SCA</t>
        </is>
      </c>
      <c r="G805" t="n">
        <v>1.7</v>
      </c>
      <c r="H805" t="n">
        <v>0</v>
      </c>
      <c r="I805" t="n">
        <v>0</v>
      </c>
      <c r="J805" t="n">
        <v>0</v>
      </c>
      <c r="K805" t="n">
        <v>0</v>
      </c>
      <c r="L805" t="n">
        <v>0</v>
      </c>
      <c r="M805" t="n">
        <v>0</v>
      </c>
      <c r="N805" t="n">
        <v>0</v>
      </c>
      <c r="O805" t="n">
        <v>0</v>
      </c>
      <c r="P805" t="n">
        <v>0</v>
      </c>
      <c r="Q805" t="n">
        <v>0</v>
      </c>
      <c r="R805" s="2" t="inlineStr"/>
    </row>
    <row r="806" ht="15" customHeight="1">
      <c r="A806" t="inlineStr">
        <is>
          <t>A 34397-2021</t>
        </is>
      </c>
      <c r="B806" s="1" t="n">
        <v>44379</v>
      </c>
      <c r="C806" s="1" t="n">
        <v>46048</v>
      </c>
      <c r="D806" t="inlineStr">
        <is>
          <t>VÄSTERNORRLANDS LÄN</t>
        </is>
      </c>
      <c r="E806" t="inlineStr">
        <is>
          <t>SOLLEFTEÅ</t>
        </is>
      </c>
      <c r="F806" t="inlineStr">
        <is>
          <t>SCA</t>
        </is>
      </c>
      <c r="G806" t="n">
        <v>3.6</v>
      </c>
      <c r="H806" t="n">
        <v>0</v>
      </c>
      <c r="I806" t="n">
        <v>0</v>
      </c>
      <c r="J806" t="n">
        <v>0</v>
      </c>
      <c r="K806" t="n">
        <v>0</v>
      </c>
      <c r="L806" t="n">
        <v>0</v>
      </c>
      <c r="M806" t="n">
        <v>0</v>
      </c>
      <c r="N806" t="n">
        <v>0</v>
      </c>
      <c r="O806" t="n">
        <v>0</v>
      </c>
      <c r="P806" t="n">
        <v>0</v>
      </c>
      <c r="Q806" t="n">
        <v>0</v>
      </c>
      <c r="R806" s="2" t="inlineStr"/>
    </row>
    <row r="807" ht="15" customHeight="1">
      <c r="A807" t="inlineStr">
        <is>
          <t>A 22182-2025</t>
        </is>
      </c>
      <c r="B807" s="1" t="n">
        <v>45785.61640046296</v>
      </c>
      <c r="C807" s="1" t="n">
        <v>46048</v>
      </c>
      <c r="D807" t="inlineStr">
        <is>
          <t>VÄSTERNORRLANDS LÄN</t>
        </is>
      </c>
      <c r="E807" t="inlineStr">
        <is>
          <t>SOLLEFTEÅ</t>
        </is>
      </c>
      <c r="F807" t="inlineStr">
        <is>
          <t>SCA</t>
        </is>
      </c>
      <c r="G807" t="n">
        <v>1.9</v>
      </c>
      <c r="H807" t="n">
        <v>0</v>
      </c>
      <c r="I807" t="n">
        <v>0</v>
      </c>
      <c r="J807" t="n">
        <v>0</v>
      </c>
      <c r="K807" t="n">
        <v>0</v>
      </c>
      <c r="L807" t="n">
        <v>0</v>
      </c>
      <c r="M807" t="n">
        <v>0</v>
      </c>
      <c r="N807" t="n">
        <v>0</v>
      </c>
      <c r="O807" t="n">
        <v>0</v>
      </c>
      <c r="P807" t="n">
        <v>0</v>
      </c>
      <c r="Q807" t="n">
        <v>0</v>
      </c>
      <c r="R807" s="2" t="inlineStr"/>
    </row>
    <row r="808" ht="15" customHeight="1">
      <c r="A808" t="inlineStr">
        <is>
          <t>A 14055-2022</t>
        </is>
      </c>
      <c r="B808" s="1" t="n">
        <v>44650.93824074074</v>
      </c>
      <c r="C808" s="1" t="n">
        <v>46048</v>
      </c>
      <c r="D808" t="inlineStr">
        <is>
          <t>VÄSTERNORRLANDS LÄN</t>
        </is>
      </c>
      <c r="E808" t="inlineStr">
        <is>
          <t>SOLLEFTEÅ</t>
        </is>
      </c>
      <c r="F808" t="inlineStr">
        <is>
          <t>SCA</t>
        </is>
      </c>
      <c r="G808" t="n">
        <v>1.7</v>
      </c>
      <c r="H808" t="n">
        <v>0</v>
      </c>
      <c r="I808" t="n">
        <v>0</v>
      </c>
      <c r="J808" t="n">
        <v>0</v>
      </c>
      <c r="K808" t="n">
        <v>0</v>
      </c>
      <c r="L808" t="n">
        <v>0</v>
      </c>
      <c r="M808" t="n">
        <v>0</v>
      </c>
      <c r="N808" t="n">
        <v>0</v>
      </c>
      <c r="O808" t="n">
        <v>0</v>
      </c>
      <c r="P808" t="n">
        <v>0</v>
      </c>
      <c r="Q808" t="n">
        <v>0</v>
      </c>
      <c r="R808" s="2" t="inlineStr"/>
    </row>
    <row r="809" ht="15" customHeight="1">
      <c r="A809" t="inlineStr">
        <is>
          <t>A 28749-2023</t>
        </is>
      </c>
      <c r="B809" s="1" t="n">
        <v>45103</v>
      </c>
      <c r="C809" s="1" t="n">
        <v>46048</v>
      </c>
      <c r="D809" t="inlineStr">
        <is>
          <t>VÄSTERNORRLANDS LÄN</t>
        </is>
      </c>
      <c r="E809" t="inlineStr">
        <is>
          <t>SOLLEFTEÅ</t>
        </is>
      </c>
      <c r="F809" t="inlineStr">
        <is>
          <t>SCA</t>
        </is>
      </c>
      <c r="G809" t="n">
        <v>2.6</v>
      </c>
      <c r="H809" t="n">
        <v>0</v>
      </c>
      <c r="I809" t="n">
        <v>0</v>
      </c>
      <c r="J809" t="n">
        <v>0</v>
      </c>
      <c r="K809" t="n">
        <v>0</v>
      </c>
      <c r="L809" t="n">
        <v>0</v>
      </c>
      <c r="M809" t="n">
        <v>0</v>
      </c>
      <c r="N809" t="n">
        <v>0</v>
      </c>
      <c r="O809" t="n">
        <v>0</v>
      </c>
      <c r="P809" t="n">
        <v>0</v>
      </c>
      <c r="Q809" t="n">
        <v>0</v>
      </c>
      <c r="R809" s="2" t="inlineStr"/>
    </row>
    <row r="810" ht="15" customHeight="1">
      <c r="A810" t="inlineStr">
        <is>
          <t>A 55710-2024</t>
        </is>
      </c>
      <c r="B810" s="1" t="n">
        <v>45622.6985300926</v>
      </c>
      <c r="C810" s="1" t="n">
        <v>46048</v>
      </c>
      <c r="D810" t="inlineStr">
        <is>
          <t>VÄSTERNORRLANDS LÄN</t>
        </is>
      </c>
      <c r="E810" t="inlineStr">
        <is>
          <t>SOLLEFTEÅ</t>
        </is>
      </c>
      <c r="F810" t="inlineStr">
        <is>
          <t>SCA</t>
        </is>
      </c>
      <c r="G810" t="n">
        <v>1.7</v>
      </c>
      <c r="H810" t="n">
        <v>0</v>
      </c>
      <c r="I810" t="n">
        <v>0</v>
      </c>
      <c r="J810" t="n">
        <v>0</v>
      </c>
      <c r="K810" t="n">
        <v>0</v>
      </c>
      <c r="L810" t="n">
        <v>0</v>
      </c>
      <c r="M810" t="n">
        <v>0</v>
      </c>
      <c r="N810" t="n">
        <v>0</v>
      </c>
      <c r="O810" t="n">
        <v>0</v>
      </c>
      <c r="P810" t="n">
        <v>0</v>
      </c>
      <c r="Q810" t="n">
        <v>0</v>
      </c>
      <c r="R810" s="2" t="inlineStr"/>
    </row>
    <row r="811" ht="15" customHeight="1">
      <c r="A811" t="inlineStr">
        <is>
          <t>A 22106-2025</t>
        </is>
      </c>
      <c r="B811" s="1" t="n">
        <v>45785.48988425926</v>
      </c>
      <c r="C811" s="1" t="n">
        <v>46048</v>
      </c>
      <c r="D811" t="inlineStr">
        <is>
          <t>VÄSTERNORRLANDS LÄN</t>
        </is>
      </c>
      <c r="E811" t="inlineStr">
        <is>
          <t>SOLLEFTEÅ</t>
        </is>
      </c>
      <c r="F811" t="inlineStr">
        <is>
          <t>SCA</t>
        </is>
      </c>
      <c r="G811" t="n">
        <v>2.6</v>
      </c>
      <c r="H811" t="n">
        <v>0</v>
      </c>
      <c r="I811" t="n">
        <v>0</v>
      </c>
      <c r="J811" t="n">
        <v>0</v>
      </c>
      <c r="K811" t="n">
        <v>0</v>
      </c>
      <c r="L811" t="n">
        <v>0</v>
      </c>
      <c r="M811" t="n">
        <v>0</v>
      </c>
      <c r="N811" t="n">
        <v>0</v>
      </c>
      <c r="O811" t="n">
        <v>0</v>
      </c>
      <c r="P811" t="n">
        <v>0</v>
      </c>
      <c r="Q811" t="n">
        <v>0</v>
      </c>
      <c r="R811" s="2" t="inlineStr"/>
    </row>
    <row r="812" ht="15" customHeight="1">
      <c r="A812" t="inlineStr">
        <is>
          <t>A 21897-2025</t>
        </is>
      </c>
      <c r="B812" s="1" t="n">
        <v>45784.45376157408</v>
      </c>
      <c r="C812" s="1" t="n">
        <v>46048</v>
      </c>
      <c r="D812" t="inlineStr">
        <is>
          <t>VÄSTERNORRLANDS LÄN</t>
        </is>
      </c>
      <c r="E812" t="inlineStr">
        <is>
          <t>SOLLEFTEÅ</t>
        </is>
      </c>
      <c r="G812" t="n">
        <v>3.8</v>
      </c>
      <c r="H812" t="n">
        <v>0</v>
      </c>
      <c r="I812" t="n">
        <v>0</v>
      </c>
      <c r="J812" t="n">
        <v>0</v>
      </c>
      <c r="K812" t="n">
        <v>0</v>
      </c>
      <c r="L812" t="n">
        <v>0</v>
      </c>
      <c r="M812" t="n">
        <v>0</v>
      </c>
      <c r="N812" t="n">
        <v>0</v>
      </c>
      <c r="O812" t="n">
        <v>0</v>
      </c>
      <c r="P812" t="n">
        <v>0</v>
      </c>
      <c r="Q812" t="n">
        <v>0</v>
      </c>
      <c r="R812" s="2" t="inlineStr"/>
    </row>
    <row r="813" ht="15" customHeight="1">
      <c r="A813" t="inlineStr">
        <is>
          <t>A 22184-2025</t>
        </is>
      </c>
      <c r="B813" s="1" t="n">
        <v>45785.61679398148</v>
      </c>
      <c r="C813" s="1" t="n">
        <v>46048</v>
      </c>
      <c r="D813" t="inlineStr">
        <is>
          <t>VÄSTERNORRLANDS LÄN</t>
        </is>
      </c>
      <c r="E813" t="inlineStr">
        <is>
          <t>SOLLEFTEÅ</t>
        </is>
      </c>
      <c r="F813" t="inlineStr">
        <is>
          <t>SCA</t>
        </is>
      </c>
      <c r="G813" t="n">
        <v>7.4</v>
      </c>
      <c r="H813" t="n">
        <v>0</v>
      </c>
      <c r="I813" t="n">
        <v>0</v>
      </c>
      <c r="J813" t="n">
        <v>0</v>
      </c>
      <c r="K813" t="n">
        <v>0</v>
      </c>
      <c r="L813" t="n">
        <v>0</v>
      </c>
      <c r="M813" t="n">
        <v>0</v>
      </c>
      <c r="N813" t="n">
        <v>0</v>
      </c>
      <c r="O813" t="n">
        <v>0</v>
      </c>
      <c r="P813" t="n">
        <v>0</v>
      </c>
      <c r="Q813" t="n">
        <v>0</v>
      </c>
      <c r="R813" s="2" t="inlineStr"/>
    </row>
    <row r="814" ht="15" customHeight="1">
      <c r="A814" t="inlineStr">
        <is>
          <t>A 7107-2024</t>
        </is>
      </c>
      <c r="B814" s="1" t="n">
        <v>45343</v>
      </c>
      <c r="C814" s="1" t="n">
        <v>46048</v>
      </c>
      <c r="D814" t="inlineStr">
        <is>
          <t>VÄSTERNORRLANDS LÄN</t>
        </is>
      </c>
      <c r="E814" t="inlineStr">
        <is>
          <t>SOLLEFTEÅ</t>
        </is>
      </c>
      <c r="G814" t="n">
        <v>4.4</v>
      </c>
      <c r="H814" t="n">
        <v>0</v>
      </c>
      <c r="I814" t="n">
        <v>0</v>
      </c>
      <c r="J814" t="n">
        <v>0</v>
      </c>
      <c r="K814" t="n">
        <v>0</v>
      </c>
      <c r="L814" t="n">
        <v>0</v>
      </c>
      <c r="M814" t="n">
        <v>0</v>
      </c>
      <c r="N814" t="n">
        <v>0</v>
      </c>
      <c r="O814" t="n">
        <v>0</v>
      </c>
      <c r="P814" t="n">
        <v>0</v>
      </c>
      <c r="Q814" t="n">
        <v>0</v>
      </c>
      <c r="R814" s="2" t="inlineStr"/>
    </row>
    <row r="815" ht="15" customHeight="1">
      <c r="A815" t="inlineStr">
        <is>
          <t>A 22046-2025</t>
        </is>
      </c>
      <c r="B815" s="1" t="n">
        <v>45785.34412037037</v>
      </c>
      <c r="C815" s="1" t="n">
        <v>46048</v>
      </c>
      <c r="D815" t="inlineStr">
        <is>
          <t>VÄSTERNORRLANDS LÄN</t>
        </is>
      </c>
      <c r="E815" t="inlineStr">
        <is>
          <t>SOLLEFTEÅ</t>
        </is>
      </c>
      <c r="F815" t="inlineStr">
        <is>
          <t>SCA</t>
        </is>
      </c>
      <c r="G815" t="n">
        <v>5.5</v>
      </c>
      <c r="H815" t="n">
        <v>0</v>
      </c>
      <c r="I815" t="n">
        <v>0</v>
      </c>
      <c r="J815" t="n">
        <v>0</v>
      </c>
      <c r="K815" t="n">
        <v>0</v>
      </c>
      <c r="L815" t="n">
        <v>0</v>
      </c>
      <c r="M815" t="n">
        <v>0</v>
      </c>
      <c r="N815" t="n">
        <v>0</v>
      </c>
      <c r="O815" t="n">
        <v>0</v>
      </c>
      <c r="P815" t="n">
        <v>0</v>
      </c>
      <c r="Q815" t="n">
        <v>0</v>
      </c>
      <c r="R815" s="2" t="inlineStr"/>
    </row>
    <row r="816" ht="15" customHeight="1">
      <c r="A816" t="inlineStr">
        <is>
          <t>A 54618-2023</t>
        </is>
      </c>
      <c r="B816" s="1" t="n">
        <v>45233</v>
      </c>
      <c r="C816" s="1" t="n">
        <v>46048</v>
      </c>
      <c r="D816" t="inlineStr">
        <is>
          <t>VÄSTERNORRLANDS LÄN</t>
        </is>
      </c>
      <c r="E816" t="inlineStr">
        <is>
          <t>SOLLEFTEÅ</t>
        </is>
      </c>
      <c r="F816" t="inlineStr">
        <is>
          <t>SCA</t>
        </is>
      </c>
      <c r="G816" t="n">
        <v>0.9</v>
      </c>
      <c r="H816" t="n">
        <v>0</v>
      </c>
      <c r="I816" t="n">
        <v>0</v>
      </c>
      <c r="J816" t="n">
        <v>0</v>
      </c>
      <c r="K816" t="n">
        <v>0</v>
      </c>
      <c r="L816" t="n">
        <v>0</v>
      </c>
      <c r="M816" t="n">
        <v>0</v>
      </c>
      <c r="N816" t="n">
        <v>0</v>
      </c>
      <c r="O816" t="n">
        <v>0</v>
      </c>
      <c r="P816" t="n">
        <v>0</v>
      </c>
      <c r="Q816" t="n">
        <v>0</v>
      </c>
      <c r="R816" s="2" t="inlineStr"/>
    </row>
    <row r="817" ht="15" customHeight="1">
      <c r="A817" t="inlineStr">
        <is>
          <t>A 22211-2025</t>
        </is>
      </c>
      <c r="B817" s="1" t="n">
        <v>45785.65752314815</v>
      </c>
      <c r="C817" s="1" t="n">
        <v>46048</v>
      </c>
      <c r="D817" t="inlineStr">
        <is>
          <t>VÄSTERNORRLANDS LÄN</t>
        </is>
      </c>
      <c r="E817" t="inlineStr">
        <is>
          <t>SOLLEFTEÅ</t>
        </is>
      </c>
      <c r="F817" t="inlineStr">
        <is>
          <t>SCA</t>
        </is>
      </c>
      <c r="G817" t="n">
        <v>1.5</v>
      </c>
      <c r="H817" t="n">
        <v>0</v>
      </c>
      <c r="I817" t="n">
        <v>0</v>
      </c>
      <c r="J817" t="n">
        <v>0</v>
      </c>
      <c r="K817" t="n">
        <v>0</v>
      </c>
      <c r="L817" t="n">
        <v>0</v>
      </c>
      <c r="M817" t="n">
        <v>0</v>
      </c>
      <c r="N817" t="n">
        <v>0</v>
      </c>
      <c r="O817" t="n">
        <v>0</v>
      </c>
      <c r="P817" t="n">
        <v>0</v>
      </c>
      <c r="Q817" t="n">
        <v>0</v>
      </c>
      <c r="R817" s="2" t="inlineStr"/>
    </row>
    <row r="818" ht="15" customHeight="1">
      <c r="A818" t="inlineStr">
        <is>
          <t>A 21898-2025</t>
        </is>
      </c>
      <c r="B818" s="1" t="n">
        <v>45784.45386574074</v>
      </c>
      <c r="C818" s="1" t="n">
        <v>46048</v>
      </c>
      <c r="D818" t="inlineStr">
        <is>
          <t>VÄSTERNORRLANDS LÄN</t>
        </is>
      </c>
      <c r="E818" t="inlineStr">
        <is>
          <t>SOLLEFTEÅ</t>
        </is>
      </c>
      <c r="G818" t="n">
        <v>6.8</v>
      </c>
      <c r="H818" t="n">
        <v>0</v>
      </c>
      <c r="I818" t="n">
        <v>0</v>
      </c>
      <c r="J818" t="n">
        <v>0</v>
      </c>
      <c r="K818" t="n">
        <v>0</v>
      </c>
      <c r="L818" t="n">
        <v>0</v>
      </c>
      <c r="M818" t="n">
        <v>0</v>
      </c>
      <c r="N818" t="n">
        <v>0</v>
      </c>
      <c r="O818" t="n">
        <v>0</v>
      </c>
      <c r="P818" t="n">
        <v>0</v>
      </c>
      <c r="Q818" t="n">
        <v>0</v>
      </c>
      <c r="R818" s="2" t="inlineStr"/>
    </row>
    <row r="819" ht="15" customHeight="1">
      <c r="A819" t="inlineStr">
        <is>
          <t>A 43177-2023</t>
        </is>
      </c>
      <c r="B819" s="1" t="n">
        <v>45181</v>
      </c>
      <c r="C819" s="1" t="n">
        <v>46048</v>
      </c>
      <c r="D819" t="inlineStr">
        <is>
          <t>VÄSTERNORRLANDS LÄN</t>
        </is>
      </c>
      <c r="E819" t="inlineStr">
        <is>
          <t>SOLLEFTEÅ</t>
        </is>
      </c>
      <c r="F819" t="inlineStr">
        <is>
          <t>SCA</t>
        </is>
      </c>
      <c r="G819" t="n">
        <v>1.4</v>
      </c>
      <c r="H819" t="n">
        <v>0</v>
      </c>
      <c r="I819" t="n">
        <v>0</v>
      </c>
      <c r="J819" t="n">
        <v>0</v>
      </c>
      <c r="K819" t="n">
        <v>0</v>
      </c>
      <c r="L819" t="n">
        <v>0</v>
      </c>
      <c r="M819" t="n">
        <v>0</v>
      </c>
      <c r="N819" t="n">
        <v>0</v>
      </c>
      <c r="O819" t="n">
        <v>0</v>
      </c>
      <c r="P819" t="n">
        <v>0</v>
      </c>
      <c r="Q819" t="n">
        <v>0</v>
      </c>
      <c r="R819" s="2" t="inlineStr"/>
    </row>
    <row r="820" ht="15" customHeight="1">
      <c r="A820" t="inlineStr">
        <is>
          <t>A 21896-2025</t>
        </is>
      </c>
      <c r="B820" s="1" t="n">
        <v>45784.45366898148</v>
      </c>
      <c r="C820" s="1" t="n">
        <v>46048</v>
      </c>
      <c r="D820" t="inlineStr">
        <is>
          <t>VÄSTERNORRLANDS LÄN</t>
        </is>
      </c>
      <c r="E820" t="inlineStr">
        <is>
          <t>SOLLEFTEÅ</t>
        </is>
      </c>
      <c r="G820" t="n">
        <v>16.1</v>
      </c>
      <c r="H820" t="n">
        <v>0</v>
      </c>
      <c r="I820" t="n">
        <v>0</v>
      </c>
      <c r="J820" t="n">
        <v>0</v>
      </c>
      <c r="K820" t="n">
        <v>0</v>
      </c>
      <c r="L820" t="n">
        <v>0</v>
      </c>
      <c r="M820" t="n">
        <v>0</v>
      </c>
      <c r="N820" t="n">
        <v>0</v>
      </c>
      <c r="O820" t="n">
        <v>0</v>
      </c>
      <c r="P820" t="n">
        <v>0</v>
      </c>
      <c r="Q820" t="n">
        <v>0</v>
      </c>
      <c r="R820" s="2" t="inlineStr"/>
    </row>
    <row r="821" ht="15" customHeight="1">
      <c r="A821" t="inlineStr">
        <is>
          <t>A 33642-2023</t>
        </is>
      </c>
      <c r="B821" s="1" t="n">
        <v>45119</v>
      </c>
      <c r="C821" s="1" t="n">
        <v>46048</v>
      </c>
      <c r="D821" t="inlineStr">
        <is>
          <t>VÄSTERNORRLANDS LÄN</t>
        </is>
      </c>
      <c r="E821" t="inlineStr">
        <is>
          <t>SOLLEFTEÅ</t>
        </is>
      </c>
      <c r="F821" t="inlineStr">
        <is>
          <t>SCA</t>
        </is>
      </c>
      <c r="G821" t="n">
        <v>4.6</v>
      </c>
      <c r="H821" t="n">
        <v>0</v>
      </c>
      <c r="I821" t="n">
        <v>0</v>
      </c>
      <c r="J821" t="n">
        <v>0</v>
      </c>
      <c r="K821" t="n">
        <v>0</v>
      </c>
      <c r="L821" t="n">
        <v>0</v>
      </c>
      <c r="M821" t="n">
        <v>0</v>
      </c>
      <c r="N821" t="n">
        <v>0</v>
      </c>
      <c r="O821" t="n">
        <v>0</v>
      </c>
      <c r="P821" t="n">
        <v>0</v>
      </c>
      <c r="Q821" t="n">
        <v>0</v>
      </c>
      <c r="R821" s="2" t="inlineStr"/>
    </row>
    <row r="822" ht="15" customHeight="1">
      <c r="A822" t="inlineStr">
        <is>
          <t>A 2185-2025</t>
        </is>
      </c>
      <c r="B822" s="1" t="n">
        <v>45673</v>
      </c>
      <c r="C822" s="1" t="n">
        <v>46048</v>
      </c>
      <c r="D822" t="inlineStr">
        <is>
          <t>VÄSTERNORRLANDS LÄN</t>
        </is>
      </c>
      <c r="E822" t="inlineStr">
        <is>
          <t>SOLLEFTEÅ</t>
        </is>
      </c>
      <c r="G822" t="n">
        <v>7</v>
      </c>
      <c r="H822" t="n">
        <v>0</v>
      </c>
      <c r="I822" t="n">
        <v>0</v>
      </c>
      <c r="J822" t="n">
        <v>0</v>
      </c>
      <c r="K822" t="n">
        <v>0</v>
      </c>
      <c r="L822" t="n">
        <v>0</v>
      </c>
      <c r="M822" t="n">
        <v>0</v>
      </c>
      <c r="N822" t="n">
        <v>0</v>
      </c>
      <c r="O822" t="n">
        <v>0</v>
      </c>
      <c r="P822" t="n">
        <v>0</v>
      </c>
      <c r="Q822" t="n">
        <v>0</v>
      </c>
      <c r="R822" s="2" t="inlineStr"/>
    </row>
    <row r="823" ht="15" customHeight="1">
      <c r="A823" t="inlineStr">
        <is>
          <t>A 60389-2024</t>
        </is>
      </c>
      <c r="B823" s="1" t="n">
        <v>45643.48988425926</v>
      </c>
      <c r="C823" s="1" t="n">
        <v>46048</v>
      </c>
      <c r="D823" t="inlineStr">
        <is>
          <t>VÄSTERNORRLANDS LÄN</t>
        </is>
      </c>
      <c r="E823" t="inlineStr">
        <is>
          <t>SOLLEFTEÅ</t>
        </is>
      </c>
      <c r="F823" t="inlineStr">
        <is>
          <t>SCA</t>
        </is>
      </c>
      <c r="G823" t="n">
        <v>1.7</v>
      </c>
      <c r="H823" t="n">
        <v>0</v>
      </c>
      <c r="I823" t="n">
        <v>0</v>
      </c>
      <c r="J823" t="n">
        <v>0</v>
      </c>
      <c r="K823" t="n">
        <v>0</v>
      </c>
      <c r="L823" t="n">
        <v>0</v>
      </c>
      <c r="M823" t="n">
        <v>0</v>
      </c>
      <c r="N823" t="n">
        <v>0</v>
      </c>
      <c r="O823" t="n">
        <v>0</v>
      </c>
      <c r="P823" t="n">
        <v>0</v>
      </c>
      <c r="Q823" t="n">
        <v>0</v>
      </c>
      <c r="R823" s="2" t="inlineStr"/>
    </row>
    <row r="824" ht="15" customHeight="1">
      <c r="A824" t="inlineStr">
        <is>
          <t>A 22218-2025</t>
        </is>
      </c>
      <c r="B824" s="1" t="n">
        <v>45785.65840277778</v>
      </c>
      <c r="C824" s="1" t="n">
        <v>46048</v>
      </c>
      <c r="D824" t="inlineStr">
        <is>
          <t>VÄSTERNORRLANDS LÄN</t>
        </is>
      </c>
      <c r="E824" t="inlineStr">
        <is>
          <t>SOLLEFTEÅ</t>
        </is>
      </c>
      <c r="F824" t="inlineStr">
        <is>
          <t>SCA</t>
        </is>
      </c>
      <c r="G824" t="n">
        <v>2.5</v>
      </c>
      <c r="H824" t="n">
        <v>0</v>
      </c>
      <c r="I824" t="n">
        <v>0</v>
      </c>
      <c r="J824" t="n">
        <v>0</v>
      </c>
      <c r="K824" t="n">
        <v>0</v>
      </c>
      <c r="L824" t="n">
        <v>0</v>
      </c>
      <c r="M824" t="n">
        <v>0</v>
      </c>
      <c r="N824" t="n">
        <v>0</v>
      </c>
      <c r="O824" t="n">
        <v>0</v>
      </c>
      <c r="P824" t="n">
        <v>0</v>
      </c>
      <c r="Q824" t="n">
        <v>0</v>
      </c>
      <c r="R824" s="2" t="inlineStr"/>
    </row>
    <row r="825" ht="15" customHeight="1">
      <c r="A825" t="inlineStr">
        <is>
          <t>A 16511-2025</t>
        </is>
      </c>
      <c r="B825" s="1" t="n">
        <v>45751</v>
      </c>
      <c r="C825" s="1" t="n">
        <v>46048</v>
      </c>
      <c r="D825" t="inlineStr">
        <is>
          <t>VÄSTERNORRLANDS LÄN</t>
        </is>
      </c>
      <c r="E825" t="inlineStr">
        <is>
          <t>SOLLEFTEÅ</t>
        </is>
      </c>
      <c r="G825" t="n">
        <v>1</v>
      </c>
      <c r="H825" t="n">
        <v>0</v>
      </c>
      <c r="I825" t="n">
        <v>0</v>
      </c>
      <c r="J825" t="n">
        <v>0</v>
      </c>
      <c r="K825" t="n">
        <v>0</v>
      </c>
      <c r="L825" t="n">
        <v>0</v>
      </c>
      <c r="M825" t="n">
        <v>0</v>
      </c>
      <c r="N825" t="n">
        <v>0</v>
      </c>
      <c r="O825" t="n">
        <v>0</v>
      </c>
      <c r="P825" t="n">
        <v>0</v>
      </c>
      <c r="Q825" t="n">
        <v>0</v>
      </c>
      <c r="R825" s="2" t="inlineStr"/>
    </row>
    <row r="826" ht="15" customHeight="1">
      <c r="A826" t="inlineStr">
        <is>
          <t>A 60361-2024</t>
        </is>
      </c>
      <c r="B826" s="1" t="n">
        <v>45643.44851851852</v>
      </c>
      <c r="C826" s="1" t="n">
        <v>46048</v>
      </c>
      <c r="D826" t="inlineStr">
        <is>
          <t>VÄSTERNORRLANDS LÄN</t>
        </is>
      </c>
      <c r="E826" t="inlineStr">
        <is>
          <t>SOLLEFTEÅ</t>
        </is>
      </c>
      <c r="F826" t="inlineStr">
        <is>
          <t>SCA</t>
        </is>
      </c>
      <c r="G826" t="n">
        <v>4.5</v>
      </c>
      <c r="H826" t="n">
        <v>0</v>
      </c>
      <c r="I826" t="n">
        <v>0</v>
      </c>
      <c r="J826" t="n">
        <v>0</v>
      </c>
      <c r="K826" t="n">
        <v>0</v>
      </c>
      <c r="L826" t="n">
        <v>0</v>
      </c>
      <c r="M826" t="n">
        <v>0</v>
      </c>
      <c r="N826" t="n">
        <v>0</v>
      </c>
      <c r="O826" t="n">
        <v>0</v>
      </c>
      <c r="P826" t="n">
        <v>0</v>
      </c>
      <c r="Q826" t="n">
        <v>0</v>
      </c>
      <c r="R826" s="2" t="inlineStr"/>
    </row>
    <row r="827" ht="15" customHeight="1">
      <c r="A827" t="inlineStr">
        <is>
          <t>A 8337-2025</t>
        </is>
      </c>
      <c r="B827" s="1" t="n">
        <v>45708.6597337963</v>
      </c>
      <c r="C827" s="1" t="n">
        <v>46048</v>
      </c>
      <c r="D827" t="inlineStr">
        <is>
          <t>VÄSTERNORRLANDS LÄN</t>
        </is>
      </c>
      <c r="E827" t="inlineStr">
        <is>
          <t>SOLLEFTEÅ</t>
        </is>
      </c>
      <c r="G827" t="n">
        <v>6.2</v>
      </c>
      <c r="H827" t="n">
        <v>0</v>
      </c>
      <c r="I827" t="n">
        <v>0</v>
      </c>
      <c r="J827" t="n">
        <v>0</v>
      </c>
      <c r="K827" t="n">
        <v>0</v>
      </c>
      <c r="L827" t="n">
        <v>0</v>
      </c>
      <c r="M827" t="n">
        <v>0</v>
      </c>
      <c r="N827" t="n">
        <v>0</v>
      </c>
      <c r="O827" t="n">
        <v>0</v>
      </c>
      <c r="P827" t="n">
        <v>0</v>
      </c>
      <c r="Q827" t="n">
        <v>0</v>
      </c>
      <c r="R827" s="2" t="inlineStr"/>
    </row>
    <row r="828" ht="15" customHeight="1">
      <c r="A828" t="inlineStr">
        <is>
          <t>A 46207-2023</t>
        </is>
      </c>
      <c r="B828" s="1" t="n">
        <v>45190</v>
      </c>
      <c r="C828" s="1" t="n">
        <v>46048</v>
      </c>
      <c r="D828" t="inlineStr">
        <is>
          <t>VÄSTERNORRLANDS LÄN</t>
        </is>
      </c>
      <c r="E828" t="inlineStr">
        <is>
          <t>SOLLEFTEÅ</t>
        </is>
      </c>
      <c r="G828" t="n">
        <v>1.7</v>
      </c>
      <c r="H828" t="n">
        <v>0</v>
      </c>
      <c r="I828" t="n">
        <v>0</v>
      </c>
      <c r="J828" t="n">
        <v>0</v>
      </c>
      <c r="K828" t="n">
        <v>0</v>
      </c>
      <c r="L828" t="n">
        <v>0</v>
      </c>
      <c r="M828" t="n">
        <v>0</v>
      </c>
      <c r="N828" t="n">
        <v>0</v>
      </c>
      <c r="O828" t="n">
        <v>0</v>
      </c>
      <c r="P828" t="n">
        <v>0</v>
      </c>
      <c r="Q828" t="n">
        <v>0</v>
      </c>
      <c r="R828" s="2" t="inlineStr"/>
    </row>
    <row r="829" ht="15" customHeight="1">
      <c r="A829" t="inlineStr">
        <is>
          <t>A 21983-2025</t>
        </is>
      </c>
      <c r="B829" s="1" t="n">
        <v>45784.65678240741</v>
      </c>
      <c r="C829" s="1" t="n">
        <v>46048</v>
      </c>
      <c r="D829" t="inlineStr">
        <is>
          <t>VÄSTERNORRLANDS LÄN</t>
        </is>
      </c>
      <c r="E829" t="inlineStr">
        <is>
          <t>SOLLEFTEÅ</t>
        </is>
      </c>
      <c r="F829" t="inlineStr">
        <is>
          <t>SCA</t>
        </is>
      </c>
      <c r="G829" t="n">
        <v>3.7</v>
      </c>
      <c r="H829" t="n">
        <v>0</v>
      </c>
      <c r="I829" t="n">
        <v>0</v>
      </c>
      <c r="J829" t="n">
        <v>0</v>
      </c>
      <c r="K829" t="n">
        <v>0</v>
      </c>
      <c r="L829" t="n">
        <v>0</v>
      </c>
      <c r="M829" t="n">
        <v>0</v>
      </c>
      <c r="N829" t="n">
        <v>0</v>
      </c>
      <c r="O829" t="n">
        <v>0</v>
      </c>
      <c r="P829" t="n">
        <v>0</v>
      </c>
      <c r="Q829" t="n">
        <v>0</v>
      </c>
      <c r="R829" s="2" t="inlineStr"/>
    </row>
    <row r="830" ht="15" customHeight="1">
      <c r="A830" t="inlineStr">
        <is>
          <t>A 27382-2023</t>
        </is>
      </c>
      <c r="B830" s="1" t="n">
        <v>45096.93920138889</v>
      </c>
      <c r="C830" s="1" t="n">
        <v>46048</v>
      </c>
      <c r="D830" t="inlineStr">
        <is>
          <t>VÄSTERNORRLANDS LÄN</t>
        </is>
      </c>
      <c r="E830" t="inlineStr">
        <is>
          <t>SOLLEFTEÅ</t>
        </is>
      </c>
      <c r="F830" t="inlineStr">
        <is>
          <t>SCA</t>
        </is>
      </c>
      <c r="G830" t="n">
        <v>0.9</v>
      </c>
      <c r="H830" t="n">
        <v>0</v>
      </c>
      <c r="I830" t="n">
        <v>0</v>
      </c>
      <c r="J830" t="n">
        <v>0</v>
      </c>
      <c r="K830" t="n">
        <v>0</v>
      </c>
      <c r="L830" t="n">
        <v>0</v>
      </c>
      <c r="M830" t="n">
        <v>0</v>
      </c>
      <c r="N830" t="n">
        <v>0</v>
      </c>
      <c r="O830" t="n">
        <v>0</v>
      </c>
      <c r="P830" t="n">
        <v>0</v>
      </c>
      <c r="Q830" t="n">
        <v>0</v>
      </c>
      <c r="R830" s="2" t="inlineStr"/>
    </row>
    <row r="831" ht="15" customHeight="1">
      <c r="A831" t="inlineStr">
        <is>
          <t>A 27384-2023</t>
        </is>
      </c>
      <c r="B831" s="1" t="n">
        <v>45096.939375</v>
      </c>
      <c r="C831" s="1" t="n">
        <v>46048</v>
      </c>
      <c r="D831" t="inlineStr">
        <is>
          <t>VÄSTERNORRLANDS LÄN</t>
        </is>
      </c>
      <c r="E831" t="inlineStr">
        <is>
          <t>SOLLEFTEÅ</t>
        </is>
      </c>
      <c r="F831" t="inlineStr">
        <is>
          <t>SCA</t>
        </is>
      </c>
      <c r="G831" t="n">
        <v>2</v>
      </c>
      <c r="H831" t="n">
        <v>0</v>
      </c>
      <c r="I831" t="n">
        <v>0</v>
      </c>
      <c r="J831" t="n">
        <v>0</v>
      </c>
      <c r="K831" t="n">
        <v>0</v>
      </c>
      <c r="L831" t="n">
        <v>0</v>
      </c>
      <c r="M831" t="n">
        <v>0</v>
      </c>
      <c r="N831" t="n">
        <v>0</v>
      </c>
      <c r="O831" t="n">
        <v>0</v>
      </c>
      <c r="P831" t="n">
        <v>0</v>
      </c>
      <c r="Q831" t="n">
        <v>0</v>
      </c>
      <c r="R831" s="2" t="inlineStr"/>
    </row>
    <row r="832" ht="15" customHeight="1">
      <c r="A832" t="inlineStr">
        <is>
          <t>A 27391-2023</t>
        </is>
      </c>
      <c r="B832" s="1" t="n">
        <v>45096.93991898148</v>
      </c>
      <c r="C832" s="1" t="n">
        <v>46048</v>
      </c>
      <c r="D832" t="inlineStr">
        <is>
          <t>VÄSTERNORRLANDS LÄN</t>
        </is>
      </c>
      <c r="E832" t="inlineStr">
        <is>
          <t>SOLLEFTEÅ</t>
        </is>
      </c>
      <c r="F832" t="inlineStr">
        <is>
          <t>SCA</t>
        </is>
      </c>
      <c r="G832" t="n">
        <v>3.7</v>
      </c>
      <c r="H832" t="n">
        <v>0</v>
      </c>
      <c r="I832" t="n">
        <v>0</v>
      </c>
      <c r="J832" t="n">
        <v>0</v>
      </c>
      <c r="K832" t="n">
        <v>0</v>
      </c>
      <c r="L832" t="n">
        <v>0</v>
      </c>
      <c r="M832" t="n">
        <v>0</v>
      </c>
      <c r="N832" t="n">
        <v>0</v>
      </c>
      <c r="O832" t="n">
        <v>0</v>
      </c>
      <c r="P832" t="n">
        <v>0</v>
      </c>
      <c r="Q832" t="n">
        <v>0</v>
      </c>
      <c r="R832" s="2" t="inlineStr"/>
    </row>
    <row r="833" ht="15" customHeight="1">
      <c r="A833" t="inlineStr">
        <is>
          <t>A 12062-2025</t>
        </is>
      </c>
      <c r="B833" s="1" t="n">
        <v>45728.6984837963</v>
      </c>
      <c r="C833" s="1" t="n">
        <v>46048</v>
      </c>
      <c r="D833" t="inlineStr">
        <is>
          <t>VÄSTERNORRLANDS LÄN</t>
        </is>
      </c>
      <c r="E833" t="inlineStr">
        <is>
          <t>SOLLEFTEÅ</t>
        </is>
      </c>
      <c r="F833" t="inlineStr">
        <is>
          <t>SCA</t>
        </is>
      </c>
      <c r="G833" t="n">
        <v>0.6</v>
      </c>
      <c r="H833" t="n">
        <v>0</v>
      </c>
      <c r="I833" t="n">
        <v>0</v>
      </c>
      <c r="J833" t="n">
        <v>0</v>
      </c>
      <c r="K833" t="n">
        <v>0</v>
      </c>
      <c r="L833" t="n">
        <v>0</v>
      </c>
      <c r="M833" t="n">
        <v>0</v>
      </c>
      <c r="N833" t="n">
        <v>0</v>
      </c>
      <c r="O833" t="n">
        <v>0</v>
      </c>
      <c r="P833" t="n">
        <v>0</v>
      </c>
      <c r="Q833" t="n">
        <v>0</v>
      </c>
      <c r="R833" s="2" t="inlineStr"/>
    </row>
    <row r="834" ht="15" customHeight="1">
      <c r="A834" t="inlineStr">
        <is>
          <t>A 12063-2025</t>
        </is>
      </c>
      <c r="B834" s="1" t="n">
        <v>45728.69851851852</v>
      </c>
      <c r="C834" s="1" t="n">
        <v>46048</v>
      </c>
      <c r="D834" t="inlineStr">
        <is>
          <t>VÄSTERNORRLANDS LÄN</t>
        </is>
      </c>
      <c r="E834" t="inlineStr">
        <is>
          <t>SOLLEFTEÅ</t>
        </is>
      </c>
      <c r="F834" t="inlineStr">
        <is>
          <t>SCA</t>
        </is>
      </c>
      <c r="G834" t="n">
        <v>1</v>
      </c>
      <c r="H834" t="n">
        <v>0</v>
      </c>
      <c r="I834" t="n">
        <v>0</v>
      </c>
      <c r="J834" t="n">
        <v>0</v>
      </c>
      <c r="K834" t="n">
        <v>0</v>
      </c>
      <c r="L834" t="n">
        <v>0</v>
      </c>
      <c r="M834" t="n">
        <v>0</v>
      </c>
      <c r="N834" t="n">
        <v>0</v>
      </c>
      <c r="O834" t="n">
        <v>0</v>
      </c>
      <c r="P834" t="n">
        <v>0</v>
      </c>
      <c r="Q834" t="n">
        <v>0</v>
      </c>
      <c r="R834" s="2" t="inlineStr"/>
    </row>
    <row r="835" ht="15" customHeight="1">
      <c r="A835" t="inlineStr">
        <is>
          <t>A 7261-2024</t>
        </is>
      </c>
      <c r="B835" s="1" t="n">
        <v>45344</v>
      </c>
      <c r="C835" s="1" t="n">
        <v>46048</v>
      </c>
      <c r="D835" t="inlineStr">
        <is>
          <t>VÄSTERNORRLANDS LÄN</t>
        </is>
      </c>
      <c r="E835" t="inlineStr">
        <is>
          <t>SOLLEFTEÅ</t>
        </is>
      </c>
      <c r="G835" t="n">
        <v>2.3</v>
      </c>
      <c r="H835" t="n">
        <v>0</v>
      </c>
      <c r="I835" t="n">
        <v>0</v>
      </c>
      <c r="J835" t="n">
        <v>0</v>
      </c>
      <c r="K835" t="n">
        <v>0</v>
      </c>
      <c r="L835" t="n">
        <v>0</v>
      </c>
      <c r="M835" t="n">
        <v>0</v>
      </c>
      <c r="N835" t="n">
        <v>0</v>
      </c>
      <c r="O835" t="n">
        <v>0</v>
      </c>
      <c r="P835" t="n">
        <v>0</v>
      </c>
      <c r="Q835" t="n">
        <v>0</v>
      </c>
      <c r="R835" s="2" t="inlineStr"/>
    </row>
    <row r="836" ht="15" customHeight="1">
      <c r="A836" t="inlineStr">
        <is>
          <t>A 2456-2025</t>
        </is>
      </c>
      <c r="B836" s="1" t="n">
        <v>45673</v>
      </c>
      <c r="C836" s="1" t="n">
        <v>46048</v>
      </c>
      <c r="D836" t="inlineStr">
        <is>
          <t>VÄSTERNORRLANDS LÄN</t>
        </is>
      </c>
      <c r="E836" t="inlineStr">
        <is>
          <t>SOLLEFTEÅ</t>
        </is>
      </c>
      <c r="F836" t="inlineStr">
        <is>
          <t>Kommuner</t>
        </is>
      </c>
      <c r="G836" t="n">
        <v>2.7</v>
      </c>
      <c r="H836" t="n">
        <v>0</v>
      </c>
      <c r="I836" t="n">
        <v>0</v>
      </c>
      <c r="J836" t="n">
        <v>0</v>
      </c>
      <c r="K836" t="n">
        <v>0</v>
      </c>
      <c r="L836" t="n">
        <v>0</v>
      </c>
      <c r="M836" t="n">
        <v>0</v>
      </c>
      <c r="N836" t="n">
        <v>0</v>
      </c>
      <c r="O836" t="n">
        <v>0</v>
      </c>
      <c r="P836" t="n">
        <v>0</v>
      </c>
      <c r="Q836" t="n">
        <v>0</v>
      </c>
      <c r="R836" s="2" t="inlineStr"/>
    </row>
    <row r="837" ht="15" customHeight="1">
      <c r="A837" t="inlineStr">
        <is>
          <t>A 22036-2025</t>
        </is>
      </c>
      <c r="B837" s="1" t="n">
        <v>45785.31820601852</v>
      </c>
      <c r="C837" s="1" t="n">
        <v>46048</v>
      </c>
      <c r="D837" t="inlineStr">
        <is>
          <t>VÄSTERNORRLANDS LÄN</t>
        </is>
      </c>
      <c r="E837" t="inlineStr">
        <is>
          <t>SOLLEFTEÅ</t>
        </is>
      </c>
      <c r="G837" t="n">
        <v>1.9</v>
      </c>
      <c r="H837" t="n">
        <v>0</v>
      </c>
      <c r="I837" t="n">
        <v>0</v>
      </c>
      <c r="J837" t="n">
        <v>0</v>
      </c>
      <c r="K837" t="n">
        <v>0</v>
      </c>
      <c r="L837" t="n">
        <v>0</v>
      </c>
      <c r="M837" t="n">
        <v>0</v>
      </c>
      <c r="N837" t="n">
        <v>0</v>
      </c>
      <c r="O837" t="n">
        <v>0</v>
      </c>
      <c r="P837" t="n">
        <v>0</v>
      </c>
      <c r="Q837" t="n">
        <v>0</v>
      </c>
      <c r="R837" s="2" t="inlineStr"/>
    </row>
    <row r="838" ht="15" customHeight="1">
      <c r="A838" t="inlineStr">
        <is>
          <t>A 21985-2025</t>
        </is>
      </c>
      <c r="B838" s="1" t="n">
        <v>45784.65689814815</v>
      </c>
      <c r="C838" s="1" t="n">
        <v>46048</v>
      </c>
      <c r="D838" t="inlineStr">
        <is>
          <t>VÄSTERNORRLANDS LÄN</t>
        </is>
      </c>
      <c r="E838" t="inlineStr">
        <is>
          <t>SOLLEFTEÅ</t>
        </is>
      </c>
      <c r="F838" t="inlineStr">
        <is>
          <t>SCA</t>
        </is>
      </c>
      <c r="G838" t="n">
        <v>1.3</v>
      </c>
      <c r="H838" t="n">
        <v>0</v>
      </c>
      <c r="I838" t="n">
        <v>0</v>
      </c>
      <c r="J838" t="n">
        <v>0</v>
      </c>
      <c r="K838" t="n">
        <v>0</v>
      </c>
      <c r="L838" t="n">
        <v>0</v>
      </c>
      <c r="M838" t="n">
        <v>0</v>
      </c>
      <c r="N838" t="n">
        <v>0</v>
      </c>
      <c r="O838" t="n">
        <v>0</v>
      </c>
      <c r="P838" t="n">
        <v>0</v>
      </c>
      <c r="Q838" t="n">
        <v>0</v>
      </c>
      <c r="R838" s="2" t="inlineStr"/>
    </row>
    <row r="839" ht="15" customHeight="1">
      <c r="A839" t="inlineStr">
        <is>
          <t>A 63652-2023</t>
        </is>
      </c>
      <c r="B839" s="1" t="n">
        <v>45275</v>
      </c>
      <c r="C839" s="1" t="n">
        <v>46048</v>
      </c>
      <c r="D839" t="inlineStr">
        <is>
          <t>VÄSTERNORRLANDS LÄN</t>
        </is>
      </c>
      <c r="E839" t="inlineStr">
        <is>
          <t>SOLLEFTEÅ</t>
        </is>
      </c>
      <c r="G839" t="n">
        <v>4.5</v>
      </c>
      <c r="H839" t="n">
        <v>0</v>
      </c>
      <c r="I839" t="n">
        <v>0</v>
      </c>
      <c r="J839" t="n">
        <v>0</v>
      </c>
      <c r="K839" t="n">
        <v>0</v>
      </c>
      <c r="L839" t="n">
        <v>0</v>
      </c>
      <c r="M839" t="n">
        <v>0</v>
      </c>
      <c r="N839" t="n">
        <v>0</v>
      </c>
      <c r="O839" t="n">
        <v>0</v>
      </c>
      <c r="P839" t="n">
        <v>0</v>
      </c>
      <c r="Q839" t="n">
        <v>0</v>
      </c>
      <c r="R839" s="2" t="inlineStr"/>
    </row>
    <row r="840" ht="15" customHeight="1">
      <c r="A840" t="inlineStr">
        <is>
          <t>A 5059-2024</t>
        </is>
      </c>
      <c r="B840" s="1" t="n">
        <v>45329</v>
      </c>
      <c r="C840" s="1" t="n">
        <v>46048</v>
      </c>
      <c r="D840" t="inlineStr">
        <is>
          <t>VÄSTERNORRLANDS LÄN</t>
        </is>
      </c>
      <c r="E840" t="inlineStr">
        <is>
          <t>SOLLEFTEÅ</t>
        </is>
      </c>
      <c r="F840" t="inlineStr">
        <is>
          <t>SCA</t>
        </is>
      </c>
      <c r="G840" t="n">
        <v>4.8</v>
      </c>
      <c r="H840" t="n">
        <v>0</v>
      </c>
      <c r="I840" t="n">
        <v>0</v>
      </c>
      <c r="J840" t="n">
        <v>0</v>
      </c>
      <c r="K840" t="n">
        <v>0</v>
      </c>
      <c r="L840" t="n">
        <v>0</v>
      </c>
      <c r="M840" t="n">
        <v>0</v>
      </c>
      <c r="N840" t="n">
        <v>0</v>
      </c>
      <c r="O840" t="n">
        <v>0</v>
      </c>
      <c r="P840" t="n">
        <v>0</v>
      </c>
      <c r="Q840" t="n">
        <v>0</v>
      </c>
      <c r="R840" s="2" t="inlineStr"/>
    </row>
    <row r="841" ht="15" customHeight="1">
      <c r="A841" t="inlineStr">
        <is>
          <t>A 55622-2023</t>
        </is>
      </c>
      <c r="B841" s="1" t="n">
        <v>45238</v>
      </c>
      <c r="C841" s="1" t="n">
        <v>46048</v>
      </c>
      <c r="D841" t="inlineStr">
        <is>
          <t>VÄSTERNORRLANDS LÄN</t>
        </is>
      </c>
      <c r="E841" t="inlineStr">
        <is>
          <t>SOLLEFTEÅ</t>
        </is>
      </c>
      <c r="G841" t="n">
        <v>2.1</v>
      </c>
      <c r="H841" t="n">
        <v>0</v>
      </c>
      <c r="I841" t="n">
        <v>0</v>
      </c>
      <c r="J841" t="n">
        <v>0</v>
      </c>
      <c r="K841" t="n">
        <v>0</v>
      </c>
      <c r="L841" t="n">
        <v>0</v>
      </c>
      <c r="M841" t="n">
        <v>0</v>
      </c>
      <c r="N841" t="n">
        <v>0</v>
      </c>
      <c r="O841" t="n">
        <v>0</v>
      </c>
      <c r="P841" t="n">
        <v>0</v>
      </c>
      <c r="Q841" t="n">
        <v>0</v>
      </c>
      <c r="R841" s="2" t="inlineStr"/>
    </row>
    <row r="842" ht="15" customHeight="1">
      <c r="A842" t="inlineStr">
        <is>
          <t>A 30069-2024</t>
        </is>
      </c>
      <c r="B842" s="1" t="n">
        <v>45488.9489699074</v>
      </c>
      <c r="C842" s="1" t="n">
        <v>46048</v>
      </c>
      <c r="D842" t="inlineStr">
        <is>
          <t>VÄSTERNORRLANDS LÄN</t>
        </is>
      </c>
      <c r="E842" t="inlineStr">
        <is>
          <t>SOLLEFTEÅ</t>
        </is>
      </c>
      <c r="F842" t="inlineStr">
        <is>
          <t>SCA</t>
        </is>
      </c>
      <c r="G842" t="n">
        <v>7.2</v>
      </c>
      <c r="H842" t="n">
        <v>0</v>
      </c>
      <c r="I842" t="n">
        <v>0</v>
      </c>
      <c r="J842" t="n">
        <v>0</v>
      </c>
      <c r="K842" t="n">
        <v>0</v>
      </c>
      <c r="L842" t="n">
        <v>0</v>
      </c>
      <c r="M842" t="n">
        <v>0</v>
      </c>
      <c r="N842" t="n">
        <v>0</v>
      </c>
      <c r="O842" t="n">
        <v>0</v>
      </c>
      <c r="P842" t="n">
        <v>0</v>
      </c>
      <c r="Q842" t="n">
        <v>0</v>
      </c>
      <c r="R842" s="2" t="inlineStr"/>
    </row>
    <row r="843" ht="15" customHeight="1">
      <c r="A843" t="inlineStr">
        <is>
          <t>A 19295-2022</t>
        </is>
      </c>
      <c r="B843" s="1" t="n">
        <v>44692</v>
      </c>
      <c r="C843" s="1" t="n">
        <v>46048</v>
      </c>
      <c r="D843" t="inlineStr">
        <is>
          <t>VÄSTERNORRLANDS LÄN</t>
        </is>
      </c>
      <c r="E843" t="inlineStr">
        <is>
          <t>SOLLEFTEÅ</t>
        </is>
      </c>
      <c r="G843" t="n">
        <v>3.3</v>
      </c>
      <c r="H843" t="n">
        <v>0</v>
      </c>
      <c r="I843" t="n">
        <v>0</v>
      </c>
      <c r="J843" t="n">
        <v>0</v>
      </c>
      <c r="K843" t="n">
        <v>0</v>
      </c>
      <c r="L843" t="n">
        <v>0</v>
      </c>
      <c r="M843" t="n">
        <v>0</v>
      </c>
      <c r="N843" t="n">
        <v>0</v>
      </c>
      <c r="O843" t="n">
        <v>0</v>
      </c>
      <c r="P843" t="n">
        <v>0</v>
      </c>
      <c r="Q843" t="n">
        <v>0</v>
      </c>
      <c r="R843" s="2" t="inlineStr"/>
    </row>
    <row r="844" ht="15" customHeight="1">
      <c r="A844" t="inlineStr">
        <is>
          <t>A 13521-2023</t>
        </is>
      </c>
      <c r="B844" s="1" t="n">
        <v>45005</v>
      </c>
      <c r="C844" s="1" t="n">
        <v>46048</v>
      </c>
      <c r="D844" t="inlineStr">
        <is>
          <t>VÄSTERNORRLANDS LÄN</t>
        </is>
      </c>
      <c r="E844" t="inlineStr">
        <is>
          <t>SOLLEFTEÅ</t>
        </is>
      </c>
      <c r="G844" t="n">
        <v>2.2</v>
      </c>
      <c r="H844" t="n">
        <v>0</v>
      </c>
      <c r="I844" t="n">
        <v>0</v>
      </c>
      <c r="J844" t="n">
        <v>0</v>
      </c>
      <c r="K844" t="n">
        <v>0</v>
      </c>
      <c r="L844" t="n">
        <v>0</v>
      </c>
      <c r="M844" t="n">
        <v>0</v>
      </c>
      <c r="N844" t="n">
        <v>0</v>
      </c>
      <c r="O844" t="n">
        <v>0</v>
      </c>
      <c r="P844" t="n">
        <v>0</v>
      </c>
      <c r="Q844" t="n">
        <v>0</v>
      </c>
      <c r="R844" s="2" t="inlineStr"/>
    </row>
    <row r="845" ht="15" customHeight="1">
      <c r="A845" t="inlineStr">
        <is>
          <t>A 16253-2024</t>
        </is>
      </c>
      <c r="B845" s="1" t="n">
        <v>45407.0587962963</v>
      </c>
      <c r="C845" s="1" t="n">
        <v>46048</v>
      </c>
      <c r="D845" t="inlineStr">
        <is>
          <t>VÄSTERNORRLANDS LÄN</t>
        </is>
      </c>
      <c r="E845" t="inlineStr">
        <is>
          <t>SOLLEFTEÅ</t>
        </is>
      </c>
      <c r="F845" t="inlineStr">
        <is>
          <t>SCA</t>
        </is>
      </c>
      <c r="G845" t="n">
        <v>2</v>
      </c>
      <c r="H845" t="n">
        <v>0</v>
      </c>
      <c r="I845" t="n">
        <v>0</v>
      </c>
      <c r="J845" t="n">
        <v>0</v>
      </c>
      <c r="K845" t="n">
        <v>0</v>
      </c>
      <c r="L845" t="n">
        <v>0</v>
      </c>
      <c r="M845" t="n">
        <v>0</v>
      </c>
      <c r="N845" t="n">
        <v>0</v>
      </c>
      <c r="O845" t="n">
        <v>0</v>
      </c>
      <c r="P845" t="n">
        <v>0</v>
      </c>
      <c r="Q845" t="n">
        <v>0</v>
      </c>
      <c r="R845" s="2" t="inlineStr"/>
    </row>
    <row r="846" ht="15" customHeight="1">
      <c r="A846" t="inlineStr">
        <is>
          <t>A 13637-2025</t>
        </is>
      </c>
      <c r="B846" s="1" t="n">
        <v>45736.65681712963</v>
      </c>
      <c r="C846" s="1" t="n">
        <v>46048</v>
      </c>
      <c r="D846" t="inlineStr">
        <is>
          <t>VÄSTERNORRLANDS LÄN</t>
        </is>
      </c>
      <c r="E846" t="inlineStr">
        <is>
          <t>SOLLEFTEÅ</t>
        </is>
      </c>
      <c r="F846" t="inlineStr">
        <is>
          <t>SCA</t>
        </is>
      </c>
      <c r="G846" t="n">
        <v>3.3</v>
      </c>
      <c r="H846" t="n">
        <v>0</v>
      </c>
      <c r="I846" t="n">
        <v>0</v>
      </c>
      <c r="J846" t="n">
        <v>0</v>
      </c>
      <c r="K846" t="n">
        <v>0</v>
      </c>
      <c r="L846" t="n">
        <v>0</v>
      </c>
      <c r="M846" t="n">
        <v>0</v>
      </c>
      <c r="N846" t="n">
        <v>0</v>
      </c>
      <c r="O846" t="n">
        <v>0</v>
      </c>
      <c r="P846" t="n">
        <v>0</v>
      </c>
      <c r="Q846" t="n">
        <v>0</v>
      </c>
      <c r="R846" s="2" t="inlineStr"/>
    </row>
    <row r="847" ht="15" customHeight="1">
      <c r="A847" t="inlineStr">
        <is>
          <t>A 13652-2025</t>
        </is>
      </c>
      <c r="B847" s="1" t="n">
        <v>45736.71909722222</v>
      </c>
      <c r="C847" s="1" t="n">
        <v>46048</v>
      </c>
      <c r="D847" t="inlineStr">
        <is>
          <t>VÄSTERNORRLANDS LÄN</t>
        </is>
      </c>
      <c r="E847" t="inlineStr">
        <is>
          <t>SOLLEFTEÅ</t>
        </is>
      </c>
      <c r="F847" t="inlineStr">
        <is>
          <t>SCA</t>
        </is>
      </c>
      <c r="G847" t="n">
        <v>1.8</v>
      </c>
      <c r="H847" t="n">
        <v>0</v>
      </c>
      <c r="I847" t="n">
        <v>0</v>
      </c>
      <c r="J847" t="n">
        <v>0</v>
      </c>
      <c r="K847" t="n">
        <v>0</v>
      </c>
      <c r="L847" t="n">
        <v>0</v>
      </c>
      <c r="M847" t="n">
        <v>0</v>
      </c>
      <c r="N847" t="n">
        <v>0</v>
      </c>
      <c r="O847" t="n">
        <v>0</v>
      </c>
      <c r="P847" t="n">
        <v>0</v>
      </c>
      <c r="Q847" t="n">
        <v>0</v>
      </c>
      <c r="R847" s="2" t="inlineStr"/>
    </row>
    <row r="848" ht="15" customHeight="1">
      <c r="A848" t="inlineStr">
        <is>
          <t>A 61081-2023</t>
        </is>
      </c>
      <c r="B848" s="1" t="n">
        <v>45261</v>
      </c>
      <c r="C848" s="1" t="n">
        <v>46048</v>
      </c>
      <c r="D848" t="inlineStr">
        <is>
          <t>VÄSTERNORRLANDS LÄN</t>
        </is>
      </c>
      <c r="E848" t="inlineStr">
        <is>
          <t>SOLLEFTEÅ</t>
        </is>
      </c>
      <c r="F848" t="inlineStr">
        <is>
          <t>Holmen skog AB</t>
        </is>
      </c>
      <c r="G848" t="n">
        <v>3</v>
      </c>
      <c r="H848" t="n">
        <v>0</v>
      </c>
      <c r="I848" t="n">
        <v>0</v>
      </c>
      <c r="J848" t="n">
        <v>0</v>
      </c>
      <c r="K848" t="n">
        <v>0</v>
      </c>
      <c r="L848" t="n">
        <v>0</v>
      </c>
      <c r="M848" t="n">
        <v>0</v>
      </c>
      <c r="N848" t="n">
        <v>0</v>
      </c>
      <c r="O848" t="n">
        <v>0</v>
      </c>
      <c r="P848" t="n">
        <v>0</v>
      </c>
      <c r="Q848" t="n">
        <v>0</v>
      </c>
      <c r="R848" s="2" t="inlineStr"/>
    </row>
    <row r="849" ht="15" customHeight="1">
      <c r="A849" t="inlineStr">
        <is>
          <t>A 19682-2025</t>
        </is>
      </c>
      <c r="B849" s="1" t="n">
        <v>45770.85163194445</v>
      </c>
      <c r="C849" s="1" t="n">
        <v>46048</v>
      </c>
      <c r="D849" t="inlineStr">
        <is>
          <t>VÄSTERNORRLANDS LÄN</t>
        </is>
      </c>
      <c r="E849" t="inlineStr">
        <is>
          <t>SOLLEFTEÅ</t>
        </is>
      </c>
      <c r="G849" t="n">
        <v>2.7</v>
      </c>
      <c r="H849" t="n">
        <v>0</v>
      </c>
      <c r="I849" t="n">
        <v>0</v>
      </c>
      <c r="J849" t="n">
        <v>0</v>
      </c>
      <c r="K849" t="n">
        <v>0</v>
      </c>
      <c r="L849" t="n">
        <v>0</v>
      </c>
      <c r="M849" t="n">
        <v>0</v>
      </c>
      <c r="N849" t="n">
        <v>0</v>
      </c>
      <c r="O849" t="n">
        <v>0</v>
      </c>
      <c r="P849" t="n">
        <v>0</v>
      </c>
      <c r="Q849" t="n">
        <v>0</v>
      </c>
      <c r="R849" s="2" t="inlineStr"/>
    </row>
    <row r="850" ht="15" customHeight="1">
      <c r="A850" t="inlineStr">
        <is>
          <t>A 21099-2024</t>
        </is>
      </c>
      <c r="B850" s="1" t="n">
        <v>45439</v>
      </c>
      <c r="C850" s="1" t="n">
        <v>46048</v>
      </c>
      <c r="D850" t="inlineStr">
        <is>
          <t>VÄSTERNORRLANDS LÄN</t>
        </is>
      </c>
      <c r="E850" t="inlineStr">
        <is>
          <t>SOLLEFTEÅ</t>
        </is>
      </c>
      <c r="F850" t="inlineStr">
        <is>
          <t>SCA</t>
        </is>
      </c>
      <c r="G850" t="n">
        <v>2.5</v>
      </c>
      <c r="H850" t="n">
        <v>0</v>
      </c>
      <c r="I850" t="n">
        <v>0</v>
      </c>
      <c r="J850" t="n">
        <v>0</v>
      </c>
      <c r="K850" t="n">
        <v>0</v>
      </c>
      <c r="L850" t="n">
        <v>0</v>
      </c>
      <c r="M850" t="n">
        <v>0</v>
      </c>
      <c r="N850" t="n">
        <v>0</v>
      </c>
      <c r="O850" t="n">
        <v>0</v>
      </c>
      <c r="P850" t="n">
        <v>0</v>
      </c>
      <c r="Q850" t="n">
        <v>0</v>
      </c>
      <c r="R850" s="2" t="inlineStr"/>
    </row>
    <row r="851" ht="15" customHeight="1">
      <c r="A851" t="inlineStr">
        <is>
          <t>A 61089-2024</t>
        </is>
      </c>
      <c r="B851" s="1" t="n">
        <v>45644</v>
      </c>
      <c r="C851" s="1" t="n">
        <v>46048</v>
      </c>
      <c r="D851" t="inlineStr">
        <is>
          <t>VÄSTERNORRLANDS LÄN</t>
        </is>
      </c>
      <c r="E851" t="inlineStr">
        <is>
          <t>SOLLEFTEÅ</t>
        </is>
      </c>
      <c r="G851" t="n">
        <v>4.5</v>
      </c>
      <c r="H851" t="n">
        <v>0</v>
      </c>
      <c r="I851" t="n">
        <v>0</v>
      </c>
      <c r="J851" t="n">
        <v>0</v>
      </c>
      <c r="K851" t="n">
        <v>0</v>
      </c>
      <c r="L851" t="n">
        <v>0</v>
      </c>
      <c r="M851" t="n">
        <v>0</v>
      </c>
      <c r="N851" t="n">
        <v>0</v>
      </c>
      <c r="O851" t="n">
        <v>0</v>
      </c>
      <c r="P851" t="n">
        <v>0</v>
      </c>
      <c r="Q851" t="n">
        <v>0</v>
      </c>
      <c r="R851" s="2" t="inlineStr"/>
    </row>
    <row r="852" ht="15" customHeight="1">
      <c r="A852" t="inlineStr">
        <is>
          <t>A 50864-2024</t>
        </is>
      </c>
      <c r="B852" s="1" t="n">
        <v>45602.63653935185</v>
      </c>
      <c r="C852" s="1" t="n">
        <v>46048</v>
      </c>
      <c r="D852" t="inlineStr">
        <is>
          <t>VÄSTERNORRLANDS LÄN</t>
        </is>
      </c>
      <c r="E852" t="inlineStr">
        <is>
          <t>SOLLEFTEÅ</t>
        </is>
      </c>
      <c r="G852" t="n">
        <v>9.5</v>
      </c>
      <c r="H852" t="n">
        <v>0</v>
      </c>
      <c r="I852" t="n">
        <v>0</v>
      </c>
      <c r="J852" t="n">
        <v>0</v>
      </c>
      <c r="K852" t="n">
        <v>0</v>
      </c>
      <c r="L852" t="n">
        <v>0</v>
      </c>
      <c r="M852" t="n">
        <v>0</v>
      </c>
      <c r="N852" t="n">
        <v>0</v>
      </c>
      <c r="O852" t="n">
        <v>0</v>
      </c>
      <c r="P852" t="n">
        <v>0</v>
      </c>
      <c r="Q852" t="n">
        <v>0</v>
      </c>
      <c r="R852" s="2" t="inlineStr"/>
    </row>
    <row r="853" ht="15" customHeight="1">
      <c r="A853" t="inlineStr">
        <is>
          <t>A 967-2025</t>
        </is>
      </c>
      <c r="B853" s="1" t="n">
        <v>45666</v>
      </c>
      <c r="C853" s="1" t="n">
        <v>46048</v>
      </c>
      <c r="D853" t="inlineStr">
        <is>
          <t>VÄSTERNORRLANDS LÄN</t>
        </is>
      </c>
      <c r="E853" t="inlineStr">
        <is>
          <t>SOLLEFTEÅ</t>
        </is>
      </c>
      <c r="F853" t="inlineStr">
        <is>
          <t>SCA</t>
        </is>
      </c>
      <c r="G853" t="n">
        <v>1.3</v>
      </c>
      <c r="H853" t="n">
        <v>0</v>
      </c>
      <c r="I853" t="n">
        <v>0</v>
      </c>
      <c r="J853" t="n">
        <v>0</v>
      </c>
      <c r="K853" t="n">
        <v>0</v>
      </c>
      <c r="L853" t="n">
        <v>0</v>
      </c>
      <c r="M853" t="n">
        <v>0</v>
      </c>
      <c r="N853" t="n">
        <v>0</v>
      </c>
      <c r="O853" t="n">
        <v>0</v>
      </c>
      <c r="P853" t="n">
        <v>0</v>
      </c>
      <c r="Q853" t="n">
        <v>0</v>
      </c>
      <c r="R853" s="2" t="inlineStr"/>
    </row>
    <row r="854" ht="15" customHeight="1">
      <c r="A854" t="inlineStr">
        <is>
          <t>A 22803-2025</t>
        </is>
      </c>
      <c r="B854" s="1" t="n">
        <v>45789</v>
      </c>
      <c r="C854" s="1" t="n">
        <v>46048</v>
      </c>
      <c r="D854" t="inlineStr">
        <is>
          <t>VÄSTERNORRLANDS LÄN</t>
        </is>
      </c>
      <c r="E854" t="inlineStr">
        <is>
          <t>SOLLEFTEÅ</t>
        </is>
      </c>
      <c r="G854" t="n">
        <v>2.7</v>
      </c>
      <c r="H854" t="n">
        <v>0</v>
      </c>
      <c r="I854" t="n">
        <v>0</v>
      </c>
      <c r="J854" t="n">
        <v>0</v>
      </c>
      <c r="K854" t="n">
        <v>0</v>
      </c>
      <c r="L854" t="n">
        <v>0</v>
      </c>
      <c r="M854" t="n">
        <v>0</v>
      </c>
      <c r="N854" t="n">
        <v>0</v>
      </c>
      <c r="O854" t="n">
        <v>0</v>
      </c>
      <c r="P854" t="n">
        <v>0</v>
      </c>
      <c r="Q854" t="n">
        <v>0</v>
      </c>
      <c r="R854" s="2" t="inlineStr"/>
    </row>
    <row r="855" ht="15" customHeight="1">
      <c r="A855" t="inlineStr">
        <is>
          <t>A 46850-2024</t>
        </is>
      </c>
      <c r="B855" s="1" t="n">
        <v>45583.61513888889</v>
      </c>
      <c r="C855" s="1" t="n">
        <v>46048</v>
      </c>
      <c r="D855" t="inlineStr">
        <is>
          <t>VÄSTERNORRLANDS LÄN</t>
        </is>
      </c>
      <c r="E855" t="inlineStr">
        <is>
          <t>SOLLEFTEÅ</t>
        </is>
      </c>
      <c r="F855" t="inlineStr">
        <is>
          <t>SCA</t>
        </is>
      </c>
      <c r="G855" t="n">
        <v>4.2</v>
      </c>
      <c r="H855" t="n">
        <v>0</v>
      </c>
      <c r="I855" t="n">
        <v>0</v>
      </c>
      <c r="J855" t="n">
        <v>0</v>
      </c>
      <c r="K855" t="n">
        <v>0</v>
      </c>
      <c r="L855" t="n">
        <v>0</v>
      </c>
      <c r="M855" t="n">
        <v>0</v>
      </c>
      <c r="N855" t="n">
        <v>0</v>
      </c>
      <c r="O855" t="n">
        <v>0</v>
      </c>
      <c r="P855" t="n">
        <v>0</v>
      </c>
      <c r="Q855" t="n">
        <v>0</v>
      </c>
      <c r="R855" s="2" t="inlineStr"/>
    </row>
    <row r="856" ht="15" customHeight="1">
      <c r="A856" t="inlineStr">
        <is>
          <t>A 56249-2024</t>
        </is>
      </c>
      <c r="B856" s="1" t="n">
        <v>45624.63584490741</v>
      </c>
      <c r="C856" s="1" t="n">
        <v>46048</v>
      </c>
      <c r="D856" t="inlineStr">
        <is>
          <t>VÄSTERNORRLANDS LÄN</t>
        </is>
      </c>
      <c r="E856" t="inlineStr">
        <is>
          <t>SOLLEFTEÅ</t>
        </is>
      </c>
      <c r="F856" t="inlineStr">
        <is>
          <t>SCA</t>
        </is>
      </c>
      <c r="G856" t="n">
        <v>1.9</v>
      </c>
      <c r="H856" t="n">
        <v>0</v>
      </c>
      <c r="I856" t="n">
        <v>0</v>
      </c>
      <c r="J856" t="n">
        <v>0</v>
      </c>
      <c r="K856" t="n">
        <v>0</v>
      </c>
      <c r="L856" t="n">
        <v>0</v>
      </c>
      <c r="M856" t="n">
        <v>0</v>
      </c>
      <c r="N856" t="n">
        <v>0</v>
      </c>
      <c r="O856" t="n">
        <v>0</v>
      </c>
      <c r="P856" t="n">
        <v>0</v>
      </c>
      <c r="Q856" t="n">
        <v>0</v>
      </c>
      <c r="R856" s="2" t="inlineStr"/>
    </row>
    <row r="857" ht="15" customHeight="1">
      <c r="A857" t="inlineStr">
        <is>
          <t>A 25364-2024</t>
        </is>
      </c>
      <c r="B857" s="1" t="n">
        <v>45462.95849537037</v>
      </c>
      <c r="C857" s="1" t="n">
        <v>46048</v>
      </c>
      <c r="D857" t="inlineStr">
        <is>
          <t>VÄSTERNORRLANDS LÄN</t>
        </is>
      </c>
      <c r="E857" t="inlineStr">
        <is>
          <t>SOLLEFTEÅ</t>
        </is>
      </c>
      <c r="F857" t="inlineStr">
        <is>
          <t>SCA</t>
        </is>
      </c>
      <c r="G857" t="n">
        <v>1.1</v>
      </c>
      <c r="H857" t="n">
        <v>0</v>
      </c>
      <c r="I857" t="n">
        <v>0</v>
      </c>
      <c r="J857" t="n">
        <v>0</v>
      </c>
      <c r="K857" t="n">
        <v>0</v>
      </c>
      <c r="L857" t="n">
        <v>0</v>
      </c>
      <c r="M857" t="n">
        <v>0</v>
      </c>
      <c r="N857" t="n">
        <v>0</v>
      </c>
      <c r="O857" t="n">
        <v>0</v>
      </c>
      <c r="P857" t="n">
        <v>0</v>
      </c>
      <c r="Q857" t="n">
        <v>0</v>
      </c>
      <c r="R857" s="2" t="inlineStr"/>
    </row>
    <row r="858" ht="15" customHeight="1">
      <c r="A858" t="inlineStr">
        <is>
          <t>A 26962-2024</t>
        </is>
      </c>
      <c r="B858" s="1" t="n">
        <v>45470.9716087963</v>
      </c>
      <c r="C858" s="1" t="n">
        <v>46048</v>
      </c>
      <c r="D858" t="inlineStr">
        <is>
          <t>VÄSTERNORRLANDS LÄN</t>
        </is>
      </c>
      <c r="E858" t="inlineStr">
        <is>
          <t>SOLLEFTEÅ</t>
        </is>
      </c>
      <c r="F858" t="inlineStr">
        <is>
          <t>SCA</t>
        </is>
      </c>
      <c r="G858" t="n">
        <v>3.3</v>
      </c>
      <c r="H858" t="n">
        <v>0</v>
      </c>
      <c r="I858" t="n">
        <v>0</v>
      </c>
      <c r="J858" t="n">
        <v>0</v>
      </c>
      <c r="K858" t="n">
        <v>0</v>
      </c>
      <c r="L858" t="n">
        <v>0</v>
      </c>
      <c r="M858" t="n">
        <v>0</v>
      </c>
      <c r="N858" t="n">
        <v>0</v>
      </c>
      <c r="O858" t="n">
        <v>0</v>
      </c>
      <c r="P858" t="n">
        <v>0</v>
      </c>
      <c r="Q858" t="n">
        <v>0</v>
      </c>
      <c r="R858" s="2" t="inlineStr"/>
    </row>
    <row r="859" ht="15" customHeight="1">
      <c r="A859" t="inlineStr">
        <is>
          <t>A 51029-2021</t>
        </is>
      </c>
      <c r="B859" s="1" t="n">
        <v>44460.94086805556</v>
      </c>
      <c r="C859" s="1" t="n">
        <v>46048</v>
      </c>
      <c r="D859" t="inlineStr">
        <is>
          <t>VÄSTERNORRLANDS LÄN</t>
        </is>
      </c>
      <c r="E859" t="inlineStr">
        <is>
          <t>SOLLEFTEÅ</t>
        </is>
      </c>
      <c r="F859" t="inlineStr">
        <is>
          <t>SCA</t>
        </is>
      </c>
      <c r="G859" t="n">
        <v>6.9</v>
      </c>
      <c r="H859" t="n">
        <v>0</v>
      </c>
      <c r="I859" t="n">
        <v>0</v>
      </c>
      <c r="J859" t="n">
        <v>0</v>
      </c>
      <c r="K859" t="n">
        <v>0</v>
      </c>
      <c r="L859" t="n">
        <v>0</v>
      </c>
      <c r="M859" t="n">
        <v>0</v>
      </c>
      <c r="N859" t="n">
        <v>0</v>
      </c>
      <c r="O859" t="n">
        <v>0</v>
      </c>
      <c r="P859" t="n">
        <v>0</v>
      </c>
      <c r="Q859" t="n">
        <v>0</v>
      </c>
      <c r="R859" s="2" t="inlineStr"/>
    </row>
    <row r="860" ht="15" customHeight="1">
      <c r="A860" t="inlineStr">
        <is>
          <t>A 3424-2025</t>
        </is>
      </c>
      <c r="B860" s="1" t="n">
        <v>45680</v>
      </c>
      <c r="C860" s="1" t="n">
        <v>46048</v>
      </c>
      <c r="D860" t="inlineStr">
        <is>
          <t>VÄSTERNORRLANDS LÄN</t>
        </is>
      </c>
      <c r="E860" t="inlineStr">
        <is>
          <t>SOLLEFTEÅ</t>
        </is>
      </c>
      <c r="G860" t="n">
        <v>1.4</v>
      </c>
      <c r="H860" t="n">
        <v>0</v>
      </c>
      <c r="I860" t="n">
        <v>0</v>
      </c>
      <c r="J860" t="n">
        <v>0</v>
      </c>
      <c r="K860" t="n">
        <v>0</v>
      </c>
      <c r="L860" t="n">
        <v>0</v>
      </c>
      <c r="M860" t="n">
        <v>0</v>
      </c>
      <c r="N860" t="n">
        <v>0</v>
      </c>
      <c r="O860" t="n">
        <v>0</v>
      </c>
      <c r="P860" t="n">
        <v>0</v>
      </c>
      <c r="Q860" t="n">
        <v>0</v>
      </c>
      <c r="R860" s="2" t="inlineStr"/>
    </row>
    <row r="861" ht="15" customHeight="1">
      <c r="A861" t="inlineStr">
        <is>
          <t>A 22615-2025</t>
        </is>
      </c>
      <c r="B861" s="1" t="n">
        <v>45789.42741898148</v>
      </c>
      <c r="C861" s="1" t="n">
        <v>46048</v>
      </c>
      <c r="D861" t="inlineStr">
        <is>
          <t>VÄSTERNORRLANDS LÄN</t>
        </is>
      </c>
      <c r="E861" t="inlineStr">
        <is>
          <t>SOLLEFTEÅ</t>
        </is>
      </c>
      <c r="F861" t="inlineStr">
        <is>
          <t>SCA</t>
        </is>
      </c>
      <c r="G861" t="n">
        <v>3.8</v>
      </c>
      <c r="H861" t="n">
        <v>0</v>
      </c>
      <c r="I861" t="n">
        <v>0</v>
      </c>
      <c r="J861" t="n">
        <v>0</v>
      </c>
      <c r="K861" t="n">
        <v>0</v>
      </c>
      <c r="L861" t="n">
        <v>0</v>
      </c>
      <c r="M861" t="n">
        <v>0</v>
      </c>
      <c r="N861" t="n">
        <v>0</v>
      </c>
      <c r="O861" t="n">
        <v>0</v>
      </c>
      <c r="P861" t="n">
        <v>0</v>
      </c>
      <c r="Q861" t="n">
        <v>0</v>
      </c>
      <c r="R861" s="2" t="inlineStr"/>
    </row>
    <row r="862" ht="15" customHeight="1">
      <c r="A862" t="inlineStr">
        <is>
          <t>A 22815-2025</t>
        </is>
      </c>
      <c r="B862" s="1" t="n">
        <v>45789.69826388889</v>
      </c>
      <c r="C862" s="1" t="n">
        <v>46048</v>
      </c>
      <c r="D862" t="inlineStr">
        <is>
          <t>VÄSTERNORRLANDS LÄN</t>
        </is>
      </c>
      <c r="E862" t="inlineStr">
        <is>
          <t>SOLLEFTEÅ</t>
        </is>
      </c>
      <c r="F862" t="inlineStr">
        <is>
          <t>SCA</t>
        </is>
      </c>
      <c r="G862" t="n">
        <v>2.3</v>
      </c>
      <c r="H862" t="n">
        <v>0</v>
      </c>
      <c r="I862" t="n">
        <v>0</v>
      </c>
      <c r="J862" t="n">
        <v>0</v>
      </c>
      <c r="K862" t="n">
        <v>0</v>
      </c>
      <c r="L862" t="n">
        <v>0</v>
      </c>
      <c r="M862" t="n">
        <v>0</v>
      </c>
      <c r="N862" t="n">
        <v>0</v>
      </c>
      <c r="O862" t="n">
        <v>0</v>
      </c>
      <c r="P862" t="n">
        <v>0</v>
      </c>
      <c r="Q862" t="n">
        <v>0</v>
      </c>
      <c r="R862" s="2" t="inlineStr"/>
    </row>
    <row r="863" ht="15" customHeight="1">
      <c r="A863" t="inlineStr">
        <is>
          <t>A 13639-2025</t>
        </is>
      </c>
      <c r="B863" s="1" t="n">
        <v>45736.65710648148</v>
      </c>
      <c r="C863" s="1" t="n">
        <v>46048</v>
      </c>
      <c r="D863" t="inlineStr">
        <is>
          <t>VÄSTERNORRLANDS LÄN</t>
        </is>
      </c>
      <c r="E863" t="inlineStr">
        <is>
          <t>SOLLEFTEÅ</t>
        </is>
      </c>
      <c r="F863" t="inlineStr">
        <is>
          <t>SCA</t>
        </is>
      </c>
      <c r="G863" t="n">
        <v>1.1</v>
      </c>
      <c r="H863" t="n">
        <v>0</v>
      </c>
      <c r="I863" t="n">
        <v>0</v>
      </c>
      <c r="J863" t="n">
        <v>0</v>
      </c>
      <c r="K863" t="n">
        <v>0</v>
      </c>
      <c r="L863" t="n">
        <v>0</v>
      </c>
      <c r="M863" t="n">
        <v>0</v>
      </c>
      <c r="N863" t="n">
        <v>0</v>
      </c>
      <c r="O863" t="n">
        <v>0</v>
      </c>
      <c r="P863" t="n">
        <v>0</v>
      </c>
      <c r="Q863" t="n">
        <v>0</v>
      </c>
      <c r="R863" s="2" t="inlineStr"/>
    </row>
    <row r="864" ht="15" customHeight="1">
      <c r="A864" t="inlineStr">
        <is>
          <t>A 1096-2025</t>
        </is>
      </c>
      <c r="B864" s="1" t="n">
        <v>45666</v>
      </c>
      <c r="C864" s="1" t="n">
        <v>46048</v>
      </c>
      <c r="D864" t="inlineStr">
        <is>
          <t>VÄSTERNORRLANDS LÄN</t>
        </is>
      </c>
      <c r="E864" t="inlineStr">
        <is>
          <t>SOLLEFTEÅ</t>
        </is>
      </c>
      <c r="G864" t="n">
        <v>1.5</v>
      </c>
      <c r="H864" t="n">
        <v>0</v>
      </c>
      <c r="I864" t="n">
        <v>0</v>
      </c>
      <c r="J864" t="n">
        <v>0</v>
      </c>
      <c r="K864" t="n">
        <v>0</v>
      </c>
      <c r="L864" t="n">
        <v>0</v>
      </c>
      <c r="M864" t="n">
        <v>0</v>
      </c>
      <c r="N864" t="n">
        <v>0</v>
      </c>
      <c r="O864" t="n">
        <v>0</v>
      </c>
      <c r="P864" t="n">
        <v>0</v>
      </c>
      <c r="Q864" t="n">
        <v>0</v>
      </c>
      <c r="R864" s="2" t="inlineStr"/>
    </row>
    <row r="865" ht="15" customHeight="1">
      <c r="A865" t="inlineStr">
        <is>
          <t>A 52471-2024</t>
        </is>
      </c>
      <c r="B865" s="1" t="n">
        <v>45609.53076388889</v>
      </c>
      <c r="C865" s="1" t="n">
        <v>46048</v>
      </c>
      <c r="D865" t="inlineStr">
        <is>
          <t>VÄSTERNORRLANDS LÄN</t>
        </is>
      </c>
      <c r="E865" t="inlineStr">
        <is>
          <t>SOLLEFTEÅ</t>
        </is>
      </c>
      <c r="G865" t="n">
        <v>6.6</v>
      </c>
      <c r="H865" t="n">
        <v>0</v>
      </c>
      <c r="I865" t="n">
        <v>0</v>
      </c>
      <c r="J865" t="n">
        <v>0</v>
      </c>
      <c r="K865" t="n">
        <v>0</v>
      </c>
      <c r="L865" t="n">
        <v>0</v>
      </c>
      <c r="M865" t="n">
        <v>0</v>
      </c>
      <c r="N865" t="n">
        <v>0</v>
      </c>
      <c r="O865" t="n">
        <v>0</v>
      </c>
      <c r="P865" t="n">
        <v>0</v>
      </c>
      <c r="Q865" t="n">
        <v>0</v>
      </c>
      <c r="R865" s="2" t="inlineStr"/>
    </row>
    <row r="866" ht="15" customHeight="1">
      <c r="A866" t="inlineStr">
        <is>
          <t>A 22569-2025</t>
        </is>
      </c>
      <c r="B866" s="1" t="n">
        <v>45789.36363425926</v>
      </c>
      <c r="C866" s="1" t="n">
        <v>46048</v>
      </c>
      <c r="D866" t="inlineStr">
        <is>
          <t>VÄSTERNORRLANDS LÄN</t>
        </is>
      </c>
      <c r="E866" t="inlineStr">
        <is>
          <t>SOLLEFTEÅ</t>
        </is>
      </c>
      <c r="G866" t="n">
        <v>3.7</v>
      </c>
      <c r="H866" t="n">
        <v>0</v>
      </c>
      <c r="I866" t="n">
        <v>0</v>
      </c>
      <c r="J866" t="n">
        <v>0</v>
      </c>
      <c r="K866" t="n">
        <v>0</v>
      </c>
      <c r="L866" t="n">
        <v>0</v>
      </c>
      <c r="M866" t="n">
        <v>0</v>
      </c>
      <c r="N866" t="n">
        <v>0</v>
      </c>
      <c r="O866" t="n">
        <v>0</v>
      </c>
      <c r="P866" t="n">
        <v>0</v>
      </c>
      <c r="Q866" t="n">
        <v>0</v>
      </c>
      <c r="R866" s="2" t="inlineStr"/>
    </row>
    <row r="867" ht="15" customHeight="1">
      <c r="A867" t="inlineStr">
        <is>
          <t>A 45778-2024</t>
        </is>
      </c>
      <c r="B867" s="1" t="n">
        <v>45579.66471064815</v>
      </c>
      <c r="C867" s="1" t="n">
        <v>46048</v>
      </c>
      <c r="D867" t="inlineStr">
        <is>
          <t>VÄSTERNORRLANDS LÄN</t>
        </is>
      </c>
      <c r="E867" t="inlineStr">
        <is>
          <t>SOLLEFTEÅ</t>
        </is>
      </c>
      <c r="G867" t="n">
        <v>1.2</v>
      </c>
      <c r="H867" t="n">
        <v>0</v>
      </c>
      <c r="I867" t="n">
        <v>0</v>
      </c>
      <c r="J867" t="n">
        <v>0</v>
      </c>
      <c r="K867" t="n">
        <v>0</v>
      </c>
      <c r="L867" t="n">
        <v>0</v>
      </c>
      <c r="M867" t="n">
        <v>0</v>
      </c>
      <c r="N867" t="n">
        <v>0</v>
      </c>
      <c r="O867" t="n">
        <v>0</v>
      </c>
      <c r="P867" t="n">
        <v>0</v>
      </c>
      <c r="Q867" t="n">
        <v>0</v>
      </c>
      <c r="R867" s="2" t="inlineStr"/>
    </row>
    <row r="868" ht="15" customHeight="1">
      <c r="A868" t="inlineStr">
        <is>
          <t>A 40655-2024</t>
        </is>
      </c>
      <c r="B868" s="1" t="n">
        <v>45558.34414351852</v>
      </c>
      <c r="C868" s="1" t="n">
        <v>46048</v>
      </c>
      <c r="D868" t="inlineStr">
        <is>
          <t>VÄSTERNORRLANDS LÄN</t>
        </is>
      </c>
      <c r="E868" t="inlineStr">
        <is>
          <t>SOLLEFTEÅ</t>
        </is>
      </c>
      <c r="G868" t="n">
        <v>2.5</v>
      </c>
      <c r="H868" t="n">
        <v>0</v>
      </c>
      <c r="I868" t="n">
        <v>0</v>
      </c>
      <c r="J868" t="n">
        <v>0</v>
      </c>
      <c r="K868" t="n">
        <v>0</v>
      </c>
      <c r="L868" t="n">
        <v>0</v>
      </c>
      <c r="M868" t="n">
        <v>0</v>
      </c>
      <c r="N868" t="n">
        <v>0</v>
      </c>
      <c r="O868" t="n">
        <v>0</v>
      </c>
      <c r="P868" t="n">
        <v>0</v>
      </c>
      <c r="Q868" t="n">
        <v>0</v>
      </c>
      <c r="R868" s="2" t="inlineStr"/>
    </row>
    <row r="869" ht="15" customHeight="1">
      <c r="A869" t="inlineStr">
        <is>
          <t>A 11334-2024</t>
        </is>
      </c>
      <c r="B869" s="1" t="n">
        <v>45372</v>
      </c>
      <c r="C869" s="1" t="n">
        <v>46048</v>
      </c>
      <c r="D869" t="inlineStr">
        <is>
          <t>VÄSTERNORRLANDS LÄN</t>
        </is>
      </c>
      <c r="E869" t="inlineStr">
        <is>
          <t>SOLLEFTEÅ</t>
        </is>
      </c>
      <c r="F869" t="inlineStr">
        <is>
          <t>SCA</t>
        </is>
      </c>
      <c r="G869" t="n">
        <v>11.7</v>
      </c>
      <c r="H869" t="n">
        <v>0</v>
      </c>
      <c r="I869" t="n">
        <v>0</v>
      </c>
      <c r="J869" t="n">
        <v>0</v>
      </c>
      <c r="K869" t="n">
        <v>0</v>
      </c>
      <c r="L869" t="n">
        <v>0</v>
      </c>
      <c r="M869" t="n">
        <v>0</v>
      </c>
      <c r="N869" t="n">
        <v>0</v>
      </c>
      <c r="O869" t="n">
        <v>0</v>
      </c>
      <c r="P869" t="n">
        <v>0</v>
      </c>
      <c r="Q869" t="n">
        <v>0</v>
      </c>
      <c r="R869" s="2" t="inlineStr"/>
    </row>
    <row r="870" ht="15" customHeight="1">
      <c r="A870" t="inlineStr">
        <is>
          <t>A 22767-2025</t>
        </is>
      </c>
      <c r="B870" s="1" t="n">
        <v>45789.63309027778</v>
      </c>
      <c r="C870" s="1" t="n">
        <v>46048</v>
      </c>
      <c r="D870" t="inlineStr">
        <is>
          <t>VÄSTERNORRLANDS LÄN</t>
        </is>
      </c>
      <c r="E870" t="inlineStr">
        <is>
          <t>SOLLEFTEÅ</t>
        </is>
      </c>
      <c r="G870" t="n">
        <v>5.8</v>
      </c>
      <c r="H870" t="n">
        <v>0</v>
      </c>
      <c r="I870" t="n">
        <v>0</v>
      </c>
      <c r="J870" t="n">
        <v>0</v>
      </c>
      <c r="K870" t="n">
        <v>0</v>
      </c>
      <c r="L870" t="n">
        <v>0</v>
      </c>
      <c r="M870" t="n">
        <v>0</v>
      </c>
      <c r="N870" t="n">
        <v>0</v>
      </c>
      <c r="O870" t="n">
        <v>0</v>
      </c>
      <c r="P870" t="n">
        <v>0</v>
      </c>
      <c r="Q870" t="n">
        <v>0</v>
      </c>
      <c r="R870" s="2" t="inlineStr"/>
    </row>
    <row r="871" ht="15" customHeight="1">
      <c r="A871" t="inlineStr">
        <is>
          <t>A 22287-2025</t>
        </is>
      </c>
      <c r="B871" s="1" t="n">
        <v>45786.34409722222</v>
      </c>
      <c r="C871" s="1" t="n">
        <v>46048</v>
      </c>
      <c r="D871" t="inlineStr">
        <is>
          <t>VÄSTERNORRLANDS LÄN</t>
        </is>
      </c>
      <c r="E871" t="inlineStr">
        <is>
          <t>SOLLEFTEÅ</t>
        </is>
      </c>
      <c r="F871" t="inlineStr">
        <is>
          <t>SCA</t>
        </is>
      </c>
      <c r="G871" t="n">
        <v>1.7</v>
      </c>
      <c r="H871" t="n">
        <v>0</v>
      </c>
      <c r="I871" t="n">
        <v>0</v>
      </c>
      <c r="J871" t="n">
        <v>0</v>
      </c>
      <c r="K871" t="n">
        <v>0</v>
      </c>
      <c r="L871" t="n">
        <v>0</v>
      </c>
      <c r="M871" t="n">
        <v>0</v>
      </c>
      <c r="N871" t="n">
        <v>0</v>
      </c>
      <c r="O871" t="n">
        <v>0</v>
      </c>
      <c r="P871" t="n">
        <v>0</v>
      </c>
      <c r="Q871" t="n">
        <v>0</v>
      </c>
      <c r="R871" s="2" t="inlineStr"/>
    </row>
    <row r="872" ht="15" customHeight="1">
      <c r="A872" t="inlineStr">
        <is>
          <t>A 38054-2024</t>
        </is>
      </c>
      <c r="B872" s="1" t="n">
        <v>45544.71916666667</v>
      </c>
      <c r="C872" s="1" t="n">
        <v>46048</v>
      </c>
      <c r="D872" t="inlineStr">
        <is>
          <t>VÄSTERNORRLANDS LÄN</t>
        </is>
      </c>
      <c r="E872" t="inlineStr">
        <is>
          <t>SOLLEFTEÅ</t>
        </is>
      </c>
      <c r="F872" t="inlineStr">
        <is>
          <t>SCA</t>
        </is>
      </c>
      <c r="G872" t="n">
        <v>3.2</v>
      </c>
      <c r="H872" t="n">
        <v>0</v>
      </c>
      <c r="I872" t="n">
        <v>0</v>
      </c>
      <c r="J872" t="n">
        <v>0</v>
      </c>
      <c r="K872" t="n">
        <v>0</v>
      </c>
      <c r="L872" t="n">
        <v>0</v>
      </c>
      <c r="M872" t="n">
        <v>0</v>
      </c>
      <c r="N872" t="n">
        <v>0</v>
      </c>
      <c r="O872" t="n">
        <v>0</v>
      </c>
      <c r="P872" t="n">
        <v>0</v>
      </c>
      <c r="Q872" t="n">
        <v>0</v>
      </c>
      <c r="R872" s="2" t="inlineStr"/>
    </row>
    <row r="873" ht="15" customHeight="1">
      <c r="A873" t="inlineStr">
        <is>
          <t>A 4838-2025</t>
        </is>
      </c>
      <c r="B873" s="1" t="n">
        <v>45688.67167824074</v>
      </c>
      <c r="C873" s="1" t="n">
        <v>46048</v>
      </c>
      <c r="D873" t="inlineStr">
        <is>
          <t>VÄSTERNORRLANDS LÄN</t>
        </is>
      </c>
      <c r="E873" t="inlineStr">
        <is>
          <t>SOLLEFTEÅ</t>
        </is>
      </c>
      <c r="F873" t="inlineStr">
        <is>
          <t>SCA</t>
        </is>
      </c>
      <c r="G873" t="n">
        <v>1.1</v>
      </c>
      <c r="H873" t="n">
        <v>0</v>
      </c>
      <c r="I873" t="n">
        <v>0</v>
      </c>
      <c r="J873" t="n">
        <v>0</v>
      </c>
      <c r="K873" t="n">
        <v>0</v>
      </c>
      <c r="L873" t="n">
        <v>0</v>
      </c>
      <c r="M873" t="n">
        <v>0</v>
      </c>
      <c r="N873" t="n">
        <v>0</v>
      </c>
      <c r="O873" t="n">
        <v>0</v>
      </c>
      <c r="P873" t="n">
        <v>0</v>
      </c>
      <c r="Q873" t="n">
        <v>0</v>
      </c>
      <c r="R873" s="2" t="inlineStr"/>
    </row>
    <row r="874" ht="15" customHeight="1">
      <c r="A874" t="inlineStr">
        <is>
          <t>A 50674-2023</t>
        </is>
      </c>
      <c r="B874" s="1" t="n">
        <v>45210</v>
      </c>
      <c r="C874" s="1" t="n">
        <v>46048</v>
      </c>
      <c r="D874" t="inlineStr">
        <is>
          <t>VÄSTERNORRLANDS LÄN</t>
        </is>
      </c>
      <c r="E874" t="inlineStr">
        <is>
          <t>SOLLEFTEÅ</t>
        </is>
      </c>
      <c r="G874" t="n">
        <v>11.8</v>
      </c>
      <c r="H874" t="n">
        <v>0</v>
      </c>
      <c r="I874" t="n">
        <v>0</v>
      </c>
      <c r="J874" t="n">
        <v>0</v>
      </c>
      <c r="K874" t="n">
        <v>0</v>
      </c>
      <c r="L874" t="n">
        <v>0</v>
      </c>
      <c r="M874" t="n">
        <v>0</v>
      </c>
      <c r="N874" t="n">
        <v>0</v>
      </c>
      <c r="O874" t="n">
        <v>0</v>
      </c>
      <c r="P874" t="n">
        <v>0</v>
      </c>
      <c r="Q874" t="n">
        <v>0</v>
      </c>
      <c r="R874" s="2" t="inlineStr"/>
    </row>
    <row r="875" ht="15" customHeight="1">
      <c r="A875" t="inlineStr">
        <is>
          <t>A 218-2025</t>
        </is>
      </c>
      <c r="B875" s="1" t="n">
        <v>45660</v>
      </c>
      <c r="C875" s="1" t="n">
        <v>46048</v>
      </c>
      <c r="D875" t="inlineStr">
        <is>
          <t>VÄSTERNORRLANDS LÄN</t>
        </is>
      </c>
      <c r="E875" t="inlineStr">
        <is>
          <t>SOLLEFTEÅ</t>
        </is>
      </c>
      <c r="G875" t="n">
        <v>1</v>
      </c>
      <c r="H875" t="n">
        <v>0</v>
      </c>
      <c r="I875" t="n">
        <v>0</v>
      </c>
      <c r="J875" t="n">
        <v>0</v>
      </c>
      <c r="K875" t="n">
        <v>0</v>
      </c>
      <c r="L875" t="n">
        <v>0</v>
      </c>
      <c r="M875" t="n">
        <v>0</v>
      </c>
      <c r="N875" t="n">
        <v>0</v>
      </c>
      <c r="O875" t="n">
        <v>0</v>
      </c>
      <c r="P875" t="n">
        <v>0</v>
      </c>
      <c r="Q875" t="n">
        <v>0</v>
      </c>
      <c r="R875" s="2" t="inlineStr"/>
    </row>
    <row r="876" ht="15" customHeight="1">
      <c r="A876" t="inlineStr">
        <is>
          <t>A 22562-2025</t>
        </is>
      </c>
      <c r="B876" s="1" t="n">
        <v>45789.34736111111</v>
      </c>
      <c r="C876" s="1" t="n">
        <v>46048</v>
      </c>
      <c r="D876" t="inlineStr">
        <is>
          <t>VÄSTERNORRLANDS LÄN</t>
        </is>
      </c>
      <c r="E876" t="inlineStr">
        <is>
          <t>SOLLEFTEÅ</t>
        </is>
      </c>
      <c r="G876" t="n">
        <v>1.1</v>
      </c>
      <c r="H876" t="n">
        <v>0</v>
      </c>
      <c r="I876" t="n">
        <v>0</v>
      </c>
      <c r="J876" t="n">
        <v>0</v>
      </c>
      <c r="K876" t="n">
        <v>0</v>
      </c>
      <c r="L876" t="n">
        <v>0</v>
      </c>
      <c r="M876" t="n">
        <v>0</v>
      </c>
      <c r="N876" t="n">
        <v>0</v>
      </c>
      <c r="O876" t="n">
        <v>0</v>
      </c>
      <c r="P876" t="n">
        <v>0</v>
      </c>
      <c r="Q876" t="n">
        <v>0</v>
      </c>
      <c r="R876" s="2" t="inlineStr"/>
    </row>
    <row r="877" ht="15" customHeight="1">
      <c r="A877" t="inlineStr">
        <is>
          <t>A 41028-2024</t>
        </is>
      </c>
      <c r="B877" s="1" t="n">
        <v>45559.34466435185</v>
      </c>
      <c r="C877" s="1" t="n">
        <v>46048</v>
      </c>
      <c r="D877" t="inlineStr">
        <is>
          <t>VÄSTERNORRLANDS LÄN</t>
        </is>
      </c>
      <c r="E877" t="inlineStr">
        <is>
          <t>SOLLEFTEÅ</t>
        </is>
      </c>
      <c r="F877" t="inlineStr">
        <is>
          <t>SCA</t>
        </is>
      </c>
      <c r="G877" t="n">
        <v>3.5</v>
      </c>
      <c r="H877" t="n">
        <v>0</v>
      </c>
      <c r="I877" t="n">
        <v>0</v>
      </c>
      <c r="J877" t="n">
        <v>0</v>
      </c>
      <c r="K877" t="n">
        <v>0</v>
      </c>
      <c r="L877" t="n">
        <v>0</v>
      </c>
      <c r="M877" t="n">
        <v>0</v>
      </c>
      <c r="N877" t="n">
        <v>0</v>
      </c>
      <c r="O877" t="n">
        <v>0</v>
      </c>
      <c r="P877" t="n">
        <v>0</v>
      </c>
      <c r="Q877" t="n">
        <v>0</v>
      </c>
      <c r="R877" s="2" t="inlineStr"/>
    </row>
    <row r="878" ht="15" customHeight="1">
      <c r="A878" t="inlineStr">
        <is>
          <t>A 36513-2023</t>
        </is>
      </c>
      <c r="B878" s="1" t="n">
        <v>45152.9537037037</v>
      </c>
      <c r="C878" s="1" t="n">
        <v>46048</v>
      </c>
      <c r="D878" t="inlineStr">
        <is>
          <t>VÄSTERNORRLANDS LÄN</t>
        </is>
      </c>
      <c r="E878" t="inlineStr">
        <is>
          <t>SOLLEFTEÅ</t>
        </is>
      </c>
      <c r="F878" t="inlineStr">
        <is>
          <t>SCA</t>
        </is>
      </c>
      <c r="G878" t="n">
        <v>0.8</v>
      </c>
      <c r="H878" t="n">
        <v>0</v>
      </c>
      <c r="I878" t="n">
        <v>0</v>
      </c>
      <c r="J878" t="n">
        <v>0</v>
      </c>
      <c r="K878" t="n">
        <v>0</v>
      </c>
      <c r="L878" t="n">
        <v>0</v>
      </c>
      <c r="M878" t="n">
        <v>0</v>
      </c>
      <c r="N878" t="n">
        <v>0</v>
      </c>
      <c r="O878" t="n">
        <v>0</v>
      </c>
      <c r="P878" t="n">
        <v>0</v>
      </c>
      <c r="Q878" t="n">
        <v>0</v>
      </c>
      <c r="R878" s="2" t="inlineStr"/>
    </row>
    <row r="879" ht="15" customHeight="1">
      <c r="A879" t="inlineStr">
        <is>
          <t>A 22737-2025</t>
        </is>
      </c>
      <c r="B879" s="1" t="n">
        <v>45789.59130787037</v>
      </c>
      <c r="C879" s="1" t="n">
        <v>46048</v>
      </c>
      <c r="D879" t="inlineStr">
        <is>
          <t>VÄSTERNORRLANDS LÄN</t>
        </is>
      </c>
      <c r="E879" t="inlineStr">
        <is>
          <t>SOLLEFTEÅ</t>
        </is>
      </c>
      <c r="G879" t="n">
        <v>15.6</v>
      </c>
      <c r="H879" t="n">
        <v>0</v>
      </c>
      <c r="I879" t="n">
        <v>0</v>
      </c>
      <c r="J879" t="n">
        <v>0</v>
      </c>
      <c r="K879" t="n">
        <v>0</v>
      </c>
      <c r="L879" t="n">
        <v>0</v>
      </c>
      <c r="M879" t="n">
        <v>0</v>
      </c>
      <c r="N879" t="n">
        <v>0</v>
      </c>
      <c r="O879" t="n">
        <v>0</v>
      </c>
      <c r="P879" t="n">
        <v>0</v>
      </c>
      <c r="Q879" t="n">
        <v>0</v>
      </c>
      <c r="R879" s="2" t="inlineStr"/>
    </row>
    <row r="880" ht="15" customHeight="1">
      <c r="A880" t="inlineStr">
        <is>
          <t>A 22810-2025</t>
        </is>
      </c>
      <c r="B880" s="1" t="n">
        <v>45789.68076388889</v>
      </c>
      <c r="C880" s="1" t="n">
        <v>46048</v>
      </c>
      <c r="D880" t="inlineStr">
        <is>
          <t>VÄSTERNORRLANDS LÄN</t>
        </is>
      </c>
      <c r="E880" t="inlineStr">
        <is>
          <t>SOLLEFTEÅ</t>
        </is>
      </c>
      <c r="G880" t="n">
        <v>1.8</v>
      </c>
      <c r="H880" t="n">
        <v>0</v>
      </c>
      <c r="I880" t="n">
        <v>0</v>
      </c>
      <c r="J880" t="n">
        <v>0</v>
      </c>
      <c r="K880" t="n">
        <v>0</v>
      </c>
      <c r="L880" t="n">
        <v>0</v>
      </c>
      <c r="M880" t="n">
        <v>0</v>
      </c>
      <c r="N880" t="n">
        <v>0</v>
      </c>
      <c r="O880" t="n">
        <v>0</v>
      </c>
      <c r="P880" t="n">
        <v>0</v>
      </c>
      <c r="Q880" t="n">
        <v>0</v>
      </c>
      <c r="R880" s="2" t="inlineStr"/>
    </row>
    <row r="881" ht="15" customHeight="1">
      <c r="A881" t="inlineStr">
        <is>
          <t>A 57019-2022</t>
        </is>
      </c>
      <c r="B881" s="1" t="n">
        <v>44894.95877314815</v>
      </c>
      <c r="C881" s="1" t="n">
        <v>46048</v>
      </c>
      <c r="D881" t="inlineStr">
        <is>
          <t>VÄSTERNORRLANDS LÄN</t>
        </is>
      </c>
      <c r="E881" t="inlineStr">
        <is>
          <t>SOLLEFTEÅ</t>
        </is>
      </c>
      <c r="F881" t="inlineStr">
        <is>
          <t>SCA</t>
        </is>
      </c>
      <c r="G881" t="n">
        <v>4.2</v>
      </c>
      <c r="H881" t="n">
        <v>0</v>
      </c>
      <c r="I881" t="n">
        <v>0</v>
      </c>
      <c r="J881" t="n">
        <v>0</v>
      </c>
      <c r="K881" t="n">
        <v>0</v>
      </c>
      <c r="L881" t="n">
        <v>0</v>
      </c>
      <c r="M881" t="n">
        <v>0</v>
      </c>
      <c r="N881" t="n">
        <v>0</v>
      </c>
      <c r="O881" t="n">
        <v>0</v>
      </c>
      <c r="P881" t="n">
        <v>0</v>
      </c>
      <c r="Q881" t="n">
        <v>0</v>
      </c>
      <c r="R881" s="2" t="inlineStr"/>
    </row>
    <row r="882" ht="15" customHeight="1">
      <c r="A882" t="inlineStr">
        <is>
          <t>A 26172-2024</t>
        </is>
      </c>
      <c r="B882" s="1" t="n">
        <v>45468</v>
      </c>
      <c r="C882" s="1" t="n">
        <v>46048</v>
      </c>
      <c r="D882" t="inlineStr">
        <is>
          <t>VÄSTERNORRLANDS LÄN</t>
        </is>
      </c>
      <c r="E882" t="inlineStr">
        <is>
          <t>SOLLEFTEÅ</t>
        </is>
      </c>
      <c r="G882" t="n">
        <v>4.4</v>
      </c>
      <c r="H882" t="n">
        <v>0</v>
      </c>
      <c r="I882" t="n">
        <v>0</v>
      </c>
      <c r="J882" t="n">
        <v>0</v>
      </c>
      <c r="K882" t="n">
        <v>0</v>
      </c>
      <c r="L882" t="n">
        <v>0</v>
      </c>
      <c r="M882" t="n">
        <v>0</v>
      </c>
      <c r="N882" t="n">
        <v>0</v>
      </c>
      <c r="O882" t="n">
        <v>0</v>
      </c>
      <c r="P882" t="n">
        <v>0</v>
      </c>
      <c r="Q882" t="n">
        <v>0</v>
      </c>
      <c r="R882" s="2" t="inlineStr"/>
    </row>
    <row r="883" ht="15" customHeight="1">
      <c r="A883" t="inlineStr">
        <is>
          <t>A 22704-2025</t>
        </is>
      </c>
      <c r="B883" s="1" t="n">
        <v>45789.55251157407</v>
      </c>
      <c r="C883" s="1" t="n">
        <v>46048</v>
      </c>
      <c r="D883" t="inlineStr">
        <is>
          <t>VÄSTERNORRLANDS LÄN</t>
        </is>
      </c>
      <c r="E883" t="inlineStr">
        <is>
          <t>SOLLEFTEÅ</t>
        </is>
      </c>
      <c r="F883" t="inlineStr">
        <is>
          <t>SCA</t>
        </is>
      </c>
      <c r="G883" t="n">
        <v>3.3</v>
      </c>
      <c r="H883" t="n">
        <v>0</v>
      </c>
      <c r="I883" t="n">
        <v>0</v>
      </c>
      <c r="J883" t="n">
        <v>0</v>
      </c>
      <c r="K883" t="n">
        <v>0</v>
      </c>
      <c r="L883" t="n">
        <v>0</v>
      </c>
      <c r="M883" t="n">
        <v>0</v>
      </c>
      <c r="N883" t="n">
        <v>0</v>
      </c>
      <c r="O883" t="n">
        <v>0</v>
      </c>
      <c r="P883" t="n">
        <v>0</v>
      </c>
      <c r="Q883" t="n">
        <v>0</v>
      </c>
      <c r="R883" s="2" t="inlineStr"/>
    </row>
    <row r="884" ht="15" customHeight="1">
      <c r="A884" t="inlineStr">
        <is>
          <t>A 25139-2024</t>
        </is>
      </c>
      <c r="B884" s="1" t="n">
        <v>45462.48130787037</v>
      </c>
      <c r="C884" s="1" t="n">
        <v>46048</v>
      </c>
      <c r="D884" t="inlineStr">
        <is>
          <t>VÄSTERNORRLANDS LÄN</t>
        </is>
      </c>
      <c r="E884" t="inlineStr">
        <is>
          <t>SOLLEFTEÅ</t>
        </is>
      </c>
      <c r="G884" t="n">
        <v>1.7</v>
      </c>
      <c r="H884" t="n">
        <v>0</v>
      </c>
      <c r="I884" t="n">
        <v>0</v>
      </c>
      <c r="J884" t="n">
        <v>0</v>
      </c>
      <c r="K884" t="n">
        <v>0</v>
      </c>
      <c r="L884" t="n">
        <v>0</v>
      </c>
      <c r="M884" t="n">
        <v>0</v>
      </c>
      <c r="N884" t="n">
        <v>0</v>
      </c>
      <c r="O884" t="n">
        <v>0</v>
      </c>
      <c r="P884" t="n">
        <v>0</v>
      </c>
      <c r="Q884" t="n">
        <v>0</v>
      </c>
      <c r="R884" s="2" t="inlineStr"/>
    </row>
    <row r="885" ht="15" customHeight="1">
      <c r="A885" t="inlineStr">
        <is>
          <t>A 21344-2023</t>
        </is>
      </c>
      <c r="B885" s="1" t="n">
        <v>45062</v>
      </c>
      <c r="C885" s="1" t="n">
        <v>46048</v>
      </c>
      <c r="D885" t="inlineStr">
        <is>
          <t>VÄSTERNORRLANDS LÄN</t>
        </is>
      </c>
      <c r="E885" t="inlineStr">
        <is>
          <t>SOLLEFTEÅ</t>
        </is>
      </c>
      <c r="F885" t="inlineStr">
        <is>
          <t>SCA</t>
        </is>
      </c>
      <c r="G885" t="n">
        <v>3.4</v>
      </c>
      <c r="H885" t="n">
        <v>0</v>
      </c>
      <c r="I885" t="n">
        <v>0</v>
      </c>
      <c r="J885" t="n">
        <v>0</v>
      </c>
      <c r="K885" t="n">
        <v>0</v>
      </c>
      <c r="L885" t="n">
        <v>0</v>
      </c>
      <c r="M885" t="n">
        <v>0</v>
      </c>
      <c r="N885" t="n">
        <v>0</v>
      </c>
      <c r="O885" t="n">
        <v>0</v>
      </c>
      <c r="P885" t="n">
        <v>0</v>
      </c>
      <c r="Q885" t="n">
        <v>0</v>
      </c>
      <c r="R885" s="2" t="inlineStr"/>
    </row>
    <row r="886" ht="15" customHeight="1">
      <c r="A886" t="inlineStr">
        <is>
          <t>A 22866-2025</t>
        </is>
      </c>
      <c r="B886" s="1" t="n">
        <v>45790.36519675926</v>
      </c>
      <c r="C886" s="1" t="n">
        <v>46048</v>
      </c>
      <c r="D886" t="inlineStr">
        <is>
          <t>VÄSTERNORRLANDS LÄN</t>
        </is>
      </c>
      <c r="E886" t="inlineStr">
        <is>
          <t>SOLLEFTEÅ</t>
        </is>
      </c>
      <c r="F886" t="inlineStr">
        <is>
          <t>SCA</t>
        </is>
      </c>
      <c r="G886" t="n">
        <v>16.2</v>
      </c>
      <c r="H886" t="n">
        <v>0</v>
      </c>
      <c r="I886" t="n">
        <v>0</v>
      </c>
      <c r="J886" t="n">
        <v>0</v>
      </c>
      <c r="K886" t="n">
        <v>0</v>
      </c>
      <c r="L886" t="n">
        <v>0</v>
      </c>
      <c r="M886" t="n">
        <v>0</v>
      </c>
      <c r="N886" t="n">
        <v>0</v>
      </c>
      <c r="O886" t="n">
        <v>0</v>
      </c>
      <c r="P886" t="n">
        <v>0</v>
      </c>
      <c r="Q886" t="n">
        <v>0</v>
      </c>
      <c r="R886" s="2" t="inlineStr"/>
    </row>
    <row r="887" ht="15" customHeight="1">
      <c r="A887" t="inlineStr">
        <is>
          <t>A 10240-2025</t>
        </is>
      </c>
      <c r="B887" s="1" t="n">
        <v>45720.34508101852</v>
      </c>
      <c r="C887" s="1" t="n">
        <v>46048</v>
      </c>
      <c r="D887" t="inlineStr">
        <is>
          <t>VÄSTERNORRLANDS LÄN</t>
        </is>
      </c>
      <c r="E887" t="inlineStr">
        <is>
          <t>SOLLEFTEÅ</t>
        </is>
      </c>
      <c r="F887" t="inlineStr">
        <is>
          <t>SCA</t>
        </is>
      </c>
      <c r="G887" t="n">
        <v>18.8</v>
      </c>
      <c r="H887" t="n">
        <v>0</v>
      </c>
      <c r="I887" t="n">
        <v>0</v>
      </c>
      <c r="J887" t="n">
        <v>0</v>
      </c>
      <c r="K887" t="n">
        <v>0</v>
      </c>
      <c r="L887" t="n">
        <v>0</v>
      </c>
      <c r="M887" t="n">
        <v>0</v>
      </c>
      <c r="N887" t="n">
        <v>0</v>
      </c>
      <c r="O887" t="n">
        <v>0</v>
      </c>
      <c r="P887" t="n">
        <v>0</v>
      </c>
      <c r="Q887" t="n">
        <v>0</v>
      </c>
      <c r="R887" s="2" t="inlineStr"/>
    </row>
    <row r="888" ht="15" customHeight="1">
      <c r="A888" t="inlineStr">
        <is>
          <t>A 42664-2022</t>
        </is>
      </c>
      <c r="B888" s="1" t="n">
        <v>44831</v>
      </c>
      <c r="C888" s="1" t="n">
        <v>46048</v>
      </c>
      <c r="D888" t="inlineStr">
        <is>
          <t>VÄSTERNORRLANDS LÄN</t>
        </is>
      </c>
      <c r="E888" t="inlineStr">
        <is>
          <t>SOLLEFTEÅ</t>
        </is>
      </c>
      <c r="F888" t="inlineStr">
        <is>
          <t>SCA</t>
        </is>
      </c>
      <c r="G888" t="n">
        <v>1</v>
      </c>
      <c r="H888" t="n">
        <v>0</v>
      </c>
      <c r="I888" t="n">
        <v>0</v>
      </c>
      <c r="J888" t="n">
        <v>0</v>
      </c>
      <c r="K888" t="n">
        <v>0</v>
      </c>
      <c r="L888" t="n">
        <v>0</v>
      </c>
      <c r="M888" t="n">
        <v>0</v>
      </c>
      <c r="N888" t="n">
        <v>0</v>
      </c>
      <c r="O888" t="n">
        <v>0</v>
      </c>
      <c r="P888" t="n">
        <v>0</v>
      </c>
      <c r="Q888" t="n">
        <v>0</v>
      </c>
      <c r="R888" s="2" t="inlineStr"/>
    </row>
    <row r="889" ht="15" customHeight="1">
      <c r="A889" t="inlineStr">
        <is>
          <t>A 918-2023</t>
        </is>
      </c>
      <c r="B889" s="1" t="n">
        <v>44931.95329861111</v>
      </c>
      <c r="C889" s="1" t="n">
        <v>46048</v>
      </c>
      <c r="D889" t="inlineStr">
        <is>
          <t>VÄSTERNORRLANDS LÄN</t>
        </is>
      </c>
      <c r="E889" t="inlineStr">
        <is>
          <t>SOLLEFTEÅ</t>
        </is>
      </c>
      <c r="F889" t="inlineStr">
        <is>
          <t>SCA</t>
        </is>
      </c>
      <c r="G889" t="n">
        <v>7.1</v>
      </c>
      <c r="H889" t="n">
        <v>0</v>
      </c>
      <c r="I889" t="n">
        <v>0</v>
      </c>
      <c r="J889" t="n">
        <v>0</v>
      </c>
      <c r="K889" t="n">
        <v>0</v>
      </c>
      <c r="L889" t="n">
        <v>0</v>
      </c>
      <c r="M889" t="n">
        <v>0</v>
      </c>
      <c r="N889" t="n">
        <v>0</v>
      </c>
      <c r="O889" t="n">
        <v>0</v>
      </c>
      <c r="P889" t="n">
        <v>0</v>
      </c>
      <c r="Q889" t="n">
        <v>0</v>
      </c>
      <c r="R889" s="2" t="inlineStr"/>
    </row>
    <row r="890" ht="15" customHeight="1">
      <c r="A890" t="inlineStr">
        <is>
          <t>A 3211-2024</t>
        </is>
      </c>
      <c r="B890" s="1" t="n">
        <v>45316</v>
      </c>
      <c r="C890" s="1" t="n">
        <v>46048</v>
      </c>
      <c r="D890" t="inlineStr">
        <is>
          <t>VÄSTERNORRLANDS LÄN</t>
        </is>
      </c>
      <c r="E890" t="inlineStr">
        <is>
          <t>SOLLEFTEÅ</t>
        </is>
      </c>
      <c r="G890" t="n">
        <v>2.6</v>
      </c>
      <c r="H890" t="n">
        <v>0</v>
      </c>
      <c r="I890" t="n">
        <v>0</v>
      </c>
      <c r="J890" t="n">
        <v>0</v>
      </c>
      <c r="K890" t="n">
        <v>0</v>
      </c>
      <c r="L890" t="n">
        <v>0</v>
      </c>
      <c r="M890" t="n">
        <v>0</v>
      </c>
      <c r="N890" t="n">
        <v>0</v>
      </c>
      <c r="O890" t="n">
        <v>0</v>
      </c>
      <c r="P890" t="n">
        <v>0</v>
      </c>
      <c r="Q890" t="n">
        <v>0</v>
      </c>
      <c r="R890" s="2" t="inlineStr"/>
    </row>
    <row r="891" ht="15" customHeight="1">
      <c r="A891" t="inlineStr">
        <is>
          <t>A 63712-2023</t>
        </is>
      </c>
      <c r="B891" s="1" t="n">
        <v>45275.95094907407</v>
      </c>
      <c r="C891" s="1" t="n">
        <v>46048</v>
      </c>
      <c r="D891" t="inlineStr">
        <is>
          <t>VÄSTERNORRLANDS LÄN</t>
        </is>
      </c>
      <c r="E891" t="inlineStr">
        <is>
          <t>SOLLEFTEÅ</t>
        </is>
      </c>
      <c r="F891" t="inlineStr">
        <is>
          <t>SCA</t>
        </is>
      </c>
      <c r="G891" t="n">
        <v>1.2</v>
      </c>
      <c r="H891" t="n">
        <v>0</v>
      </c>
      <c r="I891" t="n">
        <v>0</v>
      </c>
      <c r="J891" t="n">
        <v>0</v>
      </c>
      <c r="K891" t="n">
        <v>0</v>
      </c>
      <c r="L891" t="n">
        <v>0</v>
      </c>
      <c r="M891" t="n">
        <v>0</v>
      </c>
      <c r="N891" t="n">
        <v>0</v>
      </c>
      <c r="O891" t="n">
        <v>0</v>
      </c>
      <c r="P891" t="n">
        <v>0</v>
      </c>
      <c r="Q891" t="n">
        <v>0</v>
      </c>
      <c r="R891" s="2" t="inlineStr"/>
    </row>
    <row r="892" ht="15" customHeight="1">
      <c r="A892" t="inlineStr">
        <is>
          <t>A 3095-2025</t>
        </is>
      </c>
      <c r="B892" s="1" t="n">
        <v>45678.66633101852</v>
      </c>
      <c r="C892" s="1" t="n">
        <v>46048</v>
      </c>
      <c r="D892" t="inlineStr">
        <is>
          <t>VÄSTERNORRLANDS LÄN</t>
        </is>
      </c>
      <c r="E892" t="inlineStr">
        <is>
          <t>SOLLEFTEÅ</t>
        </is>
      </c>
      <c r="G892" t="n">
        <v>1.8</v>
      </c>
      <c r="H892" t="n">
        <v>0</v>
      </c>
      <c r="I892" t="n">
        <v>0</v>
      </c>
      <c r="J892" t="n">
        <v>0</v>
      </c>
      <c r="K892" t="n">
        <v>0</v>
      </c>
      <c r="L892" t="n">
        <v>0</v>
      </c>
      <c r="M892" t="n">
        <v>0</v>
      </c>
      <c r="N892" t="n">
        <v>0</v>
      </c>
      <c r="O892" t="n">
        <v>0</v>
      </c>
      <c r="P892" t="n">
        <v>0</v>
      </c>
      <c r="Q892" t="n">
        <v>0</v>
      </c>
      <c r="R892" s="2" t="inlineStr"/>
    </row>
    <row r="893" ht="15" customHeight="1">
      <c r="A893" t="inlineStr">
        <is>
          <t>A 45940-2024</t>
        </is>
      </c>
      <c r="B893" s="1" t="n">
        <v>45580.53167824074</v>
      </c>
      <c r="C893" s="1" t="n">
        <v>46048</v>
      </c>
      <c r="D893" t="inlineStr">
        <is>
          <t>VÄSTERNORRLANDS LÄN</t>
        </is>
      </c>
      <c r="E893" t="inlineStr">
        <is>
          <t>SOLLEFTEÅ</t>
        </is>
      </c>
      <c r="F893" t="inlineStr">
        <is>
          <t>SCA</t>
        </is>
      </c>
      <c r="G893" t="n">
        <v>0.8</v>
      </c>
      <c r="H893" t="n">
        <v>0</v>
      </c>
      <c r="I893" t="n">
        <v>0</v>
      </c>
      <c r="J893" t="n">
        <v>0</v>
      </c>
      <c r="K893" t="n">
        <v>0</v>
      </c>
      <c r="L893" t="n">
        <v>0</v>
      </c>
      <c r="M893" t="n">
        <v>0</v>
      </c>
      <c r="N893" t="n">
        <v>0</v>
      </c>
      <c r="O893" t="n">
        <v>0</v>
      </c>
      <c r="P893" t="n">
        <v>0</v>
      </c>
      <c r="Q893" t="n">
        <v>0</v>
      </c>
      <c r="R893" s="2" t="inlineStr"/>
    </row>
    <row r="894" ht="15" customHeight="1">
      <c r="A894" t="inlineStr">
        <is>
          <t>A 33628-2024</t>
        </is>
      </c>
      <c r="B894" s="1" t="n">
        <v>45520.4302662037</v>
      </c>
      <c r="C894" s="1" t="n">
        <v>46048</v>
      </c>
      <c r="D894" t="inlineStr">
        <is>
          <t>VÄSTERNORRLANDS LÄN</t>
        </is>
      </c>
      <c r="E894" t="inlineStr">
        <is>
          <t>SOLLEFTEÅ</t>
        </is>
      </c>
      <c r="F894" t="inlineStr">
        <is>
          <t>Holmen skog AB</t>
        </is>
      </c>
      <c r="G894" t="n">
        <v>1.7</v>
      </c>
      <c r="H894" t="n">
        <v>0</v>
      </c>
      <c r="I894" t="n">
        <v>0</v>
      </c>
      <c r="J894" t="n">
        <v>0</v>
      </c>
      <c r="K894" t="n">
        <v>0</v>
      </c>
      <c r="L894" t="n">
        <v>0</v>
      </c>
      <c r="M894" t="n">
        <v>0</v>
      </c>
      <c r="N894" t="n">
        <v>0</v>
      </c>
      <c r="O894" t="n">
        <v>0</v>
      </c>
      <c r="P894" t="n">
        <v>0</v>
      </c>
      <c r="Q894" t="n">
        <v>0</v>
      </c>
      <c r="R894" s="2" t="inlineStr"/>
    </row>
    <row r="895" ht="15" customHeight="1">
      <c r="A895" t="inlineStr">
        <is>
          <t>A 45975-2024</t>
        </is>
      </c>
      <c r="B895" s="1" t="n">
        <v>45580.59425925926</v>
      </c>
      <c r="C895" s="1" t="n">
        <v>46048</v>
      </c>
      <c r="D895" t="inlineStr">
        <is>
          <t>VÄSTERNORRLANDS LÄN</t>
        </is>
      </c>
      <c r="E895" t="inlineStr">
        <is>
          <t>SOLLEFTEÅ</t>
        </is>
      </c>
      <c r="F895" t="inlineStr">
        <is>
          <t>SCA</t>
        </is>
      </c>
      <c r="G895" t="n">
        <v>2.6</v>
      </c>
      <c r="H895" t="n">
        <v>0</v>
      </c>
      <c r="I895" t="n">
        <v>0</v>
      </c>
      <c r="J895" t="n">
        <v>0</v>
      </c>
      <c r="K895" t="n">
        <v>0</v>
      </c>
      <c r="L895" t="n">
        <v>0</v>
      </c>
      <c r="M895" t="n">
        <v>0</v>
      </c>
      <c r="N895" t="n">
        <v>0</v>
      </c>
      <c r="O895" t="n">
        <v>0</v>
      </c>
      <c r="P895" t="n">
        <v>0</v>
      </c>
      <c r="Q895" t="n">
        <v>0</v>
      </c>
      <c r="R895" s="2" t="inlineStr"/>
    </row>
    <row r="896" ht="15" customHeight="1">
      <c r="A896" t="inlineStr">
        <is>
          <t>A 22471-2024</t>
        </is>
      </c>
      <c r="B896" s="1" t="n">
        <v>45446</v>
      </c>
      <c r="C896" s="1" t="n">
        <v>46048</v>
      </c>
      <c r="D896" t="inlineStr">
        <is>
          <t>VÄSTERNORRLANDS LÄN</t>
        </is>
      </c>
      <c r="E896" t="inlineStr">
        <is>
          <t>SOLLEFTEÅ</t>
        </is>
      </c>
      <c r="G896" t="n">
        <v>2.7</v>
      </c>
      <c r="H896" t="n">
        <v>0</v>
      </c>
      <c r="I896" t="n">
        <v>0</v>
      </c>
      <c r="J896" t="n">
        <v>0</v>
      </c>
      <c r="K896" t="n">
        <v>0</v>
      </c>
      <c r="L896" t="n">
        <v>0</v>
      </c>
      <c r="M896" t="n">
        <v>0</v>
      </c>
      <c r="N896" t="n">
        <v>0</v>
      </c>
      <c r="O896" t="n">
        <v>0</v>
      </c>
      <c r="P896" t="n">
        <v>0</v>
      </c>
      <c r="Q896" t="n">
        <v>0</v>
      </c>
      <c r="R896" s="2" t="inlineStr"/>
    </row>
    <row r="897" ht="15" customHeight="1">
      <c r="A897" t="inlineStr">
        <is>
          <t>A 20389-2025</t>
        </is>
      </c>
      <c r="B897" s="1" t="n">
        <v>45775</v>
      </c>
      <c r="C897" s="1" t="n">
        <v>46048</v>
      </c>
      <c r="D897" t="inlineStr">
        <is>
          <t>VÄSTERNORRLANDS LÄN</t>
        </is>
      </c>
      <c r="E897" t="inlineStr">
        <is>
          <t>SOLLEFTEÅ</t>
        </is>
      </c>
      <c r="F897" t="inlineStr">
        <is>
          <t>SCA</t>
        </is>
      </c>
      <c r="G897" t="n">
        <v>4.2</v>
      </c>
      <c r="H897" t="n">
        <v>0</v>
      </c>
      <c r="I897" t="n">
        <v>0</v>
      </c>
      <c r="J897" t="n">
        <v>0</v>
      </c>
      <c r="K897" t="n">
        <v>0</v>
      </c>
      <c r="L897" t="n">
        <v>0</v>
      </c>
      <c r="M897" t="n">
        <v>0</v>
      </c>
      <c r="N897" t="n">
        <v>0</v>
      </c>
      <c r="O897" t="n">
        <v>0</v>
      </c>
      <c r="P897" t="n">
        <v>0</v>
      </c>
      <c r="Q897" t="n">
        <v>0</v>
      </c>
      <c r="R897" s="2" t="inlineStr"/>
    </row>
    <row r="898" ht="15" customHeight="1">
      <c r="A898" t="inlineStr">
        <is>
          <t>A 49403-2024</t>
        </is>
      </c>
      <c r="B898" s="1" t="n">
        <v>45595.67730324074</v>
      </c>
      <c r="C898" s="1" t="n">
        <v>46048</v>
      </c>
      <c r="D898" t="inlineStr">
        <is>
          <t>VÄSTERNORRLANDS LÄN</t>
        </is>
      </c>
      <c r="E898" t="inlineStr">
        <is>
          <t>SOLLEFTEÅ</t>
        </is>
      </c>
      <c r="F898" t="inlineStr">
        <is>
          <t>SCA</t>
        </is>
      </c>
      <c r="G898" t="n">
        <v>1.6</v>
      </c>
      <c r="H898" t="n">
        <v>0</v>
      </c>
      <c r="I898" t="n">
        <v>0</v>
      </c>
      <c r="J898" t="n">
        <v>0</v>
      </c>
      <c r="K898" t="n">
        <v>0</v>
      </c>
      <c r="L898" t="n">
        <v>0</v>
      </c>
      <c r="M898" t="n">
        <v>0</v>
      </c>
      <c r="N898" t="n">
        <v>0</v>
      </c>
      <c r="O898" t="n">
        <v>0</v>
      </c>
      <c r="P898" t="n">
        <v>0</v>
      </c>
      <c r="Q898" t="n">
        <v>0</v>
      </c>
      <c r="R898" s="2" t="inlineStr"/>
    </row>
    <row r="899" ht="15" customHeight="1">
      <c r="A899" t="inlineStr">
        <is>
          <t>A 18648-2024</t>
        </is>
      </c>
      <c r="B899" s="1" t="n">
        <v>45425.9678125</v>
      </c>
      <c r="C899" s="1" t="n">
        <v>46048</v>
      </c>
      <c r="D899" t="inlineStr">
        <is>
          <t>VÄSTERNORRLANDS LÄN</t>
        </is>
      </c>
      <c r="E899" t="inlineStr">
        <is>
          <t>SOLLEFTEÅ</t>
        </is>
      </c>
      <c r="F899" t="inlineStr">
        <is>
          <t>SCA</t>
        </is>
      </c>
      <c r="G899" t="n">
        <v>1.3</v>
      </c>
      <c r="H899" t="n">
        <v>0</v>
      </c>
      <c r="I899" t="n">
        <v>0</v>
      </c>
      <c r="J899" t="n">
        <v>0</v>
      </c>
      <c r="K899" t="n">
        <v>0</v>
      </c>
      <c r="L899" t="n">
        <v>0</v>
      </c>
      <c r="M899" t="n">
        <v>0</v>
      </c>
      <c r="N899" t="n">
        <v>0</v>
      </c>
      <c r="O899" t="n">
        <v>0</v>
      </c>
      <c r="P899" t="n">
        <v>0</v>
      </c>
      <c r="Q899" t="n">
        <v>0</v>
      </c>
      <c r="R899" s="2" t="inlineStr"/>
    </row>
    <row r="900" ht="15" customHeight="1">
      <c r="A900" t="inlineStr">
        <is>
          <t>A 25338-2022</t>
        </is>
      </c>
      <c r="B900" s="1" t="n">
        <v>44731</v>
      </c>
      <c r="C900" s="1" t="n">
        <v>46048</v>
      </c>
      <c r="D900" t="inlineStr">
        <is>
          <t>VÄSTERNORRLANDS LÄN</t>
        </is>
      </c>
      <c r="E900" t="inlineStr">
        <is>
          <t>SOLLEFTEÅ</t>
        </is>
      </c>
      <c r="F900" t="inlineStr">
        <is>
          <t>SCA</t>
        </is>
      </c>
      <c r="G900" t="n">
        <v>4.3</v>
      </c>
      <c r="H900" t="n">
        <v>0</v>
      </c>
      <c r="I900" t="n">
        <v>0</v>
      </c>
      <c r="J900" t="n">
        <v>0</v>
      </c>
      <c r="K900" t="n">
        <v>0</v>
      </c>
      <c r="L900" t="n">
        <v>0</v>
      </c>
      <c r="M900" t="n">
        <v>0</v>
      </c>
      <c r="N900" t="n">
        <v>0</v>
      </c>
      <c r="O900" t="n">
        <v>0</v>
      </c>
      <c r="P900" t="n">
        <v>0</v>
      </c>
      <c r="Q900" t="n">
        <v>0</v>
      </c>
      <c r="R900" s="2" t="inlineStr"/>
    </row>
    <row r="901" ht="15" customHeight="1">
      <c r="A901" t="inlineStr">
        <is>
          <t>A 3323-2025</t>
        </is>
      </c>
      <c r="B901" s="1" t="n">
        <v>45679.69921296297</v>
      </c>
      <c r="C901" s="1" t="n">
        <v>46048</v>
      </c>
      <c r="D901" t="inlineStr">
        <is>
          <t>VÄSTERNORRLANDS LÄN</t>
        </is>
      </c>
      <c r="E901" t="inlineStr">
        <is>
          <t>SOLLEFTEÅ</t>
        </is>
      </c>
      <c r="F901" t="inlineStr">
        <is>
          <t>SCA</t>
        </is>
      </c>
      <c r="G901" t="n">
        <v>0.3</v>
      </c>
      <c r="H901" t="n">
        <v>0</v>
      </c>
      <c r="I901" t="n">
        <v>0</v>
      </c>
      <c r="J901" t="n">
        <v>0</v>
      </c>
      <c r="K901" t="n">
        <v>0</v>
      </c>
      <c r="L901" t="n">
        <v>0</v>
      </c>
      <c r="M901" t="n">
        <v>0</v>
      </c>
      <c r="N901" t="n">
        <v>0</v>
      </c>
      <c r="O901" t="n">
        <v>0</v>
      </c>
      <c r="P901" t="n">
        <v>0</v>
      </c>
      <c r="Q901" t="n">
        <v>0</v>
      </c>
      <c r="R901" s="2" t="inlineStr"/>
    </row>
    <row r="902" ht="15" customHeight="1">
      <c r="A902" t="inlineStr">
        <is>
          <t>A 17173-2024</t>
        </is>
      </c>
      <c r="B902" s="1" t="n">
        <v>45412.97866898148</v>
      </c>
      <c r="C902" s="1" t="n">
        <v>46048</v>
      </c>
      <c r="D902" t="inlineStr">
        <is>
          <t>VÄSTERNORRLANDS LÄN</t>
        </is>
      </c>
      <c r="E902" t="inlineStr">
        <is>
          <t>SOLLEFTEÅ</t>
        </is>
      </c>
      <c r="F902" t="inlineStr">
        <is>
          <t>SCA</t>
        </is>
      </c>
      <c r="G902" t="n">
        <v>1.6</v>
      </c>
      <c r="H902" t="n">
        <v>0</v>
      </c>
      <c r="I902" t="n">
        <v>0</v>
      </c>
      <c r="J902" t="n">
        <v>0</v>
      </c>
      <c r="K902" t="n">
        <v>0</v>
      </c>
      <c r="L902" t="n">
        <v>0</v>
      </c>
      <c r="M902" t="n">
        <v>0</v>
      </c>
      <c r="N902" t="n">
        <v>0</v>
      </c>
      <c r="O902" t="n">
        <v>0</v>
      </c>
      <c r="P902" t="n">
        <v>0</v>
      </c>
      <c r="Q902" t="n">
        <v>0</v>
      </c>
      <c r="R902" s="2" t="inlineStr"/>
    </row>
    <row r="903" ht="15" customHeight="1">
      <c r="A903" t="inlineStr">
        <is>
          <t>A 22514-2025</t>
        </is>
      </c>
      <c r="B903" s="1" t="n">
        <v>45786.67755787037</v>
      </c>
      <c r="C903" s="1" t="n">
        <v>46048</v>
      </c>
      <c r="D903" t="inlineStr">
        <is>
          <t>VÄSTERNORRLANDS LÄN</t>
        </is>
      </c>
      <c r="E903" t="inlineStr">
        <is>
          <t>SOLLEFTEÅ</t>
        </is>
      </c>
      <c r="F903" t="inlineStr">
        <is>
          <t>SCA</t>
        </is>
      </c>
      <c r="G903" t="n">
        <v>2.2</v>
      </c>
      <c r="H903" t="n">
        <v>0</v>
      </c>
      <c r="I903" t="n">
        <v>0</v>
      </c>
      <c r="J903" t="n">
        <v>0</v>
      </c>
      <c r="K903" t="n">
        <v>0</v>
      </c>
      <c r="L903" t="n">
        <v>0</v>
      </c>
      <c r="M903" t="n">
        <v>0</v>
      </c>
      <c r="N903" t="n">
        <v>0</v>
      </c>
      <c r="O903" t="n">
        <v>0</v>
      </c>
      <c r="P903" t="n">
        <v>0</v>
      </c>
      <c r="Q903" t="n">
        <v>0</v>
      </c>
      <c r="R903" s="2" t="inlineStr"/>
    </row>
    <row r="904" ht="15" customHeight="1">
      <c r="A904" t="inlineStr">
        <is>
          <t>A 23090-2025</t>
        </is>
      </c>
      <c r="B904" s="1" t="n">
        <v>45791.34443287037</v>
      </c>
      <c r="C904" s="1" t="n">
        <v>46048</v>
      </c>
      <c r="D904" t="inlineStr">
        <is>
          <t>VÄSTERNORRLANDS LÄN</t>
        </is>
      </c>
      <c r="E904" t="inlineStr">
        <is>
          <t>SOLLEFTEÅ</t>
        </is>
      </c>
      <c r="F904" t="inlineStr">
        <is>
          <t>SCA</t>
        </is>
      </c>
      <c r="G904" t="n">
        <v>2.6</v>
      </c>
      <c r="H904" t="n">
        <v>0</v>
      </c>
      <c r="I904" t="n">
        <v>0</v>
      </c>
      <c r="J904" t="n">
        <v>0</v>
      </c>
      <c r="K904" t="n">
        <v>0</v>
      </c>
      <c r="L904" t="n">
        <v>0</v>
      </c>
      <c r="M904" t="n">
        <v>0</v>
      </c>
      <c r="N904" t="n">
        <v>0</v>
      </c>
      <c r="O904" t="n">
        <v>0</v>
      </c>
      <c r="P904" t="n">
        <v>0</v>
      </c>
      <c r="Q904" t="n">
        <v>0</v>
      </c>
      <c r="R904" s="2" t="inlineStr"/>
    </row>
    <row r="905" ht="15" customHeight="1">
      <c r="A905" t="inlineStr">
        <is>
          <t>A 656-2024</t>
        </is>
      </c>
      <c r="B905" s="1" t="n">
        <v>45299</v>
      </c>
      <c r="C905" s="1" t="n">
        <v>46048</v>
      </c>
      <c r="D905" t="inlineStr">
        <is>
          <t>VÄSTERNORRLANDS LÄN</t>
        </is>
      </c>
      <c r="E905" t="inlineStr">
        <is>
          <t>SOLLEFTEÅ</t>
        </is>
      </c>
      <c r="G905" t="n">
        <v>1.7</v>
      </c>
      <c r="H905" t="n">
        <v>0</v>
      </c>
      <c r="I905" t="n">
        <v>0</v>
      </c>
      <c r="J905" t="n">
        <v>0</v>
      </c>
      <c r="K905" t="n">
        <v>0</v>
      </c>
      <c r="L905" t="n">
        <v>0</v>
      </c>
      <c r="M905" t="n">
        <v>0</v>
      </c>
      <c r="N905" t="n">
        <v>0</v>
      </c>
      <c r="O905" t="n">
        <v>0</v>
      </c>
      <c r="P905" t="n">
        <v>0</v>
      </c>
      <c r="Q905" t="n">
        <v>0</v>
      </c>
      <c r="R905" s="2" t="inlineStr"/>
    </row>
    <row r="906" ht="15" customHeight="1">
      <c r="A906" t="inlineStr">
        <is>
          <t>A 27572-2022</t>
        </is>
      </c>
      <c r="B906" s="1" t="n">
        <v>44742.94329861111</v>
      </c>
      <c r="C906" s="1" t="n">
        <v>46048</v>
      </c>
      <c r="D906" t="inlineStr">
        <is>
          <t>VÄSTERNORRLANDS LÄN</t>
        </is>
      </c>
      <c r="E906" t="inlineStr">
        <is>
          <t>SOLLEFTEÅ</t>
        </is>
      </c>
      <c r="G906" t="n">
        <v>2.2</v>
      </c>
      <c r="H906" t="n">
        <v>0</v>
      </c>
      <c r="I906" t="n">
        <v>0</v>
      </c>
      <c r="J906" t="n">
        <v>0</v>
      </c>
      <c r="K906" t="n">
        <v>0</v>
      </c>
      <c r="L906" t="n">
        <v>0</v>
      </c>
      <c r="M906" t="n">
        <v>0</v>
      </c>
      <c r="N906" t="n">
        <v>0</v>
      </c>
      <c r="O906" t="n">
        <v>0</v>
      </c>
      <c r="P906" t="n">
        <v>0</v>
      </c>
      <c r="Q906" t="n">
        <v>0</v>
      </c>
      <c r="R906" s="2" t="inlineStr"/>
    </row>
    <row r="907" ht="15" customHeight="1">
      <c r="A907" t="inlineStr">
        <is>
          <t>A 57518-2023</t>
        </is>
      </c>
      <c r="B907" s="1" t="n">
        <v>45242</v>
      </c>
      <c r="C907" s="1" t="n">
        <v>46048</v>
      </c>
      <c r="D907" t="inlineStr">
        <is>
          <t>VÄSTERNORRLANDS LÄN</t>
        </is>
      </c>
      <c r="E907" t="inlineStr">
        <is>
          <t>SOLLEFTEÅ</t>
        </is>
      </c>
      <c r="G907" t="n">
        <v>3.7</v>
      </c>
      <c r="H907" t="n">
        <v>0</v>
      </c>
      <c r="I907" t="n">
        <v>0</v>
      </c>
      <c r="J907" t="n">
        <v>0</v>
      </c>
      <c r="K907" t="n">
        <v>0</v>
      </c>
      <c r="L907" t="n">
        <v>0</v>
      </c>
      <c r="M907" t="n">
        <v>0</v>
      </c>
      <c r="N907" t="n">
        <v>0</v>
      </c>
      <c r="O907" t="n">
        <v>0</v>
      </c>
      <c r="P907" t="n">
        <v>0</v>
      </c>
      <c r="Q907" t="n">
        <v>0</v>
      </c>
      <c r="R907" s="2" t="inlineStr"/>
    </row>
    <row r="908" ht="15" customHeight="1">
      <c r="A908" t="inlineStr">
        <is>
          <t>A 22854-2025</t>
        </is>
      </c>
      <c r="B908" s="1" t="n">
        <v>45790.34457175926</v>
      </c>
      <c r="C908" s="1" t="n">
        <v>46048</v>
      </c>
      <c r="D908" t="inlineStr">
        <is>
          <t>VÄSTERNORRLANDS LÄN</t>
        </is>
      </c>
      <c r="E908" t="inlineStr">
        <is>
          <t>SOLLEFTEÅ</t>
        </is>
      </c>
      <c r="F908" t="inlineStr">
        <is>
          <t>SCA</t>
        </is>
      </c>
      <c r="G908" t="n">
        <v>2</v>
      </c>
      <c r="H908" t="n">
        <v>0</v>
      </c>
      <c r="I908" t="n">
        <v>0</v>
      </c>
      <c r="J908" t="n">
        <v>0</v>
      </c>
      <c r="K908" t="n">
        <v>0</v>
      </c>
      <c r="L908" t="n">
        <v>0</v>
      </c>
      <c r="M908" t="n">
        <v>0</v>
      </c>
      <c r="N908" t="n">
        <v>0</v>
      </c>
      <c r="O908" t="n">
        <v>0</v>
      </c>
      <c r="P908" t="n">
        <v>0</v>
      </c>
      <c r="Q908" t="n">
        <v>0</v>
      </c>
      <c r="R908" s="2" t="inlineStr"/>
    </row>
    <row r="909" ht="15" customHeight="1">
      <c r="A909" t="inlineStr">
        <is>
          <t>A 1402-2022</t>
        </is>
      </c>
      <c r="B909" s="1" t="n">
        <v>44573</v>
      </c>
      <c r="C909" s="1" t="n">
        <v>46048</v>
      </c>
      <c r="D909" t="inlineStr">
        <is>
          <t>VÄSTERNORRLANDS LÄN</t>
        </is>
      </c>
      <c r="E909" t="inlineStr">
        <is>
          <t>SOLLEFTEÅ</t>
        </is>
      </c>
      <c r="G909" t="n">
        <v>8</v>
      </c>
      <c r="H909" t="n">
        <v>0</v>
      </c>
      <c r="I909" t="n">
        <v>0</v>
      </c>
      <c r="J909" t="n">
        <v>0</v>
      </c>
      <c r="K909" t="n">
        <v>0</v>
      </c>
      <c r="L909" t="n">
        <v>0</v>
      </c>
      <c r="M909" t="n">
        <v>0</v>
      </c>
      <c r="N909" t="n">
        <v>0</v>
      </c>
      <c r="O909" t="n">
        <v>0</v>
      </c>
      <c r="P909" t="n">
        <v>0</v>
      </c>
      <c r="Q909" t="n">
        <v>0</v>
      </c>
      <c r="R909" s="2" t="inlineStr"/>
    </row>
    <row r="910" ht="15" customHeight="1">
      <c r="A910" t="inlineStr">
        <is>
          <t>A 25799-2024</t>
        </is>
      </c>
      <c r="B910" s="1" t="n">
        <v>45463</v>
      </c>
      <c r="C910" s="1" t="n">
        <v>46048</v>
      </c>
      <c r="D910" t="inlineStr">
        <is>
          <t>VÄSTERNORRLANDS LÄN</t>
        </is>
      </c>
      <c r="E910" t="inlineStr">
        <is>
          <t>SOLLEFTEÅ</t>
        </is>
      </c>
      <c r="F910" t="inlineStr">
        <is>
          <t>Kommuner</t>
        </is>
      </c>
      <c r="G910" t="n">
        <v>1.2</v>
      </c>
      <c r="H910" t="n">
        <v>0</v>
      </c>
      <c r="I910" t="n">
        <v>0</v>
      </c>
      <c r="J910" t="n">
        <v>0</v>
      </c>
      <c r="K910" t="n">
        <v>0</v>
      </c>
      <c r="L910" t="n">
        <v>0</v>
      </c>
      <c r="M910" t="n">
        <v>0</v>
      </c>
      <c r="N910" t="n">
        <v>0</v>
      </c>
      <c r="O910" t="n">
        <v>0</v>
      </c>
      <c r="P910" t="n">
        <v>0</v>
      </c>
      <c r="Q910" t="n">
        <v>0</v>
      </c>
      <c r="R910" s="2" t="inlineStr"/>
    </row>
    <row r="911" ht="15" customHeight="1">
      <c r="A911" t="inlineStr">
        <is>
          <t>A 2422-2025</t>
        </is>
      </c>
      <c r="B911" s="1" t="n">
        <v>45674.38592592593</v>
      </c>
      <c r="C911" s="1" t="n">
        <v>46048</v>
      </c>
      <c r="D911" t="inlineStr">
        <is>
          <t>VÄSTERNORRLANDS LÄN</t>
        </is>
      </c>
      <c r="E911" t="inlineStr">
        <is>
          <t>SOLLEFTEÅ</t>
        </is>
      </c>
      <c r="F911" t="inlineStr">
        <is>
          <t>SCA</t>
        </is>
      </c>
      <c r="G911" t="n">
        <v>27.9</v>
      </c>
      <c r="H911" t="n">
        <v>0</v>
      </c>
      <c r="I911" t="n">
        <v>0</v>
      </c>
      <c r="J911" t="n">
        <v>0</v>
      </c>
      <c r="K911" t="n">
        <v>0</v>
      </c>
      <c r="L911" t="n">
        <v>0</v>
      </c>
      <c r="M911" t="n">
        <v>0</v>
      </c>
      <c r="N911" t="n">
        <v>0</v>
      </c>
      <c r="O911" t="n">
        <v>0</v>
      </c>
      <c r="P911" t="n">
        <v>0</v>
      </c>
      <c r="Q911" t="n">
        <v>0</v>
      </c>
      <c r="R911" s="2" t="inlineStr"/>
    </row>
    <row r="912" ht="15" customHeight="1">
      <c r="A912" t="inlineStr">
        <is>
          <t>A 1480-2025</t>
        </is>
      </c>
      <c r="B912" s="1" t="n">
        <v>45670.38575231482</v>
      </c>
      <c r="C912" s="1" t="n">
        <v>46048</v>
      </c>
      <c r="D912" t="inlineStr">
        <is>
          <t>VÄSTERNORRLANDS LÄN</t>
        </is>
      </c>
      <c r="E912" t="inlineStr">
        <is>
          <t>SOLLEFTEÅ</t>
        </is>
      </c>
      <c r="F912" t="inlineStr">
        <is>
          <t>SCA</t>
        </is>
      </c>
      <c r="G912" t="n">
        <v>2.5</v>
      </c>
      <c r="H912" t="n">
        <v>0</v>
      </c>
      <c r="I912" t="n">
        <v>0</v>
      </c>
      <c r="J912" t="n">
        <v>0</v>
      </c>
      <c r="K912" t="n">
        <v>0</v>
      </c>
      <c r="L912" t="n">
        <v>0</v>
      </c>
      <c r="M912" t="n">
        <v>0</v>
      </c>
      <c r="N912" t="n">
        <v>0</v>
      </c>
      <c r="O912" t="n">
        <v>0</v>
      </c>
      <c r="P912" t="n">
        <v>0</v>
      </c>
      <c r="Q912" t="n">
        <v>0</v>
      </c>
      <c r="R912" s="2" t="inlineStr"/>
    </row>
    <row r="913" ht="15" customHeight="1">
      <c r="A913" t="inlineStr">
        <is>
          <t>A 39495-2023</t>
        </is>
      </c>
      <c r="B913" s="1" t="n">
        <v>45166.95712962963</v>
      </c>
      <c r="C913" s="1" t="n">
        <v>46048</v>
      </c>
      <c r="D913" t="inlineStr">
        <is>
          <t>VÄSTERNORRLANDS LÄN</t>
        </is>
      </c>
      <c r="E913" t="inlineStr">
        <is>
          <t>SOLLEFTEÅ</t>
        </is>
      </c>
      <c r="F913" t="inlineStr">
        <is>
          <t>SCA</t>
        </is>
      </c>
      <c r="G913" t="n">
        <v>5.6</v>
      </c>
      <c r="H913" t="n">
        <v>0</v>
      </c>
      <c r="I913" t="n">
        <v>0</v>
      </c>
      <c r="J913" t="n">
        <v>0</v>
      </c>
      <c r="K913" t="n">
        <v>0</v>
      </c>
      <c r="L913" t="n">
        <v>0</v>
      </c>
      <c r="M913" t="n">
        <v>0</v>
      </c>
      <c r="N913" t="n">
        <v>0</v>
      </c>
      <c r="O913" t="n">
        <v>0</v>
      </c>
      <c r="P913" t="n">
        <v>0</v>
      </c>
      <c r="Q913" t="n">
        <v>0</v>
      </c>
      <c r="R913" s="2" t="inlineStr"/>
    </row>
    <row r="914" ht="15" customHeight="1">
      <c r="A914" t="inlineStr">
        <is>
          <t>A 23339-2025</t>
        </is>
      </c>
      <c r="B914" s="1" t="n">
        <v>45791.65577546296</v>
      </c>
      <c r="C914" s="1" t="n">
        <v>46048</v>
      </c>
      <c r="D914" t="inlineStr">
        <is>
          <t>VÄSTERNORRLANDS LÄN</t>
        </is>
      </c>
      <c r="E914" t="inlineStr">
        <is>
          <t>SOLLEFTEÅ</t>
        </is>
      </c>
      <c r="G914" t="n">
        <v>3.9</v>
      </c>
      <c r="H914" t="n">
        <v>0</v>
      </c>
      <c r="I914" t="n">
        <v>0</v>
      </c>
      <c r="J914" t="n">
        <v>0</v>
      </c>
      <c r="K914" t="n">
        <v>0</v>
      </c>
      <c r="L914" t="n">
        <v>0</v>
      </c>
      <c r="M914" t="n">
        <v>0</v>
      </c>
      <c r="N914" t="n">
        <v>0</v>
      </c>
      <c r="O914" t="n">
        <v>0</v>
      </c>
      <c r="P914" t="n">
        <v>0</v>
      </c>
      <c r="Q914" t="n">
        <v>0</v>
      </c>
      <c r="R914" s="2" t="inlineStr"/>
    </row>
    <row r="915" ht="15" customHeight="1">
      <c r="A915" t="inlineStr">
        <is>
          <t>A 33312-2024</t>
        </is>
      </c>
      <c r="B915" s="1" t="n">
        <v>45518.97113425926</v>
      </c>
      <c r="C915" s="1" t="n">
        <v>46048</v>
      </c>
      <c r="D915" t="inlineStr">
        <is>
          <t>VÄSTERNORRLANDS LÄN</t>
        </is>
      </c>
      <c r="E915" t="inlineStr">
        <is>
          <t>SOLLEFTEÅ</t>
        </is>
      </c>
      <c r="F915" t="inlineStr">
        <is>
          <t>SCA</t>
        </is>
      </c>
      <c r="G915" t="n">
        <v>1.6</v>
      </c>
      <c r="H915" t="n">
        <v>0</v>
      </c>
      <c r="I915" t="n">
        <v>0</v>
      </c>
      <c r="J915" t="n">
        <v>0</v>
      </c>
      <c r="K915" t="n">
        <v>0</v>
      </c>
      <c r="L915" t="n">
        <v>0</v>
      </c>
      <c r="M915" t="n">
        <v>0</v>
      </c>
      <c r="N915" t="n">
        <v>0</v>
      </c>
      <c r="O915" t="n">
        <v>0</v>
      </c>
      <c r="P915" t="n">
        <v>0</v>
      </c>
      <c r="Q915" t="n">
        <v>0</v>
      </c>
      <c r="R915" s="2" t="inlineStr"/>
    </row>
    <row r="916" ht="15" customHeight="1">
      <c r="A916" t="inlineStr">
        <is>
          <t>A 43008-2024</t>
        </is>
      </c>
      <c r="B916" s="1" t="n">
        <v>45567.38574074074</v>
      </c>
      <c r="C916" s="1" t="n">
        <v>46048</v>
      </c>
      <c r="D916" t="inlineStr">
        <is>
          <t>VÄSTERNORRLANDS LÄN</t>
        </is>
      </c>
      <c r="E916" t="inlineStr">
        <is>
          <t>SOLLEFTEÅ</t>
        </is>
      </c>
      <c r="F916" t="inlineStr">
        <is>
          <t>SCA</t>
        </is>
      </c>
      <c r="G916" t="n">
        <v>3.9</v>
      </c>
      <c r="H916" t="n">
        <v>0</v>
      </c>
      <c r="I916" t="n">
        <v>0</v>
      </c>
      <c r="J916" t="n">
        <v>0</v>
      </c>
      <c r="K916" t="n">
        <v>0</v>
      </c>
      <c r="L916" t="n">
        <v>0</v>
      </c>
      <c r="M916" t="n">
        <v>0</v>
      </c>
      <c r="N916" t="n">
        <v>0</v>
      </c>
      <c r="O916" t="n">
        <v>0</v>
      </c>
      <c r="P916" t="n">
        <v>0</v>
      </c>
      <c r="Q916" t="n">
        <v>0</v>
      </c>
      <c r="R916" s="2" t="inlineStr"/>
    </row>
    <row r="917" ht="15" customHeight="1">
      <c r="A917" t="inlineStr">
        <is>
          <t>A 18691-2025</t>
        </is>
      </c>
      <c r="B917" s="1" t="n">
        <v>45763.61511574074</v>
      </c>
      <c r="C917" s="1" t="n">
        <v>46048</v>
      </c>
      <c r="D917" t="inlineStr">
        <is>
          <t>VÄSTERNORRLANDS LÄN</t>
        </is>
      </c>
      <c r="E917" t="inlineStr">
        <is>
          <t>SOLLEFTEÅ</t>
        </is>
      </c>
      <c r="G917" t="n">
        <v>9.300000000000001</v>
      </c>
      <c r="H917" t="n">
        <v>0</v>
      </c>
      <c r="I917" t="n">
        <v>0</v>
      </c>
      <c r="J917" t="n">
        <v>0</v>
      </c>
      <c r="K917" t="n">
        <v>0</v>
      </c>
      <c r="L917" t="n">
        <v>0</v>
      </c>
      <c r="M917" t="n">
        <v>0</v>
      </c>
      <c r="N917" t="n">
        <v>0</v>
      </c>
      <c r="O917" t="n">
        <v>0</v>
      </c>
      <c r="P917" t="n">
        <v>0</v>
      </c>
      <c r="Q917" t="n">
        <v>0</v>
      </c>
      <c r="R917" s="2" t="inlineStr"/>
    </row>
    <row r="918" ht="15" customHeight="1">
      <c r="A918" t="inlineStr">
        <is>
          <t>A 22853-2025</t>
        </is>
      </c>
      <c r="B918" s="1" t="n">
        <v>45790.34443287037</v>
      </c>
      <c r="C918" s="1" t="n">
        <v>46048</v>
      </c>
      <c r="D918" t="inlineStr">
        <is>
          <t>VÄSTERNORRLANDS LÄN</t>
        </is>
      </c>
      <c r="E918" t="inlineStr">
        <is>
          <t>SOLLEFTEÅ</t>
        </is>
      </c>
      <c r="F918" t="inlineStr">
        <is>
          <t>SCA</t>
        </is>
      </c>
      <c r="G918" t="n">
        <v>2.4</v>
      </c>
      <c r="H918" t="n">
        <v>0</v>
      </c>
      <c r="I918" t="n">
        <v>0</v>
      </c>
      <c r="J918" t="n">
        <v>0</v>
      </c>
      <c r="K918" t="n">
        <v>0</v>
      </c>
      <c r="L918" t="n">
        <v>0</v>
      </c>
      <c r="M918" t="n">
        <v>0</v>
      </c>
      <c r="N918" t="n">
        <v>0</v>
      </c>
      <c r="O918" t="n">
        <v>0</v>
      </c>
      <c r="P918" t="n">
        <v>0</v>
      </c>
      <c r="Q918" t="n">
        <v>0</v>
      </c>
      <c r="R918" s="2" t="inlineStr"/>
    </row>
    <row r="919" ht="15" customHeight="1">
      <c r="A919" t="inlineStr">
        <is>
          <t>A 42915-2024</t>
        </is>
      </c>
      <c r="B919" s="1" t="n">
        <v>45566</v>
      </c>
      <c r="C919" s="1" t="n">
        <v>46048</v>
      </c>
      <c r="D919" t="inlineStr">
        <is>
          <t>VÄSTERNORRLANDS LÄN</t>
        </is>
      </c>
      <c r="E919" t="inlineStr">
        <is>
          <t>SOLLEFTEÅ</t>
        </is>
      </c>
      <c r="G919" t="n">
        <v>1.9</v>
      </c>
      <c r="H919" t="n">
        <v>0</v>
      </c>
      <c r="I919" t="n">
        <v>0</v>
      </c>
      <c r="J919" t="n">
        <v>0</v>
      </c>
      <c r="K919" t="n">
        <v>0</v>
      </c>
      <c r="L919" t="n">
        <v>0</v>
      </c>
      <c r="M919" t="n">
        <v>0</v>
      </c>
      <c r="N919" t="n">
        <v>0</v>
      </c>
      <c r="O919" t="n">
        <v>0</v>
      </c>
      <c r="P919" t="n">
        <v>0</v>
      </c>
      <c r="Q919" t="n">
        <v>0</v>
      </c>
      <c r="R919" s="2" t="inlineStr"/>
    </row>
    <row r="920" ht="15" customHeight="1">
      <c r="A920" t="inlineStr">
        <is>
          <t>A 8414-2024</t>
        </is>
      </c>
      <c r="B920" s="1" t="n">
        <v>45352</v>
      </c>
      <c r="C920" s="1" t="n">
        <v>46048</v>
      </c>
      <c r="D920" t="inlineStr">
        <is>
          <t>VÄSTERNORRLANDS LÄN</t>
        </is>
      </c>
      <c r="E920" t="inlineStr">
        <is>
          <t>SOLLEFTEÅ</t>
        </is>
      </c>
      <c r="F920" t="inlineStr">
        <is>
          <t>SCA</t>
        </is>
      </c>
      <c r="G920" t="n">
        <v>5.2</v>
      </c>
      <c r="H920" t="n">
        <v>0</v>
      </c>
      <c r="I920" t="n">
        <v>0</v>
      </c>
      <c r="J920" t="n">
        <v>0</v>
      </c>
      <c r="K920" t="n">
        <v>0</v>
      </c>
      <c r="L920" t="n">
        <v>0</v>
      </c>
      <c r="M920" t="n">
        <v>0</v>
      </c>
      <c r="N920" t="n">
        <v>0</v>
      </c>
      <c r="O920" t="n">
        <v>0</v>
      </c>
      <c r="P920" t="n">
        <v>0</v>
      </c>
      <c r="Q920" t="n">
        <v>0</v>
      </c>
      <c r="R920" s="2" t="inlineStr"/>
    </row>
    <row r="921" ht="15" customHeight="1">
      <c r="A921" t="inlineStr">
        <is>
          <t>A 10140-2022</t>
        </is>
      </c>
      <c r="B921" s="1" t="n">
        <v>44621</v>
      </c>
      <c r="C921" s="1" t="n">
        <v>46048</v>
      </c>
      <c r="D921" t="inlineStr">
        <is>
          <t>VÄSTERNORRLANDS LÄN</t>
        </is>
      </c>
      <c r="E921" t="inlineStr">
        <is>
          <t>SOLLEFTEÅ</t>
        </is>
      </c>
      <c r="F921" t="inlineStr">
        <is>
          <t>SCA</t>
        </is>
      </c>
      <c r="G921" t="n">
        <v>7.8</v>
      </c>
      <c r="H921" t="n">
        <v>0</v>
      </c>
      <c r="I921" t="n">
        <v>0</v>
      </c>
      <c r="J921" t="n">
        <v>0</v>
      </c>
      <c r="K921" t="n">
        <v>0</v>
      </c>
      <c r="L921" t="n">
        <v>0</v>
      </c>
      <c r="M921" t="n">
        <v>0</v>
      </c>
      <c r="N921" t="n">
        <v>0</v>
      </c>
      <c r="O921" t="n">
        <v>0</v>
      </c>
      <c r="P921" t="n">
        <v>0</v>
      </c>
      <c r="Q921" t="n">
        <v>0</v>
      </c>
      <c r="R921" s="2" t="inlineStr"/>
    </row>
    <row r="922" ht="15" customHeight="1">
      <c r="A922" t="inlineStr">
        <is>
          <t>A 35277-2023</t>
        </is>
      </c>
      <c r="B922" s="1" t="n">
        <v>45145</v>
      </c>
      <c r="C922" s="1" t="n">
        <v>46048</v>
      </c>
      <c r="D922" t="inlineStr">
        <is>
          <t>VÄSTERNORRLANDS LÄN</t>
        </is>
      </c>
      <c r="E922" t="inlineStr">
        <is>
          <t>SOLLEFTEÅ</t>
        </is>
      </c>
      <c r="F922" t="inlineStr">
        <is>
          <t>SCA</t>
        </is>
      </c>
      <c r="G922" t="n">
        <v>0.5</v>
      </c>
      <c r="H922" t="n">
        <v>0</v>
      </c>
      <c r="I922" t="n">
        <v>0</v>
      </c>
      <c r="J922" t="n">
        <v>0</v>
      </c>
      <c r="K922" t="n">
        <v>0</v>
      </c>
      <c r="L922" t="n">
        <v>0</v>
      </c>
      <c r="M922" t="n">
        <v>0</v>
      </c>
      <c r="N922" t="n">
        <v>0</v>
      </c>
      <c r="O922" t="n">
        <v>0</v>
      </c>
      <c r="P922" t="n">
        <v>0</v>
      </c>
      <c r="Q922" t="n">
        <v>0</v>
      </c>
      <c r="R922" s="2" t="inlineStr"/>
    </row>
    <row r="923" ht="15" customHeight="1">
      <c r="A923" t="inlineStr">
        <is>
          <t>A 31005-2022</t>
        </is>
      </c>
      <c r="B923" s="1" t="n">
        <v>44768</v>
      </c>
      <c r="C923" s="1" t="n">
        <v>46048</v>
      </c>
      <c r="D923" t="inlineStr">
        <is>
          <t>VÄSTERNORRLANDS LÄN</t>
        </is>
      </c>
      <c r="E923" t="inlineStr">
        <is>
          <t>SOLLEFTEÅ</t>
        </is>
      </c>
      <c r="G923" t="n">
        <v>1.3</v>
      </c>
      <c r="H923" t="n">
        <v>0</v>
      </c>
      <c r="I923" t="n">
        <v>0</v>
      </c>
      <c r="J923" t="n">
        <v>0</v>
      </c>
      <c r="K923" t="n">
        <v>0</v>
      </c>
      <c r="L923" t="n">
        <v>0</v>
      </c>
      <c r="M923" t="n">
        <v>0</v>
      </c>
      <c r="N923" t="n">
        <v>0</v>
      </c>
      <c r="O923" t="n">
        <v>0</v>
      </c>
      <c r="P923" t="n">
        <v>0</v>
      </c>
      <c r="Q923" t="n">
        <v>0</v>
      </c>
      <c r="R923" s="2" t="inlineStr"/>
    </row>
    <row r="924" ht="15" customHeight="1">
      <c r="A924" t="inlineStr">
        <is>
          <t>A 35556-2023</t>
        </is>
      </c>
      <c r="B924" s="1" t="n">
        <v>45147</v>
      </c>
      <c r="C924" s="1" t="n">
        <v>46048</v>
      </c>
      <c r="D924" t="inlineStr">
        <is>
          <t>VÄSTERNORRLANDS LÄN</t>
        </is>
      </c>
      <c r="E924" t="inlineStr">
        <is>
          <t>SOLLEFTEÅ</t>
        </is>
      </c>
      <c r="G924" t="n">
        <v>1.5</v>
      </c>
      <c r="H924" t="n">
        <v>0</v>
      </c>
      <c r="I924" t="n">
        <v>0</v>
      </c>
      <c r="J924" t="n">
        <v>0</v>
      </c>
      <c r="K924" t="n">
        <v>0</v>
      </c>
      <c r="L924" t="n">
        <v>0</v>
      </c>
      <c r="M924" t="n">
        <v>0</v>
      </c>
      <c r="N924" t="n">
        <v>0</v>
      </c>
      <c r="O924" t="n">
        <v>0</v>
      </c>
      <c r="P924" t="n">
        <v>0</v>
      </c>
      <c r="Q924" t="n">
        <v>0</v>
      </c>
      <c r="R924" s="2" t="inlineStr"/>
    </row>
    <row r="925" ht="15" customHeight="1">
      <c r="A925" t="inlineStr">
        <is>
          <t>A 46973-2024</t>
        </is>
      </c>
      <c r="B925" s="1" t="n">
        <v>45586.34424768519</v>
      </c>
      <c r="C925" s="1" t="n">
        <v>46048</v>
      </c>
      <c r="D925" t="inlineStr">
        <is>
          <t>VÄSTERNORRLANDS LÄN</t>
        </is>
      </c>
      <c r="E925" t="inlineStr">
        <is>
          <t>SOLLEFTEÅ</t>
        </is>
      </c>
      <c r="F925" t="inlineStr">
        <is>
          <t>SCA</t>
        </is>
      </c>
      <c r="G925" t="n">
        <v>5</v>
      </c>
      <c r="H925" t="n">
        <v>0</v>
      </c>
      <c r="I925" t="n">
        <v>0</v>
      </c>
      <c r="J925" t="n">
        <v>0</v>
      </c>
      <c r="K925" t="n">
        <v>0</v>
      </c>
      <c r="L925" t="n">
        <v>0</v>
      </c>
      <c r="M925" t="n">
        <v>0</v>
      </c>
      <c r="N925" t="n">
        <v>0</v>
      </c>
      <c r="O925" t="n">
        <v>0</v>
      </c>
      <c r="P925" t="n">
        <v>0</v>
      </c>
      <c r="Q925" t="n">
        <v>0</v>
      </c>
      <c r="R925" s="2" t="inlineStr"/>
    </row>
    <row r="926" ht="15" customHeight="1">
      <c r="A926" t="inlineStr">
        <is>
          <t>A 51544-2022</t>
        </is>
      </c>
      <c r="B926" s="1" t="n">
        <v>44869</v>
      </c>
      <c r="C926" s="1" t="n">
        <v>46048</v>
      </c>
      <c r="D926" t="inlineStr">
        <is>
          <t>VÄSTERNORRLANDS LÄN</t>
        </is>
      </c>
      <c r="E926" t="inlineStr">
        <is>
          <t>SOLLEFTEÅ</t>
        </is>
      </c>
      <c r="F926" t="inlineStr">
        <is>
          <t>SCA</t>
        </is>
      </c>
      <c r="G926" t="n">
        <v>0.5</v>
      </c>
      <c r="H926" t="n">
        <v>0</v>
      </c>
      <c r="I926" t="n">
        <v>0</v>
      </c>
      <c r="J926" t="n">
        <v>0</v>
      </c>
      <c r="K926" t="n">
        <v>0</v>
      </c>
      <c r="L926" t="n">
        <v>0</v>
      </c>
      <c r="M926" t="n">
        <v>0</v>
      </c>
      <c r="N926" t="n">
        <v>0</v>
      </c>
      <c r="O926" t="n">
        <v>0</v>
      </c>
      <c r="P926" t="n">
        <v>0</v>
      </c>
      <c r="Q926" t="n">
        <v>0</v>
      </c>
      <c r="R926" s="2" t="inlineStr"/>
    </row>
    <row r="927" ht="15" customHeight="1">
      <c r="A927" t="inlineStr">
        <is>
          <t>A 769-2025</t>
        </is>
      </c>
      <c r="B927" s="1" t="n">
        <v>45659</v>
      </c>
      <c r="C927" s="1" t="n">
        <v>46048</v>
      </c>
      <c r="D927" t="inlineStr">
        <is>
          <t>VÄSTERNORRLANDS LÄN</t>
        </is>
      </c>
      <c r="E927" t="inlineStr">
        <is>
          <t>SOLLEFTEÅ</t>
        </is>
      </c>
      <c r="G927" t="n">
        <v>3.6</v>
      </c>
      <c r="H927" t="n">
        <v>0</v>
      </c>
      <c r="I927" t="n">
        <v>0</v>
      </c>
      <c r="J927" t="n">
        <v>0</v>
      </c>
      <c r="K927" t="n">
        <v>0</v>
      </c>
      <c r="L927" t="n">
        <v>0</v>
      </c>
      <c r="M927" t="n">
        <v>0</v>
      </c>
      <c r="N927" t="n">
        <v>0</v>
      </c>
      <c r="O927" t="n">
        <v>0</v>
      </c>
      <c r="P927" t="n">
        <v>0</v>
      </c>
      <c r="Q927" t="n">
        <v>0</v>
      </c>
      <c r="R927" s="2" t="inlineStr"/>
    </row>
    <row r="928" ht="15" customHeight="1">
      <c r="A928" t="inlineStr">
        <is>
          <t>A 23409-2025</t>
        </is>
      </c>
      <c r="B928" s="1" t="n">
        <v>45792.34560185186</v>
      </c>
      <c r="C928" s="1" t="n">
        <v>46048</v>
      </c>
      <c r="D928" t="inlineStr">
        <is>
          <t>VÄSTERNORRLANDS LÄN</t>
        </is>
      </c>
      <c r="E928" t="inlineStr">
        <is>
          <t>SOLLEFTEÅ</t>
        </is>
      </c>
      <c r="F928" t="inlineStr">
        <is>
          <t>SCA</t>
        </is>
      </c>
      <c r="G928" t="n">
        <v>1.9</v>
      </c>
      <c r="H928" t="n">
        <v>0</v>
      </c>
      <c r="I928" t="n">
        <v>0</v>
      </c>
      <c r="J928" t="n">
        <v>0</v>
      </c>
      <c r="K928" t="n">
        <v>0</v>
      </c>
      <c r="L928" t="n">
        <v>0</v>
      </c>
      <c r="M928" t="n">
        <v>0</v>
      </c>
      <c r="N928" t="n">
        <v>0</v>
      </c>
      <c r="O928" t="n">
        <v>0</v>
      </c>
      <c r="P928" t="n">
        <v>0</v>
      </c>
      <c r="Q928" t="n">
        <v>0</v>
      </c>
      <c r="R928" s="2" t="inlineStr"/>
    </row>
    <row r="929" ht="15" customHeight="1">
      <c r="A929" t="inlineStr">
        <is>
          <t>A 55756-2024</t>
        </is>
      </c>
      <c r="B929" s="1" t="n">
        <v>45623</v>
      </c>
      <c r="C929" s="1" t="n">
        <v>46048</v>
      </c>
      <c r="D929" t="inlineStr">
        <is>
          <t>VÄSTERNORRLANDS LÄN</t>
        </is>
      </c>
      <c r="E929" t="inlineStr">
        <is>
          <t>SOLLEFTEÅ</t>
        </is>
      </c>
      <c r="F929" t="inlineStr">
        <is>
          <t>Holmen skog AB</t>
        </is>
      </c>
      <c r="G929" t="n">
        <v>5.6</v>
      </c>
      <c r="H929" t="n">
        <v>0</v>
      </c>
      <c r="I929" t="n">
        <v>0</v>
      </c>
      <c r="J929" t="n">
        <v>0</v>
      </c>
      <c r="K929" t="n">
        <v>0</v>
      </c>
      <c r="L929" t="n">
        <v>0</v>
      </c>
      <c r="M929" t="n">
        <v>0</v>
      </c>
      <c r="N929" t="n">
        <v>0</v>
      </c>
      <c r="O929" t="n">
        <v>0</v>
      </c>
      <c r="P929" t="n">
        <v>0</v>
      </c>
      <c r="Q929" t="n">
        <v>0</v>
      </c>
      <c r="R929" s="2" t="inlineStr"/>
    </row>
    <row r="930" ht="15" customHeight="1">
      <c r="A930" t="inlineStr">
        <is>
          <t>A 55769-2024</t>
        </is>
      </c>
      <c r="B930" s="1" t="n">
        <v>45623.38574074074</v>
      </c>
      <c r="C930" s="1" t="n">
        <v>46048</v>
      </c>
      <c r="D930" t="inlineStr">
        <is>
          <t>VÄSTERNORRLANDS LÄN</t>
        </is>
      </c>
      <c r="E930" t="inlineStr">
        <is>
          <t>SOLLEFTEÅ</t>
        </is>
      </c>
      <c r="F930" t="inlineStr">
        <is>
          <t>SCA</t>
        </is>
      </c>
      <c r="G930" t="n">
        <v>2.4</v>
      </c>
      <c r="H930" t="n">
        <v>0</v>
      </c>
      <c r="I930" t="n">
        <v>0</v>
      </c>
      <c r="J930" t="n">
        <v>0</v>
      </c>
      <c r="K930" t="n">
        <v>0</v>
      </c>
      <c r="L930" t="n">
        <v>0</v>
      </c>
      <c r="M930" t="n">
        <v>0</v>
      </c>
      <c r="N930" t="n">
        <v>0</v>
      </c>
      <c r="O930" t="n">
        <v>0</v>
      </c>
      <c r="P930" t="n">
        <v>0</v>
      </c>
      <c r="Q930" t="n">
        <v>0</v>
      </c>
      <c r="R930" s="2" t="inlineStr"/>
    </row>
    <row r="931" ht="15" customHeight="1">
      <c r="A931" t="inlineStr">
        <is>
          <t>A 55824-2024</t>
        </is>
      </c>
      <c r="B931" s="1" t="n">
        <v>45623.47813657407</v>
      </c>
      <c r="C931" s="1" t="n">
        <v>46048</v>
      </c>
      <c r="D931" t="inlineStr">
        <is>
          <t>VÄSTERNORRLANDS LÄN</t>
        </is>
      </c>
      <c r="E931" t="inlineStr">
        <is>
          <t>SOLLEFTEÅ</t>
        </is>
      </c>
      <c r="G931" t="n">
        <v>4.5</v>
      </c>
      <c r="H931" t="n">
        <v>0</v>
      </c>
      <c r="I931" t="n">
        <v>0</v>
      </c>
      <c r="J931" t="n">
        <v>0</v>
      </c>
      <c r="K931" t="n">
        <v>0</v>
      </c>
      <c r="L931" t="n">
        <v>0</v>
      </c>
      <c r="M931" t="n">
        <v>0</v>
      </c>
      <c r="N931" t="n">
        <v>0</v>
      </c>
      <c r="O931" t="n">
        <v>0</v>
      </c>
      <c r="P931" t="n">
        <v>0</v>
      </c>
      <c r="Q931" t="n">
        <v>0</v>
      </c>
      <c r="R931" s="2" t="inlineStr"/>
    </row>
    <row r="932" ht="15" customHeight="1">
      <c r="A932" t="inlineStr">
        <is>
          <t>A 55851-2024</t>
        </is>
      </c>
      <c r="B932" s="1" t="n">
        <v>45623.51140046296</v>
      </c>
      <c r="C932" s="1" t="n">
        <v>46048</v>
      </c>
      <c r="D932" t="inlineStr">
        <is>
          <t>VÄSTERNORRLANDS LÄN</t>
        </is>
      </c>
      <c r="E932" t="inlineStr">
        <is>
          <t>SOLLEFTEÅ</t>
        </is>
      </c>
      <c r="G932" t="n">
        <v>2.5</v>
      </c>
      <c r="H932" t="n">
        <v>0</v>
      </c>
      <c r="I932" t="n">
        <v>0</v>
      </c>
      <c r="J932" t="n">
        <v>0</v>
      </c>
      <c r="K932" t="n">
        <v>0</v>
      </c>
      <c r="L932" t="n">
        <v>0</v>
      </c>
      <c r="M932" t="n">
        <v>0</v>
      </c>
      <c r="N932" t="n">
        <v>0</v>
      </c>
      <c r="O932" t="n">
        <v>0</v>
      </c>
      <c r="P932" t="n">
        <v>0</v>
      </c>
      <c r="Q932" t="n">
        <v>0</v>
      </c>
      <c r="R932" s="2" t="inlineStr"/>
    </row>
    <row r="933" ht="15" customHeight="1">
      <c r="A933" t="inlineStr">
        <is>
          <t>A 15955-2025</t>
        </is>
      </c>
      <c r="B933" s="1" t="n">
        <v>45749.5113425926</v>
      </c>
      <c r="C933" s="1" t="n">
        <v>46048</v>
      </c>
      <c r="D933" t="inlineStr">
        <is>
          <t>VÄSTERNORRLANDS LÄN</t>
        </is>
      </c>
      <c r="E933" t="inlineStr">
        <is>
          <t>SOLLEFTEÅ</t>
        </is>
      </c>
      <c r="F933" t="inlineStr">
        <is>
          <t>SCA</t>
        </is>
      </c>
      <c r="G933" t="n">
        <v>3.1</v>
      </c>
      <c r="H933" t="n">
        <v>0</v>
      </c>
      <c r="I933" t="n">
        <v>0</v>
      </c>
      <c r="J933" t="n">
        <v>0</v>
      </c>
      <c r="K933" t="n">
        <v>0</v>
      </c>
      <c r="L933" t="n">
        <v>0</v>
      </c>
      <c r="M933" t="n">
        <v>0</v>
      </c>
      <c r="N933" t="n">
        <v>0</v>
      </c>
      <c r="O933" t="n">
        <v>0</v>
      </c>
      <c r="P933" t="n">
        <v>0</v>
      </c>
      <c r="Q933" t="n">
        <v>0</v>
      </c>
      <c r="R933" s="2" t="inlineStr"/>
    </row>
    <row r="934" ht="15" customHeight="1">
      <c r="A934" t="inlineStr">
        <is>
          <t>A 40921-2024</t>
        </is>
      </c>
      <c r="B934" s="1" t="n">
        <v>45558.6358912037</v>
      </c>
      <c r="C934" s="1" t="n">
        <v>46048</v>
      </c>
      <c r="D934" t="inlineStr">
        <is>
          <t>VÄSTERNORRLANDS LÄN</t>
        </is>
      </c>
      <c r="E934" t="inlineStr">
        <is>
          <t>SOLLEFTEÅ</t>
        </is>
      </c>
      <c r="F934" t="inlineStr">
        <is>
          <t>SCA</t>
        </is>
      </c>
      <c r="G934" t="n">
        <v>1.1</v>
      </c>
      <c r="H934" t="n">
        <v>0</v>
      </c>
      <c r="I934" t="n">
        <v>0</v>
      </c>
      <c r="J934" t="n">
        <v>0</v>
      </c>
      <c r="K934" t="n">
        <v>0</v>
      </c>
      <c r="L934" t="n">
        <v>0</v>
      </c>
      <c r="M934" t="n">
        <v>0</v>
      </c>
      <c r="N934" t="n">
        <v>0</v>
      </c>
      <c r="O934" t="n">
        <v>0</v>
      </c>
      <c r="P934" t="n">
        <v>0</v>
      </c>
      <c r="Q934" t="n">
        <v>0</v>
      </c>
      <c r="R934" s="2" t="inlineStr"/>
    </row>
    <row r="935" ht="15" customHeight="1">
      <c r="A935" t="inlineStr">
        <is>
          <t>A 36211-2023</t>
        </is>
      </c>
      <c r="B935" s="1" t="n">
        <v>45149.95234953704</v>
      </c>
      <c r="C935" s="1" t="n">
        <v>46048</v>
      </c>
      <c r="D935" t="inlineStr">
        <is>
          <t>VÄSTERNORRLANDS LÄN</t>
        </is>
      </c>
      <c r="E935" t="inlineStr">
        <is>
          <t>SOLLEFTEÅ</t>
        </is>
      </c>
      <c r="F935" t="inlineStr">
        <is>
          <t>SCA</t>
        </is>
      </c>
      <c r="G935" t="n">
        <v>4.2</v>
      </c>
      <c r="H935" t="n">
        <v>0</v>
      </c>
      <c r="I935" t="n">
        <v>0</v>
      </c>
      <c r="J935" t="n">
        <v>0</v>
      </c>
      <c r="K935" t="n">
        <v>0</v>
      </c>
      <c r="L935" t="n">
        <v>0</v>
      </c>
      <c r="M935" t="n">
        <v>0</v>
      </c>
      <c r="N935" t="n">
        <v>0</v>
      </c>
      <c r="O935" t="n">
        <v>0</v>
      </c>
      <c r="P935" t="n">
        <v>0</v>
      </c>
      <c r="Q935" t="n">
        <v>0</v>
      </c>
      <c r="R935" s="2" t="inlineStr"/>
    </row>
    <row r="936" ht="15" customHeight="1">
      <c r="A936" t="inlineStr">
        <is>
          <t>A 20061-2022</t>
        </is>
      </c>
      <c r="B936" s="1" t="n">
        <v>44697.94140046297</v>
      </c>
      <c r="C936" s="1" t="n">
        <v>46048</v>
      </c>
      <c r="D936" t="inlineStr">
        <is>
          <t>VÄSTERNORRLANDS LÄN</t>
        </is>
      </c>
      <c r="E936" t="inlineStr">
        <is>
          <t>SOLLEFTEÅ</t>
        </is>
      </c>
      <c r="F936" t="inlineStr">
        <is>
          <t>SCA</t>
        </is>
      </c>
      <c r="G936" t="n">
        <v>4.1</v>
      </c>
      <c r="H936" t="n">
        <v>0</v>
      </c>
      <c r="I936" t="n">
        <v>0</v>
      </c>
      <c r="J936" t="n">
        <v>0</v>
      </c>
      <c r="K936" t="n">
        <v>0</v>
      </c>
      <c r="L936" t="n">
        <v>0</v>
      </c>
      <c r="M936" t="n">
        <v>0</v>
      </c>
      <c r="N936" t="n">
        <v>0</v>
      </c>
      <c r="O936" t="n">
        <v>0</v>
      </c>
      <c r="P936" t="n">
        <v>0</v>
      </c>
      <c r="Q936" t="n">
        <v>0</v>
      </c>
      <c r="R936" s="2" t="inlineStr"/>
    </row>
    <row r="937" ht="15" customHeight="1">
      <c r="A937" t="inlineStr">
        <is>
          <t>A 23735-2025</t>
        </is>
      </c>
      <c r="B937" s="1" t="n">
        <v>45793.42777777778</v>
      </c>
      <c r="C937" s="1" t="n">
        <v>46048</v>
      </c>
      <c r="D937" t="inlineStr">
        <is>
          <t>VÄSTERNORRLANDS LÄN</t>
        </is>
      </c>
      <c r="E937" t="inlineStr">
        <is>
          <t>SOLLEFTEÅ</t>
        </is>
      </c>
      <c r="F937" t="inlineStr">
        <is>
          <t>SCA</t>
        </is>
      </c>
      <c r="G937" t="n">
        <v>3.2</v>
      </c>
      <c r="H937" t="n">
        <v>0</v>
      </c>
      <c r="I937" t="n">
        <v>0</v>
      </c>
      <c r="J937" t="n">
        <v>0</v>
      </c>
      <c r="K937" t="n">
        <v>0</v>
      </c>
      <c r="L937" t="n">
        <v>0</v>
      </c>
      <c r="M937" t="n">
        <v>0</v>
      </c>
      <c r="N937" t="n">
        <v>0</v>
      </c>
      <c r="O937" t="n">
        <v>0</v>
      </c>
      <c r="P937" t="n">
        <v>0</v>
      </c>
      <c r="Q937" t="n">
        <v>0</v>
      </c>
      <c r="R937" s="2" t="inlineStr"/>
    </row>
    <row r="938" ht="15" customHeight="1">
      <c r="A938" t="inlineStr">
        <is>
          <t>A 52267-2023</t>
        </is>
      </c>
      <c r="B938" s="1" t="n">
        <v>45217</v>
      </c>
      <c r="C938" s="1" t="n">
        <v>46048</v>
      </c>
      <c r="D938" t="inlineStr">
        <is>
          <t>VÄSTERNORRLANDS LÄN</t>
        </is>
      </c>
      <c r="E938" t="inlineStr">
        <is>
          <t>SOLLEFTEÅ</t>
        </is>
      </c>
      <c r="G938" t="n">
        <v>6.2</v>
      </c>
      <c r="H938" t="n">
        <v>0</v>
      </c>
      <c r="I938" t="n">
        <v>0</v>
      </c>
      <c r="J938" t="n">
        <v>0</v>
      </c>
      <c r="K938" t="n">
        <v>0</v>
      </c>
      <c r="L938" t="n">
        <v>0</v>
      </c>
      <c r="M938" t="n">
        <v>0</v>
      </c>
      <c r="N938" t="n">
        <v>0</v>
      </c>
      <c r="O938" t="n">
        <v>0</v>
      </c>
      <c r="P938" t="n">
        <v>0</v>
      </c>
      <c r="Q938" t="n">
        <v>0</v>
      </c>
      <c r="R938" s="2" t="inlineStr"/>
    </row>
    <row r="939" ht="15" customHeight="1">
      <c r="A939" t="inlineStr">
        <is>
          <t>A 8104-2025</t>
        </is>
      </c>
      <c r="B939" s="1" t="n">
        <v>45707.69835648148</v>
      </c>
      <c r="C939" s="1" t="n">
        <v>46048</v>
      </c>
      <c r="D939" t="inlineStr">
        <is>
          <t>VÄSTERNORRLANDS LÄN</t>
        </is>
      </c>
      <c r="E939" t="inlineStr">
        <is>
          <t>SOLLEFTEÅ</t>
        </is>
      </c>
      <c r="F939" t="inlineStr">
        <is>
          <t>SCA</t>
        </is>
      </c>
      <c r="G939" t="n">
        <v>8.4</v>
      </c>
      <c r="H939" t="n">
        <v>0</v>
      </c>
      <c r="I939" t="n">
        <v>0</v>
      </c>
      <c r="J939" t="n">
        <v>0</v>
      </c>
      <c r="K939" t="n">
        <v>0</v>
      </c>
      <c r="L939" t="n">
        <v>0</v>
      </c>
      <c r="M939" t="n">
        <v>0</v>
      </c>
      <c r="N939" t="n">
        <v>0</v>
      </c>
      <c r="O939" t="n">
        <v>0</v>
      </c>
      <c r="P939" t="n">
        <v>0</v>
      </c>
      <c r="Q939" t="n">
        <v>0</v>
      </c>
      <c r="R939" s="2" t="inlineStr"/>
    </row>
    <row r="940" ht="15" customHeight="1">
      <c r="A940" t="inlineStr">
        <is>
          <t>A 8124-2025</t>
        </is>
      </c>
      <c r="B940" s="1" t="n">
        <v>45707</v>
      </c>
      <c r="C940" s="1" t="n">
        <v>46048</v>
      </c>
      <c r="D940" t="inlineStr">
        <is>
          <t>VÄSTERNORRLANDS LÄN</t>
        </is>
      </c>
      <c r="E940" t="inlineStr">
        <is>
          <t>SOLLEFTEÅ</t>
        </is>
      </c>
      <c r="G940" t="n">
        <v>1.3</v>
      </c>
      <c r="H940" t="n">
        <v>0</v>
      </c>
      <c r="I940" t="n">
        <v>0</v>
      </c>
      <c r="J940" t="n">
        <v>0</v>
      </c>
      <c r="K940" t="n">
        <v>0</v>
      </c>
      <c r="L940" t="n">
        <v>0</v>
      </c>
      <c r="M940" t="n">
        <v>0</v>
      </c>
      <c r="N940" t="n">
        <v>0</v>
      </c>
      <c r="O940" t="n">
        <v>0</v>
      </c>
      <c r="P940" t="n">
        <v>0</v>
      </c>
      <c r="Q940" t="n">
        <v>0</v>
      </c>
      <c r="R940" s="2" t="inlineStr"/>
    </row>
    <row r="941" ht="15" customHeight="1">
      <c r="A941" t="inlineStr">
        <is>
          <t>A 2044-2025</t>
        </is>
      </c>
      <c r="B941" s="1" t="n">
        <v>45672</v>
      </c>
      <c r="C941" s="1" t="n">
        <v>46048</v>
      </c>
      <c r="D941" t="inlineStr">
        <is>
          <t>VÄSTERNORRLANDS LÄN</t>
        </is>
      </c>
      <c r="E941" t="inlineStr">
        <is>
          <t>SOLLEFTEÅ</t>
        </is>
      </c>
      <c r="F941" t="inlineStr">
        <is>
          <t>SCA</t>
        </is>
      </c>
      <c r="G941" t="n">
        <v>1.1</v>
      </c>
      <c r="H941" t="n">
        <v>0</v>
      </c>
      <c r="I941" t="n">
        <v>0</v>
      </c>
      <c r="J941" t="n">
        <v>0</v>
      </c>
      <c r="K941" t="n">
        <v>0</v>
      </c>
      <c r="L941" t="n">
        <v>0</v>
      </c>
      <c r="M941" t="n">
        <v>0</v>
      </c>
      <c r="N941" t="n">
        <v>0</v>
      </c>
      <c r="O941" t="n">
        <v>0</v>
      </c>
      <c r="P941" t="n">
        <v>0</v>
      </c>
      <c r="Q941" t="n">
        <v>0</v>
      </c>
      <c r="R941" s="2" t="inlineStr"/>
    </row>
    <row r="942" ht="15" customHeight="1">
      <c r="A942" t="inlineStr">
        <is>
          <t>A 23738-2025</t>
        </is>
      </c>
      <c r="B942" s="1" t="n">
        <v>45793.42819444444</v>
      </c>
      <c r="C942" s="1" t="n">
        <v>46048</v>
      </c>
      <c r="D942" t="inlineStr">
        <is>
          <t>VÄSTERNORRLANDS LÄN</t>
        </is>
      </c>
      <c r="E942" t="inlineStr">
        <is>
          <t>SOLLEFTEÅ</t>
        </is>
      </c>
      <c r="F942" t="inlineStr">
        <is>
          <t>SCA</t>
        </is>
      </c>
      <c r="G942" t="n">
        <v>1.5</v>
      </c>
      <c r="H942" t="n">
        <v>0</v>
      </c>
      <c r="I942" t="n">
        <v>0</v>
      </c>
      <c r="J942" t="n">
        <v>0</v>
      </c>
      <c r="K942" t="n">
        <v>0</v>
      </c>
      <c r="L942" t="n">
        <v>0</v>
      </c>
      <c r="M942" t="n">
        <v>0</v>
      </c>
      <c r="N942" t="n">
        <v>0</v>
      </c>
      <c r="O942" t="n">
        <v>0</v>
      </c>
      <c r="P942" t="n">
        <v>0</v>
      </c>
      <c r="Q942" t="n">
        <v>0</v>
      </c>
      <c r="R942" s="2" t="inlineStr"/>
    </row>
    <row r="943" ht="15" customHeight="1">
      <c r="A943" t="inlineStr">
        <is>
          <t>A 8038-2024</t>
        </is>
      </c>
      <c r="B943" s="1" t="n">
        <v>45350</v>
      </c>
      <c r="C943" s="1" t="n">
        <v>46048</v>
      </c>
      <c r="D943" t="inlineStr">
        <is>
          <t>VÄSTERNORRLANDS LÄN</t>
        </is>
      </c>
      <c r="E943" t="inlineStr">
        <is>
          <t>SOLLEFTEÅ</t>
        </is>
      </c>
      <c r="F943" t="inlineStr">
        <is>
          <t>SCA</t>
        </is>
      </c>
      <c r="G943" t="n">
        <v>4.7</v>
      </c>
      <c r="H943" t="n">
        <v>0</v>
      </c>
      <c r="I943" t="n">
        <v>0</v>
      </c>
      <c r="J943" t="n">
        <v>0</v>
      </c>
      <c r="K943" t="n">
        <v>0</v>
      </c>
      <c r="L943" t="n">
        <v>0</v>
      </c>
      <c r="M943" t="n">
        <v>0</v>
      </c>
      <c r="N943" t="n">
        <v>0</v>
      </c>
      <c r="O943" t="n">
        <v>0</v>
      </c>
      <c r="P943" t="n">
        <v>0</v>
      </c>
      <c r="Q943" t="n">
        <v>0</v>
      </c>
      <c r="R943" s="2" t="inlineStr"/>
    </row>
    <row r="944" ht="15" customHeight="1">
      <c r="A944" t="inlineStr">
        <is>
          <t>A 8039-2024</t>
        </is>
      </c>
      <c r="B944" s="1" t="n">
        <v>45350</v>
      </c>
      <c r="C944" s="1" t="n">
        <v>46048</v>
      </c>
      <c r="D944" t="inlineStr">
        <is>
          <t>VÄSTERNORRLANDS LÄN</t>
        </is>
      </c>
      <c r="E944" t="inlineStr">
        <is>
          <t>SOLLEFTEÅ</t>
        </is>
      </c>
      <c r="F944" t="inlineStr">
        <is>
          <t>SCA</t>
        </is>
      </c>
      <c r="G944" t="n">
        <v>1.6</v>
      </c>
      <c r="H944" t="n">
        <v>0</v>
      </c>
      <c r="I944" t="n">
        <v>0</v>
      </c>
      <c r="J944" t="n">
        <v>0</v>
      </c>
      <c r="K944" t="n">
        <v>0</v>
      </c>
      <c r="L944" t="n">
        <v>0</v>
      </c>
      <c r="M944" t="n">
        <v>0</v>
      </c>
      <c r="N944" t="n">
        <v>0</v>
      </c>
      <c r="O944" t="n">
        <v>0</v>
      </c>
      <c r="P944" t="n">
        <v>0</v>
      </c>
      <c r="Q944" t="n">
        <v>0</v>
      </c>
      <c r="R944" s="2" t="inlineStr"/>
    </row>
    <row r="945" ht="15" customHeight="1">
      <c r="A945" t="inlineStr">
        <is>
          <t>A 23515-2025</t>
        </is>
      </c>
      <c r="B945" s="1" t="n">
        <v>45792</v>
      </c>
      <c r="C945" s="1" t="n">
        <v>46048</v>
      </c>
      <c r="D945" t="inlineStr">
        <is>
          <t>VÄSTERNORRLANDS LÄN</t>
        </is>
      </c>
      <c r="E945" t="inlineStr">
        <is>
          <t>SOLLEFTEÅ</t>
        </is>
      </c>
      <c r="F945" t="inlineStr">
        <is>
          <t>Holmen skog AB</t>
        </is>
      </c>
      <c r="G945" t="n">
        <v>0.9</v>
      </c>
      <c r="H945" t="n">
        <v>0</v>
      </c>
      <c r="I945" t="n">
        <v>0</v>
      </c>
      <c r="J945" t="n">
        <v>0</v>
      </c>
      <c r="K945" t="n">
        <v>0</v>
      </c>
      <c r="L945" t="n">
        <v>0</v>
      </c>
      <c r="M945" t="n">
        <v>0</v>
      </c>
      <c r="N945" t="n">
        <v>0</v>
      </c>
      <c r="O945" t="n">
        <v>0</v>
      </c>
      <c r="P945" t="n">
        <v>0</v>
      </c>
      <c r="Q945" t="n">
        <v>0</v>
      </c>
      <c r="R945" s="2" t="inlineStr"/>
    </row>
    <row r="946" ht="15" customHeight="1">
      <c r="A946" t="inlineStr">
        <is>
          <t>A 23634-2025</t>
        </is>
      </c>
      <c r="B946" s="1" t="n">
        <v>45792.67803240741</v>
      </c>
      <c r="C946" s="1" t="n">
        <v>46048</v>
      </c>
      <c r="D946" t="inlineStr">
        <is>
          <t>VÄSTERNORRLANDS LÄN</t>
        </is>
      </c>
      <c r="E946" t="inlineStr">
        <is>
          <t>SOLLEFTEÅ</t>
        </is>
      </c>
      <c r="F946" t="inlineStr">
        <is>
          <t>SCA</t>
        </is>
      </c>
      <c r="G946" t="n">
        <v>1</v>
      </c>
      <c r="H946" t="n">
        <v>0</v>
      </c>
      <c r="I946" t="n">
        <v>0</v>
      </c>
      <c r="J946" t="n">
        <v>0</v>
      </c>
      <c r="K946" t="n">
        <v>0</v>
      </c>
      <c r="L946" t="n">
        <v>0</v>
      </c>
      <c r="M946" t="n">
        <v>0</v>
      </c>
      <c r="N946" t="n">
        <v>0</v>
      </c>
      <c r="O946" t="n">
        <v>0</v>
      </c>
      <c r="P946" t="n">
        <v>0</v>
      </c>
      <c r="Q946" t="n">
        <v>0</v>
      </c>
      <c r="R946" s="2" t="inlineStr"/>
    </row>
    <row r="947" ht="15" customHeight="1">
      <c r="A947" t="inlineStr">
        <is>
          <t>A 37354-2024</t>
        </is>
      </c>
      <c r="B947" s="1" t="n">
        <v>45540.54201388889</v>
      </c>
      <c r="C947" s="1" t="n">
        <v>46048</v>
      </c>
      <c r="D947" t="inlineStr">
        <is>
          <t>VÄSTERNORRLANDS LÄN</t>
        </is>
      </c>
      <c r="E947" t="inlineStr">
        <is>
          <t>SOLLEFTEÅ</t>
        </is>
      </c>
      <c r="F947" t="inlineStr">
        <is>
          <t>Holmen skog AB</t>
        </is>
      </c>
      <c r="G947" t="n">
        <v>2.3</v>
      </c>
      <c r="H947" t="n">
        <v>0</v>
      </c>
      <c r="I947" t="n">
        <v>0</v>
      </c>
      <c r="J947" t="n">
        <v>0</v>
      </c>
      <c r="K947" t="n">
        <v>0</v>
      </c>
      <c r="L947" t="n">
        <v>0</v>
      </c>
      <c r="M947" t="n">
        <v>0</v>
      </c>
      <c r="N947" t="n">
        <v>0</v>
      </c>
      <c r="O947" t="n">
        <v>0</v>
      </c>
      <c r="P947" t="n">
        <v>0</v>
      </c>
      <c r="Q947" t="n">
        <v>0</v>
      </c>
      <c r="R947" s="2" t="inlineStr"/>
    </row>
    <row r="948" ht="15" customHeight="1">
      <c r="A948" t="inlineStr">
        <is>
          <t>A 23734-2025</t>
        </is>
      </c>
      <c r="B948" s="1" t="n">
        <v>45793.4275462963</v>
      </c>
      <c r="C948" s="1" t="n">
        <v>46048</v>
      </c>
      <c r="D948" t="inlineStr">
        <is>
          <t>VÄSTERNORRLANDS LÄN</t>
        </is>
      </c>
      <c r="E948" t="inlineStr">
        <is>
          <t>SOLLEFTEÅ</t>
        </is>
      </c>
      <c r="F948" t="inlineStr">
        <is>
          <t>SCA</t>
        </is>
      </c>
      <c r="G948" t="n">
        <v>1.1</v>
      </c>
      <c r="H948" t="n">
        <v>0</v>
      </c>
      <c r="I948" t="n">
        <v>0</v>
      </c>
      <c r="J948" t="n">
        <v>0</v>
      </c>
      <c r="K948" t="n">
        <v>0</v>
      </c>
      <c r="L948" t="n">
        <v>0</v>
      </c>
      <c r="M948" t="n">
        <v>0</v>
      </c>
      <c r="N948" t="n">
        <v>0</v>
      </c>
      <c r="O948" t="n">
        <v>0</v>
      </c>
      <c r="P948" t="n">
        <v>0</v>
      </c>
      <c r="Q948" t="n">
        <v>0</v>
      </c>
      <c r="R948" s="2" t="inlineStr"/>
    </row>
    <row r="949" ht="15" customHeight="1">
      <c r="A949" t="inlineStr">
        <is>
          <t>A 34395-2021</t>
        </is>
      </c>
      <c r="B949" s="1" t="n">
        <v>44379</v>
      </c>
      <c r="C949" s="1" t="n">
        <v>46048</v>
      </c>
      <c r="D949" t="inlineStr">
        <is>
          <t>VÄSTERNORRLANDS LÄN</t>
        </is>
      </c>
      <c r="E949" t="inlineStr">
        <is>
          <t>SOLLEFTEÅ</t>
        </is>
      </c>
      <c r="F949" t="inlineStr">
        <is>
          <t>SCA</t>
        </is>
      </c>
      <c r="G949" t="n">
        <v>2</v>
      </c>
      <c r="H949" t="n">
        <v>0</v>
      </c>
      <c r="I949" t="n">
        <v>0</v>
      </c>
      <c r="J949" t="n">
        <v>0</v>
      </c>
      <c r="K949" t="n">
        <v>0</v>
      </c>
      <c r="L949" t="n">
        <v>0</v>
      </c>
      <c r="M949" t="n">
        <v>0</v>
      </c>
      <c r="N949" t="n">
        <v>0</v>
      </c>
      <c r="O949" t="n">
        <v>0</v>
      </c>
      <c r="P949" t="n">
        <v>0</v>
      </c>
      <c r="Q949" t="n">
        <v>0</v>
      </c>
      <c r="R949" s="2" t="inlineStr"/>
    </row>
    <row r="950" ht="15" customHeight="1">
      <c r="A950" t="inlineStr">
        <is>
          <t>A 23564-2025</t>
        </is>
      </c>
      <c r="B950" s="1" t="n">
        <v>45792.58840277778</v>
      </c>
      <c r="C950" s="1" t="n">
        <v>46048</v>
      </c>
      <c r="D950" t="inlineStr">
        <is>
          <t>VÄSTERNORRLANDS LÄN</t>
        </is>
      </c>
      <c r="E950" t="inlineStr">
        <is>
          <t>SOLLEFTEÅ</t>
        </is>
      </c>
      <c r="F950" t="inlineStr">
        <is>
          <t>Holmen skog AB</t>
        </is>
      </c>
      <c r="G950" t="n">
        <v>2.6</v>
      </c>
      <c r="H950" t="n">
        <v>0</v>
      </c>
      <c r="I950" t="n">
        <v>0</v>
      </c>
      <c r="J950" t="n">
        <v>0</v>
      </c>
      <c r="K950" t="n">
        <v>0</v>
      </c>
      <c r="L950" t="n">
        <v>0</v>
      </c>
      <c r="M950" t="n">
        <v>0</v>
      </c>
      <c r="N950" t="n">
        <v>0</v>
      </c>
      <c r="O950" t="n">
        <v>0</v>
      </c>
      <c r="P950" t="n">
        <v>0</v>
      </c>
      <c r="Q950" t="n">
        <v>0</v>
      </c>
      <c r="R950" s="2" t="inlineStr"/>
    </row>
    <row r="951" ht="15" customHeight="1">
      <c r="A951" t="inlineStr">
        <is>
          <t>A 23542-2025</t>
        </is>
      </c>
      <c r="B951" s="1" t="n">
        <v>45792.56184027778</v>
      </c>
      <c r="C951" s="1" t="n">
        <v>46048</v>
      </c>
      <c r="D951" t="inlineStr">
        <is>
          <t>VÄSTERNORRLANDS LÄN</t>
        </is>
      </c>
      <c r="E951" t="inlineStr">
        <is>
          <t>SOLLEFTEÅ</t>
        </is>
      </c>
      <c r="F951" t="inlineStr">
        <is>
          <t>Holmen skog AB</t>
        </is>
      </c>
      <c r="G951" t="n">
        <v>2.9</v>
      </c>
      <c r="H951" t="n">
        <v>0</v>
      </c>
      <c r="I951" t="n">
        <v>0</v>
      </c>
      <c r="J951" t="n">
        <v>0</v>
      </c>
      <c r="K951" t="n">
        <v>0</v>
      </c>
      <c r="L951" t="n">
        <v>0</v>
      </c>
      <c r="M951" t="n">
        <v>0</v>
      </c>
      <c r="N951" t="n">
        <v>0</v>
      </c>
      <c r="O951" t="n">
        <v>0</v>
      </c>
      <c r="P951" t="n">
        <v>0</v>
      </c>
      <c r="Q951" t="n">
        <v>0</v>
      </c>
      <c r="R951" s="2" t="inlineStr"/>
    </row>
    <row r="952" ht="15" customHeight="1">
      <c r="A952" t="inlineStr">
        <is>
          <t>A 23871-2025</t>
        </is>
      </c>
      <c r="B952" s="1" t="n">
        <v>45793.67741898148</v>
      </c>
      <c r="C952" s="1" t="n">
        <v>46048</v>
      </c>
      <c r="D952" t="inlineStr">
        <is>
          <t>VÄSTERNORRLANDS LÄN</t>
        </is>
      </c>
      <c r="E952" t="inlineStr">
        <is>
          <t>SOLLEFTEÅ</t>
        </is>
      </c>
      <c r="F952" t="inlineStr">
        <is>
          <t>SCA</t>
        </is>
      </c>
      <c r="G952" t="n">
        <v>1.7</v>
      </c>
      <c r="H952" t="n">
        <v>0</v>
      </c>
      <c r="I952" t="n">
        <v>0</v>
      </c>
      <c r="J952" t="n">
        <v>0</v>
      </c>
      <c r="K952" t="n">
        <v>0</v>
      </c>
      <c r="L952" t="n">
        <v>0</v>
      </c>
      <c r="M952" t="n">
        <v>0</v>
      </c>
      <c r="N952" t="n">
        <v>0</v>
      </c>
      <c r="O952" t="n">
        <v>0</v>
      </c>
      <c r="P952" t="n">
        <v>0</v>
      </c>
      <c r="Q952" t="n">
        <v>0</v>
      </c>
      <c r="R952" s="2" t="inlineStr"/>
    </row>
    <row r="953" ht="15" customHeight="1">
      <c r="A953" t="inlineStr">
        <is>
          <t>A 23478-2025</t>
        </is>
      </c>
      <c r="B953" s="1" t="n">
        <v>45792</v>
      </c>
      <c r="C953" s="1" t="n">
        <v>46048</v>
      </c>
      <c r="D953" t="inlineStr">
        <is>
          <t>VÄSTERNORRLANDS LÄN</t>
        </is>
      </c>
      <c r="E953" t="inlineStr">
        <is>
          <t>SOLLEFTEÅ</t>
        </is>
      </c>
      <c r="F953" t="inlineStr">
        <is>
          <t>Holmen skog AB</t>
        </is>
      </c>
      <c r="G953" t="n">
        <v>6</v>
      </c>
      <c r="H953" t="n">
        <v>0</v>
      </c>
      <c r="I953" t="n">
        <v>0</v>
      </c>
      <c r="J953" t="n">
        <v>0</v>
      </c>
      <c r="K953" t="n">
        <v>0</v>
      </c>
      <c r="L953" t="n">
        <v>0</v>
      </c>
      <c r="M953" t="n">
        <v>0</v>
      </c>
      <c r="N953" t="n">
        <v>0</v>
      </c>
      <c r="O953" t="n">
        <v>0</v>
      </c>
      <c r="P953" t="n">
        <v>0</v>
      </c>
      <c r="Q953" t="n">
        <v>0</v>
      </c>
      <c r="R953" s="2" t="inlineStr"/>
    </row>
    <row r="954" ht="15" customHeight="1">
      <c r="A954" t="inlineStr">
        <is>
          <t>A 23522-2025</t>
        </is>
      </c>
      <c r="B954" s="1" t="n">
        <v>45792.51415509259</v>
      </c>
      <c r="C954" s="1" t="n">
        <v>46048</v>
      </c>
      <c r="D954" t="inlineStr">
        <is>
          <t>VÄSTERNORRLANDS LÄN</t>
        </is>
      </c>
      <c r="E954" t="inlineStr">
        <is>
          <t>SOLLEFTEÅ</t>
        </is>
      </c>
      <c r="F954" t="inlineStr">
        <is>
          <t>Holmen skog AB</t>
        </is>
      </c>
      <c r="G954" t="n">
        <v>0.6</v>
      </c>
      <c r="H954" t="n">
        <v>0</v>
      </c>
      <c r="I954" t="n">
        <v>0</v>
      </c>
      <c r="J954" t="n">
        <v>0</v>
      </c>
      <c r="K954" t="n">
        <v>0</v>
      </c>
      <c r="L954" t="n">
        <v>0</v>
      </c>
      <c r="M954" t="n">
        <v>0</v>
      </c>
      <c r="N954" t="n">
        <v>0</v>
      </c>
      <c r="O954" t="n">
        <v>0</v>
      </c>
      <c r="P954" t="n">
        <v>0</v>
      </c>
      <c r="Q954" t="n">
        <v>0</v>
      </c>
      <c r="R954" s="2" t="inlineStr"/>
    </row>
    <row r="955" ht="15" customHeight="1">
      <c r="A955" t="inlineStr">
        <is>
          <t>A 63138-2023</t>
        </is>
      </c>
      <c r="B955" s="1" t="n">
        <v>45272</v>
      </c>
      <c r="C955" s="1" t="n">
        <v>46048</v>
      </c>
      <c r="D955" t="inlineStr">
        <is>
          <t>VÄSTERNORRLANDS LÄN</t>
        </is>
      </c>
      <c r="E955" t="inlineStr">
        <is>
          <t>SOLLEFTEÅ</t>
        </is>
      </c>
      <c r="G955" t="n">
        <v>6.2</v>
      </c>
      <c r="H955" t="n">
        <v>0</v>
      </c>
      <c r="I955" t="n">
        <v>0</v>
      </c>
      <c r="J955" t="n">
        <v>0</v>
      </c>
      <c r="K955" t="n">
        <v>0</v>
      </c>
      <c r="L955" t="n">
        <v>0</v>
      </c>
      <c r="M955" t="n">
        <v>0</v>
      </c>
      <c r="N955" t="n">
        <v>0</v>
      </c>
      <c r="O955" t="n">
        <v>0</v>
      </c>
      <c r="P955" t="n">
        <v>0</v>
      </c>
      <c r="Q955" t="n">
        <v>0</v>
      </c>
      <c r="R955" s="2" t="inlineStr"/>
    </row>
    <row r="956" ht="15" customHeight="1">
      <c r="A956" t="inlineStr">
        <is>
          <t>A 19489-2025</t>
        </is>
      </c>
      <c r="B956" s="1" t="n">
        <v>45770.38847222222</v>
      </c>
      <c r="C956" s="1" t="n">
        <v>46048</v>
      </c>
      <c r="D956" t="inlineStr">
        <is>
          <t>VÄSTERNORRLANDS LÄN</t>
        </is>
      </c>
      <c r="E956" t="inlineStr">
        <is>
          <t>SOLLEFTEÅ</t>
        </is>
      </c>
      <c r="F956" t="inlineStr">
        <is>
          <t>SCA</t>
        </is>
      </c>
      <c r="G956" t="n">
        <v>4.2</v>
      </c>
      <c r="H956" t="n">
        <v>0</v>
      </c>
      <c r="I956" t="n">
        <v>0</v>
      </c>
      <c r="J956" t="n">
        <v>0</v>
      </c>
      <c r="K956" t="n">
        <v>0</v>
      </c>
      <c r="L956" t="n">
        <v>0</v>
      </c>
      <c r="M956" t="n">
        <v>0</v>
      </c>
      <c r="N956" t="n">
        <v>0</v>
      </c>
      <c r="O956" t="n">
        <v>0</v>
      </c>
      <c r="P956" t="n">
        <v>0</v>
      </c>
      <c r="Q956" t="n">
        <v>0</v>
      </c>
      <c r="R956" s="2" t="inlineStr"/>
    </row>
    <row r="957" ht="15" customHeight="1">
      <c r="A957" t="inlineStr">
        <is>
          <t>A 23977-2025</t>
        </is>
      </c>
      <c r="B957" s="1" t="n">
        <v>45796.38637731481</v>
      </c>
      <c r="C957" s="1" t="n">
        <v>46048</v>
      </c>
      <c r="D957" t="inlineStr">
        <is>
          <t>VÄSTERNORRLANDS LÄN</t>
        </is>
      </c>
      <c r="E957" t="inlineStr">
        <is>
          <t>SOLLEFTEÅ</t>
        </is>
      </c>
      <c r="F957" t="inlineStr">
        <is>
          <t>SCA</t>
        </is>
      </c>
      <c r="G957" t="n">
        <v>1</v>
      </c>
      <c r="H957" t="n">
        <v>0</v>
      </c>
      <c r="I957" t="n">
        <v>0</v>
      </c>
      <c r="J957" t="n">
        <v>0</v>
      </c>
      <c r="K957" t="n">
        <v>0</v>
      </c>
      <c r="L957" t="n">
        <v>0</v>
      </c>
      <c r="M957" t="n">
        <v>0</v>
      </c>
      <c r="N957" t="n">
        <v>0</v>
      </c>
      <c r="O957" t="n">
        <v>0</v>
      </c>
      <c r="P957" t="n">
        <v>0</v>
      </c>
      <c r="Q957" t="n">
        <v>0</v>
      </c>
      <c r="R957" s="2" t="inlineStr"/>
    </row>
    <row r="958" ht="15" customHeight="1">
      <c r="A958" t="inlineStr">
        <is>
          <t>A 24420-2025</t>
        </is>
      </c>
      <c r="B958" s="1" t="n">
        <v>45797.67771990741</v>
      </c>
      <c r="C958" s="1" t="n">
        <v>46048</v>
      </c>
      <c r="D958" t="inlineStr">
        <is>
          <t>VÄSTERNORRLANDS LÄN</t>
        </is>
      </c>
      <c r="E958" t="inlineStr">
        <is>
          <t>SOLLEFTEÅ</t>
        </is>
      </c>
      <c r="F958" t="inlineStr">
        <is>
          <t>SCA</t>
        </is>
      </c>
      <c r="G958" t="n">
        <v>5.3</v>
      </c>
      <c r="H958" t="n">
        <v>0</v>
      </c>
      <c r="I958" t="n">
        <v>0</v>
      </c>
      <c r="J958" t="n">
        <v>0</v>
      </c>
      <c r="K958" t="n">
        <v>0</v>
      </c>
      <c r="L958" t="n">
        <v>0</v>
      </c>
      <c r="M958" t="n">
        <v>0</v>
      </c>
      <c r="N958" t="n">
        <v>0</v>
      </c>
      <c r="O958" t="n">
        <v>0</v>
      </c>
      <c r="P958" t="n">
        <v>0</v>
      </c>
      <c r="Q958" t="n">
        <v>0</v>
      </c>
      <c r="R958" s="2" t="inlineStr"/>
    </row>
    <row r="959" ht="15" customHeight="1">
      <c r="A959" t="inlineStr">
        <is>
          <t>A 31886-2024</t>
        </is>
      </c>
      <c r="B959" s="1" t="n">
        <v>45509.95780092593</v>
      </c>
      <c r="C959" s="1" t="n">
        <v>46048</v>
      </c>
      <c r="D959" t="inlineStr">
        <is>
          <t>VÄSTERNORRLANDS LÄN</t>
        </is>
      </c>
      <c r="E959" t="inlineStr">
        <is>
          <t>SOLLEFTEÅ</t>
        </is>
      </c>
      <c r="F959" t="inlineStr">
        <is>
          <t>SCA</t>
        </is>
      </c>
      <c r="G959" t="n">
        <v>3.9</v>
      </c>
      <c r="H959" t="n">
        <v>0</v>
      </c>
      <c r="I959" t="n">
        <v>0</v>
      </c>
      <c r="J959" t="n">
        <v>0</v>
      </c>
      <c r="K959" t="n">
        <v>0</v>
      </c>
      <c r="L959" t="n">
        <v>0</v>
      </c>
      <c r="M959" t="n">
        <v>0</v>
      </c>
      <c r="N959" t="n">
        <v>0</v>
      </c>
      <c r="O959" t="n">
        <v>0</v>
      </c>
      <c r="P959" t="n">
        <v>0</v>
      </c>
      <c r="Q959" t="n">
        <v>0</v>
      </c>
      <c r="R959" s="2" t="inlineStr"/>
    </row>
    <row r="960" ht="15" customHeight="1">
      <c r="A960" t="inlineStr">
        <is>
          <t>A 16365-2022</t>
        </is>
      </c>
      <c r="B960" s="1" t="n">
        <v>44670.9406712963</v>
      </c>
      <c r="C960" s="1" t="n">
        <v>46048</v>
      </c>
      <c r="D960" t="inlineStr">
        <is>
          <t>VÄSTERNORRLANDS LÄN</t>
        </is>
      </c>
      <c r="E960" t="inlineStr">
        <is>
          <t>SOLLEFTEÅ</t>
        </is>
      </c>
      <c r="F960" t="inlineStr">
        <is>
          <t>SCA</t>
        </is>
      </c>
      <c r="G960" t="n">
        <v>2.5</v>
      </c>
      <c r="H960" t="n">
        <v>0</v>
      </c>
      <c r="I960" t="n">
        <v>0</v>
      </c>
      <c r="J960" t="n">
        <v>0</v>
      </c>
      <c r="K960" t="n">
        <v>0</v>
      </c>
      <c r="L960" t="n">
        <v>0</v>
      </c>
      <c r="M960" t="n">
        <v>0</v>
      </c>
      <c r="N960" t="n">
        <v>0</v>
      </c>
      <c r="O960" t="n">
        <v>0</v>
      </c>
      <c r="P960" t="n">
        <v>0</v>
      </c>
      <c r="Q960" t="n">
        <v>0</v>
      </c>
      <c r="R960" s="2" t="inlineStr"/>
    </row>
    <row r="961" ht="15" customHeight="1">
      <c r="A961" t="inlineStr">
        <is>
          <t>A 53929-2022</t>
        </is>
      </c>
      <c r="B961" s="1" t="n">
        <v>44880</v>
      </c>
      <c r="C961" s="1" t="n">
        <v>46048</v>
      </c>
      <c r="D961" t="inlineStr">
        <is>
          <t>VÄSTERNORRLANDS LÄN</t>
        </is>
      </c>
      <c r="E961" t="inlineStr">
        <is>
          <t>SOLLEFTEÅ</t>
        </is>
      </c>
      <c r="G961" t="n">
        <v>0.6</v>
      </c>
      <c r="H961" t="n">
        <v>0</v>
      </c>
      <c r="I961" t="n">
        <v>0</v>
      </c>
      <c r="J961" t="n">
        <v>0</v>
      </c>
      <c r="K961" t="n">
        <v>0</v>
      </c>
      <c r="L961" t="n">
        <v>0</v>
      </c>
      <c r="M961" t="n">
        <v>0</v>
      </c>
      <c r="N961" t="n">
        <v>0</v>
      </c>
      <c r="O961" t="n">
        <v>0</v>
      </c>
      <c r="P961" t="n">
        <v>0</v>
      </c>
      <c r="Q961" t="n">
        <v>0</v>
      </c>
      <c r="R961" s="2" t="inlineStr"/>
    </row>
    <row r="962" ht="15" customHeight="1">
      <c r="A962" t="inlineStr">
        <is>
          <t>A 53947-2022</t>
        </is>
      </c>
      <c r="B962" s="1" t="n">
        <v>44880.95685185185</v>
      </c>
      <c r="C962" s="1" t="n">
        <v>46048</v>
      </c>
      <c r="D962" t="inlineStr">
        <is>
          <t>VÄSTERNORRLANDS LÄN</t>
        </is>
      </c>
      <c r="E962" t="inlineStr">
        <is>
          <t>SOLLEFTEÅ</t>
        </is>
      </c>
      <c r="F962" t="inlineStr">
        <is>
          <t>SCA</t>
        </is>
      </c>
      <c r="G962" t="n">
        <v>2.6</v>
      </c>
      <c r="H962" t="n">
        <v>0</v>
      </c>
      <c r="I962" t="n">
        <v>0</v>
      </c>
      <c r="J962" t="n">
        <v>0</v>
      </c>
      <c r="K962" t="n">
        <v>0</v>
      </c>
      <c r="L962" t="n">
        <v>0</v>
      </c>
      <c r="M962" t="n">
        <v>0</v>
      </c>
      <c r="N962" t="n">
        <v>0</v>
      </c>
      <c r="O962" t="n">
        <v>0</v>
      </c>
      <c r="P962" t="n">
        <v>0</v>
      </c>
      <c r="Q962" t="n">
        <v>0</v>
      </c>
      <c r="R962" s="2" t="inlineStr"/>
    </row>
    <row r="963" ht="15" customHeight="1">
      <c r="A963" t="inlineStr">
        <is>
          <t>A 21100-2024</t>
        </is>
      </c>
      <c r="B963" s="1" t="n">
        <v>45439.95072916667</v>
      </c>
      <c r="C963" s="1" t="n">
        <v>46048</v>
      </c>
      <c r="D963" t="inlineStr">
        <is>
          <t>VÄSTERNORRLANDS LÄN</t>
        </is>
      </c>
      <c r="E963" t="inlineStr">
        <is>
          <t>SOLLEFTEÅ</t>
        </is>
      </c>
      <c r="F963" t="inlineStr">
        <is>
          <t>SCA</t>
        </is>
      </c>
      <c r="G963" t="n">
        <v>8.1</v>
      </c>
      <c r="H963" t="n">
        <v>0</v>
      </c>
      <c r="I963" t="n">
        <v>0</v>
      </c>
      <c r="J963" t="n">
        <v>0</v>
      </c>
      <c r="K963" t="n">
        <v>0</v>
      </c>
      <c r="L963" t="n">
        <v>0</v>
      </c>
      <c r="M963" t="n">
        <v>0</v>
      </c>
      <c r="N963" t="n">
        <v>0</v>
      </c>
      <c r="O963" t="n">
        <v>0</v>
      </c>
      <c r="P963" t="n">
        <v>0</v>
      </c>
      <c r="Q963" t="n">
        <v>0</v>
      </c>
      <c r="R963" s="2" t="inlineStr"/>
    </row>
    <row r="964" ht="15" customHeight="1">
      <c r="A964" t="inlineStr">
        <is>
          <t>A 16564-2025</t>
        </is>
      </c>
      <c r="B964" s="1" t="n">
        <v>45752</v>
      </c>
      <c r="C964" s="1" t="n">
        <v>46048</v>
      </c>
      <c r="D964" t="inlineStr">
        <is>
          <t>VÄSTERNORRLANDS LÄN</t>
        </is>
      </c>
      <c r="E964" t="inlineStr">
        <is>
          <t>SOLLEFTEÅ</t>
        </is>
      </c>
      <c r="F964" t="inlineStr">
        <is>
          <t>SCA</t>
        </is>
      </c>
      <c r="G964" t="n">
        <v>1.4</v>
      </c>
      <c r="H964" t="n">
        <v>0</v>
      </c>
      <c r="I964" t="n">
        <v>0</v>
      </c>
      <c r="J964" t="n">
        <v>0</v>
      </c>
      <c r="K964" t="n">
        <v>0</v>
      </c>
      <c r="L964" t="n">
        <v>0</v>
      </c>
      <c r="M964" t="n">
        <v>0</v>
      </c>
      <c r="N964" t="n">
        <v>0</v>
      </c>
      <c r="O964" t="n">
        <v>0</v>
      </c>
      <c r="P964" t="n">
        <v>0</v>
      </c>
      <c r="Q964" t="n">
        <v>0</v>
      </c>
      <c r="R964" s="2" t="inlineStr"/>
    </row>
    <row r="965" ht="15" customHeight="1">
      <c r="A965" t="inlineStr">
        <is>
          <t>A 2699-2025</t>
        </is>
      </c>
      <c r="B965" s="1" t="n">
        <v>45677.40665509259</v>
      </c>
      <c r="C965" s="1" t="n">
        <v>46048</v>
      </c>
      <c r="D965" t="inlineStr">
        <is>
          <t>VÄSTERNORRLANDS LÄN</t>
        </is>
      </c>
      <c r="E965" t="inlineStr">
        <is>
          <t>SOLLEFTEÅ</t>
        </is>
      </c>
      <c r="F965" t="inlineStr">
        <is>
          <t>SCA</t>
        </is>
      </c>
      <c r="G965" t="n">
        <v>3.8</v>
      </c>
      <c r="H965" t="n">
        <v>0</v>
      </c>
      <c r="I965" t="n">
        <v>0</v>
      </c>
      <c r="J965" t="n">
        <v>0</v>
      </c>
      <c r="K965" t="n">
        <v>0</v>
      </c>
      <c r="L965" t="n">
        <v>0</v>
      </c>
      <c r="M965" t="n">
        <v>0</v>
      </c>
      <c r="N965" t="n">
        <v>0</v>
      </c>
      <c r="O965" t="n">
        <v>0</v>
      </c>
      <c r="P965" t="n">
        <v>0</v>
      </c>
      <c r="Q965" t="n">
        <v>0</v>
      </c>
      <c r="R965" s="2" t="inlineStr"/>
    </row>
    <row r="966" ht="15" customHeight="1">
      <c r="A966" t="inlineStr">
        <is>
          <t>A 49324-2023</t>
        </is>
      </c>
      <c r="B966" s="1" t="n">
        <v>45210</v>
      </c>
      <c r="C966" s="1" t="n">
        <v>46048</v>
      </c>
      <c r="D966" t="inlineStr">
        <is>
          <t>VÄSTERNORRLANDS LÄN</t>
        </is>
      </c>
      <c r="E966" t="inlineStr">
        <is>
          <t>SOLLEFTEÅ</t>
        </is>
      </c>
      <c r="F966" t="inlineStr">
        <is>
          <t>SCA</t>
        </is>
      </c>
      <c r="G966" t="n">
        <v>2.2</v>
      </c>
      <c r="H966" t="n">
        <v>0</v>
      </c>
      <c r="I966" t="n">
        <v>0</v>
      </c>
      <c r="J966" t="n">
        <v>0</v>
      </c>
      <c r="K966" t="n">
        <v>0</v>
      </c>
      <c r="L966" t="n">
        <v>0</v>
      </c>
      <c r="M966" t="n">
        <v>0</v>
      </c>
      <c r="N966" t="n">
        <v>0</v>
      </c>
      <c r="O966" t="n">
        <v>0</v>
      </c>
      <c r="P966" t="n">
        <v>0</v>
      </c>
      <c r="Q966" t="n">
        <v>0</v>
      </c>
      <c r="R966" s="2" t="inlineStr"/>
    </row>
    <row r="967" ht="15" customHeight="1">
      <c r="A967" t="inlineStr">
        <is>
          <t>A 12164-2023</t>
        </is>
      </c>
      <c r="B967" s="1" t="n">
        <v>44995</v>
      </c>
      <c r="C967" s="1" t="n">
        <v>46048</v>
      </c>
      <c r="D967" t="inlineStr">
        <is>
          <t>VÄSTERNORRLANDS LÄN</t>
        </is>
      </c>
      <c r="E967" t="inlineStr">
        <is>
          <t>SOLLEFTEÅ</t>
        </is>
      </c>
      <c r="G967" t="n">
        <v>18.3</v>
      </c>
      <c r="H967" t="n">
        <v>0</v>
      </c>
      <c r="I967" t="n">
        <v>0</v>
      </c>
      <c r="J967" t="n">
        <v>0</v>
      </c>
      <c r="K967" t="n">
        <v>0</v>
      </c>
      <c r="L967" t="n">
        <v>0</v>
      </c>
      <c r="M967" t="n">
        <v>0</v>
      </c>
      <c r="N967" t="n">
        <v>0</v>
      </c>
      <c r="O967" t="n">
        <v>0</v>
      </c>
      <c r="P967" t="n">
        <v>0</v>
      </c>
      <c r="Q967" t="n">
        <v>0</v>
      </c>
      <c r="R967" s="2" t="inlineStr"/>
    </row>
    <row r="968" ht="15" customHeight="1">
      <c r="A968" t="inlineStr">
        <is>
          <t>A 61616-2024</t>
        </is>
      </c>
      <c r="B968" s="1" t="n">
        <v>45645</v>
      </c>
      <c r="C968" s="1" t="n">
        <v>46048</v>
      </c>
      <c r="D968" t="inlineStr">
        <is>
          <t>VÄSTERNORRLANDS LÄN</t>
        </is>
      </c>
      <c r="E968" t="inlineStr">
        <is>
          <t>SOLLEFTEÅ</t>
        </is>
      </c>
      <c r="G968" t="n">
        <v>6.5</v>
      </c>
      <c r="H968" t="n">
        <v>0</v>
      </c>
      <c r="I968" t="n">
        <v>0</v>
      </c>
      <c r="J968" t="n">
        <v>0</v>
      </c>
      <c r="K968" t="n">
        <v>0</v>
      </c>
      <c r="L968" t="n">
        <v>0</v>
      </c>
      <c r="M968" t="n">
        <v>0</v>
      </c>
      <c r="N968" t="n">
        <v>0</v>
      </c>
      <c r="O968" t="n">
        <v>0</v>
      </c>
      <c r="P968" t="n">
        <v>0</v>
      </c>
      <c r="Q968" t="n">
        <v>0</v>
      </c>
      <c r="R968" s="2" t="inlineStr"/>
    </row>
    <row r="969" ht="15" customHeight="1">
      <c r="A969" t="inlineStr">
        <is>
          <t>A 55610-2021</t>
        </is>
      </c>
      <c r="B969" s="1" t="n">
        <v>44475.94237268518</v>
      </c>
      <c r="C969" s="1" t="n">
        <v>46048</v>
      </c>
      <c r="D969" t="inlineStr">
        <is>
          <t>VÄSTERNORRLANDS LÄN</t>
        </is>
      </c>
      <c r="E969" t="inlineStr">
        <is>
          <t>SOLLEFTEÅ</t>
        </is>
      </c>
      <c r="F969" t="inlineStr">
        <is>
          <t>SCA</t>
        </is>
      </c>
      <c r="G969" t="n">
        <v>5.2</v>
      </c>
      <c r="H969" t="n">
        <v>0</v>
      </c>
      <c r="I969" t="n">
        <v>0</v>
      </c>
      <c r="J969" t="n">
        <v>0</v>
      </c>
      <c r="K969" t="n">
        <v>0</v>
      </c>
      <c r="L969" t="n">
        <v>0</v>
      </c>
      <c r="M969" t="n">
        <v>0</v>
      </c>
      <c r="N969" t="n">
        <v>0</v>
      </c>
      <c r="O969" t="n">
        <v>0</v>
      </c>
      <c r="P969" t="n">
        <v>0</v>
      </c>
      <c r="Q969" t="n">
        <v>0</v>
      </c>
      <c r="R969" s="2" t="inlineStr"/>
    </row>
    <row r="970" ht="15" customHeight="1">
      <c r="A970" t="inlineStr">
        <is>
          <t>A 19577-2024</t>
        </is>
      </c>
      <c r="B970" s="1" t="n">
        <v>45429</v>
      </c>
      <c r="C970" s="1" t="n">
        <v>46048</v>
      </c>
      <c r="D970" t="inlineStr">
        <is>
          <t>VÄSTERNORRLANDS LÄN</t>
        </is>
      </c>
      <c r="E970" t="inlineStr">
        <is>
          <t>SOLLEFTEÅ</t>
        </is>
      </c>
      <c r="G970" t="n">
        <v>1.1</v>
      </c>
      <c r="H970" t="n">
        <v>0</v>
      </c>
      <c r="I970" t="n">
        <v>0</v>
      </c>
      <c r="J970" t="n">
        <v>0</v>
      </c>
      <c r="K970" t="n">
        <v>0</v>
      </c>
      <c r="L970" t="n">
        <v>0</v>
      </c>
      <c r="M970" t="n">
        <v>0</v>
      </c>
      <c r="N970" t="n">
        <v>0</v>
      </c>
      <c r="O970" t="n">
        <v>0</v>
      </c>
      <c r="P970" t="n">
        <v>0</v>
      </c>
      <c r="Q970" t="n">
        <v>0</v>
      </c>
      <c r="R970" s="2" t="inlineStr"/>
    </row>
    <row r="971" ht="15" customHeight="1">
      <c r="A971" t="inlineStr">
        <is>
          <t>A 23974-2025</t>
        </is>
      </c>
      <c r="B971" s="1" t="n">
        <v>45796.38594907407</v>
      </c>
      <c r="C971" s="1" t="n">
        <v>46048</v>
      </c>
      <c r="D971" t="inlineStr">
        <is>
          <t>VÄSTERNORRLANDS LÄN</t>
        </is>
      </c>
      <c r="E971" t="inlineStr">
        <is>
          <t>SOLLEFTEÅ</t>
        </is>
      </c>
      <c r="F971" t="inlineStr">
        <is>
          <t>SCA</t>
        </is>
      </c>
      <c r="G971" t="n">
        <v>1.9</v>
      </c>
      <c r="H971" t="n">
        <v>0</v>
      </c>
      <c r="I971" t="n">
        <v>0</v>
      </c>
      <c r="J971" t="n">
        <v>0</v>
      </c>
      <c r="K971" t="n">
        <v>0</v>
      </c>
      <c r="L971" t="n">
        <v>0</v>
      </c>
      <c r="M971" t="n">
        <v>0</v>
      </c>
      <c r="N971" t="n">
        <v>0</v>
      </c>
      <c r="O971" t="n">
        <v>0</v>
      </c>
      <c r="P971" t="n">
        <v>0</v>
      </c>
      <c r="Q971" t="n">
        <v>0</v>
      </c>
      <c r="R971" s="2" t="inlineStr"/>
    </row>
    <row r="972" ht="15" customHeight="1">
      <c r="A972" t="inlineStr">
        <is>
          <t>A 62523-2023</t>
        </is>
      </c>
      <c r="B972" s="1" t="n">
        <v>45267</v>
      </c>
      <c r="C972" s="1" t="n">
        <v>46048</v>
      </c>
      <c r="D972" t="inlineStr">
        <is>
          <t>VÄSTERNORRLANDS LÄN</t>
        </is>
      </c>
      <c r="E972" t="inlineStr">
        <is>
          <t>SOLLEFTEÅ</t>
        </is>
      </c>
      <c r="G972" t="n">
        <v>33.6</v>
      </c>
      <c r="H972" t="n">
        <v>0</v>
      </c>
      <c r="I972" t="n">
        <v>0</v>
      </c>
      <c r="J972" t="n">
        <v>0</v>
      </c>
      <c r="K972" t="n">
        <v>0</v>
      </c>
      <c r="L972" t="n">
        <v>0</v>
      </c>
      <c r="M972" t="n">
        <v>0</v>
      </c>
      <c r="N972" t="n">
        <v>0</v>
      </c>
      <c r="O972" t="n">
        <v>0</v>
      </c>
      <c r="P972" t="n">
        <v>0</v>
      </c>
      <c r="Q972" t="n">
        <v>0</v>
      </c>
      <c r="R972" s="2" t="inlineStr"/>
    </row>
    <row r="973" ht="15" customHeight="1">
      <c r="A973" t="inlineStr">
        <is>
          <t>A 1464-2025</t>
        </is>
      </c>
      <c r="B973" s="1" t="n">
        <v>45670.365</v>
      </c>
      <c r="C973" s="1" t="n">
        <v>46048</v>
      </c>
      <c r="D973" t="inlineStr">
        <is>
          <t>VÄSTERNORRLANDS LÄN</t>
        </is>
      </c>
      <c r="E973" t="inlineStr">
        <is>
          <t>SOLLEFTEÅ</t>
        </is>
      </c>
      <c r="F973" t="inlineStr">
        <is>
          <t>SCA</t>
        </is>
      </c>
      <c r="G973" t="n">
        <v>2.8</v>
      </c>
      <c r="H973" t="n">
        <v>0</v>
      </c>
      <c r="I973" t="n">
        <v>0</v>
      </c>
      <c r="J973" t="n">
        <v>0</v>
      </c>
      <c r="K973" t="n">
        <v>0</v>
      </c>
      <c r="L973" t="n">
        <v>0</v>
      </c>
      <c r="M973" t="n">
        <v>0</v>
      </c>
      <c r="N973" t="n">
        <v>0</v>
      </c>
      <c r="O973" t="n">
        <v>0</v>
      </c>
      <c r="P973" t="n">
        <v>0</v>
      </c>
      <c r="Q973" t="n">
        <v>0</v>
      </c>
      <c r="R973" s="2" t="inlineStr"/>
    </row>
    <row r="974" ht="15" customHeight="1">
      <c r="A974" t="inlineStr">
        <is>
          <t>A 35358-2021</t>
        </is>
      </c>
      <c r="B974" s="1" t="n">
        <v>44384.93591435185</v>
      </c>
      <c r="C974" s="1" t="n">
        <v>46048</v>
      </c>
      <c r="D974" t="inlineStr">
        <is>
          <t>VÄSTERNORRLANDS LÄN</t>
        </is>
      </c>
      <c r="E974" t="inlineStr">
        <is>
          <t>SOLLEFTEÅ</t>
        </is>
      </c>
      <c r="F974" t="inlineStr">
        <is>
          <t>SCA</t>
        </is>
      </c>
      <c r="G974" t="n">
        <v>5.2</v>
      </c>
      <c r="H974" t="n">
        <v>0</v>
      </c>
      <c r="I974" t="n">
        <v>0</v>
      </c>
      <c r="J974" t="n">
        <v>0</v>
      </c>
      <c r="K974" t="n">
        <v>0</v>
      </c>
      <c r="L974" t="n">
        <v>0</v>
      </c>
      <c r="M974" t="n">
        <v>0</v>
      </c>
      <c r="N974" t="n">
        <v>0</v>
      </c>
      <c r="O974" t="n">
        <v>0</v>
      </c>
      <c r="P974" t="n">
        <v>0</v>
      </c>
      <c r="Q974" t="n">
        <v>0</v>
      </c>
      <c r="R974" s="2" t="inlineStr"/>
    </row>
    <row r="975" ht="15" customHeight="1">
      <c r="A975" t="inlineStr">
        <is>
          <t>A 52602-2024</t>
        </is>
      </c>
      <c r="B975" s="1" t="n">
        <v>45609</v>
      </c>
      <c r="C975" s="1" t="n">
        <v>46048</v>
      </c>
      <c r="D975" t="inlineStr">
        <is>
          <t>VÄSTERNORRLANDS LÄN</t>
        </is>
      </c>
      <c r="E975" t="inlineStr">
        <is>
          <t>SOLLEFTEÅ</t>
        </is>
      </c>
      <c r="G975" t="n">
        <v>10.8</v>
      </c>
      <c r="H975" t="n">
        <v>0</v>
      </c>
      <c r="I975" t="n">
        <v>0</v>
      </c>
      <c r="J975" t="n">
        <v>0</v>
      </c>
      <c r="K975" t="n">
        <v>0</v>
      </c>
      <c r="L975" t="n">
        <v>0</v>
      </c>
      <c r="M975" t="n">
        <v>0</v>
      </c>
      <c r="N975" t="n">
        <v>0</v>
      </c>
      <c r="O975" t="n">
        <v>0</v>
      </c>
      <c r="P975" t="n">
        <v>0</v>
      </c>
      <c r="Q975" t="n">
        <v>0</v>
      </c>
      <c r="R975" s="2" t="inlineStr"/>
    </row>
    <row r="976" ht="15" customHeight="1">
      <c r="A976" t="inlineStr">
        <is>
          <t>A 8653-2024</t>
        </is>
      </c>
      <c r="B976" s="1" t="n">
        <v>45356</v>
      </c>
      <c r="C976" s="1" t="n">
        <v>46048</v>
      </c>
      <c r="D976" t="inlineStr">
        <is>
          <t>VÄSTERNORRLANDS LÄN</t>
        </is>
      </c>
      <c r="E976" t="inlineStr">
        <is>
          <t>SOLLEFTEÅ</t>
        </is>
      </c>
      <c r="F976" t="inlineStr">
        <is>
          <t>SCA</t>
        </is>
      </c>
      <c r="G976" t="n">
        <v>67.8</v>
      </c>
      <c r="H976" t="n">
        <v>0</v>
      </c>
      <c r="I976" t="n">
        <v>0</v>
      </c>
      <c r="J976" t="n">
        <v>0</v>
      </c>
      <c r="K976" t="n">
        <v>0</v>
      </c>
      <c r="L976" t="n">
        <v>0</v>
      </c>
      <c r="M976" t="n">
        <v>0</v>
      </c>
      <c r="N976" t="n">
        <v>0</v>
      </c>
      <c r="O976" t="n">
        <v>0</v>
      </c>
      <c r="P976" t="n">
        <v>0</v>
      </c>
      <c r="Q976" t="n">
        <v>0</v>
      </c>
      <c r="R976" s="2" t="inlineStr"/>
    </row>
    <row r="977" ht="15" customHeight="1">
      <c r="A977" t="inlineStr">
        <is>
          <t>A 43531-2023</t>
        </is>
      </c>
      <c r="B977" s="1" t="n">
        <v>45184.52731481481</v>
      </c>
      <c r="C977" s="1" t="n">
        <v>46048</v>
      </c>
      <c r="D977" t="inlineStr">
        <is>
          <t>VÄSTERNORRLANDS LÄN</t>
        </is>
      </c>
      <c r="E977" t="inlineStr">
        <is>
          <t>SOLLEFTEÅ</t>
        </is>
      </c>
      <c r="F977" t="inlineStr">
        <is>
          <t>Holmen skog AB</t>
        </is>
      </c>
      <c r="G977" t="n">
        <v>2.6</v>
      </c>
      <c r="H977" t="n">
        <v>0</v>
      </c>
      <c r="I977" t="n">
        <v>0</v>
      </c>
      <c r="J977" t="n">
        <v>0</v>
      </c>
      <c r="K977" t="n">
        <v>0</v>
      </c>
      <c r="L977" t="n">
        <v>0</v>
      </c>
      <c r="M977" t="n">
        <v>0</v>
      </c>
      <c r="N977" t="n">
        <v>0</v>
      </c>
      <c r="O977" t="n">
        <v>0</v>
      </c>
      <c r="P977" t="n">
        <v>0</v>
      </c>
      <c r="Q977" t="n">
        <v>0</v>
      </c>
      <c r="R977" s="2" t="inlineStr"/>
    </row>
    <row r="978" ht="15" customHeight="1">
      <c r="A978" t="inlineStr">
        <is>
          <t>A 1268-2024</t>
        </is>
      </c>
      <c r="B978" s="1" t="n">
        <v>45302</v>
      </c>
      <c r="C978" s="1" t="n">
        <v>46048</v>
      </c>
      <c r="D978" t="inlineStr">
        <is>
          <t>VÄSTERNORRLANDS LÄN</t>
        </is>
      </c>
      <c r="E978" t="inlineStr">
        <is>
          <t>SOLLEFTEÅ</t>
        </is>
      </c>
      <c r="G978" t="n">
        <v>3.3</v>
      </c>
      <c r="H978" t="n">
        <v>0</v>
      </c>
      <c r="I978" t="n">
        <v>0</v>
      </c>
      <c r="J978" t="n">
        <v>0</v>
      </c>
      <c r="K978" t="n">
        <v>0</v>
      </c>
      <c r="L978" t="n">
        <v>0</v>
      </c>
      <c r="M978" t="n">
        <v>0</v>
      </c>
      <c r="N978" t="n">
        <v>0</v>
      </c>
      <c r="O978" t="n">
        <v>0</v>
      </c>
      <c r="P978" t="n">
        <v>0</v>
      </c>
      <c r="Q978" t="n">
        <v>0</v>
      </c>
      <c r="R978" s="2" t="inlineStr"/>
    </row>
    <row r="979" ht="15" customHeight="1">
      <c r="A979" t="inlineStr">
        <is>
          <t>A 34983-2023</t>
        </is>
      </c>
      <c r="B979" s="1" t="n">
        <v>45141</v>
      </c>
      <c r="C979" s="1" t="n">
        <v>46048</v>
      </c>
      <c r="D979" t="inlineStr">
        <is>
          <t>VÄSTERNORRLANDS LÄN</t>
        </is>
      </c>
      <c r="E979" t="inlineStr">
        <is>
          <t>SOLLEFTEÅ</t>
        </is>
      </c>
      <c r="F979" t="inlineStr">
        <is>
          <t>SCA</t>
        </is>
      </c>
      <c r="G979" t="n">
        <v>1.6</v>
      </c>
      <c r="H979" t="n">
        <v>0</v>
      </c>
      <c r="I979" t="n">
        <v>0</v>
      </c>
      <c r="J979" t="n">
        <v>0</v>
      </c>
      <c r="K979" t="n">
        <v>0</v>
      </c>
      <c r="L979" t="n">
        <v>0</v>
      </c>
      <c r="M979" t="n">
        <v>0</v>
      </c>
      <c r="N979" t="n">
        <v>0</v>
      </c>
      <c r="O979" t="n">
        <v>0</v>
      </c>
      <c r="P979" t="n">
        <v>0</v>
      </c>
      <c r="Q979" t="n">
        <v>0</v>
      </c>
      <c r="R979" s="2" t="inlineStr"/>
    </row>
    <row r="980" ht="15" customHeight="1">
      <c r="A980" t="inlineStr">
        <is>
          <t>A 44554-2024</t>
        </is>
      </c>
      <c r="B980" s="1" t="n">
        <v>45574.46940972222</v>
      </c>
      <c r="C980" s="1" t="n">
        <v>46048</v>
      </c>
      <c r="D980" t="inlineStr">
        <is>
          <t>VÄSTERNORRLANDS LÄN</t>
        </is>
      </c>
      <c r="E980" t="inlineStr">
        <is>
          <t>SOLLEFTEÅ</t>
        </is>
      </c>
      <c r="F980" t="inlineStr">
        <is>
          <t>SCA</t>
        </is>
      </c>
      <c r="G980" t="n">
        <v>5.9</v>
      </c>
      <c r="H980" t="n">
        <v>0</v>
      </c>
      <c r="I980" t="n">
        <v>0</v>
      </c>
      <c r="J980" t="n">
        <v>0</v>
      </c>
      <c r="K980" t="n">
        <v>0</v>
      </c>
      <c r="L980" t="n">
        <v>0</v>
      </c>
      <c r="M980" t="n">
        <v>0</v>
      </c>
      <c r="N980" t="n">
        <v>0</v>
      </c>
      <c r="O980" t="n">
        <v>0</v>
      </c>
      <c r="P980" t="n">
        <v>0</v>
      </c>
      <c r="Q980" t="n">
        <v>0</v>
      </c>
      <c r="R980" s="2" t="inlineStr"/>
    </row>
    <row r="981" ht="15" customHeight="1">
      <c r="A981" t="inlineStr">
        <is>
          <t>A 15809-2022</t>
        </is>
      </c>
      <c r="B981" s="1" t="n">
        <v>44663</v>
      </c>
      <c r="C981" s="1" t="n">
        <v>46048</v>
      </c>
      <c r="D981" t="inlineStr">
        <is>
          <t>VÄSTERNORRLANDS LÄN</t>
        </is>
      </c>
      <c r="E981" t="inlineStr">
        <is>
          <t>SOLLEFTEÅ</t>
        </is>
      </c>
      <c r="F981" t="inlineStr">
        <is>
          <t>SCA</t>
        </is>
      </c>
      <c r="G981" t="n">
        <v>16.3</v>
      </c>
      <c r="H981" t="n">
        <v>0</v>
      </c>
      <c r="I981" t="n">
        <v>0</v>
      </c>
      <c r="J981" t="n">
        <v>0</v>
      </c>
      <c r="K981" t="n">
        <v>0</v>
      </c>
      <c r="L981" t="n">
        <v>0</v>
      </c>
      <c r="M981" t="n">
        <v>0</v>
      </c>
      <c r="N981" t="n">
        <v>0</v>
      </c>
      <c r="O981" t="n">
        <v>0</v>
      </c>
      <c r="P981" t="n">
        <v>0</v>
      </c>
      <c r="Q981" t="n">
        <v>0</v>
      </c>
      <c r="R981" s="2" t="inlineStr"/>
    </row>
    <row r="982" ht="15" customHeight="1">
      <c r="A982" t="inlineStr">
        <is>
          <t>A 37648-2021</t>
        </is>
      </c>
      <c r="B982" s="1" t="n">
        <v>44400</v>
      </c>
      <c r="C982" s="1" t="n">
        <v>46048</v>
      </c>
      <c r="D982" t="inlineStr">
        <is>
          <t>VÄSTERNORRLANDS LÄN</t>
        </is>
      </c>
      <c r="E982" t="inlineStr">
        <is>
          <t>SOLLEFTEÅ</t>
        </is>
      </c>
      <c r="G982" t="n">
        <v>33.6</v>
      </c>
      <c r="H982" t="n">
        <v>0</v>
      </c>
      <c r="I982" t="n">
        <v>0</v>
      </c>
      <c r="J982" t="n">
        <v>0</v>
      </c>
      <c r="K982" t="n">
        <v>0</v>
      </c>
      <c r="L982" t="n">
        <v>0</v>
      </c>
      <c r="M982" t="n">
        <v>0</v>
      </c>
      <c r="N982" t="n">
        <v>0</v>
      </c>
      <c r="O982" t="n">
        <v>0</v>
      </c>
      <c r="P982" t="n">
        <v>0</v>
      </c>
      <c r="Q982" t="n">
        <v>0</v>
      </c>
      <c r="R982" s="2" t="inlineStr"/>
    </row>
    <row r="983" ht="15" customHeight="1">
      <c r="A983" t="inlineStr">
        <is>
          <t>A 48490-2024</t>
        </is>
      </c>
      <c r="B983" s="1" t="n">
        <v>45592</v>
      </c>
      <c r="C983" s="1" t="n">
        <v>46048</v>
      </c>
      <c r="D983" t="inlineStr">
        <is>
          <t>VÄSTERNORRLANDS LÄN</t>
        </is>
      </c>
      <c r="E983" t="inlineStr">
        <is>
          <t>SOLLEFTEÅ</t>
        </is>
      </c>
      <c r="F983" t="inlineStr">
        <is>
          <t>SCA</t>
        </is>
      </c>
      <c r="G983" t="n">
        <v>2.6</v>
      </c>
      <c r="H983" t="n">
        <v>0</v>
      </c>
      <c r="I983" t="n">
        <v>0</v>
      </c>
      <c r="J983" t="n">
        <v>0</v>
      </c>
      <c r="K983" t="n">
        <v>0</v>
      </c>
      <c r="L983" t="n">
        <v>0</v>
      </c>
      <c r="M983" t="n">
        <v>0</v>
      </c>
      <c r="N983" t="n">
        <v>0</v>
      </c>
      <c r="O983" t="n">
        <v>0</v>
      </c>
      <c r="P983" t="n">
        <v>0</v>
      </c>
      <c r="Q983" t="n">
        <v>0</v>
      </c>
      <c r="R983" s="2" t="inlineStr"/>
    </row>
    <row r="984" ht="15" customHeight="1">
      <c r="A984" t="inlineStr">
        <is>
          <t>A 48491-2024</t>
        </is>
      </c>
      <c r="B984" s="1" t="n">
        <v>45592</v>
      </c>
      <c r="C984" s="1" t="n">
        <v>46048</v>
      </c>
      <c r="D984" t="inlineStr">
        <is>
          <t>VÄSTERNORRLANDS LÄN</t>
        </is>
      </c>
      <c r="E984" t="inlineStr">
        <is>
          <t>SOLLEFTEÅ</t>
        </is>
      </c>
      <c r="F984" t="inlineStr">
        <is>
          <t>SCA</t>
        </is>
      </c>
      <c r="G984" t="n">
        <v>1.9</v>
      </c>
      <c r="H984" t="n">
        <v>0</v>
      </c>
      <c r="I984" t="n">
        <v>0</v>
      </c>
      <c r="J984" t="n">
        <v>0</v>
      </c>
      <c r="K984" t="n">
        <v>0</v>
      </c>
      <c r="L984" t="n">
        <v>0</v>
      </c>
      <c r="M984" t="n">
        <v>0</v>
      </c>
      <c r="N984" t="n">
        <v>0</v>
      </c>
      <c r="O984" t="n">
        <v>0</v>
      </c>
      <c r="P984" t="n">
        <v>0</v>
      </c>
      <c r="Q984" t="n">
        <v>0</v>
      </c>
      <c r="R984" s="2" t="inlineStr"/>
    </row>
    <row r="985" ht="15" customHeight="1">
      <c r="A985" t="inlineStr">
        <is>
          <t>A 23997-2025</t>
        </is>
      </c>
      <c r="B985" s="1" t="n">
        <v>45796.42061342593</v>
      </c>
      <c r="C985" s="1" t="n">
        <v>46048</v>
      </c>
      <c r="D985" t="inlineStr">
        <is>
          <t>VÄSTERNORRLANDS LÄN</t>
        </is>
      </c>
      <c r="E985" t="inlineStr">
        <is>
          <t>SOLLEFTEÅ</t>
        </is>
      </c>
      <c r="G985" t="n">
        <v>1.3</v>
      </c>
      <c r="H985" t="n">
        <v>0</v>
      </c>
      <c r="I985" t="n">
        <v>0</v>
      </c>
      <c r="J985" t="n">
        <v>0</v>
      </c>
      <c r="K985" t="n">
        <v>0</v>
      </c>
      <c r="L985" t="n">
        <v>0</v>
      </c>
      <c r="M985" t="n">
        <v>0</v>
      </c>
      <c r="N985" t="n">
        <v>0</v>
      </c>
      <c r="O985" t="n">
        <v>0</v>
      </c>
      <c r="P985" t="n">
        <v>0</v>
      </c>
      <c r="Q985" t="n">
        <v>0</v>
      </c>
      <c r="R985" s="2" t="inlineStr"/>
    </row>
    <row r="986" ht="15" customHeight="1">
      <c r="A986" t="inlineStr">
        <is>
          <t>A 16562-2023</t>
        </is>
      </c>
      <c r="B986" s="1" t="n">
        <v>45029</v>
      </c>
      <c r="C986" s="1" t="n">
        <v>46048</v>
      </c>
      <c r="D986" t="inlineStr">
        <is>
          <t>VÄSTERNORRLANDS LÄN</t>
        </is>
      </c>
      <c r="E986" t="inlineStr">
        <is>
          <t>SOLLEFTEÅ</t>
        </is>
      </c>
      <c r="F986" t="inlineStr">
        <is>
          <t>SCA</t>
        </is>
      </c>
      <c r="G986" t="n">
        <v>7.9</v>
      </c>
      <c r="H986" t="n">
        <v>0</v>
      </c>
      <c r="I986" t="n">
        <v>0</v>
      </c>
      <c r="J986" t="n">
        <v>0</v>
      </c>
      <c r="K986" t="n">
        <v>0</v>
      </c>
      <c r="L986" t="n">
        <v>0</v>
      </c>
      <c r="M986" t="n">
        <v>0</v>
      </c>
      <c r="N986" t="n">
        <v>0</v>
      </c>
      <c r="O986" t="n">
        <v>0</v>
      </c>
      <c r="P986" t="n">
        <v>0</v>
      </c>
      <c r="Q986" t="n">
        <v>0</v>
      </c>
      <c r="R986" s="2" t="inlineStr"/>
    </row>
    <row r="987" ht="15" customHeight="1">
      <c r="A987" t="inlineStr">
        <is>
          <t>A 10549-2023</t>
        </is>
      </c>
      <c r="B987" s="1" t="n">
        <v>44987</v>
      </c>
      <c r="C987" s="1" t="n">
        <v>46048</v>
      </c>
      <c r="D987" t="inlineStr">
        <is>
          <t>VÄSTERNORRLANDS LÄN</t>
        </is>
      </c>
      <c r="E987" t="inlineStr">
        <is>
          <t>SOLLEFTEÅ</t>
        </is>
      </c>
      <c r="F987" t="inlineStr">
        <is>
          <t>SCA</t>
        </is>
      </c>
      <c r="G987" t="n">
        <v>1.7</v>
      </c>
      <c r="H987" t="n">
        <v>0</v>
      </c>
      <c r="I987" t="n">
        <v>0</v>
      </c>
      <c r="J987" t="n">
        <v>0</v>
      </c>
      <c r="K987" t="n">
        <v>0</v>
      </c>
      <c r="L987" t="n">
        <v>0</v>
      </c>
      <c r="M987" t="n">
        <v>0</v>
      </c>
      <c r="N987" t="n">
        <v>0</v>
      </c>
      <c r="O987" t="n">
        <v>0</v>
      </c>
      <c r="P987" t="n">
        <v>0</v>
      </c>
      <c r="Q987" t="n">
        <v>0</v>
      </c>
      <c r="R987" s="2" t="inlineStr"/>
    </row>
    <row r="988" ht="15" customHeight="1">
      <c r="A988" t="inlineStr">
        <is>
          <t>A 64617-2023</t>
        </is>
      </c>
      <c r="B988" s="1" t="n">
        <v>45281</v>
      </c>
      <c r="C988" s="1" t="n">
        <v>46048</v>
      </c>
      <c r="D988" t="inlineStr">
        <is>
          <t>VÄSTERNORRLANDS LÄN</t>
        </is>
      </c>
      <c r="E988" t="inlineStr">
        <is>
          <t>SOLLEFTEÅ</t>
        </is>
      </c>
      <c r="G988" t="n">
        <v>2</v>
      </c>
      <c r="H988" t="n">
        <v>0</v>
      </c>
      <c r="I988" t="n">
        <v>0</v>
      </c>
      <c r="J988" t="n">
        <v>0</v>
      </c>
      <c r="K988" t="n">
        <v>0</v>
      </c>
      <c r="L988" t="n">
        <v>0</v>
      </c>
      <c r="M988" t="n">
        <v>0</v>
      </c>
      <c r="N988" t="n">
        <v>0</v>
      </c>
      <c r="O988" t="n">
        <v>0</v>
      </c>
      <c r="P988" t="n">
        <v>0</v>
      </c>
      <c r="Q988" t="n">
        <v>0</v>
      </c>
      <c r="R988" s="2" t="inlineStr"/>
    </row>
    <row r="989" ht="15" customHeight="1">
      <c r="A989" t="inlineStr">
        <is>
          <t>A 24393-2025</t>
        </is>
      </c>
      <c r="B989" s="1" t="n">
        <v>45797.63653935185</v>
      </c>
      <c r="C989" s="1" t="n">
        <v>46048</v>
      </c>
      <c r="D989" t="inlineStr">
        <is>
          <t>VÄSTERNORRLANDS LÄN</t>
        </is>
      </c>
      <c r="E989" t="inlineStr">
        <is>
          <t>SOLLEFTEÅ</t>
        </is>
      </c>
      <c r="F989" t="inlineStr">
        <is>
          <t>SCA</t>
        </is>
      </c>
      <c r="G989" t="n">
        <v>3.3</v>
      </c>
      <c r="H989" t="n">
        <v>0</v>
      </c>
      <c r="I989" t="n">
        <v>0</v>
      </c>
      <c r="J989" t="n">
        <v>0</v>
      </c>
      <c r="K989" t="n">
        <v>0</v>
      </c>
      <c r="L989" t="n">
        <v>0</v>
      </c>
      <c r="M989" t="n">
        <v>0</v>
      </c>
      <c r="N989" t="n">
        <v>0</v>
      </c>
      <c r="O989" t="n">
        <v>0</v>
      </c>
      <c r="P989" t="n">
        <v>0</v>
      </c>
      <c r="Q989" t="n">
        <v>0</v>
      </c>
      <c r="R989" s="2" t="inlineStr"/>
    </row>
    <row r="990" ht="15" customHeight="1">
      <c r="A990" t="inlineStr">
        <is>
          <t>A 50844-2023</t>
        </is>
      </c>
      <c r="B990" s="1" t="n">
        <v>45217</v>
      </c>
      <c r="C990" s="1" t="n">
        <v>46048</v>
      </c>
      <c r="D990" t="inlineStr">
        <is>
          <t>VÄSTERNORRLANDS LÄN</t>
        </is>
      </c>
      <c r="E990" t="inlineStr">
        <is>
          <t>SOLLEFTEÅ</t>
        </is>
      </c>
      <c r="F990" t="inlineStr">
        <is>
          <t>SCA</t>
        </is>
      </c>
      <c r="G990" t="n">
        <v>1.1</v>
      </c>
      <c r="H990" t="n">
        <v>0</v>
      </c>
      <c r="I990" t="n">
        <v>0</v>
      </c>
      <c r="J990" t="n">
        <v>0</v>
      </c>
      <c r="K990" t="n">
        <v>0</v>
      </c>
      <c r="L990" t="n">
        <v>0</v>
      </c>
      <c r="M990" t="n">
        <v>0</v>
      </c>
      <c r="N990" t="n">
        <v>0</v>
      </c>
      <c r="O990" t="n">
        <v>0</v>
      </c>
      <c r="P990" t="n">
        <v>0</v>
      </c>
      <c r="Q990" t="n">
        <v>0</v>
      </c>
      <c r="R990" s="2" t="inlineStr"/>
    </row>
    <row r="991" ht="15" customHeight="1">
      <c r="A991" t="inlineStr">
        <is>
          <t>A 8729-2024</t>
        </is>
      </c>
      <c r="B991" s="1" t="n">
        <v>45356.43958333333</v>
      </c>
      <c r="C991" s="1" t="n">
        <v>46048</v>
      </c>
      <c r="D991" t="inlineStr">
        <is>
          <t>VÄSTERNORRLANDS LÄN</t>
        </is>
      </c>
      <c r="E991" t="inlineStr">
        <is>
          <t>SOLLEFTEÅ</t>
        </is>
      </c>
      <c r="G991" t="n">
        <v>2.1</v>
      </c>
      <c r="H991" t="n">
        <v>0</v>
      </c>
      <c r="I991" t="n">
        <v>0</v>
      </c>
      <c r="J991" t="n">
        <v>0</v>
      </c>
      <c r="K991" t="n">
        <v>0</v>
      </c>
      <c r="L991" t="n">
        <v>0</v>
      </c>
      <c r="M991" t="n">
        <v>0</v>
      </c>
      <c r="N991" t="n">
        <v>0</v>
      </c>
      <c r="O991" t="n">
        <v>0</v>
      </c>
      <c r="P991" t="n">
        <v>0</v>
      </c>
      <c r="Q991" t="n">
        <v>0</v>
      </c>
      <c r="R991" s="2" t="inlineStr"/>
    </row>
    <row r="992" ht="15" customHeight="1">
      <c r="A992" t="inlineStr">
        <is>
          <t>A 8099-2025</t>
        </is>
      </c>
      <c r="B992" s="1" t="n">
        <v>45707.69086805556</v>
      </c>
      <c r="C992" s="1" t="n">
        <v>46048</v>
      </c>
      <c r="D992" t="inlineStr">
        <is>
          <t>VÄSTERNORRLANDS LÄN</t>
        </is>
      </c>
      <c r="E992" t="inlineStr">
        <is>
          <t>SOLLEFTEÅ</t>
        </is>
      </c>
      <c r="G992" t="n">
        <v>0.5</v>
      </c>
      <c r="H992" t="n">
        <v>0</v>
      </c>
      <c r="I992" t="n">
        <v>0</v>
      </c>
      <c r="J992" t="n">
        <v>0</v>
      </c>
      <c r="K992" t="n">
        <v>0</v>
      </c>
      <c r="L992" t="n">
        <v>0</v>
      </c>
      <c r="M992" t="n">
        <v>0</v>
      </c>
      <c r="N992" t="n">
        <v>0</v>
      </c>
      <c r="O992" t="n">
        <v>0</v>
      </c>
      <c r="P992" t="n">
        <v>0</v>
      </c>
      <c r="Q992" t="n">
        <v>0</v>
      </c>
      <c r="R992" s="2" t="inlineStr"/>
    </row>
    <row r="993" ht="15" customHeight="1">
      <c r="A993" t="inlineStr">
        <is>
          <t>A 28290-2024</t>
        </is>
      </c>
      <c r="B993" s="1" t="n">
        <v>45477.46743055555</v>
      </c>
      <c r="C993" s="1" t="n">
        <v>46048</v>
      </c>
      <c r="D993" t="inlineStr">
        <is>
          <t>VÄSTERNORRLANDS LÄN</t>
        </is>
      </c>
      <c r="E993" t="inlineStr">
        <is>
          <t>SOLLEFTEÅ</t>
        </is>
      </c>
      <c r="F993" t="inlineStr">
        <is>
          <t>Holmen skog AB</t>
        </is>
      </c>
      <c r="G993" t="n">
        <v>1.3</v>
      </c>
      <c r="H993" t="n">
        <v>0</v>
      </c>
      <c r="I993" t="n">
        <v>0</v>
      </c>
      <c r="J993" t="n">
        <v>0</v>
      </c>
      <c r="K993" t="n">
        <v>0</v>
      </c>
      <c r="L993" t="n">
        <v>0</v>
      </c>
      <c r="M993" t="n">
        <v>0</v>
      </c>
      <c r="N993" t="n">
        <v>0</v>
      </c>
      <c r="O993" t="n">
        <v>0</v>
      </c>
      <c r="P993" t="n">
        <v>0</v>
      </c>
      <c r="Q993" t="n">
        <v>0</v>
      </c>
      <c r="R993" s="2" t="inlineStr"/>
    </row>
    <row r="994" ht="15" customHeight="1">
      <c r="A994" t="inlineStr">
        <is>
          <t>A 62098-2023</t>
        </is>
      </c>
      <c r="B994" s="1" t="n">
        <v>45266</v>
      </c>
      <c r="C994" s="1" t="n">
        <v>46048</v>
      </c>
      <c r="D994" t="inlineStr">
        <is>
          <t>VÄSTERNORRLANDS LÄN</t>
        </is>
      </c>
      <c r="E994" t="inlineStr">
        <is>
          <t>SOLLEFTEÅ</t>
        </is>
      </c>
      <c r="G994" t="n">
        <v>1.3</v>
      </c>
      <c r="H994" t="n">
        <v>0</v>
      </c>
      <c r="I994" t="n">
        <v>0</v>
      </c>
      <c r="J994" t="n">
        <v>0</v>
      </c>
      <c r="K994" t="n">
        <v>0</v>
      </c>
      <c r="L994" t="n">
        <v>0</v>
      </c>
      <c r="M994" t="n">
        <v>0</v>
      </c>
      <c r="N994" t="n">
        <v>0</v>
      </c>
      <c r="O994" t="n">
        <v>0</v>
      </c>
      <c r="P994" t="n">
        <v>0</v>
      </c>
      <c r="Q994" t="n">
        <v>0</v>
      </c>
      <c r="R994" s="2" t="inlineStr"/>
    </row>
    <row r="995" ht="15" customHeight="1">
      <c r="A995" t="inlineStr">
        <is>
          <t>A 34560-2024</t>
        </is>
      </c>
      <c r="B995" s="1" t="n">
        <v>45526.31116898148</v>
      </c>
      <c r="C995" s="1" t="n">
        <v>46048</v>
      </c>
      <c r="D995" t="inlineStr">
        <is>
          <t>VÄSTERNORRLANDS LÄN</t>
        </is>
      </c>
      <c r="E995" t="inlineStr">
        <is>
          <t>SOLLEFTEÅ</t>
        </is>
      </c>
      <c r="G995" t="n">
        <v>1.6</v>
      </c>
      <c r="H995" t="n">
        <v>0</v>
      </c>
      <c r="I995" t="n">
        <v>0</v>
      </c>
      <c r="J995" t="n">
        <v>0</v>
      </c>
      <c r="K995" t="n">
        <v>0</v>
      </c>
      <c r="L995" t="n">
        <v>0</v>
      </c>
      <c r="M995" t="n">
        <v>0</v>
      </c>
      <c r="N995" t="n">
        <v>0</v>
      </c>
      <c r="O995" t="n">
        <v>0</v>
      </c>
      <c r="P995" t="n">
        <v>0</v>
      </c>
      <c r="Q995" t="n">
        <v>0</v>
      </c>
      <c r="R995" s="2" t="inlineStr"/>
    </row>
    <row r="996" ht="15" customHeight="1">
      <c r="A996" t="inlineStr">
        <is>
          <t>A 60420-2022</t>
        </is>
      </c>
      <c r="B996" s="1" t="n">
        <v>44910</v>
      </c>
      <c r="C996" s="1" t="n">
        <v>46048</v>
      </c>
      <c r="D996" t="inlineStr">
        <is>
          <t>VÄSTERNORRLANDS LÄN</t>
        </is>
      </c>
      <c r="E996" t="inlineStr">
        <is>
          <t>SOLLEFTEÅ</t>
        </is>
      </c>
      <c r="F996" t="inlineStr">
        <is>
          <t>SCA</t>
        </is>
      </c>
      <c r="G996" t="n">
        <v>1.2</v>
      </c>
      <c r="H996" t="n">
        <v>0</v>
      </c>
      <c r="I996" t="n">
        <v>0</v>
      </c>
      <c r="J996" t="n">
        <v>0</v>
      </c>
      <c r="K996" t="n">
        <v>0</v>
      </c>
      <c r="L996" t="n">
        <v>0</v>
      </c>
      <c r="M996" t="n">
        <v>0</v>
      </c>
      <c r="N996" t="n">
        <v>0</v>
      </c>
      <c r="O996" t="n">
        <v>0</v>
      </c>
      <c r="P996" t="n">
        <v>0</v>
      </c>
      <c r="Q996" t="n">
        <v>0</v>
      </c>
      <c r="R996" s="2" t="inlineStr"/>
    </row>
    <row r="997" ht="15" customHeight="1">
      <c r="A997" t="inlineStr">
        <is>
          <t>A 36685-2024</t>
        </is>
      </c>
      <c r="B997" s="1" t="n">
        <v>45537.66467592592</v>
      </c>
      <c r="C997" s="1" t="n">
        <v>46048</v>
      </c>
      <c r="D997" t="inlineStr">
        <is>
          <t>VÄSTERNORRLANDS LÄN</t>
        </is>
      </c>
      <c r="E997" t="inlineStr">
        <is>
          <t>SOLLEFTEÅ</t>
        </is>
      </c>
      <c r="F997" t="inlineStr">
        <is>
          <t>Holmen skog AB</t>
        </is>
      </c>
      <c r="G997" t="n">
        <v>1</v>
      </c>
      <c r="H997" t="n">
        <v>0</v>
      </c>
      <c r="I997" t="n">
        <v>0</v>
      </c>
      <c r="J997" t="n">
        <v>0</v>
      </c>
      <c r="K997" t="n">
        <v>0</v>
      </c>
      <c r="L997" t="n">
        <v>0</v>
      </c>
      <c r="M997" t="n">
        <v>0</v>
      </c>
      <c r="N997" t="n">
        <v>0</v>
      </c>
      <c r="O997" t="n">
        <v>0</v>
      </c>
      <c r="P997" t="n">
        <v>0</v>
      </c>
      <c r="Q997" t="n">
        <v>0</v>
      </c>
      <c r="R997" s="2" t="inlineStr"/>
    </row>
    <row r="998" ht="15" customHeight="1">
      <c r="A998" t="inlineStr">
        <is>
          <t>A 33110-2024</t>
        </is>
      </c>
      <c r="B998" s="1" t="n">
        <v>45517</v>
      </c>
      <c r="C998" s="1" t="n">
        <v>46048</v>
      </c>
      <c r="D998" t="inlineStr">
        <is>
          <t>VÄSTERNORRLANDS LÄN</t>
        </is>
      </c>
      <c r="E998" t="inlineStr">
        <is>
          <t>SOLLEFTEÅ</t>
        </is>
      </c>
      <c r="G998" t="n">
        <v>1.5</v>
      </c>
      <c r="H998" t="n">
        <v>0</v>
      </c>
      <c r="I998" t="n">
        <v>0</v>
      </c>
      <c r="J998" t="n">
        <v>0</v>
      </c>
      <c r="K998" t="n">
        <v>0</v>
      </c>
      <c r="L998" t="n">
        <v>0</v>
      </c>
      <c r="M998" t="n">
        <v>0</v>
      </c>
      <c r="N998" t="n">
        <v>0</v>
      </c>
      <c r="O998" t="n">
        <v>0</v>
      </c>
      <c r="P998" t="n">
        <v>0</v>
      </c>
      <c r="Q998" t="n">
        <v>0</v>
      </c>
      <c r="R998" s="2" t="inlineStr"/>
    </row>
    <row r="999" ht="15" customHeight="1">
      <c r="A999" t="inlineStr">
        <is>
          <t>A 41787-2024</t>
        </is>
      </c>
      <c r="B999" s="1" t="n">
        <v>45561.34986111111</v>
      </c>
      <c r="C999" s="1" t="n">
        <v>46048</v>
      </c>
      <c r="D999" t="inlineStr">
        <is>
          <t>VÄSTERNORRLANDS LÄN</t>
        </is>
      </c>
      <c r="E999" t="inlineStr">
        <is>
          <t>SOLLEFTEÅ</t>
        </is>
      </c>
      <c r="F999" t="inlineStr">
        <is>
          <t>SCA</t>
        </is>
      </c>
      <c r="G999" t="n">
        <v>3.9</v>
      </c>
      <c r="H999" t="n">
        <v>0</v>
      </c>
      <c r="I999" t="n">
        <v>0</v>
      </c>
      <c r="J999" t="n">
        <v>0</v>
      </c>
      <c r="K999" t="n">
        <v>0</v>
      </c>
      <c r="L999" t="n">
        <v>0</v>
      </c>
      <c r="M999" t="n">
        <v>0</v>
      </c>
      <c r="N999" t="n">
        <v>0</v>
      </c>
      <c r="O999" t="n">
        <v>0</v>
      </c>
      <c r="P999" t="n">
        <v>0</v>
      </c>
      <c r="Q999" t="n">
        <v>0</v>
      </c>
      <c r="R999" s="2" t="inlineStr"/>
    </row>
    <row r="1000" ht="15" customHeight="1">
      <c r="A1000" t="inlineStr">
        <is>
          <t>A 27641-2024</t>
        </is>
      </c>
      <c r="B1000" s="1" t="n">
        <v>45474.94694444445</v>
      </c>
      <c r="C1000" s="1" t="n">
        <v>46048</v>
      </c>
      <c r="D1000" t="inlineStr">
        <is>
          <t>VÄSTERNORRLANDS LÄN</t>
        </is>
      </c>
      <c r="E1000" t="inlineStr">
        <is>
          <t>SOLLEFTEÅ</t>
        </is>
      </c>
      <c r="F1000" t="inlineStr">
        <is>
          <t>SCA</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14712-2025</t>
        </is>
      </c>
      <c r="B1001" s="1" t="n">
        <v>45742.61008101852</v>
      </c>
      <c r="C1001" s="1" t="n">
        <v>46048</v>
      </c>
      <c r="D1001" t="inlineStr">
        <is>
          <t>VÄSTERNORRLANDS LÄN</t>
        </is>
      </c>
      <c r="E1001" t="inlineStr">
        <is>
          <t>SOLLEFTEÅ</t>
        </is>
      </c>
      <c r="G1001" t="n">
        <v>4.5</v>
      </c>
      <c r="H1001" t="n">
        <v>0</v>
      </c>
      <c r="I1001" t="n">
        <v>0</v>
      </c>
      <c r="J1001" t="n">
        <v>0</v>
      </c>
      <c r="K1001" t="n">
        <v>0</v>
      </c>
      <c r="L1001" t="n">
        <v>0</v>
      </c>
      <c r="M1001" t="n">
        <v>0</v>
      </c>
      <c r="N1001" t="n">
        <v>0</v>
      </c>
      <c r="O1001" t="n">
        <v>0</v>
      </c>
      <c r="P1001" t="n">
        <v>0</v>
      </c>
      <c r="Q1001" t="n">
        <v>0</v>
      </c>
      <c r="R1001" s="2" t="inlineStr"/>
    </row>
    <row r="1002" ht="15" customHeight="1">
      <c r="A1002" t="inlineStr">
        <is>
          <t>A 9689-2024</t>
        </is>
      </c>
      <c r="B1002" s="1" t="n">
        <v>45362</v>
      </c>
      <c r="C1002" s="1" t="n">
        <v>46048</v>
      </c>
      <c r="D1002" t="inlineStr">
        <is>
          <t>VÄSTERNORRLANDS LÄN</t>
        </is>
      </c>
      <c r="E1002" t="inlineStr">
        <is>
          <t>SOLLEFTEÅ</t>
        </is>
      </c>
      <c r="G1002" t="n">
        <v>4.5</v>
      </c>
      <c r="H1002" t="n">
        <v>0</v>
      </c>
      <c r="I1002" t="n">
        <v>0</v>
      </c>
      <c r="J1002" t="n">
        <v>0</v>
      </c>
      <c r="K1002" t="n">
        <v>0</v>
      </c>
      <c r="L1002" t="n">
        <v>0</v>
      </c>
      <c r="M1002" t="n">
        <v>0</v>
      </c>
      <c r="N1002" t="n">
        <v>0</v>
      </c>
      <c r="O1002" t="n">
        <v>0</v>
      </c>
      <c r="P1002" t="n">
        <v>0</v>
      </c>
      <c r="Q1002" t="n">
        <v>0</v>
      </c>
      <c r="R1002" s="2" t="inlineStr"/>
    </row>
    <row r="1003" ht="15" customHeight="1">
      <c r="A1003" t="inlineStr">
        <is>
          <t>A 37201-2024</t>
        </is>
      </c>
      <c r="B1003" s="1" t="n">
        <v>45539</v>
      </c>
      <c r="C1003" s="1" t="n">
        <v>46048</v>
      </c>
      <c r="D1003" t="inlineStr">
        <is>
          <t>VÄSTERNORRLANDS LÄN</t>
        </is>
      </c>
      <c r="E1003" t="inlineStr">
        <is>
          <t>SOLLEFTEÅ</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60177-2024</t>
        </is>
      </c>
      <c r="B1004" s="1" t="n">
        <v>45642.63850694444</v>
      </c>
      <c r="C1004" s="1" t="n">
        <v>46048</v>
      </c>
      <c r="D1004" t="inlineStr">
        <is>
          <t>VÄSTERNORRLANDS LÄN</t>
        </is>
      </c>
      <c r="E1004" t="inlineStr">
        <is>
          <t>SOLLEFTEÅ</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2481-2025</t>
        </is>
      </c>
      <c r="B1005" s="1" t="n">
        <v>45674.48996527777</v>
      </c>
      <c r="C1005" s="1" t="n">
        <v>46048</v>
      </c>
      <c r="D1005" t="inlineStr">
        <is>
          <t>VÄSTERNORRLANDS LÄN</t>
        </is>
      </c>
      <c r="E1005" t="inlineStr">
        <is>
          <t>SOLLEFTEÅ</t>
        </is>
      </c>
      <c r="F1005" t="inlineStr">
        <is>
          <t>SCA</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23889-2025</t>
        </is>
      </c>
      <c r="B1006" s="1" t="n">
        <v>45793.79209490741</v>
      </c>
      <c r="C1006" s="1" t="n">
        <v>46048</v>
      </c>
      <c r="D1006" t="inlineStr">
        <is>
          <t>VÄSTERNORRLANDS LÄN</t>
        </is>
      </c>
      <c r="E1006" t="inlineStr">
        <is>
          <t>SOLLEFTEÅ</t>
        </is>
      </c>
      <c r="G1006" t="n">
        <v>6.3</v>
      </c>
      <c r="H1006" t="n">
        <v>0</v>
      </c>
      <c r="I1006" t="n">
        <v>0</v>
      </c>
      <c r="J1006" t="n">
        <v>0</v>
      </c>
      <c r="K1006" t="n">
        <v>0</v>
      </c>
      <c r="L1006" t="n">
        <v>0</v>
      </c>
      <c r="M1006" t="n">
        <v>0</v>
      </c>
      <c r="N1006" t="n">
        <v>0</v>
      </c>
      <c r="O1006" t="n">
        <v>0</v>
      </c>
      <c r="P1006" t="n">
        <v>0</v>
      </c>
      <c r="Q1006" t="n">
        <v>0</v>
      </c>
      <c r="R1006" s="2" t="inlineStr"/>
    </row>
    <row r="1007" ht="15" customHeight="1">
      <c r="A1007" t="inlineStr">
        <is>
          <t>A 23394-2021</t>
        </is>
      </c>
      <c r="B1007" s="1" t="n">
        <v>44333</v>
      </c>
      <c r="C1007" s="1" t="n">
        <v>46048</v>
      </c>
      <c r="D1007" t="inlineStr">
        <is>
          <t>VÄSTERNORRLANDS LÄN</t>
        </is>
      </c>
      <c r="E1007" t="inlineStr">
        <is>
          <t>SOLLEFTEÅ</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25986-2023</t>
        </is>
      </c>
      <c r="B1008" s="1" t="n">
        <v>45090</v>
      </c>
      <c r="C1008" s="1" t="n">
        <v>46048</v>
      </c>
      <c r="D1008" t="inlineStr">
        <is>
          <t>VÄSTERNORRLANDS LÄN</t>
        </is>
      </c>
      <c r="E1008" t="inlineStr">
        <is>
          <t>SOLLEFTEÅ</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8851-2025</t>
        </is>
      </c>
      <c r="B1009" s="1" t="n">
        <v>45713.34465277778</v>
      </c>
      <c r="C1009" s="1" t="n">
        <v>46048</v>
      </c>
      <c r="D1009" t="inlineStr">
        <is>
          <t>VÄSTERNORRLANDS LÄN</t>
        </is>
      </c>
      <c r="E1009" t="inlineStr">
        <is>
          <t>SOLLEFTEÅ</t>
        </is>
      </c>
      <c r="F1009" t="inlineStr">
        <is>
          <t>SCA</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43627-2024</t>
        </is>
      </c>
      <c r="B1010" s="1" t="n">
        <v>45569.49006944444</v>
      </c>
      <c r="C1010" s="1" t="n">
        <v>46048</v>
      </c>
      <c r="D1010" t="inlineStr">
        <is>
          <t>VÄSTERNORRLANDS LÄN</t>
        </is>
      </c>
      <c r="E1010" t="inlineStr">
        <is>
          <t>SOLLEFTEÅ</t>
        </is>
      </c>
      <c r="F1010" t="inlineStr">
        <is>
          <t>SCA</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55272-2024</t>
        </is>
      </c>
      <c r="B1011" s="1" t="n">
        <v>45621</v>
      </c>
      <c r="C1011" s="1" t="n">
        <v>46048</v>
      </c>
      <c r="D1011" t="inlineStr">
        <is>
          <t>VÄSTERNORRLANDS LÄN</t>
        </is>
      </c>
      <c r="E1011" t="inlineStr">
        <is>
          <t>SOLLEFTEÅ</t>
        </is>
      </c>
      <c r="G1011" t="n">
        <v>4.1</v>
      </c>
      <c r="H1011" t="n">
        <v>0</v>
      </c>
      <c r="I1011" t="n">
        <v>0</v>
      </c>
      <c r="J1011" t="n">
        <v>0</v>
      </c>
      <c r="K1011" t="n">
        <v>0</v>
      </c>
      <c r="L1011" t="n">
        <v>0</v>
      </c>
      <c r="M1011" t="n">
        <v>0</v>
      </c>
      <c r="N1011" t="n">
        <v>0</v>
      </c>
      <c r="O1011" t="n">
        <v>0</v>
      </c>
      <c r="P1011" t="n">
        <v>0</v>
      </c>
      <c r="Q1011" t="n">
        <v>0</v>
      </c>
      <c r="R1011" s="2" t="inlineStr"/>
    </row>
    <row r="1012" ht="15" customHeight="1">
      <c r="A1012" t="inlineStr">
        <is>
          <t>A 8476-2025</t>
        </is>
      </c>
      <c r="B1012" s="1" t="n">
        <v>45709.47894675926</v>
      </c>
      <c r="C1012" s="1" t="n">
        <v>46048</v>
      </c>
      <c r="D1012" t="inlineStr">
        <is>
          <t>VÄSTERNORRLANDS LÄN</t>
        </is>
      </c>
      <c r="E1012" t="inlineStr">
        <is>
          <t>SOLLEFTEÅ</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21711-2022</t>
        </is>
      </c>
      <c r="B1013" s="1" t="n">
        <v>44707</v>
      </c>
      <c r="C1013" s="1" t="n">
        <v>46048</v>
      </c>
      <c r="D1013" t="inlineStr">
        <is>
          <t>VÄSTERNORRLANDS LÄN</t>
        </is>
      </c>
      <c r="E1013" t="inlineStr">
        <is>
          <t>SOLLEFTEÅ</t>
        </is>
      </c>
      <c r="G1013" t="n">
        <v>3.8</v>
      </c>
      <c r="H1013" t="n">
        <v>0</v>
      </c>
      <c r="I1013" t="n">
        <v>0</v>
      </c>
      <c r="J1013" t="n">
        <v>0</v>
      </c>
      <c r="K1013" t="n">
        <v>0</v>
      </c>
      <c r="L1013" t="n">
        <v>0</v>
      </c>
      <c r="M1013" t="n">
        <v>0</v>
      </c>
      <c r="N1013" t="n">
        <v>0</v>
      </c>
      <c r="O1013" t="n">
        <v>0</v>
      </c>
      <c r="P1013" t="n">
        <v>0</v>
      </c>
      <c r="Q1013" t="n">
        <v>0</v>
      </c>
      <c r="R1013" s="2" t="inlineStr"/>
    </row>
    <row r="1014" ht="15" customHeight="1">
      <c r="A1014" t="inlineStr">
        <is>
          <t>A 64120-2023</t>
        </is>
      </c>
      <c r="B1014" s="1" t="n">
        <v>45279</v>
      </c>
      <c r="C1014" s="1" t="n">
        <v>46048</v>
      </c>
      <c r="D1014" t="inlineStr">
        <is>
          <t>VÄSTERNORRLANDS LÄN</t>
        </is>
      </c>
      <c r="E1014" t="inlineStr">
        <is>
          <t>SOLLEFTEÅ</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37726-2023</t>
        </is>
      </c>
      <c r="B1015" s="1" t="n">
        <v>45156</v>
      </c>
      <c r="C1015" s="1" t="n">
        <v>46048</v>
      </c>
      <c r="D1015" t="inlineStr">
        <is>
          <t>VÄSTERNORRLANDS LÄN</t>
        </is>
      </c>
      <c r="E1015" t="inlineStr">
        <is>
          <t>SOLLEFTEÅ</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51735-2024</t>
        </is>
      </c>
      <c r="B1016" s="1" t="n">
        <v>45607.40127314815</v>
      </c>
      <c r="C1016" s="1" t="n">
        <v>46048</v>
      </c>
      <c r="D1016" t="inlineStr">
        <is>
          <t>VÄSTERNORRLANDS LÄN</t>
        </is>
      </c>
      <c r="E1016" t="inlineStr">
        <is>
          <t>SOLLEFTEÅ</t>
        </is>
      </c>
      <c r="G1016" t="n">
        <v>3.8</v>
      </c>
      <c r="H1016" t="n">
        <v>0</v>
      </c>
      <c r="I1016" t="n">
        <v>0</v>
      </c>
      <c r="J1016" t="n">
        <v>0</v>
      </c>
      <c r="K1016" t="n">
        <v>0</v>
      </c>
      <c r="L1016" t="n">
        <v>0</v>
      </c>
      <c r="M1016" t="n">
        <v>0</v>
      </c>
      <c r="N1016" t="n">
        <v>0</v>
      </c>
      <c r="O1016" t="n">
        <v>0</v>
      </c>
      <c r="P1016" t="n">
        <v>0</v>
      </c>
      <c r="Q1016" t="n">
        <v>0</v>
      </c>
      <c r="R1016" s="2" t="inlineStr"/>
    </row>
    <row r="1017" ht="15" customHeight="1">
      <c r="A1017" t="inlineStr">
        <is>
          <t>A 7003-2025</t>
        </is>
      </c>
      <c r="B1017" s="1" t="n">
        <v>45701</v>
      </c>
      <c r="C1017" s="1" t="n">
        <v>46048</v>
      </c>
      <c r="D1017" t="inlineStr">
        <is>
          <t>VÄSTERNORRLANDS LÄN</t>
        </is>
      </c>
      <c r="E1017" t="inlineStr">
        <is>
          <t>SOLLEFTEÅ</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279-2023</t>
        </is>
      </c>
      <c r="B1018" s="1" t="n">
        <v>44928</v>
      </c>
      <c r="C1018" s="1" t="n">
        <v>46048</v>
      </c>
      <c r="D1018" t="inlineStr">
        <is>
          <t>VÄSTERNORRLANDS LÄN</t>
        </is>
      </c>
      <c r="E1018" t="inlineStr">
        <is>
          <t>SOLLEFTEÅ</t>
        </is>
      </c>
      <c r="G1018" t="n">
        <v>9.800000000000001</v>
      </c>
      <c r="H1018" t="n">
        <v>0</v>
      </c>
      <c r="I1018" t="n">
        <v>0</v>
      </c>
      <c r="J1018" t="n">
        <v>0</v>
      </c>
      <c r="K1018" t="n">
        <v>0</v>
      </c>
      <c r="L1018" t="n">
        <v>0</v>
      </c>
      <c r="M1018" t="n">
        <v>0</v>
      </c>
      <c r="N1018" t="n">
        <v>0</v>
      </c>
      <c r="O1018" t="n">
        <v>0</v>
      </c>
      <c r="P1018" t="n">
        <v>0</v>
      </c>
      <c r="Q1018" t="n">
        <v>0</v>
      </c>
      <c r="R1018" s="2" t="inlineStr"/>
    </row>
    <row r="1019" ht="15" customHeight="1">
      <c r="A1019" t="inlineStr">
        <is>
          <t>A 59339-2023</t>
        </is>
      </c>
      <c r="B1019" s="1" t="n">
        <v>45253</v>
      </c>
      <c r="C1019" s="1" t="n">
        <v>46048</v>
      </c>
      <c r="D1019" t="inlineStr">
        <is>
          <t>VÄSTERNORRLANDS LÄN</t>
        </is>
      </c>
      <c r="E1019" t="inlineStr">
        <is>
          <t>SOLLEFTEÅ</t>
        </is>
      </c>
      <c r="F1019" t="inlineStr">
        <is>
          <t>Holmen skog AB</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61611-2024</t>
        </is>
      </c>
      <c r="B1020" s="1" t="n">
        <v>45645</v>
      </c>
      <c r="C1020" s="1" t="n">
        <v>46048</v>
      </c>
      <c r="D1020" t="inlineStr">
        <is>
          <t>VÄSTERNORRLANDS LÄN</t>
        </is>
      </c>
      <c r="E1020" t="inlineStr">
        <is>
          <t>SOLLEFTEÅ</t>
        </is>
      </c>
      <c r="G1020" t="n">
        <v>13.9</v>
      </c>
      <c r="H1020" t="n">
        <v>0</v>
      </c>
      <c r="I1020" t="n">
        <v>0</v>
      </c>
      <c r="J1020" t="n">
        <v>0</v>
      </c>
      <c r="K1020" t="n">
        <v>0</v>
      </c>
      <c r="L1020" t="n">
        <v>0</v>
      </c>
      <c r="M1020" t="n">
        <v>0</v>
      </c>
      <c r="N1020" t="n">
        <v>0</v>
      </c>
      <c r="O1020" t="n">
        <v>0</v>
      </c>
      <c r="P1020" t="n">
        <v>0</v>
      </c>
      <c r="Q1020" t="n">
        <v>0</v>
      </c>
      <c r="R1020" s="2" t="inlineStr"/>
    </row>
    <row r="1021" ht="15" customHeight="1">
      <c r="A1021" t="inlineStr">
        <is>
          <t>A 40354-2024</t>
        </is>
      </c>
      <c r="B1021" s="1" t="n">
        <v>45555.36525462963</v>
      </c>
      <c r="C1021" s="1" t="n">
        <v>46048</v>
      </c>
      <c r="D1021" t="inlineStr">
        <is>
          <t>VÄSTERNORRLANDS LÄN</t>
        </is>
      </c>
      <c r="E1021" t="inlineStr">
        <is>
          <t>SOLLEFTEÅ</t>
        </is>
      </c>
      <c r="F1021" t="inlineStr">
        <is>
          <t>SCA</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24596-2023</t>
        </is>
      </c>
      <c r="B1022" s="1" t="n">
        <v>45083.94011574074</v>
      </c>
      <c r="C1022" s="1" t="n">
        <v>46048</v>
      </c>
      <c r="D1022" t="inlineStr">
        <is>
          <t>VÄSTERNORRLANDS LÄN</t>
        </is>
      </c>
      <c r="E1022" t="inlineStr">
        <is>
          <t>SOLLEFTEÅ</t>
        </is>
      </c>
      <c r="F1022" t="inlineStr">
        <is>
          <t>SCA</t>
        </is>
      </c>
      <c r="G1022" t="n">
        <v>4.6</v>
      </c>
      <c r="H1022" t="n">
        <v>0</v>
      </c>
      <c r="I1022" t="n">
        <v>0</v>
      </c>
      <c r="J1022" t="n">
        <v>0</v>
      </c>
      <c r="K1022" t="n">
        <v>0</v>
      </c>
      <c r="L1022" t="n">
        <v>0</v>
      </c>
      <c r="M1022" t="n">
        <v>0</v>
      </c>
      <c r="N1022" t="n">
        <v>0</v>
      </c>
      <c r="O1022" t="n">
        <v>0</v>
      </c>
      <c r="P1022" t="n">
        <v>0</v>
      </c>
      <c r="Q1022" t="n">
        <v>0</v>
      </c>
      <c r="R1022" s="2" t="inlineStr"/>
    </row>
    <row r="1023" ht="15" customHeight="1">
      <c r="A1023" t="inlineStr">
        <is>
          <t>A 44392-2023</t>
        </is>
      </c>
      <c r="B1023" s="1" t="n">
        <v>45188.94527777778</v>
      </c>
      <c r="C1023" s="1" t="n">
        <v>46048</v>
      </c>
      <c r="D1023" t="inlineStr">
        <is>
          <t>VÄSTERNORRLANDS LÄN</t>
        </is>
      </c>
      <c r="E1023" t="inlineStr">
        <is>
          <t>SOLLEFTEÅ</t>
        </is>
      </c>
      <c r="F1023" t="inlineStr">
        <is>
          <t>SCA</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8221-2022</t>
        </is>
      </c>
      <c r="B1024" s="1" t="n">
        <v>44609.93001157408</v>
      </c>
      <c r="C1024" s="1" t="n">
        <v>46048</v>
      </c>
      <c r="D1024" t="inlineStr">
        <is>
          <t>VÄSTERNORRLANDS LÄN</t>
        </is>
      </c>
      <c r="E1024" t="inlineStr">
        <is>
          <t>SOLLEFTEÅ</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24693-2025</t>
        </is>
      </c>
      <c r="B1025" s="1" t="n">
        <v>45798.6775462963</v>
      </c>
      <c r="C1025" s="1" t="n">
        <v>46048</v>
      </c>
      <c r="D1025" t="inlineStr">
        <is>
          <t>VÄSTERNORRLANDS LÄN</t>
        </is>
      </c>
      <c r="E1025" t="inlineStr">
        <is>
          <t>SOLLEFTEÅ</t>
        </is>
      </c>
      <c r="F1025" t="inlineStr">
        <is>
          <t>SCA</t>
        </is>
      </c>
      <c r="G1025" t="n">
        <v>3</v>
      </c>
      <c r="H1025" t="n">
        <v>0</v>
      </c>
      <c r="I1025" t="n">
        <v>0</v>
      </c>
      <c r="J1025" t="n">
        <v>0</v>
      </c>
      <c r="K1025" t="n">
        <v>0</v>
      </c>
      <c r="L1025" t="n">
        <v>0</v>
      </c>
      <c r="M1025" t="n">
        <v>0</v>
      </c>
      <c r="N1025" t="n">
        <v>0</v>
      </c>
      <c r="O1025" t="n">
        <v>0</v>
      </c>
      <c r="P1025" t="n">
        <v>0</v>
      </c>
      <c r="Q1025" t="n">
        <v>0</v>
      </c>
      <c r="R1025" s="2" t="inlineStr"/>
    </row>
    <row r="1026" ht="15" customHeight="1">
      <c r="A1026" t="inlineStr">
        <is>
          <t>A 23286-2023</t>
        </is>
      </c>
      <c r="B1026" s="1" t="n">
        <v>45075</v>
      </c>
      <c r="C1026" s="1" t="n">
        <v>46048</v>
      </c>
      <c r="D1026" t="inlineStr">
        <is>
          <t>VÄSTERNORRLANDS LÄN</t>
        </is>
      </c>
      <c r="E1026" t="inlineStr">
        <is>
          <t>SOLLEFTEÅ</t>
        </is>
      </c>
      <c r="G1026" t="n">
        <v>0.1</v>
      </c>
      <c r="H1026" t="n">
        <v>0</v>
      </c>
      <c r="I1026" t="n">
        <v>0</v>
      </c>
      <c r="J1026" t="n">
        <v>0</v>
      </c>
      <c r="K1026" t="n">
        <v>0</v>
      </c>
      <c r="L1026" t="n">
        <v>0</v>
      </c>
      <c r="M1026" t="n">
        <v>0</v>
      </c>
      <c r="N1026" t="n">
        <v>0</v>
      </c>
      <c r="O1026" t="n">
        <v>0</v>
      </c>
      <c r="P1026" t="n">
        <v>0</v>
      </c>
      <c r="Q1026" t="n">
        <v>0</v>
      </c>
      <c r="R1026" s="2" t="inlineStr"/>
    </row>
    <row r="1027" ht="15" customHeight="1">
      <c r="A1027" t="inlineStr">
        <is>
          <t>A 58179-2021</t>
        </is>
      </c>
      <c r="B1027" s="1" t="n">
        <v>44487</v>
      </c>
      <c r="C1027" s="1" t="n">
        <v>46048</v>
      </c>
      <c r="D1027" t="inlineStr">
        <is>
          <t>VÄSTERNORRLANDS LÄN</t>
        </is>
      </c>
      <c r="E1027" t="inlineStr">
        <is>
          <t>SOLLEFTEÅ</t>
        </is>
      </c>
      <c r="G1027" t="n">
        <v>8.300000000000001</v>
      </c>
      <c r="H1027" t="n">
        <v>0</v>
      </c>
      <c r="I1027" t="n">
        <v>0</v>
      </c>
      <c r="J1027" t="n">
        <v>0</v>
      </c>
      <c r="K1027" t="n">
        <v>0</v>
      </c>
      <c r="L1027" t="n">
        <v>0</v>
      </c>
      <c r="M1027" t="n">
        <v>0</v>
      </c>
      <c r="N1027" t="n">
        <v>0</v>
      </c>
      <c r="O1027" t="n">
        <v>0</v>
      </c>
      <c r="P1027" t="n">
        <v>0</v>
      </c>
      <c r="Q1027" t="n">
        <v>0</v>
      </c>
      <c r="R1027" s="2" t="inlineStr"/>
    </row>
    <row r="1028" ht="15" customHeight="1">
      <c r="A1028" t="inlineStr">
        <is>
          <t>A 13499-2023</t>
        </is>
      </c>
      <c r="B1028" s="1" t="n">
        <v>45005</v>
      </c>
      <c r="C1028" s="1" t="n">
        <v>46048</v>
      </c>
      <c r="D1028" t="inlineStr">
        <is>
          <t>VÄSTERNORRLANDS LÄN</t>
        </is>
      </c>
      <c r="E1028" t="inlineStr">
        <is>
          <t>SOLLEFTEÅ</t>
        </is>
      </c>
      <c r="F1028" t="inlineStr">
        <is>
          <t>SCA</t>
        </is>
      </c>
      <c r="G1028" t="n">
        <v>4.4</v>
      </c>
      <c r="H1028" t="n">
        <v>0</v>
      </c>
      <c r="I1028" t="n">
        <v>0</v>
      </c>
      <c r="J1028" t="n">
        <v>0</v>
      </c>
      <c r="K1028" t="n">
        <v>0</v>
      </c>
      <c r="L1028" t="n">
        <v>0</v>
      </c>
      <c r="M1028" t="n">
        <v>0</v>
      </c>
      <c r="N1028" t="n">
        <v>0</v>
      </c>
      <c r="O1028" t="n">
        <v>0</v>
      </c>
      <c r="P1028" t="n">
        <v>0</v>
      </c>
      <c r="Q1028" t="n">
        <v>0</v>
      </c>
      <c r="R1028" s="2" t="inlineStr"/>
    </row>
    <row r="1029" ht="15" customHeight="1">
      <c r="A1029" t="inlineStr">
        <is>
          <t>A 18187-2022</t>
        </is>
      </c>
      <c r="B1029" s="1" t="n">
        <v>44684</v>
      </c>
      <c r="C1029" s="1" t="n">
        <v>46048</v>
      </c>
      <c r="D1029" t="inlineStr">
        <is>
          <t>VÄSTERNORRLANDS LÄN</t>
        </is>
      </c>
      <c r="E1029" t="inlineStr">
        <is>
          <t>SOLLEFTEÅ</t>
        </is>
      </c>
      <c r="F1029" t="inlineStr">
        <is>
          <t>SCA</t>
        </is>
      </c>
      <c r="G1029" t="n">
        <v>2.9</v>
      </c>
      <c r="H1029" t="n">
        <v>0</v>
      </c>
      <c r="I1029" t="n">
        <v>0</v>
      </c>
      <c r="J1029" t="n">
        <v>0</v>
      </c>
      <c r="K1029" t="n">
        <v>0</v>
      </c>
      <c r="L1029" t="n">
        <v>0</v>
      </c>
      <c r="M1029" t="n">
        <v>0</v>
      </c>
      <c r="N1029" t="n">
        <v>0</v>
      </c>
      <c r="O1029" t="n">
        <v>0</v>
      </c>
      <c r="P1029" t="n">
        <v>0</v>
      </c>
      <c r="Q1029" t="n">
        <v>0</v>
      </c>
      <c r="R1029" s="2" t="inlineStr"/>
    </row>
    <row r="1030" ht="15" customHeight="1">
      <c r="A1030" t="inlineStr">
        <is>
          <t>A 20507-2024</t>
        </is>
      </c>
      <c r="B1030" s="1" t="n">
        <v>45435</v>
      </c>
      <c r="C1030" s="1" t="n">
        <v>46048</v>
      </c>
      <c r="D1030" t="inlineStr">
        <is>
          <t>VÄSTERNORRLANDS LÄN</t>
        </is>
      </c>
      <c r="E1030" t="inlineStr">
        <is>
          <t>SOLLEFTEÅ</t>
        </is>
      </c>
      <c r="F1030" t="inlineStr">
        <is>
          <t>SCA</t>
        </is>
      </c>
      <c r="G1030" t="n">
        <v>5.4</v>
      </c>
      <c r="H1030" t="n">
        <v>0</v>
      </c>
      <c r="I1030" t="n">
        <v>0</v>
      </c>
      <c r="J1030" t="n">
        <v>0</v>
      </c>
      <c r="K1030" t="n">
        <v>0</v>
      </c>
      <c r="L1030" t="n">
        <v>0</v>
      </c>
      <c r="M1030" t="n">
        <v>0</v>
      </c>
      <c r="N1030" t="n">
        <v>0</v>
      </c>
      <c r="O1030" t="n">
        <v>0</v>
      </c>
      <c r="P1030" t="n">
        <v>0</v>
      </c>
      <c r="Q1030" t="n">
        <v>0</v>
      </c>
      <c r="R1030" s="2" t="inlineStr"/>
    </row>
    <row r="1031" ht="15" customHeight="1">
      <c r="A1031" t="inlineStr">
        <is>
          <t>A 25363-2024</t>
        </is>
      </c>
      <c r="B1031" s="1" t="n">
        <v>45462.95833333334</v>
      </c>
      <c r="C1031" s="1" t="n">
        <v>46048</v>
      </c>
      <c r="D1031" t="inlineStr">
        <is>
          <t>VÄSTERNORRLANDS LÄN</t>
        </is>
      </c>
      <c r="E1031" t="inlineStr">
        <is>
          <t>SOLLEFTEÅ</t>
        </is>
      </c>
      <c r="F1031" t="inlineStr">
        <is>
          <t>SCA</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25384-2024</t>
        </is>
      </c>
      <c r="B1032" s="1" t="n">
        <v>45462.96334490741</v>
      </c>
      <c r="C1032" s="1" t="n">
        <v>46048</v>
      </c>
      <c r="D1032" t="inlineStr">
        <is>
          <t>VÄSTERNORRLANDS LÄN</t>
        </is>
      </c>
      <c r="E1032" t="inlineStr">
        <is>
          <t>SOLLEFTEÅ</t>
        </is>
      </c>
      <c r="F1032" t="inlineStr">
        <is>
          <t>SCA</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24531-2025</t>
        </is>
      </c>
      <c r="B1033" s="1" t="n">
        <v>45798.42810185185</v>
      </c>
      <c r="C1033" s="1" t="n">
        <v>46048</v>
      </c>
      <c r="D1033" t="inlineStr">
        <is>
          <t>VÄSTERNORRLANDS LÄN</t>
        </is>
      </c>
      <c r="E1033" t="inlineStr">
        <is>
          <t>SOLLEFTEÅ</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50698-2023</t>
        </is>
      </c>
      <c r="B1034" s="1" t="n">
        <v>45210</v>
      </c>
      <c r="C1034" s="1" t="n">
        <v>46048</v>
      </c>
      <c r="D1034" t="inlineStr">
        <is>
          <t>VÄSTERNORRLANDS LÄN</t>
        </is>
      </c>
      <c r="E1034" t="inlineStr">
        <is>
          <t>SOLLEFTEÅ</t>
        </is>
      </c>
      <c r="G1034" t="n">
        <v>3</v>
      </c>
      <c r="H1034" t="n">
        <v>0</v>
      </c>
      <c r="I1034" t="n">
        <v>0</v>
      </c>
      <c r="J1034" t="n">
        <v>0</v>
      </c>
      <c r="K1034" t="n">
        <v>0</v>
      </c>
      <c r="L1034" t="n">
        <v>0</v>
      </c>
      <c r="M1034" t="n">
        <v>0</v>
      </c>
      <c r="N1034" t="n">
        <v>0</v>
      </c>
      <c r="O1034" t="n">
        <v>0</v>
      </c>
      <c r="P1034" t="n">
        <v>0</v>
      </c>
      <c r="Q1034" t="n">
        <v>0</v>
      </c>
      <c r="R1034" s="2" t="inlineStr"/>
    </row>
    <row r="1035" ht="15" customHeight="1">
      <c r="A1035" t="inlineStr">
        <is>
          <t>A 24532-2025</t>
        </is>
      </c>
      <c r="B1035" s="1" t="n">
        <v>45798.42820601852</v>
      </c>
      <c r="C1035" s="1" t="n">
        <v>46048</v>
      </c>
      <c r="D1035" t="inlineStr">
        <is>
          <t>VÄSTERNORRLANDS LÄN</t>
        </is>
      </c>
      <c r="E1035" t="inlineStr">
        <is>
          <t>SOLLEFTEÅ</t>
        </is>
      </c>
      <c r="G1035" t="n">
        <v>6.5</v>
      </c>
      <c r="H1035" t="n">
        <v>0</v>
      </c>
      <c r="I1035" t="n">
        <v>0</v>
      </c>
      <c r="J1035" t="n">
        <v>0</v>
      </c>
      <c r="K1035" t="n">
        <v>0</v>
      </c>
      <c r="L1035" t="n">
        <v>0</v>
      </c>
      <c r="M1035" t="n">
        <v>0</v>
      </c>
      <c r="N1035" t="n">
        <v>0</v>
      </c>
      <c r="O1035" t="n">
        <v>0</v>
      </c>
      <c r="P1035" t="n">
        <v>0</v>
      </c>
      <c r="Q1035" t="n">
        <v>0</v>
      </c>
      <c r="R1035" s="2" t="inlineStr"/>
    </row>
    <row r="1036" ht="15" customHeight="1">
      <c r="A1036" t="inlineStr">
        <is>
          <t>A 5989-2021</t>
        </is>
      </c>
      <c r="B1036" s="1" t="n">
        <v>44231</v>
      </c>
      <c r="C1036" s="1" t="n">
        <v>46048</v>
      </c>
      <c r="D1036" t="inlineStr">
        <is>
          <t>VÄSTERNORRLANDS LÄN</t>
        </is>
      </c>
      <c r="E1036" t="inlineStr">
        <is>
          <t>SOLLEFTEÅ</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50008-2024</t>
        </is>
      </c>
      <c r="B1037" s="1" t="n">
        <v>45598.57908564815</v>
      </c>
      <c r="C1037" s="1" t="n">
        <v>46048</v>
      </c>
      <c r="D1037" t="inlineStr">
        <is>
          <t>VÄSTERNORRLANDS LÄN</t>
        </is>
      </c>
      <c r="E1037" t="inlineStr">
        <is>
          <t>SOLLEFTEÅ</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55692-2024</t>
        </is>
      </c>
      <c r="B1038" s="1" t="n">
        <v>45622</v>
      </c>
      <c r="C1038" s="1" t="n">
        <v>46048</v>
      </c>
      <c r="D1038" t="inlineStr">
        <is>
          <t>VÄSTERNORRLANDS LÄN</t>
        </is>
      </c>
      <c r="E1038" t="inlineStr">
        <is>
          <t>SOLLEFTEÅ</t>
        </is>
      </c>
      <c r="F1038" t="inlineStr">
        <is>
          <t>SCA</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55759-2024</t>
        </is>
      </c>
      <c r="B1039" s="1" t="n">
        <v>45623.3647337963</v>
      </c>
      <c r="C1039" s="1" t="n">
        <v>46048</v>
      </c>
      <c r="D1039" t="inlineStr">
        <is>
          <t>VÄSTERNORRLANDS LÄN</t>
        </is>
      </c>
      <c r="E1039" t="inlineStr">
        <is>
          <t>SOLLEFTEÅ</t>
        </is>
      </c>
      <c r="G1039" t="n">
        <v>6.1</v>
      </c>
      <c r="H1039" t="n">
        <v>0</v>
      </c>
      <c r="I1039" t="n">
        <v>0</v>
      </c>
      <c r="J1039" t="n">
        <v>0</v>
      </c>
      <c r="K1039" t="n">
        <v>0</v>
      </c>
      <c r="L1039" t="n">
        <v>0</v>
      </c>
      <c r="M1039" t="n">
        <v>0</v>
      </c>
      <c r="N1039" t="n">
        <v>0</v>
      </c>
      <c r="O1039" t="n">
        <v>0</v>
      </c>
      <c r="P1039" t="n">
        <v>0</v>
      </c>
      <c r="Q1039" t="n">
        <v>0</v>
      </c>
      <c r="R1039" s="2" t="inlineStr"/>
    </row>
    <row r="1040" ht="15" customHeight="1">
      <c r="A1040" t="inlineStr">
        <is>
          <t>A 55792-2024</t>
        </is>
      </c>
      <c r="B1040" s="1" t="n">
        <v>45623</v>
      </c>
      <c r="C1040" s="1" t="n">
        <v>46048</v>
      </c>
      <c r="D1040" t="inlineStr">
        <is>
          <t>VÄSTERNORRLANDS LÄN</t>
        </is>
      </c>
      <c r="E1040" t="inlineStr">
        <is>
          <t>SOLLEFTEÅ</t>
        </is>
      </c>
      <c r="F1040" t="inlineStr">
        <is>
          <t>SCA</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4935-2025</t>
        </is>
      </c>
      <c r="B1041" s="1" t="n">
        <v>45688.68496527777</v>
      </c>
      <c r="C1041" s="1" t="n">
        <v>46048</v>
      </c>
      <c r="D1041" t="inlineStr">
        <is>
          <t>VÄSTERNORRLANDS LÄN</t>
        </is>
      </c>
      <c r="E1041" t="inlineStr">
        <is>
          <t>SOLLEFTEÅ</t>
        </is>
      </c>
      <c r="G1041" t="n">
        <v>6.5</v>
      </c>
      <c r="H1041" t="n">
        <v>0</v>
      </c>
      <c r="I1041" t="n">
        <v>0</v>
      </c>
      <c r="J1041" t="n">
        <v>0</v>
      </c>
      <c r="K1041" t="n">
        <v>0</v>
      </c>
      <c r="L1041" t="n">
        <v>0</v>
      </c>
      <c r="M1041" t="n">
        <v>0</v>
      </c>
      <c r="N1041" t="n">
        <v>0</v>
      </c>
      <c r="O1041" t="n">
        <v>0</v>
      </c>
      <c r="P1041" t="n">
        <v>0</v>
      </c>
      <c r="Q1041" t="n">
        <v>0</v>
      </c>
      <c r="R1041" s="2" t="inlineStr"/>
    </row>
    <row r="1042" ht="15" customHeight="1">
      <c r="A1042" t="inlineStr">
        <is>
          <t>A 24759-2025</t>
        </is>
      </c>
      <c r="B1042" s="1" t="n">
        <v>45799.38284722222</v>
      </c>
      <c r="C1042" s="1" t="n">
        <v>46048</v>
      </c>
      <c r="D1042" t="inlineStr">
        <is>
          <t>VÄSTERNORRLANDS LÄN</t>
        </is>
      </c>
      <c r="E1042" t="inlineStr">
        <is>
          <t>SOLLEFTEÅ</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24760-2025</t>
        </is>
      </c>
      <c r="B1043" s="1" t="n">
        <v>45799</v>
      </c>
      <c r="C1043" s="1" t="n">
        <v>46048</v>
      </c>
      <c r="D1043" t="inlineStr">
        <is>
          <t>VÄSTERNORRLANDS LÄN</t>
        </is>
      </c>
      <c r="E1043" t="inlineStr">
        <is>
          <t>SOLLEFTEÅ</t>
        </is>
      </c>
      <c r="F1043" t="inlineStr">
        <is>
          <t>SCA</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42970-2024</t>
        </is>
      </c>
      <c r="B1044" s="1" t="n">
        <v>45567.37322916667</v>
      </c>
      <c r="C1044" s="1" t="n">
        <v>46048</v>
      </c>
      <c r="D1044" t="inlineStr">
        <is>
          <t>VÄSTERNORRLANDS LÄN</t>
        </is>
      </c>
      <c r="E1044" t="inlineStr">
        <is>
          <t>SOLLEFTEÅ</t>
        </is>
      </c>
      <c r="F1044" t="inlineStr">
        <is>
          <t>SCA</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42981-2024</t>
        </is>
      </c>
      <c r="B1045" s="1" t="n">
        <v>45567.37460648148</v>
      </c>
      <c r="C1045" s="1" t="n">
        <v>46048</v>
      </c>
      <c r="D1045" t="inlineStr">
        <is>
          <t>VÄSTERNORRLANDS LÄN</t>
        </is>
      </c>
      <c r="E1045" t="inlineStr">
        <is>
          <t>SOLLEFTEÅ</t>
        </is>
      </c>
      <c r="F1045" t="inlineStr">
        <is>
          <t>SCA</t>
        </is>
      </c>
      <c r="G1045" t="n">
        <v>2.7</v>
      </c>
      <c r="H1045" t="n">
        <v>0</v>
      </c>
      <c r="I1045" t="n">
        <v>0</v>
      </c>
      <c r="J1045" t="n">
        <v>0</v>
      </c>
      <c r="K1045" t="n">
        <v>0</v>
      </c>
      <c r="L1045" t="n">
        <v>0</v>
      </c>
      <c r="M1045" t="n">
        <v>0</v>
      </c>
      <c r="N1045" t="n">
        <v>0</v>
      </c>
      <c r="O1045" t="n">
        <v>0</v>
      </c>
      <c r="P1045" t="n">
        <v>0</v>
      </c>
      <c r="Q1045" t="n">
        <v>0</v>
      </c>
      <c r="R1045" s="2" t="inlineStr"/>
    </row>
    <row r="1046" ht="15" customHeight="1">
      <c r="A1046" t="inlineStr">
        <is>
          <t>A 44172-2024</t>
        </is>
      </c>
      <c r="B1046" s="1" t="n">
        <v>45572.74454861111</v>
      </c>
      <c r="C1046" s="1" t="n">
        <v>46048</v>
      </c>
      <c r="D1046" t="inlineStr">
        <is>
          <t>VÄSTERNORRLANDS LÄN</t>
        </is>
      </c>
      <c r="E1046" t="inlineStr">
        <is>
          <t>SOLLEFTEÅ</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24730-2025</t>
        </is>
      </c>
      <c r="B1047" s="1" t="n">
        <v>45799.34150462963</v>
      </c>
      <c r="C1047" s="1" t="n">
        <v>46048</v>
      </c>
      <c r="D1047" t="inlineStr">
        <is>
          <t>VÄSTERNORRLANDS LÄN</t>
        </is>
      </c>
      <c r="E1047" t="inlineStr">
        <is>
          <t>SOLLEFTEÅ</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59647-2022</t>
        </is>
      </c>
      <c r="B1048" s="1" t="n">
        <v>44907.96577546297</v>
      </c>
      <c r="C1048" s="1" t="n">
        <v>46048</v>
      </c>
      <c r="D1048" t="inlineStr">
        <is>
          <t>VÄSTERNORRLANDS LÄN</t>
        </is>
      </c>
      <c r="E1048" t="inlineStr">
        <is>
          <t>SOLLEFTEÅ</t>
        </is>
      </c>
      <c r="F1048" t="inlineStr">
        <is>
          <t>SCA</t>
        </is>
      </c>
      <c r="G1048" t="n">
        <v>0.2</v>
      </c>
      <c r="H1048" t="n">
        <v>0</v>
      </c>
      <c r="I1048" t="n">
        <v>0</v>
      </c>
      <c r="J1048" t="n">
        <v>0</v>
      </c>
      <c r="K1048" t="n">
        <v>0</v>
      </c>
      <c r="L1048" t="n">
        <v>0</v>
      </c>
      <c r="M1048" t="n">
        <v>0</v>
      </c>
      <c r="N1048" t="n">
        <v>0</v>
      </c>
      <c r="O1048" t="n">
        <v>0</v>
      </c>
      <c r="P1048" t="n">
        <v>0</v>
      </c>
      <c r="Q1048" t="n">
        <v>0</v>
      </c>
      <c r="R1048" s="2" t="inlineStr"/>
    </row>
    <row r="1049" ht="15" customHeight="1">
      <c r="A1049" t="inlineStr">
        <is>
          <t>A 49829-2024</t>
        </is>
      </c>
      <c r="B1049" s="1" t="n">
        <v>45597</v>
      </c>
      <c r="C1049" s="1" t="n">
        <v>46048</v>
      </c>
      <c r="D1049" t="inlineStr">
        <is>
          <t>VÄSTERNORRLANDS LÄN</t>
        </is>
      </c>
      <c r="E1049" t="inlineStr">
        <is>
          <t>SOLLEFTEÅ</t>
        </is>
      </c>
      <c r="F1049" t="inlineStr">
        <is>
          <t>SCA</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54307-2023</t>
        </is>
      </c>
      <c r="B1050" s="1" t="n">
        <v>45225</v>
      </c>
      <c r="C1050" s="1" t="n">
        <v>46048</v>
      </c>
      <c r="D1050" t="inlineStr">
        <is>
          <t>VÄSTERNORRLANDS LÄN</t>
        </is>
      </c>
      <c r="E1050" t="inlineStr">
        <is>
          <t>SOLLEFTEÅ</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44045-2022</t>
        </is>
      </c>
      <c r="B1051" s="1" t="n">
        <v>44838</v>
      </c>
      <c r="C1051" s="1" t="n">
        <v>46048</v>
      </c>
      <c r="D1051" t="inlineStr">
        <is>
          <t>VÄSTERNORRLANDS LÄN</t>
        </is>
      </c>
      <c r="E1051" t="inlineStr">
        <is>
          <t>SOLLEFTEÅ</t>
        </is>
      </c>
      <c r="F1051" t="inlineStr">
        <is>
          <t>SCA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33134-2024</t>
        </is>
      </c>
      <c r="B1052" s="1" t="n">
        <v>45518</v>
      </c>
      <c r="C1052" s="1" t="n">
        <v>46048</v>
      </c>
      <c r="D1052" t="inlineStr">
        <is>
          <t>VÄSTERNORRLANDS LÄN</t>
        </is>
      </c>
      <c r="E1052" t="inlineStr">
        <is>
          <t>SOLLEFTEÅ</t>
        </is>
      </c>
      <c r="F1052" t="inlineStr">
        <is>
          <t>Holmen skog AB</t>
        </is>
      </c>
      <c r="G1052" t="n">
        <v>6.2</v>
      </c>
      <c r="H1052" t="n">
        <v>0</v>
      </c>
      <c r="I1052" t="n">
        <v>0</v>
      </c>
      <c r="J1052" t="n">
        <v>0</v>
      </c>
      <c r="K1052" t="n">
        <v>0</v>
      </c>
      <c r="L1052" t="n">
        <v>0</v>
      </c>
      <c r="M1052" t="n">
        <v>0</v>
      </c>
      <c r="N1052" t="n">
        <v>0</v>
      </c>
      <c r="O1052" t="n">
        <v>0</v>
      </c>
      <c r="P1052" t="n">
        <v>0</v>
      </c>
      <c r="Q1052" t="n">
        <v>0</v>
      </c>
      <c r="R1052" s="2" t="inlineStr"/>
    </row>
    <row r="1053" ht="15" customHeight="1">
      <c r="A1053" t="inlineStr">
        <is>
          <t>A 33141-2024</t>
        </is>
      </c>
      <c r="B1053" s="1" t="n">
        <v>45518</v>
      </c>
      <c r="C1053" s="1" t="n">
        <v>46048</v>
      </c>
      <c r="D1053" t="inlineStr">
        <is>
          <t>VÄSTERNORRLANDS LÄN</t>
        </is>
      </c>
      <c r="E1053" t="inlineStr">
        <is>
          <t>SOLLEFTEÅ</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5255-2024</t>
        </is>
      </c>
      <c r="B1054" s="1" t="n">
        <v>45330</v>
      </c>
      <c r="C1054" s="1" t="n">
        <v>46048</v>
      </c>
      <c r="D1054" t="inlineStr">
        <is>
          <t>VÄSTERNORRLANDS LÄN</t>
        </is>
      </c>
      <c r="E1054" t="inlineStr">
        <is>
          <t>SOLLEFTEÅ</t>
        </is>
      </c>
      <c r="F1054" t="inlineStr">
        <is>
          <t>SCA</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49567-2024</t>
        </is>
      </c>
      <c r="B1055" s="1" t="n">
        <v>45596.49003472222</v>
      </c>
      <c r="C1055" s="1" t="n">
        <v>46048</v>
      </c>
      <c r="D1055" t="inlineStr">
        <is>
          <t>VÄSTERNORRLANDS LÄN</t>
        </is>
      </c>
      <c r="E1055" t="inlineStr">
        <is>
          <t>SOLLEFTEÅ</t>
        </is>
      </c>
      <c r="F1055" t="inlineStr">
        <is>
          <t>SCA</t>
        </is>
      </c>
      <c r="G1055" t="n">
        <v>4.3</v>
      </c>
      <c r="H1055" t="n">
        <v>0</v>
      </c>
      <c r="I1055" t="n">
        <v>0</v>
      </c>
      <c r="J1055" t="n">
        <v>0</v>
      </c>
      <c r="K1055" t="n">
        <v>0</v>
      </c>
      <c r="L1055" t="n">
        <v>0</v>
      </c>
      <c r="M1055" t="n">
        <v>0</v>
      </c>
      <c r="N1055" t="n">
        <v>0</v>
      </c>
      <c r="O1055" t="n">
        <v>0</v>
      </c>
      <c r="P1055" t="n">
        <v>0</v>
      </c>
      <c r="Q1055" t="n">
        <v>0</v>
      </c>
      <c r="R1055" s="2" t="inlineStr"/>
      <c r="U1055">
        <f>HYPERLINK("https://klasma.github.io/Logging_2283/knärot/A 49567-2024 karta knärot.png", "A 49567-2024")</f>
        <v/>
      </c>
      <c r="V1055">
        <f>HYPERLINK("https://klasma.github.io/Logging_2283/klagomål/A 49567-2024 FSC-klagomål.docx", "A 49567-2024")</f>
        <v/>
      </c>
      <c r="W1055">
        <f>HYPERLINK("https://klasma.github.io/Logging_2283/klagomålsmail/A 49567-2024 FSC-klagomål mail.docx", "A 49567-2024")</f>
        <v/>
      </c>
      <c r="X1055">
        <f>HYPERLINK("https://klasma.github.io/Logging_2283/tillsyn/A 49567-2024 tillsynsbegäran.docx", "A 49567-2024")</f>
        <v/>
      </c>
      <c r="Y1055">
        <f>HYPERLINK("https://klasma.github.io/Logging_2283/tillsynsmail/A 49567-2024 tillsynsbegäran mail.docx", "A 49567-2024")</f>
        <v/>
      </c>
    </row>
    <row r="1056" ht="15" customHeight="1">
      <c r="A1056" t="inlineStr">
        <is>
          <t>A 24787-2025</t>
        </is>
      </c>
      <c r="B1056" s="1" t="n">
        <v>45799.42791666667</v>
      </c>
      <c r="C1056" s="1" t="n">
        <v>46048</v>
      </c>
      <c r="D1056" t="inlineStr">
        <is>
          <t>VÄSTERNORRLANDS LÄN</t>
        </is>
      </c>
      <c r="E1056" t="inlineStr">
        <is>
          <t>SOLLEFTEÅ</t>
        </is>
      </c>
      <c r="F1056" t="inlineStr">
        <is>
          <t>SCA</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25313-2025</t>
        </is>
      </c>
      <c r="B1057" s="1" t="n">
        <v>45799</v>
      </c>
      <c r="C1057" s="1" t="n">
        <v>46048</v>
      </c>
      <c r="D1057" t="inlineStr">
        <is>
          <t>VÄSTERNORRLANDS LÄN</t>
        </is>
      </c>
      <c r="E1057" t="inlineStr">
        <is>
          <t>SOLLEFTEÅ</t>
        </is>
      </c>
      <c r="F1057" t="inlineStr">
        <is>
          <t>Kommuner</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38231-2024</t>
        </is>
      </c>
      <c r="B1058" s="1" t="n">
        <v>45545.55601851852</v>
      </c>
      <c r="C1058" s="1" t="n">
        <v>46048</v>
      </c>
      <c r="D1058" t="inlineStr">
        <is>
          <t>VÄSTERNORRLANDS LÄN</t>
        </is>
      </c>
      <c r="E1058" t="inlineStr">
        <is>
          <t>SOLLEFTEÅ</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24488-2025</t>
        </is>
      </c>
      <c r="B1059" s="1" t="n">
        <v>45798.38576388889</v>
      </c>
      <c r="C1059" s="1" t="n">
        <v>46048</v>
      </c>
      <c r="D1059" t="inlineStr">
        <is>
          <t>VÄSTERNORRLANDS LÄN</t>
        </is>
      </c>
      <c r="E1059" t="inlineStr">
        <is>
          <t>SOLLEFTEÅ</t>
        </is>
      </c>
      <c r="F1059" t="inlineStr">
        <is>
          <t>SCA</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47177-2023</t>
        </is>
      </c>
      <c r="B1060" s="1" t="n">
        <v>45201</v>
      </c>
      <c r="C1060" s="1" t="n">
        <v>46048</v>
      </c>
      <c r="D1060" t="inlineStr">
        <is>
          <t>VÄSTERNORRLANDS LÄN</t>
        </is>
      </c>
      <c r="E1060" t="inlineStr">
        <is>
          <t>SOLLEFTEÅ</t>
        </is>
      </c>
      <c r="F1060" t="inlineStr">
        <is>
          <t>SCA</t>
        </is>
      </c>
      <c r="G1060" t="n">
        <v>7.8</v>
      </c>
      <c r="H1060" t="n">
        <v>0</v>
      </c>
      <c r="I1060" t="n">
        <v>0</v>
      </c>
      <c r="J1060" t="n">
        <v>0</v>
      </c>
      <c r="K1060" t="n">
        <v>0</v>
      </c>
      <c r="L1060" t="n">
        <v>0</v>
      </c>
      <c r="M1060" t="n">
        <v>0</v>
      </c>
      <c r="N1060" t="n">
        <v>0</v>
      </c>
      <c r="O1060" t="n">
        <v>0</v>
      </c>
      <c r="P1060" t="n">
        <v>0</v>
      </c>
      <c r="Q1060" t="n">
        <v>0</v>
      </c>
      <c r="R1060" s="2" t="inlineStr"/>
    </row>
    <row r="1061" ht="15" customHeight="1">
      <c r="A1061" t="inlineStr">
        <is>
          <t>A 18882-2021</t>
        </is>
      </c>
      <c r="B1061" s="1" t="n">
        <v>44307.93505787037</v>
      </c>
      <c r="C1061" s="1" t="n">
        <v>46048</v>
      </c>
      <c r="D1061" t="inlineStr">
        <is>
          <t>VÄSTERNORRLANDS LÄN</t>
        </is>
      </c>
      <c r="E1061" t="inlineStr">
        <is>
          <t>SOLLEFTEÅ</t>
        </is>
      </c>
      <c r="F1061" t="inlineStr">
        <is>
          <t>SCA</t>
        </is>
      </c>
      <c r="G1061" t="n">
        <v>6.1</v>
      </c>
      <c r="H1061" t="n">
        <v>0</v>
      </c>
      <c r="I1061" t="n">
        <v>0</v>
      </c>
      <c r="J1061" t="n">
        <v>0</v>
      </c>
      <c r="K1061" t="n">
        <v>0</v>
      </c>
      <c r="L1061" t="n">
        <v>0</v>
      </c>
      <c r="M1061" t="n">
        <v>0</v>
      </c>
      <c r="N1061" t="n">
        <v>0</v>
      </c>
      <c r="O1061" t="n">
        <v>0</v>
      </c>
      <c r="P1061" t="n">
        <v>0</v>
      </c>
      <c r="Q1061" t="n">
        <v>0</v>
      </c>
      <c r="R1061" s="2" t="inlineStr"/>
    </row>
    <row r="1062" ht="15" customHeight="1">
      <c r="A1062" t="inlineStr">
        <is>
          <t>A 19055-2022</t>
        </is>
      </c>
      <c r="B1062" s="1" t="n">
        <v>44691.42189814815</v>
      </c>
      <c r="C1062" s="1" t="n">
        <v>46048</v>
      </c>
      <c r="D1062" t="inlineStr">
        <is>
          <t>VÄSTERNORRLANDS LÄN</t>
        </is>
      </c>
      <c r="E1062" t="inlineStr">
        <is>
          <t>SOLLEFTEÅ</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56260-2023</t>
        </is>
      </c>
      <c r="B1063" s="1" t="n">
        <v>45240</v>
      </c>
      <c r="C1063" s="1" t="n">
        <v>46048</v>
      </c>
      <c r="D1063" t="inlineStr">
        <is>
          <t>VÄSTERNORRLANDS LÄN</t>
        </is>
      </c>
      <c r="E1063" t="inlineStr">
        <is>
          <t>SOLLEFTEÅ</t>
        </is>
      </c>
      <c r="F1063" t="inlineStr">
        <is>
          <t>SCA</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58172-2022</t>
        </is>
      </c>
      <c r="B1064" s="1" t="n">
        <v>44900.95525462963</v>
      </c>
      <c r="C1064" s="1" t="n">
        <v>46048</v>
      </c>
      <c r="D1064" t="inlineStr">
        <is>
          <t>VÄSTERNORRLANDS LÄN</t>
        </is>
      </c>
      <c r="E1064" t="inlineStr">
        <is>
          <t>SOLLEFTEÅ</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2816-2024</t>
        </is>
      </c>
      <c r="B1065" s="1" t="n">
        <v>45314</v>
      </c>
      <c r="C1065" s="1" t="n">
        <v>46048</v>
      </c>
      <c r="D1065" t="inlineStr">
        <is>
          <t>VÄSTERNORRLANDS LÄN</t>
        </is>
      </c>
      <c r="E1065" t="inlineStr">
        <is>
          <t>SOLLEFTEÅ</t>
        </is>
      </c>
      <c r="F1065" t="inlineStr">
        <is>
          <t>Holmen skog AB</t>
        </is>
      </c>
      <c r="G1065" t="n">
        <v>5.2</v>
      </c>
      <c r="H1065" t="n">
        <v>0</v>
      </c>
      <c r="I1065" t="n">
        <v>0</v>
      </c>
      <c r="J1065" t="n">
        <v>0</v>
      </c>
      <c r="K1065" t="n">
        <v>0</v>
      </c>
      <c r="L1065" t="n">
        <v>0</v>
      </c>
      <c r="M1065" t="n">
        <v>0</v>
      </c>
      <c r="N1065" t="n">
        <v>0</v>
      </c>
      <c r="O1065" t="n">
        <v>0</v>
      </c>
      <c r="P1065" t="n">
        <v>0</v>
      </c>
      <c r="Q1065" t="n">
        <v>0</v>
      </c>
      <c r="R1065" s="2" t="inlineStr"/>
    </row>
    <row r="1066" ht="15" customHeight="1">
      <c r="A1066" t="inlineStr">
        <is>
          <t>A 24552-2025</t>
        </is>
      </c>
      <c r="B1066" s="1" t="n">
        <v>45798.44865740741</v>
      </c>
      <c r="C1066" s="1" t="n">
        <v>46048</v>
      </c>
      <c r="D1066" t="inlineStr">
        <is>
          <t>VÄSTERNORRLANDS LÄN</t>
        </is>
      </c>
      <c r="E1066" t="inlineStr">
        <is>
          <t>SOLLEFTEÅ</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20859-2023</t>
        </is>
      </c>
      <c r="B1067" s="1" t="n">
        <v>45058.94212962963</v>
      </c>
      <c r="C1067" s="1" t="n">
        <v>46048</v>
      </c>
      <c r="D1067" t="inlineStr">
        <is>
          <t>VÄSTERNORRLANDS LÄN</t>
        </is>
      </c>
      <c r="E1067" t="inlineStr">
        <is>
          <t>SOLLEFTEÅ</t>
        </is>
      </c>
      <c r="F1067" t="inlineStr">
        <is>
          <t>SCA</t>
        </is>
      </c>
      <c r="G1067" t="n">
        <v>4.9</v>
      </c>
      <c r="H1067" t="n">
        <v>0</v>
      </c>
      <c r="I1067" t="n">
        <v>0</v>
      </c>
      <c r="J1067" t="n">
        <v>0</v>
      </c>
      <c r="K1067" t="n">
        <v>0</v>
      </c>
      <c r="L1067" t="n">
        <v>0</v>
      </c>
      <c r="M1067" t="n">
        <v>0</v>
      </c>
      <c r="N1067" t="n">
        <v>0</v>
      </c>
      <c r="O1067" t="n">
        <v>0</v>
      </c>
      <c r="P1067" t="n">
        <v>0</v>
      </c>
      <c r="Q1067" t="n">
        <v>0</v>
      </c>
      <c r="R1067" s="2" t="inlineStr"/>
    </row>
    <row r="1068" ht="15" customHeight="1">
      <c r="A1068" t="inlineStr">
        <is>
          <t>A 54458-2024</t>
        </is>
      </c>
      <c r="B1068" s="1" t="n">
        <v>45617.5325</v>
      </c>
      <c r="C1068" s="1" t="n">
        <v>46048</v>
      </c>
      <c r="D1068" t="inlineStr">
        <is>
          <t>VÄSTERNORRLANDS LÄN</t>
        </is>
      </c>
      <c r="E1068" t="inlineStr">
        <is>
          <t>SOLLEFTEÅ</t>
        </is>
      </c>
      <c r="F1068" t="inlineStr">
        <is>
          <t>SCA</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35793-2024</t>
        </is>
      </c>
      <c r="B1069" s="1" t="n">
        <v>45532</v>
      </c>
      <c r="C1069" s="1" t="n">
        <v>46048</v>
      </c>
      <c r="D1069" t="inlineStr">
        <is>
          <t>VÄSTERNORRLANDS LÄN</t>
        </is>
      </c>
      <c r="E1069" t="inlineStr">
        <is>
          <t>SOLLEFTEÅ</t>
        </is>
      </c>
      <c r="F1069" t="inlineStr">
        <is>
          <t>SCA</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35794-2024</t>
        </is>
      </c>
      <c r="B1070" s="1" t="n">
        <v>45532.62974537037</v>
      </c>
      <c r="C1070" s="1" t="n">
        <v>46048</v>
      </c>
      <c r="D1070" t="inlineStr">
        <is>
          <t>VÄSTERNORRLANDS LÄN</t>
        </is>
      </c>
      <c r="E1070" t="inlineStr">
        <is>
          <t>SOLLEFTEÅ</t>
        </is>
      </c>
      <c r="F1070" t="inlineStr">
        <is>
          <t>SCA</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24530-2025</t>
        </is>
      </c>
      <c r="B1071" s="1" t="n">
        <v>45798.42799768518</v>
      </c>
      <c r="C1071" s="1" t="n">
        <v>46048</v>
      </c>
      <c r="D1071" t="inlineStr">
        <is>
          <t>VÄSTERNORRLANDS LÄN</t>
        </is>
      </c>
      <c r="E1071" t="inlineStr">
        <is>
          <t>SOLLEFTEÅ</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15875-2024</t>
        </is>
      </c>
      <c r="B1072" s="1" t="n">
        <v>45405.32438657407</v>
      </c>
      <c r="C1072" s="1" t="n">
        <v>46048</v>
      </c>
      <c r="D1072" t="inlineStr">
        <is>
          <t>VÄSTERNORRLANDS LÄN</t>
        </is>
      </c>
      <c r="E1072" t="inlineStr">
        <is>
          <t>SOLLEFTEÅ</t>
        </is>
      </c>
      <c r="G1072" t="n">
        <v>7.1</v>
      </c>
      <c r="H1072" t="n">
        <v>0</v>
      </c>
      <c r="I1072" t="n">
        <v>0</v>
      </c>
      <c r="J1072" t="n">
        <v>0</v>
      </c>
      <c r="K1072" t="n">
        <v>0</v>
      </c>
      <c r="L1072" t="n">
        <v>0</v>
      </c>
      <c r="M1072" t="n">
        <v>0</v>
      </c>
      <c r="N1072" t="n">
        <v>0</v>
      </c>
      <c r="O1072" t="n">
        <v>0</v>
      </c>
      <c r="P1072" t="n">
        <v>0</v>
      </c>
      <c r="Q1072" t="n">
        <v>0</v>
      </c>
      <c r="R1072" s="2" t="inlineStr"/>
    </row>
    <row r="1073" ht="15" customHeight="1">
      <c r="A1073" t="inlineStr">
        <is>
          <t>A 61480-2021</t>
        </is>
      </c>
      <c r="B1073" s="1" t="n">
        <v>44500</v>
      </c>
      <c r="C1073" s="1" t="n">
        <v>46048</v>
      </c>
      <c r="D1073" t="inlineStr">
        <is>
          <t>VÄSTERNORRLANDS LÄN</t>
        </is>
      </c>
      <c r="E1073" t="inlineStr">
        <is>
          <t>SOLLEFTEÅ</t>
        </is>
      </c>
      <c r="F1073" t="inlineStr">
        <is>
          <t>SCA</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14134-2023</t>
        </is>
      </c>
      <c r="B1074" s="1" t="n">
        <v>45008</v>
      </c>
      <c r="C1074" s="1" t="n">
        <v>46048</v>
      </c>
      <c r="D1074" t="inlineStr">
        <is>
          <t>VÄSTERNORRLANDS LÄN</t>
        </is>
      </c>
      <c r="E1074" t="inlineStr">
        <is>
          <t>SOLLEFTEÅ</t>
        </is>
      </c>
      <c r="F1074" t="inlineStr">
        <is>
          <t>Övriga Aktiebolag</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7463-2024</t>
        </is>
      </c>
      <c r="B1075" s="1" t="n">
        <v>45345.94887731481</v>
      </c>
      <c r="C1075" s="1" t="n">
        <v>46048</v>
      </c>
      <c r="D1075" t="inlineStr">
        <is>
          <t>VÄSTERNORRLANDS LÄN</t>
        </is>
      </c>
      <c r="E1075" t="inlineStr">
        <is>
          <t>SOLLEFTEÅ</t>
        </is>
      </c>
      <c r="F1075" t="inlineStr">
        <is>
          <t>SCA</t>
        </is>
      </c>
      <c r="G1075" t="n">
        <v>7.5</v>
      </c>
      <c r="H1075" t="n">
        <v>0</v>
      </c>
      <c r="I1075" t="n">
        <v>0</v>
      </c>
      <c r="J1075" t="n">
        <v>0</v>
      </c>
      <c r="K1075" t="n">
        <v>0</v>
      </c>
      <c r="L1075" t="n">
        <v>0</v>
      </c>
      <c r="M1075" t="n">
        <v>0</v>
      </c>
      <c r="N1075" t="n">
        <v>0</v>
      </c>
      <c r="O1075" t="n">
        <v>0</v>
      </c>
      <c r="P1075" t="n">
        <v>0</v>
      </c>
      <c r="Q1075" t="n">
        <v>0</v>
      </c>
      <c r="R1075" s="2" t="inlineStr"/>
    </row>
    <row r="1076" ht="15" customHeight="1">
      <c r="A1076" t="inlineStr">
        <is>
          <t>A 26444-2024</t>
        </is>
      </c>
      <c r="B1076" s="1" t="n">
        <v>45469.50122685185</v>
      </c>
      <c r="C1076" s="1" t="n">
        <v>46048</v>
      </c>
      <c r="D1076" t="inlineStr">
        <is>
          <t>VÄSTERNORRLANDS LÄN</t>
        </is>
      </c>
      <c r="E1076" t="inlineStr">
        <is>
          <t>SOLLEFTEÅ</t>
        </is>
      </c>
      <c r="F1076" t="inlineStr">
        <is>
          <t>Holmen skog AB</t>
        </is>
      </c>
      <c r="G1076" t="n">
        <v>3.5</v>
      </c>
      <c r="H1076" t="n">
        <v>0</v>
      </c>
      <c r="I1076" t="n">
        <v>0</v>
      </c>
      <c r="J1076" t="n">
        <v>0</v>
      </c>
      <c r="K1076" t="n">
        <v>0</v>
      </c>
      <c r="L1076" t="n">
        <v>0</v>
      </c>
      <c r="M1076" t="n">
        <v>0</v>
      </c>
      <c r="N1076" t="n">
        <v>0</v>
      </c>
      <c r="O1076" t="n">
        <v>0</v>
      </c>
      <c r="P1076" t="n">
        <v>0</v>
      </c>
      <c r="Q1076" t="n">
        <v>0</v>
      </c>
      <c r="R1076" s="2" t="inlineStr"/>
    </row>
    <row r="1077" ht="15" customHeight="1">
      <c r="A1077" t="inlineStr">
        <is>
          <t>A 40211-2024</t>
        </is>
      </c>
      <c r="B1077" s="1" t="n">
        <v>45554.59435185185</v>
      </c>
      <c r="C1077" s="1" t="n">
        <v>46048</v>
      </c>
      <c r="D1077" t="inlineStr">
        <is>
          <t>VÄSTERNORRLANDS LÄN</t>
        </is>
      </c>
      <c r="E1077" t="inlineStr">
        <is>
          <t>SOLLEFTEÅ</t>
        </is>
      </c>
      <c r="F1077" t="inlineStr">
        <is>
          <t>SCA</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18111-2025</t>
        </is>
      </c>
      <c r="B1078" s="1" t="n">
        <v>45761.57334490741</v>
      </c>
      <c r="C1078" s="1" t="n">
        <v>46048</v>
      </c>
      <c r="D1078" t="inlineStr">
        <is>
          <t>VÄSTERNORRLANDS LÄN</t>
        </is>
      </c>
      <c r="E1078" t="inlineStr">
        <is>
          <t>SOLLEFTEÅ</t>
        </is>
      </c>
      <c r="F1078" t="inlineStr">
        <is>
          <t>SCA</t>
        </is>
      </c>
      <c r="G1078" t="n">
        <v>41.6</v>
      </c>
      <c r="H1078" t="n">
        <v>0</v>
      </c>
      <c r="I1078" t="n">
        <v>0</v>
      </c>
      <c r="J1078" t="n">
        <v>0</v>
      </c>
      <c r="K1078" t="n">
        <v>0</v>
      </c>
      <c r="L1078" t="n">
        <v>0</v>
      </c>
      <c r="M1078" t="n">
        <v>0</v>
      </c>
      <c r="N1078" t="n">
        <v>0</v>
      </c>
      <c r="O1078" t="n">
        <v>0</v>
      </c>
      <c r="P1078" t="n">
        <v>0</v>
      </c>
      <c r="Q1078" t="n">
        <v>0</v>
      </c>
      <c r="R1078" s="2" t="inlineStr"/>
    </row>
    <row r="1079" ht="15" customHeight="1">
      <c r="A1079" t="inlineStr">
        <is>
          <t>A 10428-2023</t>
        </is>
      </c>
      <c r="B1079" s="1" t="n">
        <v>44981</v>
      </c>
      <c r="C1079" s="1" t="n">
        <v>46048</v>
      </c>
      <c r="D1079" t="inlineStr">
        <is>
          <t>VÄSTERNORRLANDS LÄN</t>
        </is>
      </c>
      <c r="E1079" t="inlineStr">
        <is>
          <t>SOLLEFTEÅ</t>
        </is>
      </c>
      <c r="G1079" t="n">
        <v>4.3</v>
      </c>
      <c r="H1079" t="n">
        <v>0</v>
      </c>
      <c r="I1079" t="n">
        <v>0</v>
      </c>
      <c r="J1079" t="n">
        <v>0</v>
      </c>
      <c r="K1079" t="n">
        <v>0</v>
      </c>
      <c r="L1079" t="n">
        <v>0</v>
      </c>
      <c r="M1079" t="n">
        <v>0</v>
      </c>
      <c r="N1079" t="n">
        <v>0</v>
      </c>
      <c r="O1079" t="n">
        <v>0</v>
      </c>
      <c r="P1079" t="n">
        <v>0</v>
      </c>
      <c r="Q1079" t="n">
        <v>0</v>
      </c>
      <c r="R1079" s="2" t="inlineStr"/>
    </row>
    <row r="1080" ht="15" customHeight="1">
      <c r="A1080" t="inlineStr">
        <is>
          <t>A 43525-2021</t>
        </is>
      </c>
      <c r="B1080" s="1" t="n">
        <v>44433</v>
      </c>
      <c r="C1080" s="1" t="n">
        <v>46048</v>
      </c>
      <c r="D1080" t="inlineStr">
        <is>
          <t>VÄSTERNORRLANDS LÄN</t>
        </is>
      </c>
      <c r="E1080" t="inlineStr">
        <is>
          <t>SOLLEFTEÅ</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12632-2025</t>
        </is>
      </c>
      <c r="B1081" s="1" t="n">
        <v>45733.37693287037</v>
      </c>
      <c r="C1081" s="1" t="n">
        <v>46048</v>
      </c>
      <c r="D1081" t="inlineStr">
        <is>
          <t>VÄSTERNORRLANDS LÄN</t>
        </is>
      </c>
      <c r="E1081" t="inlineStr">
        <is>
          <t>SOLLEFTEÅ</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33591-2023</t>
        </is>
      </c>
      <c r="B1082" s="1" t="n">
        <v>45131</v>
      </c>
      <c r="C1082" s="1" t="n">
        <v>46048</v>
      </c>
      <c r="D1082" t="inlineStr">
        <is>
          <t>VÄSTERNORRLANDS LÄN</t>
        </is>
      </c>
      <c r="E1082" t="inlineStr">
        <is>
          <t>SOLLEFTEÅ</t>
        </is>
      </c>
      <c r="F1082" t="inlineStr">
        <is>
          <t>SCA</t>
        </is>
      </c>
      <c r="G1082" t="n">
        <v>4.9</v>
      </c>
      <c r="H1082" t="n">
        <v>0</v>
      </c>
      <c r="I1082" t="n">
        <v>0</v>
      </c>
      <c r="J1082" t="n">
        <v>0</v>
      </c>
      <c r="K1082" t="n">
        <v>0</v>
      </c>
      <c r="L1082" t="n">
        <v>0</v>
      </c>
      <c r="M1082" t="n">
        <v>0</v>
      </c>
      <c r="N1082" t="n">
        <v>0</v>
      </c>
      <c r="O1082" t="n">
        <v>0</v>
      </c>
      <c r="P1082" t="n">
        <v>0</v>
      </c>
      <c r="Q1082" t="n">
        <v>0</v>
      </c>
      <c r="R1082" s="2" t="inlineStr"/>
    </row>
    <row r="1083" ht="15" customHeight="1">
      <c r="A1083" t="inlineStr">
        <is>
          <t>A 326-2025</t>
        </is>
      </c>
      <c r="B1083" s="1" t="n">
        <v>45660.65653935185</v>
      </c>
      <c r="C1083" s="1" t="n">
        <v>46048</v>
      </c>
      <c r="D1083" t="inlineStr">
        <is>
          <t>VÄSTERNORRLANDS LÄN</t>
        </is>
      </c>
      <c r="E1083" t="inlineStr">
        <is>
          <t>SOLLEFTEÅ</t>
        </is>
      </c>
      <c r="F1083" t="inlineStr">
        <is>
          <t>SCA</t>
        </is>
      </c>
      <c r="G1083" t="n">
        <v>5.1</v>
      </c>
      <c r="H1083" t="n">
        <v>0</v>
      </c>
      <c r="I1083" t="n">
        <v>0</v>
      </c>
      <c r="J1083" t="n">
        <v>0</v>
      </c>
      <c r="K1083" t="n">
        <v>0</v>
      </c>
      <c r="L1083" t="n">
        <v>0</v>
      </c>
      <c r="M1083" t="n">
        <v>0</v>
      </c>
      <c r="N1083" t="n">
        <v>0</v>
      </c>
      <c r="O1083" t="n">
        <v>0</v>
      </c>
      <c r="P1083" t="n">
        <v>0</v>
      </c>
      <c r="Q1083" t="n">
        <v>0</v>
      </c>
      <c r="R1083" s="2" t="inlineStr"/>
    </row>
    <row r="1084" ht="15" customHeight="1">
      <c r="A1084" t="inlineStr">
        <is>
          <t>A 12107-2023</t>
        </is>
      </c>
      <c r="B1084" s="1" t="n">
        <v>44995</v>
      </c>
      <c r="C1084" s="1" t="n">
        <v>46048</v>
      </c>
      <c r="D1084" t="inlineStr">
        <is>
          <t>VÄSTERNORRLANDS LÄN</t>
        </is>
      </c>
      <c r="E1084" t="inlineStr">
        <is>
          <t>SOLLEFTEÅ</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11338-2025</t>
        </is>
      </c>
      <c r="B1085" s="1" t="n">
        <v>45726.48987268518</v>
      </c>
      <c r="C1085" s="1" t="n">
        <v>46048</v>
      </c>
      <c r="D1085" t="inlineStr">
        <is>
          <t>VÄSTERNORRLANDS LÄN</t>
        </is>
      </c>
      <c r="E1085" t="inlineStr">
        <is>
          <t>SOLLEFTEÅ</t>
        </is>
      </c>
      <c r="F1085" t="inlineStr">
        <is>
          <t>SCA</t>
        </is>
      </c>
      <c r="G1085" t="n">
        <v>3.3</v>
      </c>
      <c r="H1085" t="n">
        <v>0</v>
      </c>
      <c r="I1085" t="n">
        <v>0</v>
      </c>
      <c r="J1085" t="n">
        <v>0</v>
      </c>
      <c r="K1085" t="n">
        <v>0</v>
      </c>
      <c r="L1085" t="n">
        <v>0</v>
      </c>
      <c r="M1085" t="n">
        <v>0</v>
      </c>
      <c r="N1085" t="n">
        <v>0</v>
      </c>
      <c r="O1085" t="n">
        <v>0</v>
      </c>
      <c r="P1085" t="n">
        <v>0</v>
      </c>
      <c r="Q1085" t="n">
        <v>0</v>
      </c>
      <c r="R1085" s="2" t="inlineStr"/>
    </row>
    <row r="1086" ht="15" customHeight="1">
      <c r="A1086" t="inlineStr">
        <is>
          <t>A 59371-2022</t>
        </is>
      </c>
      <c r="B1086" s="1" t="n">
        <v>44904</v>
      </c>
      <c r="C1086" s="1" t="n">
        <v>46048</v>
      </c>
      <c r="D1086" t="inlineStr">
        <is>
          <t>VÄSTERNORRLANDS LÄN</t>
        </is>
      </c>
      <c r="E1086" t="inlineStr">
        <is>
          <t>SOLLEFTEÅ</t>
        </is>
      </c>
      <c r="F1086" t="inlineStr">
        <is>
          <t>SCA</t>
        </is>
      </c>
      <c r="G1086" t="n">
        <v>4.8</v>
      </c>
      <c r="H1086" t="n">
        <v>0</v>
      </c>
      <c r="I1086" t="n">
        <v>0</v>
      </c>
      <c r="J1086" t="n">
        <v>0</v>
      </c>
      <c r="K1086" t="n">
        <v>0</v>
      </c>
      <c r="L1086" t="n">
        <v>0</v>
      </c>
      <c r="M1086" t="n">
        <v>0</v>
      </c>
      <c r="N1086" t="n">
        <v>0</v>
      </c>
      <c r="O1086" t="n">
        <v>0</v>
      </c>
      <c r="P1086" t="n">
        <v>0</v>
      </c>
      <c r="Q1086" t="n">
        <v>0</v>
      </c>
      <c r="R1086" s="2" t="inlineStr"/>
    </row>
    <row r="1087" ht="15" customHeight="1">
      <c r="A1087" t="inlineStr">
        <is>
          <t>A 53524-2021</t>
        </is>
      </c>
      <c r="B1087" s="1" t="n">
        <v>44468</v>
      </c>
      <c r="C1087" s="1" t="n">
        <v>46048</v>
      </c>
      <c r="D1087" t="inlineStr">
        <is>
          <t>VÄSTERNORRLANDS LÄN</t>
        </is>
      </c>
      <c r="E1087" t="inlineStr">
        <is>
          <t>SOLLEFTEÅ</t>
        </is>
      </c>
      <c r="F1087" t="inlineStr">
        <is>
          <t>SCA</t>
        </is>
      </c>
      <c r="G1087" t="n">
        <v>5.9</v>
      </c>
      <c r="H1087" t="n">
        <v>0</v>
      </c>
      <c r="I1087" t="n">
        <v>0</v>
      </c>
      <c r="J1087" t="n">
        <v>0</v>
      </c>
      <c r="K1087" t="n">
        <v>0</v>
      </c>
      <c r="L1087" t="n">
        <v>0</v>
      </c>
      <c r="M1087" t="n">
        <v>0</v>
      </c>
      <c r="N1087" t="n">
        <v>0</v>
      </c>
      <c r="O1087" t="n">
        <v>0</v>
      </c>
      <c r="P1087" t="n">
        <v>0</v>
      </c>
      <c r="Q1087" t="n">
        <v>0</v>
      </c>
      <c r="R1087" s="2" t="inlineStr"/>
    </row>
    <row r="1088" ht="15" customHeight="1">
      <c r="A1088" t="inlineStr">
        <is>
          <t>A 5447-2025</t>
        </is>
      </c>
      <c r="B1088" s="1" t="n">
        <v>45692</v>
      </c>
      <c r="C1088" s="1" t="n">
        <v>46048</v>
      </c>
      <c r="D1088" t="inlineStr">
        <is>
          <t>VÄSTERNORRLANDS LÄN</t>
        </is>
      </c>
      <c r="E1088" t="inlineStr">
        <is>
          <t>SOLLEFTEÅ</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26655-2024</t>
        </is>
      </c>
      <c r="B1089" s="1" t="n">
        <v>45469</v>
      </c>
      <c r="C1089" s="1" t="n">
        <v>46048</v>
      </c>
      <c r="D1089" t="inlineStr">
        <is>
          <t>VÄSTERNORRLANDS LÄN</t>
        </is>
      </c>
      <c r="E1089" t="inlineStr">
        <is>
          <t>SOLLEFTEÅ</t>
        </is>
      </c>
      <c r="F1089" t="inlineStr">
        <is>
          <t>SCA</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55439-2024</t>
        </is>
      </c>
      <c r="B1090" s="1" t="n">
        <v>45622.40663194445</v>
      </c>
      <c r="C1090" s="1" t="n">
        <v>46048</v>
      </c>
      <c r="D1090" t="inlineStr">
        <is>
          <t>VÄSTERNORRLANDS LÄN</t>
        </is>
      </c>
      <c r="E1090" t="inlineStr">
        <is>
          <t>SOLLEFTEÅ</t>
        </is>
      </c>
      <c r="F1090" t="inlineStr">
        <is>
          <t>SCA</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9967-2025</t>
        </is>
      </c>
      <c r="B1091" s="1" t="n">
        <v>45719.37890046297</v>
      </c>
      <c r="C1091" s="1" t="n">
        <v>46048</v>
      </c>
      <c r="D1091" t="inlineStr">
        <is>
          <t>VÄSTERNORRLANDS LÄN</t>
        </is>
      </c>
      <c r="E1091" t="inlineStr">
        <is>
          <t>SOLLEFTEÅ</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45435-2024</t>
        </is>
      </c>
      <c r="B1092" s="1" t="n">
        <v>45576.61538194444</v>
      </c>
      <c r="C1092" s="1" t="n">
        <v>46048</v>
      </c>
      <c r="D1092" t="inlineStr">
        <is>
          <t>VÄSTERNORRLANDS LÄN</t>
        </is>
      </c>
      <c r="E1092" t="inlineStr">
        <is>
          <t>SOLLEFTEÅ</t>
        </is>
      </c>
      <c r="F1092" t="inlineStr">
        <is>
          <t>SCA</t>
        </is>
      </c>
      <c r="G1092" t="n">
        <v>8.9</v>
      </c>
      <c r="H1092" t="n">
        <v>0</v>
      </c>
      <c r="I1092" t="n">
        <v>0</v>
      </c>
      <c r="J1092" t="n">
        <v>0</v>
      </c>
      <c r="K1092" t="n">
        <v>0</v>
      </c>
      <c r="L1092" t="n">
        <v>0</v>
      </c>
      <c r="M1092" t="n">
        <v>0</v>
      </c>
      <c r="N1092" t="n">
        <v>0</v>
      </c>
      <c r="O1092" t="n">
        <v>0</v>
      </c>
      <c r="P1092" t="n">
        <v>0</v>
      </c>
      <c r="Q1092" t="n">
        <v>0</v>
      </c>
      <c r="R1092" s="2" t="inlineStr"/>
    </row>
    <row r="1093" ht="15" customHeight="1">
      <c r="A1093" t="inlineStr">
        <is>
          <t>A 42755-2022</t>
        </is>
      </c>
      <c r="B1093" s="1" t="n">
        <v>44832</v>
      </c>
      <c r="C1093" s="1" t="n">
        <v>46048</v>
      </c>
      <c r="D1093" t="inlineStr">
        <is>
          <t>VÄSTERNORRLANDS LÄN</t>
        </is>
      </c>
      <c r="E1093" t="inlineStr">
        <is>
          <t>SOLLEFTEÅ</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295-2025</t>
        </is>
      </c>
      <c r="B1094" s="1" t="n">
        <v>45660.53206018519</v>
      </c>
      <c r="C1094" s="1" t="n">
        <v>46048</v>
      </c>
      <c r="D1094" t="inlineStr">
        <is>
          <t>VÄSTERNORRLANDS LÄN</t>
        </is>
      </c>
      <c r="E1094" t="inlineStr">
        <is>
          <t>SOLLEFTEÅ</t>
        </is>
      </c>
      <c r="F1094" t="inlineStr">
        <is>
          <t>SCA</t>
        </is>
      </c>
      <c r="G1094" t="n">
        <v>30.7</v>
      </c>
      <c r="H1094" t="n">
        <v>0</v>
      </c>
      <c r="I1094" t="n">
        <v>0</v>
      </c>
      <c r="J1094" t="n">
        <v>0</v>
      </c>
      <c r="K1094" t="n">
        <v>0</v>
      </c>
      <c r="L1094" t="n">
        <v>0</v>
      </c>
      <c r="M1094" t="n">
        <v>0</v>
      </c>
      <c r="N1094" t="n">
        <v>0</v>
      </c>
      <c r="O1094" t="n">
        <v>0</v>
      </c>
      <c r="P1094" t="n">
        <v>0</v>
      </c>
      <c r="Q1094" t="n">
        <v>0</v>
      </c>
      <c r="R1094" s="2" t="inlineStr"/>
    </row>
    <row r="1095" ht="15" customHeight="1">
      <c r="A1095" t="inlineStr">
        <is>
          <t>A 12734-2023</t>
        </is>
      </c>
      <c r="B1095" s="1" t="n">
        <v>45000.92436342593</v>
      </c>
      <c r="C1095" s="1" t="n">
        <v>46048</v>
      </c>
      <c r="D1095" t="inlineStr">
        <is>
          <t>VÄSTERNORRLANDS LÄN</t>
        </is>
      </c>
      <c r="E1095" t="inlineStr">
        <is>
          <t>SOLLEFTEÅ</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48088-2023</t>
        </is>
      </c>
      <c r="B1096" s="1" t="n">
        <v>45204.94657407407</v>
      </c>
      <c r="C1096" s="1" t="n">
        <v>46048</v>
      </c>
      <c r="D1096" t="inlineStr">
        <is>
          <t>VÄSTERNORRLANDS LÄN</t>
        </is>
      </c>
      <c r="E1096" t="inlineStr">
        <is>
          <t>SOLLEFTEÅ</t>
        </is>
      </c>
      <c r="F1096" t="inlineStr">
        <is>
          <t>SCA</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52266-2023</t>
        </is>
      </c>
      <c r="B1097" s="1" t="n">
        <v>45217</v>
      </c>
      <c r="C1097" s="1" t="n">
        <v>46048</v>
      </c>
      <c r="D1097" t="inlineStr">
        <is>
          <t>VÄSTERNORRLANDS LÄN</t>
        </is>
      </c>
      <c r="E1097" t="inlineStr">
        <is>
          <t>SOLLEFTEÅ</t>
        </is>
      </c>
      <c r="F1097" t="inlineStr">
        <is>
          <t>SCA</t>
        </is>
      </c>
      <c r="G1097" t="n">
        <v>2.7</v>
      </c>
      <c r="H1097" t="n">
        <v>0</v>
      </c>
      <c r="I1097" t="n">
        <v>0</v>
      </c>
      <c r="J1097" t="n">
        <v>0</v>
      </c>
      <c r="K1097" t="n">
        <v>0</v>
      </c>
      <c r="L1097" t="n">
        <v>0</v>
      </c>
      <c r="M1097" t="n">
        <v>0</v>
      </c>
      <c r="N1097" t="n">
        <v>0</v>
      </c>
      <c r="O1097" t="n">
        <v>0</v>
      </c>
      <c r="P1097" t="n">
        <v>0</v>
      </c>
      <c r="Q1097" t="n">
        <v>0</v>
      </c>
      <c r="R1097" s="2" t="inlineStr"/>
    </row>
    <row r="1098" ht="15" customHeight="1">
      <c r="A1098" t="inlineStr">
        <is>
          <t>A 25238-2025</t>
        </is>
      </c>
      <c r="B1098" s="1" t="n">
        <v>45800.49016203704</v>
      </c>
      <c r="C1098" s="1" t="n">
        <v>46048</v>
      </c>
      <c r="D1098" t="inlineStr">
        <is>
          <t>VÄSTERNORRLANDS LÄN</t>
        </is>
      </c>
      <c r="E1098" t="inlineStr">
        <is>
          <t>SOLLEFTEÅ</t>
        </is>
      </c>
      <c r="F1098" t="inlineStr">
        <is>
          <t>SCA</t>
        </is>
      </c>
      <c r="G1098" t="n">
        <v>9.800000000000001</v>
      </c>
      <c r="H1098" t="n">
        <v>0</v>
      </c>
      <c r="I1098" t="n">
        <v>0</v>
      </c>
      <c r="J1098" t="n">
        <v>0</v>
      </c>
      <c r="K1098" t="n">
        <v>0</v>
      </c>
      <c r="L1098" t="n">
        <v>0</v>
      </c>
      <c r="M1098" t="n">
        <v>0</v>
      </c>
      <c r="N1098" t="n">
        <v>0</v>
      </c>
      <c r="O1098" t="n">
        <v>0</v>
      </c>
      <c r="P1098" t="n">
        <v>0</v>
      </c>
      <c r="Q1098" t="n">
        <v>0</v>
      </c>
      <c r="R1098" s="2" t="inlineStr"/>
    </row>
    <row r="1099" ht="15" customHeight="1">
      <c r="A1099" t="inlineStr">
        <is>
          <t>A 51107-2023</t>
        </is>
      </c>
      <c r="B1099" s="1" t="n">
        <v>45218.92530092593</v>
      </c>
      <c r="C1099" s="1" t="n">
        <v>46048</v>
      </c>
      <c r="D1099" t="inlineStr">
        <is>
          <t>VÄSTERNORRLANDS LÄN</t>
        </is>
      </c>
      <c r="E1099" t="inlineStr">
        <is>
          <t>SOLLEFTEÅ</t>
        </is>
      </c>
      <c r="G1099" t="n">
        <v>4.6</v>
      </c>
      <c r="H1099" t="n">
        <v>0</v>
      </c>
      <c r="I1099" t="n">
        <v>0</v>
      </c>
      <c r="J1099" t="n">
        <v>0</v>
      </c>
      <c r="K1099" t="n">
        <v>0</v>
      </c>
      <c r="L1099" t="n">
        <v>0</v>
      </c>
      <c r="M1099" t="n">
        <v>0</v>
      </c>
      <c r="N1099" t="n">
        <v>0</v>
      </c>
      <c r="O1099" t="n">
        <v>0</v>
      </c>
      <c r="P1099" t="n">
        <v>0</v>
      </c>
      <c r="Q1099" t="n">
        <v>0</v>
      </c>
      <c r="R1099" s="2" t="inlineStr"/>
    </row>
    <row r="1100" ht="15" customHeight="1">
      <c r="A1100" t="inlineStr">
        <is>
          <t>A 31554-2024</t>
        </is>
      </c>
      <c r="B1100" s="1" t="n">
        <v>45505.96472222222</v>
      </c>
      <c r="C1100" s="1" t="n">
        <v>46048</v>
      </c>
      <c r="D1100" t="inlineStr">
        <is>
          <t>VÄSTERNORRLANDS LÄN</t>
        </is>
      </c>
      <c r="E1100" t="inlineStr">
        <is>
          <t>SOLLEFTEÅ</t>
        </is>
      </c>
      <c r="F1100" t="inlineStr">
        <is>
          <t>SCA</t>
        </is>
      </c>
      <c r="G1100" t="n">
        <v>7.4</v>
      </c>
      <c r="H1100" t="n">
        <v>0</v>
      </c>
      <c r="I1100" t="n">
        <v>0</v>
      </c>
      <c r="J1100" t="n">
        <v>0</v>
      </c>
      <c r="K1100" t="n">
        <v>0</v>
      </c>
      <c r="L1100" t="n">
        <v>0</v>
      </c>
      <c r="M1100" t="n">
        <v>0</v>
      </c>
      <c r="N1100" t="n">
        <v>0</v>
      </c>
      <c r="O1100" t="n">
        <v>0</v>
      </c>
      <c r="P1100" t="n">
        <v>0</v>
      </c>
      <c r="Q1100" t="n">
        <v>0</v>
      </c>
      <c r="R1100" s="2" t="inlineStr"/>
    </row>
    <row r="1101" ht="15" customHeight="1">
      <c r="A1101" t="inlineStr">
        <is>
          <t>A 4895-2025</t>
        </is>
      </c>
      <c r="B1101" s="1" t="n">
        <v>45688.67891203704</v>
      </c>
      <c r="C1101" s="1" t="n">
        <v>46048</v>
      </c>
      <c r="D1101" t="inlineStr">
        <is>
          <t>VÄSTERNORRLANDS LÄN</t>
        </is>
      </c>
      <c r="E1101" t="inlineStr">
        <is>
          <t>SOLLEFTEÅ</t>
        </is>
      </c>
      <c r="F1101" t="inlineStr">
        <is>
          <t>SCA</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4909-2025</t>
        </is>
      </c>
      <c r="B1102" s="1" t="n">
        <v>45688</v>
      </c>
      <c r="C1102" s="1" t="n">
        <v>46048</v>
      </c>
      <c r="D1102" t="inlineStr">
        <is>
          <t>VÄSTERNORRLANDS LÄN</t>
        </is>
      </c>
      <c r="E1102" t="inlineStr">
        <is>
          <t>SOLLEFTEÅ</t>
        </is>
      </c>
      <c r="F1102" t="inlineStr">
        <is>
          <t>SCA</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14718-2023</t>
        </is>
      </c>
      <c r="B1103" s="1" t="n">
        <v>45012</v>
      </c>
      <c r="C1103" s="1" t="n">
        <v>46048</v>
      </c>
      <c r="D1103" t="inlineStr">
        <is>
          <t>VÄSTERNORRLANDS LÄN</t>
        </is>
      </c>
      <c r="E1103" t="inlineStr">
        <is>
          <t>SOLLEFTEÅ</t>
        </is>
      </c>
      <c r="G1103" t="n">
        <v>6</v>
      </c>
      <c r="H1103" t="n">
        <v>0</v>
      </c>
      <c r="I1103" t="n">
        <v>0</v>
      </c>
      <c r="J1103" t="n">
        <v>0</v>
      </c>
      <c r="K1103" t="n">
        <v>0</v>
      </c>
      <c r="L1103" t="n">
        <v>0</v>
      </c>
      <c r="M1103" t="n">
        <v>0</v>
      </c>
      <c r="N1103" t="n">
        <v>0</v>
      </c>
      <c r="O1103" t="n">
        <v>0</v>
      </c>
      <c r="P1103" t="n">
        <v>0</v>
      </c>
      <c r="Q1103" t="n">
        <v>0</v>
      </c>
      <c r="R1103" s="2" t="inlineStr"/>
    </row>
    <row r="1104" ht="15" customHeight="1">
      <c r="A1104" t="inlineStr">
        <is>
          <t>A 21362-2021</t>
        </is>
      </c>
      <c r="B1104" s="1" t="n">
        <v>44320.95611111111</v>
      </c>
      <c r="C1104" s="1" t="n">
        <v>46048</v>
      </c>
      <c r="D1104" t="inlineStr">
        <is>
          <t>VÄSTERNORRLANDS LÄN</t>
        </is>
      </c>
      <c r="E1104" t="inlineStr">
        <is>
          <t>SOLLEFTEÅ</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10725-2025</t>
        </is>
      </c>
      <c r="B1105" s="1" t="n">
        <v>45722</v>
      </c>
      <c r="C1105" s="1" t="n">
        <v>46048</v>
      </c>
      <c r="D1105" t="inlineStr">
        <is>
          <t>VÄSTERNORRLANDS LÄN</t>
        </is>
      </c>
      <c r="E1105" t="inlineStr">
        <is>
          <t>SOLLEFTEÅ</t>
        </is>
      </c>
      <c r="F1105" t="inlineStr">
        <is>
          <t>SCA</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61790-2024</t>
        </is>
      </c>
      <c r="B1106" s="1" t="n">
        <v>45649</v>
      </c>
      <c r="C1106" s="1" t="n">
        <v>46048</v>
      </c>
      <c r="D1106" t="inlineStr">
        <is>
          <t>VÄSTERNORRLANDS LÄN</t>
        </is>
      </c>
      <c r="E1106" t="inlineStr">
        <is>
          <t>SOLLEFTEÅ</t>
        </is>
      </c>
      <c r="F1106" t="inlineStr">
        <is>
          <t>Övriga statliga verk och myndigheter</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60077-2024</t>
        </is>
      </c>
      <c r="B1107" s="1" t="n">
        <v>45642</v>
      </c>
      <c r="C1107" s="1" t="n">
        <v>46048</v>
      </c>
      <c r="D1107" t="inlineStr">
        <is>
          <t>VÄSTERNORRLANDS LÄN</t>
        </is>
      </c>
      <c r="E1107" t="inlineStr">
        <is>
          <t>SOLLEFTEÅ</t>
        </is>
      </c>
      <c r="F1107" t="inlineStr">
        <is>
          <t>SCA</t>
        </is>
      </c>
      <c r="G1107" t="n">
        <v>21.5</v>
      </c>
      <c r="H1107" t="n">
        <v>0</v>
      </c>
      <c r="I1107" t="n">
        <v>0</v>
      </c>
      <c r="J1107" t="n">
        <v>0</v>
      </c>
      <c r="K1107" t="n">
        <v>0</v>
      </c>
      <c r="L1107" t="n">
        <v>0</v>
      </c>
      <c r="M1107" t="n">
        <v>0</v>
      </c>
      <c r="N1107" t="n">
        <v>0</v>
      </c>
      <c r="O1107" t="n">
        <v>0</v>
      </c>
      <c r="P1107" t="n">
        <v>0</v>
      </c>
      <c r="Q1107" t="n">
        <v>0</v>
      </c>
      <c r="R1107" s="2" t="inlineStr"/>
    </row>
    <row r="1108" ht="15" customHeight="1">
      <c r="A1108" t="inlineStr">
        <is>
          <t>A 31562-2024</t>
        </is>
      </c>
      <c r="B1108" s="1" t="n">
        <v>45505</v>
      </c>
      <c r="C1108" s="1" t="n">
        <v>46048</v>
      </c>
      <c r="D1108" t="inlineStr">
        <is>
          <t>VÄSTERNORRLANDS LÄN</t>
        </is>
      </c>
      <c r="E1108" t="inlineStr">
        <is>
          <t>SOLLEFTEÅ</t>
        </is>
      </c>
      <c r="F1108" t="inlineStr">
        <is>
          <t>SCA</t>
        </is>
      </c>
      <c r="G1108" t="n">
        <v>9.6</v>
      </c>
      <c r="H1108" t="n">
        <v>0</v>
      </c>
      <c r="I1108" t="n">
        <v>0</v>
      </c>
      <c r="J1108" t="n">
        <v>0</v>
      </c>
      <c r="K1108" t="n">
        <v>0</v>
      </c>
      <c r="L1108" t="n">
        <v>0</v>
      </c>
      <c r="M1108" t="n">
        <v>0</v>
      </c>
      <c r="N1108" t="n">
        <v>0</v>
      </c>
      <c r="O1108" t="n">
        <v>0</v>
      </c>
      <c r="P1108" t="n">
        <v>0</v>
      </c>
      <c r="Q1108" t="n">
        <v>0</v>
      </c>
      <c r="R1108" s="2" t="inlineStr"/>
    </row>
    <row r="1109" ht="15" customHeight="1">
      <c r="A1109" t="inlineStr">
        <is>
          <t>A 25517-2025</t>
        </is>
      </c>
      <c r="B1109" s="1" t="n">
        <v>45803.37570601852</v>
      </c>
      <c r="C1109" s="1" t="n">
        <v>46048</v>
      </c>
      <c r="D1109" t="inlineStr">
        <is>
          <t>VÄSTERNORRLANDS LÄN</t>
        </is>
      </c>
      <c r="E1109" t="inlineStr">
        <is>
          <t>SOLLEFTEÅ</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11711-2025</t>
        </is>
      </c>
      <c r="B1110" s="1" t="n">
        <v>45727.59398148148</v>
      </c>
      <c r="C1110" s="1" t="n">
        <v>46048</v>
      </c>
      <c r="D1110" t="inlineStr">
        <is>
          <t>VÄSTERNORRLANDS LÄN</t>
        </is>
      </c>
      <c r="E1110" t="inlineStr">
        <is>
          <t>SOLLEFTEÅ</t>
        </is>
      </c>
      <c r="G1110" t="n">
        <v>7.5</v>
      </c>
      <c r="H1110" t="n">
        <v>0</v>
      </c>
      <c r="I1110" t="n">
        <v>0</v>
      </c>
      <c r="J1110" t="n">
        <v>0</v>
      </c>
      <c r="K1110" t="n">
        <v>0</v>
      </c>
      <c r="L1110" t="n">
        <v>0</v>
      </c>
      <c r="M1110" t="n">
        <v>0</v>
      </c>
      <c r="N1110" t="n">
        <v>0</v>
      </c>
      <c r="O1110" t="n">
        <v>0</v>
      </c>
      <c r="P1110" t="n">
        <v>0</v>
      </c>
      <c r="Q1110" t="n">
        <v>0</v>
      </c>
      <c r="R1110" s="2" t="inlineStr"/>
    </row>
    <row r="1111" ht="15" customHeight="1">
      <c r="A1111" t="inlineStr">
        <is>
          <t>A 25145-2025</t>
        </is>
      </c>
      <c r="B1111" s="1" t="n">
        <v>45800</v>
      </c>
      <c r="C1111" s="1" t="n">
        <v>46048</v>
      </c>
      <c r="D1111" t="inlineStr">
        <is>
          <t>VÄSTERNORRLANDS LÄN</t>
        </is>
      </c>
      <c r="E1111" t="inlineStr">
        <is>
          <t>SOLLEFTEÅ</t>
        </is>
      </c>
      <c r="G1111" t="n">
        <v>8.800000000000001</v>
      </c>
      <c r="H1111" t="n">
        <v>0</v>
      </c>
      <c r="I1111" t="n">
        <v>0</v>
      </c>
      <c r="J1111" t="n">
        <v>0</v>
      </c>
      <c r="K1111" t="n">
        <v>0</v>
      </c>
      <c r="L1111" t="n">
        <v>0</v>
      </c>
      <c r="M1111" t="n">
        <v>0</v>
      </c>
      <c r="N1111" t="n">
        <v>0</v>
      </c>
      <c r="O1111" t="n">
        <v>0</v>
      </c>
      <c r="P1111" t="n">
        <v>0</v>
      </c>
      <c r="Q1111" t="n">
        <v>0</v>
      </c>
      <c r="R1111" s="2" t="inlineStr"/>
    </row>
    <row r="1112" ht="15" customHeight="1">
      <c r="A1112" t="inlineStr">
        <is>
          <t>A 27936-2024</t>
        </is>
      </c>
      <c r="B1112" s="1" t="n">
        <v>45475.95054398148</v>
      </c>
      <c r="C1112" s="1" t="n">
        <v>46048</v>
      </c>
      <c r="D1112" t="inlineStr">
        <is>
          <t>VÄSTERNORRLANDS LÄN</t>
        </is>
      </c>
      <c r="E1112" t="inlineStr">
        <is>
          <t>SOLLEFTEÅ</t>
        </is>
      </c>
      <c r="F1112" t="inlineStr">
        <is>
          <t>SCA</t>
        </is>
      </c>
      <c r="G1112" t="n">
        <v>3</v>
      </c>
      <c r="H1112" t="n">
        <v>0</v>
      </c>
      <c r="I1112" t="n">
        <v>0</v>
      </c>
      <c r="J1112" t="n">
        <v>0</v>
      </c>
      <c r="K1112" t="n">
        <v>0</v>
      </c>
      <c r="L1112" t="n">
        <v>0</v>
      </c>
      <c r="M1112" t="n">
        <v>0</v>
      </c>
      <c r="N1112" t="n">
        <v>0</v>
      </c>
      <c r="O1112" t="n">
        <v>0</v>
      </c>
      <c r="P1112" t="n">
        <v>0</v>
      </c>
      <c r="Q1112" t="n">
        <v>0</v>
      </c>
      <c r="R1112" s="2" t="inlineStr"/>
    </row>
    <row r="1113" ht="15" customHeight="1">
      <c r="A1113" t="inlineStr">
        <is>
          <t>A 60360-2024</t>
        </is>
      </c>
      <c r="B1113" s="1" t="n">
        <v>45643.44837962963</v>
      </c>
      <c r="C1113" s="1" t="n">
        <v>46048</v>
      </c>
      <c r="D1113" t="inlineStr">
        <is>
          <t>VÄSTERNORRLANDS LÄN</t>
        </is>
      </c>
      <c r="E1113" t="inlineStr">
        <is>
          <t>SOLLEFTEÅ</t>
        </is>
      </c>
      <c r="F1113" t="inlineStr">
        <is>
          <t>SCA</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27593-2022</t>
        </is>
      </c>
      <c r="B1114" s="1" t="n">
        <v>44742</v>
      </c>
      <c r="C1114" s="1" t="n">
        <v>46048</v>
      </c>
      <c r="D1114" t="inlineStr">
        <is>
          <t>VÄSTERNORRLANDS LÄN</t>
        </is>
      </c>
      <c r="E1114" t="inlineStr">
        <is>
          <t>SOLLEFTEÅ</t>
        </is>
      </c>
      <c r="F1114" t="inlineStr">
        <is>
          <t>SCA</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52438-2024</t>
        </is>
      </c>
      <c r="B1115" s="1" t="n">
        <v>45609.48300925926</v>
      </c>
      <c r="C1115" s="1" t="n">
        <v>46048</v>
      </c>
      <c r="D1115" t="inlineStr">
        <is>
          <t>VÄSTERNORRLANDS LÄN</t>
        </is>
      </c>
      <c r="E1115" t="inlineStr">
        <is>
          <t>SOLLEFTEÅ</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1082-2025</t>
        </is>
      </c>
      <c r="B1116" s="1" t="n">
        <v>45666.61646990741</v>
      </c>
      <c r="C1116" s="1" t="n">
        <v>46048</v>
      </c>
      <c r="D1116" t="inlineStr">
        <is>
          <t>VÄSTERNORRLANDS LÄN</t>
        </is>
      </c>
      <c r="E1116" t="inlineStr">
        <is>
          <t>SOLLEFTEÅ</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40115-2023</t>
        </is>
      </c>
      <c r="B1117" s="1" t="n">
        <v>45168.93859953704</v>
      </c>
      <c r="C1117" s="1" t="n">
        <v>46048</v>
      </c>
      <c r="D1117" t="inlineStr">
        <is>
          <t>VÄSTERNORRLANDS LÄN</t>
        </is>
      </c>
      <c r="E1117" t="inlineStr">
        <is>
          <t>SOLLEFTEÅ</t>
        </is>
      </c>
      <c r="F1117" t="inlineStr">
        <is>
          <t>SCA</t>
        </is>
      </c>
      <c r="G1117" t="n">
        <v>4</v>
      </c>
      <c r="H1117" t="n">
        <v>0</v>
      </c>
      <c r="I1117" t="n">
        <v>0</v>
      </c>
      <c r="J1117" t="n">
        <v>0</v>
      </c>
      <c r="K1117" t="n">
        <v>0</v>
      </c>
      <c r="L1117" t="n">
        <v>0</v>
      </c>
      <c r="M1117" t="n">
        <v>0</v>
      </c>
      <c r="N1117" t="n">
        <v>0</v>
      </c>
      <c r="O1117" t="n">
        <v>0</v>
      </c>
      <c r="P1117" t="n">
        <v>0</v>
      </c>
      <c r="Q1117" t="n">
        <v>0</v>
      </c>
      <c r="R1117" s="2" t="inlineStr"/>
    </row>
    <row r="1118" ht="15" customHeight="1">
      <c r="A1118" t="inlineStr">
        <is>
          <t>A 25297-2025</t>
        </is>
      </c>
      <c r="B1118" s="1" t="n">
        <v>45800.5684837963</v>
      </c>
      <c r="C1118" s="1" t="n">
        <v>46048</v>
      </c>
      <c r="D1118" t="inlineStr">
        <is>
          <t>VÄSTERNORRLANDS LÄN</t>
        </is>
      </c>
      <c r="E1118" t="inlineStr">
        <is>
          <t>SOLLEFTEÅ</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12730-2023</t>
        </is>
      </c>
      <c r="B1119" s="1" t="n">
        <v>45000.92381944445</v>
      </c>
      <c r="C1119" s="1" t="n">
        <v>46048</v>
      </c>
      <c r="D1119" t="inlineStr">
        <is>
          <t>VÄSTERNORRLANDS LÄN</t>
        </is>
      </c>
      <c r="E1119" t="inlineStr">
        <is>
          <t>SOLLEFTEÅ</t>
        </is>
      </c>
      <c r="G1119" t="n">
        <v>7.4</v>
      </c>
      <c r="H1119" t="n">
        <v>0</v>
      </c>
      <c r="I1119" t="n">
        <v>0</v>
      </c>
      <c r="J1119" t="n">
        <v>0</v>
      </c>
      <c r="K1119" t="n">
        <v>0</v>
      </c>
      <c r="L1119" t="n">
        <v>0</v>
      </c>
      <c r="M1119" t="n">
        <v>0</v>
      </c>
      <c r="N1119" t="n">
        <v>0</v>
      </c>
      <c r="O1119" t="n">
        <v>0</v>
      </c>
      <c r="P1119" t="n">
        <v>0</v>
      </c>
      <c r="Q1119" t="n">
        <v>0</v>
      </c>
      <c r="R1119" s="2" t="inlineStr"/>
    </row>
    <row r="1120" ht="15" customHeight="1">
      <c r="A1120" t="inlineStr">
        <is>
          <t>A 12733-2023</t>
        </is>
      </c>
      <c r="B1120" s="1" t="n">
        <v>45000</v>
      </c>
      <c r="C1120" s="1" t="n">
        <v>46048</v>
      </c>
      <c r="D1120" t="inlineStr">
        <is>
          <t>VÄSTERNORRLANDS LÄN</t>
        </is>
      </c>
      <c r="E1120" t="inlineStr">
        <is>
          <t>SOLLEFTEÅ</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53278-2021</t>
        </is>
      </c>
      <c r="B1121" s="1" t="n">
        <v>44467</v>
      </c>
      <c r="C1121" s="1" t="n">
        <v>46048</v>
      </c>
      <c r="D1121" t="inlineStr">
        <is>
          <t>VÄSTERNORRLANDS LÄN</t>
        </is>
      </c>
      <c r="E1121" t="inlineStr">
        <is>
          <t>SOLLEFTEÅ</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25079-2023</t>
        </is>
      </c>
      <c r="B1122" s="1" t="n">
        <v>45086</v>
      </c>
      <c r="C1122" s="1" t="n">
        <v>46048</v>
      </c>
      <c r="D1122" t="inlineStr">
        <is>
          <t>VÄSTERNORRLANDS LÄN</t>
        </is>
      </c>
      <c r="E1122" t="inlineStr">
        <is>
          <t>SOLLEFTEÅ</t>
        </is>
      </c>
      <c r="F1122" t="inlineStr">
        <is>
          <t>Kommuner</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37381-2023</t>
        </is>
      </c>
      <c r="B1123" s="1" t="n">
        <v>45155</v>
      </c>
      <c r="C1123" s="1" t="n">
        <v>46048</v>
      </c>
      <c r="D1123" t="inlineStr">
        <is>
          <t>VÄSTERNORRLANDS LÄN</t>
        </is>
      </c>
      <c r="E1123" t="inlineStr">
        <is>
          <t>SOLLEFTEÅ</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34316-2024</t>
        </is>
      </c>
      <c r="B1124" s="1" t="n">
        <v>45524</v>
      </c>
      <c r="C1124" s="1" t="n">
        <v>46048</v>
      </c>
      <c r="D1124" t="inlineStr">
        <is>
          <t>VÄSTERNORRLANDS LÄN</t>
        </is>
      </c>
      <c r="E1124" t="inlineStr">
        <is>
          <t>SOLLEFTEÅ</t>
        </is>
      </c>
      <c r="F1124" t="inlineStr">
        <is>
          <t>Övriga statliga verk och myndigheter</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49417-2023</t>
        </is>
      </c>
      <c r="B1125" s="1" t="n">
        <v>45205</v>
      </c>
      <c r="C1125" s="1" t="n">
        <v>46048</v>
      </c>
      <c r="D1125" t="inlineStr">
        <is>
          <t>VÄSTERNORRLANDS LÄN</t>
        </is>
      </c>
      <c r="E1125" t="inlineStr">
        <is>
          <t>SOLLEFTEÅ</t>
        </is>
      </c>
      <c r="F1125" t="inlineStr">
        <is>
          <t>SCA</t>
        </is>
      </c>
      <c r="G1125" t="n">
        <v>4.8</v>
      </c>
      <c r="H1125" t="n">
        <v>0</v>
      </c>
      <c r="I1125" t="n">
        <v>0</v>
      </c>
      <c r="J1125" t="n">
        <v>0</v>
      </c>
      <c r="K1125" t="n">
        <v>0</v>
      </c>
      <c r="L1125" t="n">
        <v>0</v>
      </c>
      <c r="M1125" t="n">
        <v>0</v>
      </c>
      <c r="N1125" t="n">
        <v>0</v>
      </c>
      <c r="O1125" t="n">
        <v>0</v>
      </c>
      <c r="P1125" t="n">
        <v>0</v>
      </c>
      <c r="Q1125" t="n">
        <v>0</v>
      </c>
      <c r="R1125" s="2" t="inlineStr"/>
    </row>
    <row r="1126" ht="15" customHeight="1">
      <c r="A1126" t="inlineStr">
        <is>
          <t>A 25132-2025</t>
        </is>
      </c>
      <c r="B1126" s="1" t="n">
        <v>45800</v>
      </c>
      <c r="C1126" s="1" t="n">
        <v>46048</v>
      </c>
      <c r="D1126" t="inlineStr">
        <is>
          <t>VÄSTERNORRLANDS LÄN</t>
        </is>
      </c>
      <c r="E1126" t="inlineStr">
        <is>
          <t>SOLLEFTEÅ</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55726-2024</t>
        </is>
      </c>
      <c r="B1127" s="1" t="n">
        <v>45622.84653935185</v>
      </c>
      <c r="C1127" s="1" t="n">
        <v>46048</v>
      </c>
      <c r="D1127" t="inlineStr">
        <is>
          <t>VÄSTERNORRLANDS LÄN</t>
        </is>
      </c>
      <c r="E1127" t="inlineStr">
        <is>
          <t>SOLLEFTEÅ</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3319-2025</t>
        </is>
      </c>
      <c r="B1128" s="1" t="n">
        <v>45679</v>
      </c>
      <c r="C1128" s="1" t="n">
        <v>46048</v>
      </c>
      <c r="D1128" t="inlineStr">
        <is>
          <t>VÄSTERNORRLANDS LÄN</t>
        </is>
      </c>
      <c r="E1128" t="inlineStr">
        <is>
          <t>SOLLEFTEÅ</t>
        </is>
      </c>
      <c r="F1128" t="inlineStr">
        <is>
          <t>SCA</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21364-2024</t>
        </is>
      </c>
      <c r="B1129" s="1" t="n">
        <v>45440.95248842592</v>
      </c>
      <c r="C1129" s="1" t="n">
        <v>46048</v>
      </c>
      <c r="D1129" t="inlineStr">
        <is>
          <t>VÄSTERNORRLANDS LÄN</t>
        </is>
      </c>
      <c r="E1129" t="inlineStr">
        <is>
          <t>SOLLEFTEÅ</t>
        </is>
      </c>
      <c r="F1129" t="inlineStr">
        <is>
          <t>SCA</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394-2024</t>
        </is>
      </c>
      <c r="B1130" s="1" t="n">
        <v>45296</v>
      </c>
      <c r="C1130" s="1" t="n">
        <v>46048</v>
      </c>
      <c r="D1130" t="inlineStr">
        <is>
          <t>VÄSTERNORRLANDS LÄN</t>
        </is>
      </c>
      <c r="E1130" t="inlineStr">
        <is>
          <t>SOLLEFTEÅ</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12590-2024</t>
        </is>
      </c>
      <c r="B1131" s="1" t="n">
        <v>45379.93686342592</v>
      </c>
      <c r="C1131" s="1" t="n">
        <v>46048</v>
      </c>
      <c r="D1131" t="inlineStr">
        <is>
          <t>VÄSTERNORRLANDS LÄN</t>
        </is>
      </c>
      <c r="E1131" t="inlineStr">
        <is>
          <t>SOLLEFTEÅ</t>
        </is>
      </c>
      <c r="F1131" t="inlineStr">
        <is>
          <t>SCA</t>
        </is>
      </c>
      <c r="G1131" t="n">
        <v>4.8</v>
      </c>
      <c r="H1131" t="n">
        <v>0</v>
      </c>
      <c r="I1131" t="n">
        <v>0</v>
      </c>
      <c r="J1131" t="n">
        <v>0</v>
      </c>
      <c r="K1131" t="n">
        <v>0</v>
      </c>
      <c r="L1131" t="n">
        <v>0</v>
      </c>
      <c r="M1131" t="n">
        <v>0</v>
      </c>
      <c r="N1131" t="n">
        <v>0</v>
      </c>
      <c r="O1131" t="n">
        <v>0</v>
      </c>
      <c r="P1131" t="n">
        <v>0</v>
      </c>
      <c r="Q1131" t="n">
        <v>0</v>
      </c>
      <c r="R1131" s="2" t="inlineStr"/>
    </row>
    <row r="1132" ht="15" customHeight="1">
      <c r="A1132" t="inlineStr">
        <is>
          <t>A 34329-2023</t>
        </is>
      </c>
      <c r="B1132" s="1" t="n">
        <v>45138.94997685185</v>
      </c>
      <c r="C1132" s="1" t="n">
        <v>46048</v>
      </c>
      <c r="D1132" t="inlineStr">
        <is>
          <t>VÄSTERNORRLANDS LÄN</t>
        </is>
      </c>
      <c r="E1132" t="inlineStr">
        <is>
          <t>SOLLEFTEÅ</t>
        </is>
      </c>
      <c r="F1132" t="inlineStr">
        <is>
          <t>SCA</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25833-2025</t>
        </is>
      </c>
      <c r="B1133" s="1" t="n">
        <v>45804.44827546296</v>
      </c>
      <c r="C1133" s="1" t="n">
        <v>46048</v>
      </c>
      <c r="D1133" t="inlineStr">
        <is>
          <t>VÄSTERNORRLANDS LÄN</t>
        </is>
      </c>
      <c r="E1133" t="inlineStr">
        <is>
          <t>SOLLEFTEÅ</t>
        </is>
      </c>
      <c r="F1133" t="inlineStr">
        <is>
          <t>SCA</t>
        </is>
      </c>
      <c r="G1133" t="n">
        <v>3.6</v>
      </c>
      <c r="H1133" t="n">
        <v>0</v>
      </c>
      <c r="I1133" t="n">
        <v>0</v>
      </c>
      <c r="J1133" t="n">
        <v>0</v>
      </c>
      <c r="K1133" t="n">
        <v>0</v>
      </c>
      <c r="L1133" t="n">
        <v>0</v>
      </c>
      <c r="M1133" t="n">
        <v>0</v>
      </c>
      <c r="N1133" t="n">
        <v>0</v>
      </c>
      <c r="O1133" t="n">
        <v>0</v>
      </c>
      <c r="P1133" t="n">
        <v>0</v>
      </c>
      <c r="Q1133" t="n">
        <v>0</v>
      </c>
      <c r="R1133" s="2" t="inlineStr"/>
    </row>
    <row r="1134" ht="15" customHeight="1">
      <c r="A1134" t="inlineStr">
        <is>
          <t>A 60831-2024</t>
        </is>
      </c>
      <c r="B1134" s="1" t="n">
        <v>45644</v>
      </c>
      <c r="C1134" s="1" t="n">
        <v>46048</v>
      </c>
      <c r="D1134" t="inlineStr">
        <is>
          <t>VÄSTERNORRLANDS LÄN</t>
        </is>
      </c>
      <c r="E1134" t="inlineStr">
        <is>
          <t>SOLLEFTEÅ</t>
        </is>
      </c>
      <c r="G1134" t="n">
        <v>8.199999999999999</v>
      </c>
      <c r="H1134" t="n">
        <v>0</v>
      </c>
      <c r="I1134" t="n">
        <v>0</v>
      </c>
      <c r="J1134" t="n">
        <v>0</v>
      </c>
      <c r="K1134" t="n">
        <v>0</v>
      </c>
      <c r="L1134" t="n">
        <v>0</v>
      </c>
      <c r="M1134" t="n">
        <v>0</v>
      </c>
      <c r="N1134" t="n">
        <v>0</v>
      </c>
      <c r="O1134" t="n">
        <v>0</v>
      </c>
      <c r="P1134" t="n">
        <v>0</v>
      </c>
      <c r="Q1134" t="n">
        <v>0</v>
      </c>
      <c r="R1134" s="2" t="inlineStr"/>
    </row>
    <row r="1135" ht="15" customHeight="1">
      <c r="A1135" t="inlineStr">
        <is>
          <t>A 25856-2025</t>
        </is>
      </c>
      <c r="B1135" s="1" t="n">
        <v>45804.46944444445</v>
      </c>
      <c r="C1135" s="1" t="n">
        <v>46048</v>
      </c>
      <c r="D1135" t="inlineStr">
        <is>
          <t>VÄSTERNORRLANDS LÄN</t>
        </is>
      </c>
      <c r="E1135" t="inlineStr">
        <is>
          <t>SOLLEFTEÅ</t>
        </is>
      </c>
      <c r="F1135" t="inlineStr">
        <is>
          <t>SCA</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47471-2024</t>
        </is>
      </c>
      <c r="B1136" s="1" t="n">
        <v>45587.57324074074</v>
      </c>
      <c r="C1136" s="1" t="n">
        <v>46048</v>
      </c>
      <c r="D1136" t="inlineStr">
        <is>
          <t>VÄSTERNORRLANDS LÄN</t>
        </is>
      </c>
      <c r="E1136" t="inlineStr">
        <is>
          <t>SOLLEFTEÅ</t>
        </is>
      </c>
      <c r="F1136" t="inlineStr">
        <is>
          <t>SCA</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66178-2021</t>
        </is>
      </c>
      <c r="B1137" s="1" t="n">
        <v>44517</v>
      </c>
      <c r="C1137" s="1" t="n">
        <v>46048</v>
      </c>
      <c r="D1137" t="inlineStr">
        <is>
          <t>VÄSTERNORRLANDS LÄN</t>
        </is>
      </c>
      <c r="E1137" t="inlineStr">
        <is>
          <t>SOLLEFTEÅ</t>
        </is>
      </c>
      <c r="F1137" t="inlineStr">
        <is>
          <t>SCA</t>
        </is>
      </c>
      <c r="G1137" t="n">
        <v>31.7</v>
      </c>
      <c r="H1137" t="n">
        <v>0</v>
      </c>
      <c r="I1137" t="n">
        <v>0</v>
      </c>
      <c r="J1137" t="n">
        <v>0</v>
      </c>
      <c r="K1137" t="n">
        <v>0</v>
      </c>
      <c r="L1137" t="n">
        <v>0</v>
      </c>
      <c r="M1137" t="n">
        <v>0</v>
      </c>
      <c r="N1137" t="n">
        <v>0</v>
      </c>
      <c r="O1137" t="n">
        <v>0</v>
      </c>
      <c r="P1137" t="n">
        <v>0</v>
      </c>
      <c r="Q1137" t="n">
        <v>0</v>
      </c>
      <c r="R1137" s="2" t="inlineStr"/>
    </row>
    <row r="1138" ht="15" customHeight="1">
      <c r="A1138" t="inlineStr">
        <is>
          <t>A 73367-2021</t>
        </is>
      </c>
      <c r="B1138" s="1" t="n">
        <v>44550</v>
      </c>
      <c r="C1138" s="1" t="n">
        <v>46048</v>
      </c>
      <c r="D1138" t="inlineStr">
        <is>
          <t>VÄSTERNORRLANDS LÄN</t>
        </is>
      </c>
      <c r="E1138" t="inlineStr">
        <is>
          <t>SOLLEFTEÅ</t>
        </is>
      </c>
      <c r="G1138" t="n">
        <v>10.8</v>
      </c>
      <c r="H1138" t="n">
        <v>0</v>
      </c>
      <c r="I1138" t="n">
        <v>0</v>
      </c>
      <c r="J1138" t="n">
        <v>0</v>
      </c>
      <c r="K1138" t="n">
        <v>0</v>
      </c>
      <c r="L1138" t="n">
        <v>0</v>
      </c>
      <c r="M1138" t="n">
        <v>0</v>
      </c>
      <c r="N1138" t="n">
        <v>0</v>
      </c>
      <c r="O1138" t="n">
        <v>0</v>
      </c>
      <c r="P1138" t="n">
        <v>0</v>
      </c>
      <c r="Q1138" t="n">
        <v>0</v>
      </c>
      <c r="R1138" s="2" t="inlineStr"/>
    </row>
    <row r="1139" ht="15" customHeight="1">
      <c r="A1139" t="inlineStr">
        <is>
          <t>A 34313-2024</t>
        </is>
      </c>
      <c r="B1139" s="1" t="n">
        <v>45524</v>
      </c>
      <c r="C1139" s="1" t="n">
        <v>46048</v>
      </c>
      <c r="D1139" t="inlineStr">
        <is>
          <t>VÄSTERNORRLANDS LÄN</t>
        </is>
      </c>
      <c r="E1139" t="inlineStr">
        <is>
          <t>SOLLEFTEÅ</t>
        </is>
      </c>
      <c r="F1139" t="inlineStr">
        <is>
          <t>Övriga statliga verk och myndigheter</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34318-2024</t>
        </is>
      </c>
      <c r="B1140" s="1" t="n">
        <v>45524</v>
      </c>
      <c r="C1140" s="1" t="n">
        <v>46048</v>
      </c>
      <c r="D1140" t="inlineStr">
        <is>
          <t>VÄSTERNORRLANDS LÄN</t>
        </is>
      </c>
      <c r="E1140" t="inlineStr">
        <is>
          <t>SOLLEFTEÅ</t>
        </is>
      </c>
      <c r="F1140" t="inlineStr">
        <is>
          <t>Övriga statliga verk och myndigheter</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53483-2024</t>
        </is>
      </c>
      <c r="B1141" s="1" t="n">
        <v>45611</v>
      </c>
      <c r="C1141" s="1" t="n">
        <v>46048</v>
      </c>
      <c r="D1141" t="inlineStr">
        <is>
          <t>VÄSTERNORRLANDS LÄN</t>
        </is>
      </c>
      <c r="E1141" t="inlineStr">
        <is>
          <t>SOLLEFTEÅ</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25963-2025</t>
        </is>
      </c>
      <c r="B1142" s="1" t="n">
        <v>45804.61568287037</v>
      </c>
      <c r="C1142" s="1" t="n">
        <v>46048</v>
      </c>
      <c r="D1142" t="inlineStr">
        <is>
          <t>VÄSTERNORRLANDS LÄN</t>
        </is>
      </c>
      <c r="E1142" t="inlineStr">
        <is>
          <t>SOLLEFTEÅ</t>
        </is>
      </c>
      <c r="G1142" t="n">
        <v>4.3</v>
      </c>
      <c r="H1142" t="n">
        <v>0</v>
      </c>
      <c r="I1142" t="n">
        <v>0</v>
      </c>
      <c r="J1142" t="n">
        <v>0</v>
      </c>
      <c r="K1142" t="n">
        <v>0</v>
      </c>
      <c r="L1142" t="n">
        <v>0</v>
      </c>
      <c r="M1142" t="n">
        <v>0</v>
      </c>
      <c r="N1142" t="n">
        <v>0</v>
      </c>
      <c r="O1142" t="n">
        <v>0</v>
      </c>
      <c r="P1142" t="n">
        <v>0</v>
      </c>
      <c r="Q1142" t="n">
        <v>0</v>
      </c>
      <c r="R1142" s="2" t="inlineStr"/>
    </row>
    <row r="1143" ht="15" customHeight="1">
      <c r="A1143" t="inlineStr">
        <is>
          <t>A 12022-2022</t>
        </is>
      </c>
      <c r="B1143" s="1" t="n">
        <v>44635.94396990741</v>
      </c>
      <c r="C1143" s="1" t="n">
        <v>46048</v>
      </c>
      <c r="D1143" t="inlineStr">
        <is>
          <t>VÄSTERNORRLANDS LÄN</t>
        </is>
      </c>
      <c r="E1143" t="inlineStr">
        <is>
          <t>SOLLEFTEÅ</t>
        </is>
      </c>
      <c r="F1143" t="inlineStr">
        <is>
          <t>SCA</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23730-2024</t>
        </is>
      </c>
      <c r="B1144" s="1" t="n">
        <v>45454.95877314815</v>
      </c>
      <c r="C1144" s="1" t="n">
        <v>46048</v>
      </c>
      <c r="D1144" t="inlineStr">
        <is>
          <t>VÄSTERNORRLANDS LÄN</t>
        </is>
      </c>
      <c r="E1144" t="inlineStr">
        <is>
          <t>SOLLEFTEÅ</t>
        </is>
      </c>
      <c r="F1144" t="inlineStr">
        <is>
          <t>SCA</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56261-2023</t>
        </is>
      </c>
      <c r="B1145" s="1" t="n">
        <v>45240</v>
      </c>
      <c r="C1145" s="1" t="n">
        <v>46048</v>
      </c>
      <c r="D1145" t="inlineStr">
        <is>
          <t>VÄSTERNORRLANDS LÄN</t>
        </is>
      </c>
      <c r="E1145" t="inlineStr">
        <is>
          <t>SOLLEFTEÅ</t>
        </is>
      </c>
      <c r="F1145" t="inlineStr">
        <is>
          <t>SCA</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13860-2025</t>
        </is>
      </c>
      <c r="B1146" s="1" t="n">
        <v>45737.57387731481</v>
      </c>
      <c r="C1146" s="1" t="n">
        <v>46048</v>
      </c>
      <c r="D1146" t="inlineStr">
        <is>
          <t>VÄSTERNORRLANDS LÄN</t>
        </is>
      </c>
      <c r="E1146" t="inlineStr">
        <is>
          <t>SOLLEFTEÅ</t>
        </is>
      </c>
      <c r="F1146" t="inlineStr">
        <is>
          <t>SCA</t>
        </is>
      </c>
      <c r="G1146" t="n">
        <v>10.2</v>
      </c>
      <c r="H1146" t="n">
        <v>0</v>
      </c>
      <c r="I1146" t="n">
        <v>0</v>
      </c>
      <c r="J1146" t="n">
        <v>0</v>
      </c>
      <c r="K1146" t="n">
        <v>0</v>
      </c>
      <c r="L1146" t="n">
        <v>0</v>
      </c>
      <c r="M1146" t="n">
        <v>0</v>
      </c>
      <c r="N1146" t="n">
        <v>0</v>
      </c>
      <c r="O1146" t="n">
        <v>0</v>
      </c>
      <c r="P1146" t="n">
        <v>0</v>
      </c>
      <c r="Q1146" t="n">
        <v>0</v>
      </c>
      <c r="R1146" s="2" t="inlineStr"/>
    </row>
    <row r="1147" ht="15" customHeight="1">
      <c r="A1147" t="inlineStr">
        <is>
          <t>A 32733-2023</t>
        </is>
      </c>
      <c r="B1147" s="1" t="n">
        <v>45121</v>
      </c>
      <c r="C1147" s="1" t="n">
        <v>46048</v>
      </c>
      <c r="D1147" t="inlineStr">
        <is>
          <t>VÄSTERNORRLANDS LÄN</t>
        </is>
      </c>
      <c r="E1147" t="inlineStr">
        <is>
          <t>SOLLEFTEÅ</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30464-2024</t>
        </is>
      </c>
      <c r="B1148" s="1" t="n">
        <v>45491.94599537037</v>
      </c>
      <c r="C1148" s="1" t="n">
        <v>46048</v>
      </c>
      <c r="D1148" t="inlineStr">
        <is>
          <t>VÄSTERNORRLANDS LÄN</t>
        </is>
      </c>
      <c r="E1148" t="inlineStr">
        <is>
          <t>SOLLEFTEÅ</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30466-2024</t>
        </is>
      </c>
      <c r="B1149" s="1" t="n">
        <v>45491.94641203704</v>
      </c>
      <c r="C1149" s="1" t="n">
        <v>46048</v>
      </c>
      <c r="D1149" t="inlineStr">
        <is>
          <t>VÄSTERNORRLANDS LÄN</t>
        </is>
      </c>
      <c r="E1149" t="inlineStr">
        <is>
          <t>SOLLEFTEÅ</t>
        </is>
      </c>
      <c r="F1149" t="inlineStr">
        <is>
          <t>SCA</t>
        </is>
      </c>
      <c r="G1149" t="n">
        <v>5.2</v>
      </c>
      <c r="H1149" t="n">
        <v>0</v>
      </c>
      <c r="I1149" t="n">
        <v>0</v>
      </c>
      <c r="J1149" t="n">
        <v>0</v>
      </c>
      <c r="K1149" t="n">
        <v>0</v>
      </c>
      <c r="L1149" t="n">
        <v>0</v>
      </c>
      <c r="M1149" t="n">
        <v>0</v>
      </c>
      <c r="N1149" t="n">
        <v>0</v>
      </c>
      <c r="O1149" t="n">
        <v>0</v>
      </c>
      <c r="P1149" t="n">
        <v>0</v>
      </c>
      <c r="Q1149" t="n">
        <v>0</v>
      </c>
      <c r="R1149" s="2" t="inlineStr"/>
    </row>
    <row r="1150" ht="15" customHeight="1">
      <c r="A1150" t="inlineStr">
        <is>
          <t>A 7332-2023</t>
        </is>
      </c>
      <c r="B1150" s="1" t="n">
        <v>44970</v>
      </c>
      <c r="C1150" s="1" t="n">
        <v>46048</v>
      </c>
      <c r="D1150" t="inlineStr">
        <is>
          <t>VÄSTERNORRLANDS LÄN</t>
        </is>
      </c>
      <c r="E1150" t="inlineStr">
        <is>
          <t>SOLLEFTEÅ</t>
        </is>
      </c>
      <c r="F1150" t="inlineStr">
        <is>
          <t>SCA</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53379-2023</t>
        </is>
      </c>
      <c r="B1151" s="1" t="n">
        <v>45222</v>
      </c>
      <c r="C1151" s="1" t="n">
        <v>46048</v>
      </c>
      <c r="D1151" t="inlineStr">
        <is>
          <t>VÄSTERNORRLANDS LÄN</t>
        </is>
      </c>
      <c r="E1151" t="inlineStr">
        <is>
          <t>SOLLEFTEÅ</t>
        </is>
      </c>
      <c r="G1151" t="n">
        <v>3.2</v>
      </c>
      <c r="H1151" t="n">
        <v>0</v>
      </c>
      <c r="I1151" t="n">
        <v>0</v>
      </c>
      <c r="J1151" t="n">
        <v>0</v>
      </c>
      <c r="K1151" t="n">
        <v>0</v>
      </c>
      <c r="L1151" t="n">
        <v>0</v>
      </c>
      <c r="M1151" t="n">
        <v>0</v>
      </c>
      <c r="N1151" t="n">
        <v>0</v>
      </c>
      <c r="O1151" t="n">
        <v>0</v>
      </c>
      <c r="P1151" t="n">
        <v>0</v>
      </c>
      <c r="Q1151" t="n">
        <v>0</v>
      </c>
      <c r="R1151" s="2" t="inlineStr"/>
    </row>
    <row r="1152" ht="15" customHeight="1">
      <c r="A1152" t="inlineStr">
        <is>
          <t>A 36771-2023</t>
        </is>
      </c>
      <c r="B1152" s="1" t="n">
        <v>45153</v>
      </c>
      <c r="C1152" s="1" t="n">
        <v>46048</v>
      </c>
      <c r="D1152" t="inlineStr">
        <is>
          <t>VÄSTERNORRLANDS LÄN</t>
        </is>
      </c>
      <c r="E1152" t="inlineStr">
        <is>
          <t>SOLLEFTEÅ</t>
        </is>
      </c>
      <c r="F1152" t="inlineStr">
        <is>
          <t>SCA</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52461-2024</t>
        </is>
      </c>
      <c r="B1153" s="1" t="n">
        <v>45609.51947916667</v>
      </c>
      <c r="C1153" s="1" t="n">
        <v>46048</v>
      </c>
      <c r="D1153" t="inlineStr">
        <is>
          <t>VÄSTERNORRLANDS LÄN</t>
        </is>
      </c>
      <c r="E1153" t="inlineStr">
        <is>
          <t>SOLLEFTEÅ</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48489-2024</t>
        </is>
      </c>
      <c r="B1154" s="1" t="n">
        <v>45592</v>
      </c>
      <c r="C1154" s="1" t="n">
        <v>46048</v>
      </c>
      <c r="D1154" t="inlineStr">
        <is>
          <t>VÄSTERNORRLANDS LÄN</t>
        </is>
      </c>
      <c r="E1154" t="inlineStr">
        <is>
          <t>SOLLEFTEÅ</t>
        </is>
      </c>
      <c r="F1154" t="inlineStr">
        <is>
          <t>SCA</t>
        </is>
      </c>
      <c r="G1154" t="n">
        <v>3.9</v>
      </c>
      <c r="H1154" t="n">
        <v>0</v>
      </c>
      <c r="I1154" t="n">
        <v>0</v>
      </c>
      <c r="J1154" t="n">
        <v>0</v>
      </c>
      <c r="K1154" t="n">
        <v>0</v>
      </c>
      <c r="L1154" t="n">
        <v>0</v>
      </c>
      <c r="M1154" t="n">
        <v>0</v>
      </c>
      <c r="N1154" t="n">
        <v>0</v>
      </c>
      <c r="O1154" t="n">
        <v>0</v>
      </c>
      <c r="P1154" t="n">
        <v>0</v>
      </c>
      <c r="Q1154" t="n">
        <v>0</v>
      </c>
      <c r="R1154" s="2" t="inlineStr"/>
    </row>
    <row r="1155" ht="15" customHeight="1">
      <c r="A1155" t="inlineStr">
        <is>
          <t>A 58276-2021</t>
        </is>
      </c>
      <c r="B1155" s="1" t="n">
        <v>44487.94453703704</v>
      </c>
      <c r="C1155" s="1" t="n">
        <v>46048</v>
      </c>
      <c r="D1155" t="inlineStr">
        <is>
          <t>VÄSTERNORRLANDS LÄN</t>
        </is>
      </c>
      <c r="E1155" t="inlineStr">
        <is>
          <t>SOLLEFTEÅ</t>
        </is>
      </c>
      <c r="F1155" t="inlineStr">
        <is>
          <t>SCA</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59579-2023</t>
        </is>
      </c>
      <c r="B1156" s="1" t="n">
        <v>45253</v>
      </c>
      <c r="C1156" s="1" t="n">
        <v>46048</v>
      </c>
      <c r="D1156" t="inlineStr">
        <is>
          <t>VÄSTERNORRLANDS LÄN</t>
        </is>
      </c>
      <c r="E1156" t="inlineStr">
        <is>
          <t>SOLLEFTEÅ</t>
        </is>
      </c>
      <c r="G1156" t="n">
        <v>6.2</v>
      </c>
      <c r="H1156" t="n">
        <v>0</v>
      </c>
      <c r="I1156" t="n">
        <v>0</v>
      </c>
      <c r="J1156" t="n">
        <v>0</v>
      </c>
      <c r="K1156" t="n">
        <v>0</v>
      </c>
      <c r="L1156" t="n">
        <v>0</v>
      </c>
      <c r="M1156" t="n">
        <v>0</v>
      </c>
      <c r="N1156" t="n">
        <v>0</v>
      </c>
      <c r="O1156" t="n">
        <v>0</v>
      </c>
      <c r="P1156" t="n">
        <v>0</v>
      </c>
      <c r="Q1156" t="n">
        <v>0</v>
      </c>
      <c r="R1156" s="2" t="inlineStr"/>
    </row>
    <row r="1157" ht="15" customHeight="1">
      <c r="A1157" t="inlineStr">
        <is>
          <t>A 25939-2025</t>
        </is>
      </c>
      <c r="B1157" s="1" t="n">
        <v>45804.5943287037</v>
      </c>
      <c r="C1157" s="1" t="n">
        <v>46048</v>
      </c>
      <c r="D1157" t="inlineStr">
        <is>
          <t>VÄSTERNORRLANDS LÄN</t>
        </is>
      </c>
      <c r="E1157" t="inlineStr">
        <is>
          <t>SOLLEFTEÅ</t>
        </is>
      </c>
      <c r="F1157" t="inlineStr">
        <is>
          <t>SCA</t>
        </is>
      </c>
      <c r="G1157" t="n">
        <v>11.3</v>
      </c>
      <c r="H1157" t="n">
        <v>0</v>
      </c>
      <c r="I1157" t="n">
        <v>0</v>
      </c>
      <c r="J1157" t="n">
        <v>0</v>
      </c>
      <c r="K1157" t="n">
        <v>0</v>
      </c>
      <c r="L1157" t="n">
        <v>0</v>
      </c>
      <c r="M1157" t="n">
        <v>0</v>
      </c>
      <c r="N1157" t="n">
        <v>0</v>
      </c>
      <c r="O1157" t="n">
        <v>0</v>
      </c>
      <c r="P1157" t="n">
        <v>0</v>
      </c>
      <c r="Q1157" t="n">
        <v>0</v>
      </c>
      <c r="R1157" s="2" t="inlineStr"/>
    </row>
    <row r="1158" ht="15" customHeight="1">
      <c r="A1158" t="inlineStr">
        <is>
          <t>A 26088-2025</t>
        </is>
      </c>
      <c r="B1158" s="1" t="n">
        <v>45805.34497685185</v>
      </c>
      <c r="C1158" s="1" t="n">
        <v>46048</v>
      </c>
      <c r="D1158" t="inlineStr">
        <is>
          <t>VÄSTERNORRLANDS LÄN</t>
        </is>
      </c>
      <c r="E1158" t="inlineStr">
        <is>
          <t>SOLLEFTEÅ</t>
        </is>
      </c>
      <c r="F1158" t="inlineStr">
        <is>
          <t>SCA</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9950-2025</t>
        </is>
      </c>
      <c r="B1159" s="1" t="n">
        <v>45719.34416666667</v>
      </c>
      <c r="C1159" s="1" t="n">
        <v>46048</v>
      </c>
      <c r="D1159" t="inlineStr">
        <is>
          <t>VÄSTERNORRLANDS LÄN</t>
        </is>
      </c>
      <c r="E1159" t="inlineStr">
        <is>
          <t>SOLLEFTEÅ</t>
        </is>
      </c>
      <c r="F1159" t="inlineStr">
        <is>
          <t>SCA</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14353-2025</t>
        </is>
      </c>
      <c r="B1160" s="1" t="n">
        <v>45741.36502314815</v>
      </c>
      <c r="C1160" s="1" t="n">
        <v>46048</v>
      </c>
      <c r="D1160" t="inlineStr">
        <is>
          <t>VÄSTERNORRLANDS LÄN</t>
        </is>
      </c>
      <c r="E1160" t="inlineStr">
        <is>
          <t>SOLLEFTEÅ</t>
        </is>
      </c>
      <c r="F1160" t="inlineStr">
        <is>
          <t>SCA</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16463-2024</t>
        </is>
      </c>
      <c r="B1161" s="1" t="n">
        <v>45408.05027777778</v>
      </c>
      <c r="C1161" s="1" t="n">
        <v>46048</v>
      </c>
      <c r="D1161" t="inlineStr">
        <is>
          <t>VÄSTERNORRLANDS LÄN</t>
        </is>
      </c>
      <c r="E1161" t="inlineStr">
        <is>
          <t>SOLLEFTEÅ</t>
        </is>
      </c>
      <c r="F1161" t="inlineStr">
        <is>
          <t>SCA</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16467-2024</t>
        </is>
      </c>
      <c r="B1162" s="1" t="n">
        <v>45408</v>
      </c>
      <c r="C1162" s="1" t="n">
        <v>46048</v>
      </c>
      <c r="D1162" t="inlineStr">
        <is>
          <t>VÄSTERNORRLANDS LÄN</t>
        </is>
      </c>
      <c r="E1162" t="inlineStr">
        <is>
          <t>SOLLEFTEÅ</t>
        </is>
      </c>
      <c r="F1162" t="inlineStr">
        <is>
          <t>SCA</t>
        </is>
      </c>
      <c r="G1162" t="n">
        <v>5.7</v>
      </c>
      <c r="H1162" t="n">
        <v>0</v>
      </c>
      <c r="I1162" t="n">
        <v>0</v>
      </c>
      <c r="J1162" t="n">
        <v>0</v>
      </c>
      <c r="K1162" t="n">
        <v>0</v>
      </c>
      <c r="L1162" t="n">
        <v>0</v>
      </c>
      <c r="M1162" t="n">
        <v>0</v>
      </c>
      <c r="N1162" t="n">
        <v>0</v>
      </c>
      <c r="O1162" t="n">
        <v>0</v>
      </c>
      <c r="P1162" t="n">
        <v>0</v>
      </c>
      <c r="Q1162" t="n">
        <v>0</v>
      </c>
      <c r="R1162" s="2" t="inlineStr"/>
    </row>
    <row r="1163" ht="15" customHeight="1">
      <c r="A1163" t="inlineStr">
        <is>
          <t>A 25854-2025</t>
        </is>
      </c>
      <c r="B1163" s="1" t="n">
        <v>45804.46920138889</v>
      </c>
      <c r="C1163" s="1" t="n">
        <v>46048</v>
      </c>
      <c r="D1163" t="inlineStr">
        <is>
          <t>VÄSTERNORRLANDS LÄN</t>
        </is>
      </c>
      <c r="E1163" t="inlineStr">
        <is>
          <t>SOLLEFTEÅ</t>
        </is>
      </c>
      <c r="F1163" t="inlineStr">
        <is>
          <t>SCA</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60328-2023</t>
        </is>
      </c>
      <c r="B1164" s="1" t="n">
        <v>45258</v>
      </c>
      <c r="C1164" s="1" t="n">
        <v>46048</v>
      </c>
      <c r="D1164" t="inlineStr">
        <is>
          <t>VÄSTERNORRLANDS LÄN</t>
        </is>
      </c>
      <c r="E1164" t="inlineStr">
        <is>
          <t>SOLLEFTEÅ</t>
        </is>
      </c>
      <c r="F1164" t="inlineStr">
        <is>
          <t>SCA</t>
        </is>
      </c>
      <c r="G1164" t="n">
        <v>5.3</v>
      </c>
      <c r="H1164" t="n">
        <v>0</v>
      </c>
      <c r="I1164" t="n">
        <v>0</v>
      </c>
      <c r="J1164" t="n">
        <v>0</v>
      </c>
      <c r="K1164" t="n">
        <v>0</v>
      </c>
      <c r="L1164" t="n">
        <v>0</v>
      </c>
      <c r="M1164" t="n">
        <v>0</v>
      </c>
      <c r="N1164" t="n">
        <v>0</v>
      </c>
      <c r="O1164" t="n">
        <v>0</v>
      </c>
      <c r="P1164" t="n">
        <v>0</v>
      </c>
      <c r="Q1164" t="n">
        <v>0</v>
      </c>
      <c r="R1164" s="2" t="inlineStr"/>
    </row>
    <row r="1165" ht="15" customHeight="1">
      <c r="A1165" t="inlineStr">
        <is>
          <t>A 32735-2023</t>
        </is>
      </c>
      <c r="B1165" s="1" t="n">
        <v>45121</v>
      </c>
      <c r="C1165" s="1" t="n">
        <v>46048</v>
      </c>
      <c r="D1165" t="inlineStr">
        <is>
          <t>VÄSTERNORRLANDS LÄN</t>
        </is>
      </c>
      <c r="E1165" t="inlineStr">
        <is>
          <t>SOLLEFTEÅ</t>
        </is>
      </c>
      <c r="F1165" t="inlineStr">
        <is>
          <t>SCA</t>
        </is>
      </c>
      <c r="G1165" t="n">
        <v>3.1</v>
      </c>
      <c r="H1165" t="n">
        <v>0</v>
      </c>
      <c r="I1165" t="n">
        <v>0</v>
      </c>
      <c r="J1165" t="n">
        <v>0</v>
      </c>
      <c r="K1165" t="n">
        <v>0</v>
      </c>
      <c r="L1165" t="n">
        <v>0</v>
      </c>
      <c r="M1165" t="n">
        <v>0</v>
      </c>
      <c r="N1165" t="n">
        <v>0</v>
      </c>
      <c r="O1165" t="n">
        <v>0</v>
      </c>
      <c r="P1165" t="n">
        <v>0</v>
      </c>
      <c r="Q1165" t="n">
        <v>0</v>
      </c>
      <c r="R1165" s="2" t="inlineStr"/>
    </row>
    <row r="1166" ht="15" customHeight="1">
      <c r="A1166" t="inlineStr">
        <is>
          <t>A 12972-2023</t>
        </is>
      </c>
      <c r="B1166" s="1" t="n">
        <v>45001</v>
      </c>
      <c r="C1166" s="1" t="n">
        <v>46048</v>
      </c>
      <c r="D1166" t="inlineStr">
        <is>
          <t>VÄSTERNORRLANDS LÄN</t>
        </is>
      </c>
      <c r="E1166" t="inlineStr">
        <is>
          <t>SOLLEFTEÅ</t>
        </is>
      </c>
      <c r="F1166" t="inlineStr">
        <is>
          <t>SCA</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57107-2024</t>
        </is>
      </c>
      <c r="B1167" s="1" t="n">
        <v>45629</v>
      </c>
      <c r="C1167" s="1" t="n">
        <v>46048</v>
      </c>
      <c r="D1167" t="inlineStr">
        <is>
          <t>VÄSTERNORRLANDS LÄN</t>
        </is>
      </c>
      <c r="E1167" t="inlineStr">
        <is>
          <t>SOLLEFTEÅ</t>
        </is>
      </c>
      <c r="F1167" t="inlineStr">
        <is>
          <t>SCA</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20066-2024</t>
        </is>
      </c>
      <c r="B1168" s="1" t="n">
        <v>45434</v>
      </c>
      <c r="C1168" s="1" t="n">
        <v>46048</v>
      </c>
      <c r="D1168" t="inlineStr">
        <is>
          <t>VÄSTERNORRLANDS LÄN</t>
        </is>
      </c>
      <c r="E1168" t="inlineStr">
        <is>
          <t>SOLLEFTEÅ</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17512-2024</t>
        </is>
      </c>
      <c r="B1169" s="1" t="n">
        <v>45415</v>
      </c>
      <c r="C1169" s="1" t="n">
        <v>46048</v>
      </c>
      <c r="D1169" t="inlineStr">
        <is>
          <t>VÄSTERNORRLANDS LÄN</t>
        </is>
      </c>
      <c r="E1169" t="inlineStr">
        <is>
          <t>SOLLEFTEÅ</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15154-2024</t>
        </is>
      </c>
      <c r="B1170" s="1" t="n">
        <v>45399.94466435185</v>
      </c>
      <c r="C1170" s="1" t="n">
        <v>46048</v>
      </c>
      <c r="D1170" t="inlineStr">
        <is>
          <t>VÄSTERNORRLANDS LÄN</t>
        </is>
      </c>
      <c r="E1170" t="inlineStr">
        <is>
          <t>SOLLEFTEÅ</t>
        </is>
      </c>
      <c r="F1170" t="inlineStr">
        <is>
          <t>SCA</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25855-2025</t>
        </is>
      </c>
      <c r="B1171" s="1" t="n">
        <v>45804.46934027778</v>
      </c>
      <c r="C1171" s="1" t="n">
        <v>46048</v>
      </c>
      <c r="D1171" t="inlineStr">
        <is>
          <t>VÄSTERNORRLANDS LÄN</t>
        </is>
      </c>
      <c r="E1171" t="inlineStr">
        <is>
          <t>SOLLEFTEÅ</t>
        </is>
      </c>
      <c r="F1171" t="inlineStr">
        <is>
          <t>SCA</t>
        </is>
      </c>
      <c r="G1171" t="n">
        <v>8.6</v>
      </c>
      <c r="H1171" t="n">
        <v>0</v>
      </c>
      <c r="I1171" t="n">
        <v>0</v>
      </c>
      <c r="J1171" t="n">
        <v>0</v>
      </c>
      <c r="K1171" t="n">
        <v>0</v>
      </c>
      <c r="L1171" t="n">
        <v>0</v>
      </c>
      <c r="M1171" t="n">
        <v>0</v>
      </c>
      <c r="N1171" t="n">
        <v>0</v>
      </c>
      <c r="O1171" t="n">
        <v>0</v>
      </c>
      <c r="P1171" t="n">
        <v>0</v>
      </c>
      <c r="Q1171" t="n">
        <v>0</v>
      </c>
      <c r="R1171" s="2" t="inlineStr"/>
    </row>
    <row r="1172" ht="15" customHeight="1">
      <c r="A1172" t="inlineStr">
        <is>
          <t>A 25857-2025</t>
        </is>
      </c>
      <c r="B1172" s="1" t="n">
        <v>45804.46956018519</v>
      </c>
      <c r="C1172" s="1" t="n">
        <v>46048</v>
      </c>
      <c r="D1172" t="inlineStr">
        <is>
          <t>VÄSTERNORRLANDS LÄN</t>
        </is>
      </c>
      <c r="E1172" t="inlineStr">
        <is>
          <t>SOLLEFTEÅ</t>
        </is>
      </c>
      <c r="F1172" t="inlineStr">
        <is>
          <t>SCA</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56311-2023</t>
        </is>
      </c>
      <c r="B1173" s="1" t="n">
        <v>45242.94203703704</v>
      </c>
      <c r="C1173" s="1" t="n">
        <v>46048</v>
      </c>
      <c r="D1173" t="inlineStr">
        <is>
          <t>VÄSTERNORRLANDS LÄN</t>
        </is>
      </c>
      <c r="E1173" t="inlineStr">
        <is>
          <t>SOLLEFTEÅ</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26477-2025</t>
        </is>
      </c>
      <c r="B1174" s="1" t="n">
        <v>45807.47011574074</v>
      </c>
      <c r="C1174" s="1" t="n">
        <v>46048</v>
      </c>
      <c r="D1174" t="inlineStr">
        <is>
          <t>VÄSTERNORRLANDS LÄN</t>
        </is>
      </c>
      <c r="E1174" t="inlineStr">
        <is>
          <t>SOLLEFTEÅ</t>
        </is>
      </c>
      <c r="F1174" t="inlineStr">
        <is>
          <t>SCA</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26409-2025</t>
        </is>
      </c>
      <c r="B1175" s="1" t="n">
        <v>45807.344375</v>
      </c>
      <c r="C1175" s="1" t="n">
        <v>46048</v>
      </c>
      <c r="D1175" t="inlineStr">
        <is>
          <t>VÄSTERNORRLANDS LÄN</t>
        </is>
      </c>
      <c r="E1175" t="inlineStr">
        <is>
          <t>SOLLEFTEÅ</t>
        </is>
      </c>
      <c r="F1175" t="inlineStr">
        <is>
          <t>SCA</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26426-2025</t>
        </is>
      </c>
      <c r="B1176" s="1" t="n">
        <v>45807.38574074074</v>
      </c>
      <c r="C1176" s="1" t="n">
        <v>46048</v>
      </c>
      <c r="D1176" t="inlineStr">
        <is>
          <t>VÄSTERNORRLANDS LÄN</t>
        </is>
      </c>
      <c r="E1176" t="inlineStr">
        <is>
          <t>SOLLEFTEÅ</t>
        </is>
      </c>
      <c r="F1176" t="inlineStr">
        <is>
          <t>SCA</t>
        </is>
      </c>
      <c r="G1176" t="n">
        <v>3.1</v>
      </c>
      <c r="H1176" t="n">
        <v>0</v>
      </c>
      <c r="I1176" t="n">
        <v>0</v>
      </c>
      <c r="J1176" t="n">
        <v>0</v>
      </c>
      <c r="K1176" t="n">
        <v>0</v>
      </c>
      <c r="L1176" t="n">
        <v>0</v>
      </c>
      <c r="M1176" t="n">
        <v>0</v>
      </c>
      <c r="N1176" t="n">
        <v>0</v>
      </c>
      <c r="O1176" t="n">
        <v>0</v>
      </c>
      <c r="P1176" t="n">
        <v>0</v>
      </c>
      <c r="Q1176" t="n">
        <v>0</v>
      </c>
      <c r="R1176" s="2" t="inlineStr"/>
    </row>
    <row r="1177" ht="15" customHeight="1">
      <c r="A1177" t="inlineStr">
        <is>
          <t>A 60170-2022</t>
        </is>
      </c>
      <c r="B1177" s="1" t="n">
        <v>44909</v>
      </c>
      <c r="C1177" s="1" t="n">
        <v>46048</v>
      </c>
      <c r="D1177" t="inlineStr">
        <is>
          <t>VÄSTERNORRLANDS LÄN</t>
        </is>
      </c>
      <c r="E1177" t="inlineStr">
        <is>
          <t>SOLLEFTEÅ</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10256-2023</t>
        </is>
      </c>
      <c r="B1178" s="1" t="n">
        <v>44980</v>
      </c>
      <c r="C1178" s="1" t="n">
        <v>46048</v>
      </c>
      <c r="D1178" t="inlineStr">
        <is>
          <t>VÄSTERNORRLANDS LÄN</t>
        </is>
      </c>
      <c r="E1178" t="inlineStr">
        <is>
          <t>SOLLEFTEÅ</t>
        </is>
      </c>
      <c r="G1178" t="n">
        <v>6.4</v>
      </c>
      <c r="H1178" t="n">
        <v>0</v>
      </c>
      <c r="I1178" t="n">
        <v>0</v>
      </c>
      <c r="J1178" t="n">
        <v>0</v>
      </c>
      <c r="K1178" t="n">
        <v>0</v>
      </c>
      <c r="L1178" t="n">
        <v>0</v>
      </c>
      <c r="M1178" t="n">
        <v>0</v>
      </c>
      <c r="N1178" t="n">
        <v>0</v>
      </c>
      <c r="O1178" t="n">
        <v>0</v>
      </c>
      <c r="P1178" t="n">
        <v>0</v>
      </c>
      <c r="Q1178" t="n">
        <v>0</v>
      </c>
      <c r="R1178" s="2" t="inlineStr"/>
    </row>
    <row r="1179" ht="15" customHeight="1">
      <c r="A1179" t="inlineStr">
        <is>
          <t>A 774-2025</t>
        </is>
      </c>
      <c r="B1179" s="1" t="n">
        <v>45659</v>
      </c>
      <c r="C1179" s="1" t="n">
        <v>46048</v>
      </c>
      <c r="D1179" t="inlineStr">
        <is>
          <t>VÄSTERNORRLANDS LÄN</t>
        </is>
      </c>
      <c r="E1179" t="inlineStr">
        <is>
          <t>SOLLEFTEÅ</t>
        </is>
      </c>
      <c r="G1179" t="n">
        <v>3.8</v>
      </c>
      <c r="H1179" t="n">
        <v>0</v>
      </c>
      <c r="I1179" t="n">
        <v>0</v>
      </c>
      <c r="J1179" t="n">
        <v>0</v>
      </c>
      <c r="K1179" t="n">
        <v>0</v>
      </c>
      <c r="L1179" t="n">
        <v>0</v>
      </c>
      <c r="M1179" t="n">
        <v>0</v>
      </c>
      <c r="N1179" t="n">
        <v>0</v>
      </c>
      <c r="O1179" t="n">
        <v>0</v>
      </c>
      <c r="P1179" t="n">
        <v>0</v>
      </c>
      <c r="Q1179" t="n">
        <v>0</v>
      </c>
      <c r="R1179" s="2" t="inlineStr"/>
    </row>
    <row r="1180" ht="15" customHeight="1">
      <c r="A1180" t="inlineStr">
        <is>
          <t>A 775-2025</t>
        </is>
      </c>
      <c r="B1180" s="1" t="n">
        <v>45659</v>
      </c>
      <c r="C1180" s="1" t="n">
        <v>46048</v>
      </c>
      <c r="D1180" t="inlineStr">
        <is>
          <t>VÄSTERNORRLANDS LÄN</t>
        </is>
      </c>
      <c r="E1180" t="inlineStr">
        <is>
          <t>SOLLEFTEÅ</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35795-2024</t>
        </is>
      </c>
      <c r="B1181" s="1" t="n">
        <v>45532</v>
      </c>
      <c r="C1181" s="1" t="n">
        <v>46048</v>
      </c>
      <c r="D1181" t="inlineStr">
        <is>
          <t>VÄSTERNORRLANDS LÄN</t>
        </is>
      </c>
      <c r="E1181" t="inlineStr">
        <is>
          <t>SOLLEFTEÅ</t>
        </is>
      </c>
      <c r="F1181" t="inlineStr">
        <is>
          <t>SCA</t>
        </is>
      </c>
      <c r="G1181" t="n">
        <v>4.8</v>
      </c>
      <c r="H1181" t="n">
        <v>0</v>
      </c>
      <c r="I1181" t="n">
        <v>0</v>
      </c>
      <c r="J1181" t="n">
        <v>0</v>
      </c>
      <c r="K1181" t="n">
        <v>0</v>
      </c>
      <c r="L1181" t="n">
        <v>0</v>
      </c>
      <c r="M1181" t="n">
        <v>0</v>
      </c>
      <c r="N1181" t="n">
        <v>0</v>
      </c>
      <c r="O1181" t="n">
        <v>0</v>
      </c>
      <c r="P1181" t="n">
        <v>0</v>
      </c>
      <c r="Q1181" t="n">
        <v>0</v>
      </c>
      <c r="R1181" s="2" t="inlineStr"/>
    </row>
    <row r="1182" ht="15" customHeight="1">
      <c r="A1182" t="inlineStr">
        <is>
          <t>A 35803-2024</t>
        </is>
      </c>
      <c r="B1182" s="1" t="n">
        <v>45532.64506944444</v>
      </c>
      <c r="C1182" s="1" t="n">
        <v>46048</v>
      </c>
      <c r="D1182" t="inlineStr">
        <is>
          <t>VÄSTERNORRLANDS LÄN</t>
        </is>
      </c>
      <c r="E1182" t="inlineStr">
        <is>
          <t>SOLLEFTEÅ</t>
        </is>
      </c>
      <c r="F1182" t="inlineStr">
        <is>
          <t>SCA</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26570-2025</t>
        </is>
      </c>
      <c r="B1183" s="1" t="n">
        <v>45807.67743055556</v>
      </c>
      <c r="C1183" s="1" t="n">
        <v>46048</v>
      </c>
      <c r="D1183" t="inlineStr">
        <is>
          <t>VÄSTERNORRLANDS LÄN</t>
        </is>
      </c>
      <c r="E1183" t="inlineStr">
        <is>
          <t>SOLLEFTEÅ</t>
        </is>
      </c>
      <c r="F1183" t="inlineStr">
        <is>
          <t>SCA</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11039-2023</t>
        </is>
      </c>
      <c r="B1184" s="1" t="n">
        <v>44991.94622685185</v>
      </c>
      <c r="C1184" s="1" t="n">
        <v>46048</v>
      </c>
      <c r="D1184" t="inlineStr">
        <is>
          <t>VÄSTERNORRLANDS LÄN</t>
        </is>
      </c>
      <c r="E1184" t="inlineStr">
        <is>
          <t>SOLLEFTEÅ</t>
        </is>
      </c>
      <c r="F1184" t="inlineStr">
        <is>
          <t>SCA</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26478-2025</t>
        </is>
      </c>
      <c r="B1185" s="1" t="n">
        <v>45807.47013888889</v>
      </c>
      <c r="C1185" s="1" t="n">
        <v>46048</v>
      </c>
      <c r="D1185" t="inlineStr">
        <is>
          <t>VÄSTERNORRLANDS LÄN</t>
        </is>
      </c>
      <c r="E1185" t="inlineStr">
        <is>
          <t>SOLLEFTEÅ</t>
        </is>
      </c>
      <c r="F1185" t="inlineStr">
        <is>
          <t>SCA</t>
        </is>
      </c>
      <c r="G1185" t="n">
        <v>3.7</v>
      </c>
      <c r="H1185" t="n">
        <v>0</v>
      </c>
      <c r="I1185" t="n">
        <v>0</v>
      </c>
      <c r="J1185" t="n">
        <v>0</v>
      </c>
      <c r="K1185" t="n">
        <v>0</v>
      </c>
      <c r="L1185" t="n">
        <v>0</v>
      </c>
      <c r="M1185" t="n">
        <v>0</v>
      </c>
      <c r="N1185" t="n">
        <v>0</v>
      </c>
      <c r="O1185" t="n">
        <v>0</v>
      </c>
      <c r="P1185" t="n">
        <v>0</v>
      </c>
      <c r="Q1185" t="n">
        <v>0</v>
      </c>
      <c r="R1185" s="2" t="inlineStr"/>
    </row>
    <row r="1186" ht="15" customHeight="1">
      <c r="A1186" t="inlineStr">
        <is>
          <t>A 52709-2024</t>
        </is>
      </c>
      <c r="B1186" s="1" t="n">
        <v>45610.42753472222</v>
      </c>
      <c r="C1186" s="1" t="n">
        <v>46048</v>
      </c>
      <c r="D1186" t="inlineStr">
        <is>
          <t>VÄSTERNORRLANDS LÄN</t>
        </is>
      </c>
      <c r="E1186" t="inlineStr">
        <is>
          <t>SOLLEFTEÅ</t>
        </is>
      </c>
      <c r="F1186" t="inlineStr">
        <is>
          <t>SCA</t>
        </is>
      </c>
      <c r="G1186" t="n">
        <v>11.6</v>
      </c>
      <c r="H1186" t="n">
        <v>0</v>
      </c>
      <c r="I1186" t="n">
        <v>0</v>
      </c>
      <c r="J1186" t="n">
        <v>0</v>
      </c>
      <c r="K1186" t="n">
        <v>0</v>
      </c>
      <c r="L1186" t="n">
        <v>0</v>
      </c>
      <c r="M1186" t="n">
        <v>0</v>
      </c>
      <c r="N1186" t="n">
        <v>0</v>
      </c>
      <c r="O1186" t="n">
        <v>0</v>
      </c>
      <c r="P1186" t="n">
        <v>0</v>
      </c>
      <c r="Q1186" t="n">
        <v>0</v>
      </c>
      <c r="R1186" s="2" t="inlineStr"/>
    </row>
    <row r="1187" ht="15" customHeight="1">
      <c r="A1187" t="inlineStr">
        <is>
          <t>A 42950-2024</t>
        </is>
      </c>
      <c r="B1187" s="1" t="n">
        <v>45567.36657407408</v>
      </c>
      <c r="C1187" s="1" t="n">
        <v>46048</v>
      </c>
      <c r="D1187" t="inlineStr">
        <is>
          <t>VÄSTERNORRLANDS LÄN</t>
        </is>
      </c>
      <c r="E1187" t="inlineStr">
        <is>
          <t>SOLLEFTEÅ</t>
        </is>
      </c>
      <c r="F1187" t="inlineStr">
        <is>
          <t>SCA</t>
        </is>
      </c>
      <c r="G1187" t="n">
        <v>4.3</v>
      </c>
      <c r="H1187" t="n">
        <v>0</v>
      </c>
      <c r="I1187" t="n">
        <v>0</v>
      </c>
      <c r="J1187" t="n">
        <v>0</v>
      </c>
      <c r="K1187" t="n">
        <v>0</v>
      </c>
      <c r="L1187" t="n">
        <v>0</v>
      </c>
      <c r="M1187" t="n">
        <v>0</v>
      </c>
      <c r="N1187" t="n">
        <v>0</v>
      </c>
      <c r="O1187" t="n">
        <v>0</v>
      </c>
      <c r="P1187" t="n">
        <v>0</v>
      </c>
      <c r="Q1187" t="n">
        <v>0</v>
      </c>
      <c r="R1187" s="2" t="inlineStr"/>
    </row>
    <row r="1188" ht="15" customHeight="1">
      <c r="A1188" t="inlineStr">
        <is>
          <t>A 44533-2023</t>
        </is>
      </c>
      <c r="B1188" s="1" t="n">
        <v>45183</v>
      </c>
      <c r="C1188" s="1" t="n">
        <v>46048</v>
      </c>
      <c r="D1188" t="inlineStr">
        <is>
          <t>VÄSTERNORRLANDS LÄN</t>
        </is>
      </c>
      <c r="E1188" t="inlineStr">
        <is>
          <t>SOLLEFTEÅ</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20515-2024</t>
        </is>
      </c>
      <c r="B1189" s="1" t="n">
        <v>45435</v>
      </c>
      <c r="C1189" s="1" t="n">
        <v>46048</v>
      </c>
      <c r="D1189" t="inlineStr">
        <is>
          <t>VÄSTERNORRLANDS LÄN</t>
        </is>
      </c>
      <c r="E1189" t="inlineStr">
        <is>
          <t>SOLLEFTEÅ</t>
        </is>
      </c>
      <c r="F1189" t="inlineStr">
        <is>
          <t>SCA</t>
        </is>
      </c>
      <c r="G1189" t="n">
        <v>18.8</v>
      </c>
      <c r="H1189" t="n">
        <v>0</v>
      </c>
      <c r="I1189" t="n">
        <v>0</v>
      </c>
      <c r="J1189" t="n">
        <v>0</v>
      </c>
      <c r="K1189" t="n">
        <v>0</v>
      </c>
      <c r="L1189" t="n">
        <v>0</v>
      </c>
      <c r="M1189" t="n">
        <v>0</v>
      </c>
      <c r="N1189" t="n">
        <v>0</v>
      </c>
      <c r="O1189" t="n">
        <v>0</v>
      </c>
      <c r="P1189" t="n">
        <v>0</v>
      </c>
      <c r="Q1189" t="n">
        <v>0</v>
      </c>
      <c r="R1189" s="2" t="inlineStr"/>
    </row>
    <row r="1190" ht="15" customHeight="1">
      <c r="A1190" t="inlineStr">
        <is>
          <t>A 13492-2022</t>
        </is>
      </c>
      <c r="B1190" s="1" t="n">
        <v>44646.92120370371</v>
      </c>
      <c r="C1190" s="1" t="n">
        <v>46048</v>
      </c>
      <c r="D1190" t="inlineStr">
        <is>
          <t>VÄSTERNORRLANDS LÄN</t>
        </is>
      </c>
      <c r="E1190" t="inlineStr">
        <is>
          <t>SOLLEFTEÅ</t>
        </is>
      </c>
      <c r="G1190" t="n">
        <v>8.4</v>
      </c>
      <c r="H1190" t="n">
        <v>0</v>
      </c>
      <c r="I1190" t="n">
        <v>0</v>
      </c>
      <c r="J1190" t="n">
        <v>0</v>
      </c>
      <c r="K1190" t="n">
        <v>0</v>
      </c>
      <c r="L1190" t="n">
        <v>0</v>
      </c>
      <c r="M1190" t="n">
        <v>0</v>
      </c>
      <c r="N1190" t="n">
        <v>0</v>
      </c>
      <c r="O1190" t="n">
        <v>0</v>
      </c>
      <c r="P1190" t="n">
        <v>0</v>
      </c>
      <c r="Q1190" t="n">
        <v>0</v>
      </c>
      <c r="R1190" s="2" t="inlineStr"/>
    </row>
    <row r="1191" ht="15" customHeight="1">
      <c r="A1191" t="inlineStr">
        <is>
          <t>A 26916-2025</t>
        </is>
      </c>
      <c r="B1191" s="1" t="n">
        <v>45811.37184027778</v>
      </c>
      <c r="C1191" s="1" t="n">
        <v>46048</v>
      </c>
      <c r="D1191" t="inlineStr">
        <is>
          <t>VÄSTERNORRLANDS LÄN</t>
        </is>
      </c>
      <c r="E1191" t="inlineStr">
        <is>
          <t>SOLLEFTEÅ</t>
        </is>
      </c>
      <c r="G1191" t="n">
        <v>6.7</v>
      </c>
      <c r="H1191" t="n">
        <v>0</v>
      </c>
      <c r="I1191" t="n">
        <v>0</v>
      </c>
      <c r="J1191" t="n">
        <v>0</v>
      </c>
      <c r="K1191" t="n">
        <v>0</v>
      </c>
      <c r="L1191" t="n">
        <v>0</v>
      </c>
      <c r="M1191" t="n">
        <v>0</v>
      </c>
      <c r="N1191" t="n">
        <v>0</v>
      </c>
      <c r="O1191" t="n">
        <v>0</v>
      </c>
      <c r="P1191" t="n">
        <v>0</v>
      </c>
      <c r="Q1191" t="n">
        <v>0</v>
      </c>
      <c r="R1191" s="2" t="inlineStr"/>
    </row>
    <row r="1192" ht="15" customHeight="1">
      <c r="A1192" t="inlineStr">
        <is>
          <t>A 25847-2024</t>
        </is>
      </c>
      <c r="B1192" s="1" t="n">
        <v>45467</v>
      </c>
      <c r="C1192" s="1" t="n">
        <v>46048</v>
      </c>
      <c r="D1192" t="inlineStr">
        <is>
          <t>VÄSTERNORRLANDS LÄN</t>
        </is>
      </c>
      <c r="E1192" t="inlineStr">
        <is>
          <t>SOLLEFTEÅ</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25851-2024</t>
        </is>
      </c>
      <c r="B1193" s="1" t="n">
        <v>45467.44688657407</v>
      </c>
      <c r="C1193" s="1" t="n">
        <v>46048</v>
      </c>
      <c r="D1193" t="inlineStr">
        <is>
          <t>VÄSTERNORRLANDS LÄN</t>
        </is>
      </c>
      <c r="E1193" t="inlineStr">
        <is>
          <t>SOLLEFTEÅ</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5394-2025</t>
        </is>
      </c>
      <c r="B1194" s="1" t="n">
        <v>45692.63591435185</v>
      </c>
      <c r="C1194" s="1" t="n">
        <v>46048</v>
      </c>
      <c r="D1194" t="inlineStr">
        <is>
          <t>VÄSTERNORRLANDS LÄN</t>
        </is>
      </c>
      <c r="E1194" t="inlineStr">
        <is>
          <t>SOLLEFTEÅ</t>
        </is>
      </c>
      <c r="F1194" t="inlineStr">
        <is>
          <t>SCA</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6284-2025</t>
        </is>
      </c>
      <c r="B1195" s="1" t="n">
        <v>45698.63611111111</v>
      </c>
      <c r="C1195" s="1" t="n">
        <v>46048</v>
      </c>
      <c r="D1195" t="inlineStr">
        <is>
          <t>VÄSTERNORRLANDS LÄN</t>
        </is>
      </c>
      <c r="E1195" t="inlineStr">
        <is>
          <t>SOLLEFTEÅ</t>
        </is>
      </c>
      <c r="F1195" t="inlineStr">
        <is>
          <t>SCA</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8033-2024</t>
        </is>
      </c>
      <c r="B1196" s="1" t="n">
        <v>45350.95284722222</v>
      </c>
      <c r="C1196" s="1" t="n">
        <v>46048</v>
      </c>
      <c r="D1196" t="inlineStr">
        <is>
          <t>VÄSTERNORRLANDS LÄN</t>
        </is>
      </c>
      <c r="E1196" t="inlineStr">
        <is>
          <t>SOLLEFTEÅ</t>
        </is>
      </c>
      <c r="F1196" t="inlineStr">
        <is>
          <t>SCA</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13252-2023</t>
        </is>
      </c>
      <c r="B1197" s="1" t="n">
        <v>45002</v>
      </c>
      <c r="C1197" s="1" t="n">
        <v>46048</v>
      </c>
      <c r="D1197" t="inlineStr">
        <is>
          <t>VÄSTERNORRLANDS LÄN</t>
        </is>
      </c>
      <c r="E1197" t="inlineStr">
        <is>
          <t>SOLLEFTEÅ</t>
        </is>
      </c>
      <c r="F1197" t="inlineStr">
        <is>
          <t>SCA</t>
        </is>
      </c>
      <c r="G1197" t="n">
        <v>5.4</v>
      </c>
      <c r="H1197" t="n">
        <v>0</v>
      </c>
      <c r="I1197" t="n">
        <v>0</v>
      </c>
      <c r="J1197" t="n">
        <v>0</v>
      </c>
      <c r="K1197" t="n">
        <v>0</v>
      </c>
      <c r="L1197" t="n">
        <v>0</v>
      </c>
      <c r="M1197" t="n">
        <v>0</v>
      </c>
      <c r="N1197" t="n">
        <v>0</v>
      </c>
      <c r="O1197" t="n">
        <v>0</v>
      </c>
      <c r="P1197" t="n">
        <v>0</v>
      </c>
      <c r="Q1197" t="n">
        <v>0</v>
      </c>
      <c r="R1197" s="2" t="inlineStr"/>
    </row>
    <row r="1198" ht="15" customHeight="1">
      <c r="A1198" t="inlineStr">
        <is>
          <t>A 48001-2024</t>
        </is>
      </c>
      <c r="B1198" s="1" t="n">
        <v>45589.44826388889</v>
      </c>
      <c r="C1198" s="1" t="n">
        <v>46048</v>
      </c>
      <c r="D1198" t="inlineStr">
        <is>
          <t>VÄSTERNORRLANDS LÄN</t>
        </is>
      </c>
      <c r="E1198" t="inlineStr">
        <is>
          <t>SOLLEFTEÅ</t>
        </is>
      </c>
      <c r="F1198" t="inlineStr">
        <is>
          <t>SCA</t>
        </is>
      </c>
      <c r="G1198" t="n">
        <v>7.6</v>
      </c>
      <c r="H1198" t="n">
        <v>0</v>
      </c>
      <c r="I1198" t="n">
        <v>0</v>
      </c>
      <c r="J1198" t="n">
        <v>0</v>
      </c>
      <c r="K1198" t="n">
        <v>0</v>
      </c>
      <c r="L1198" t="n">
        <v>0</v>
      </c>
      <c r="M1198" t="n">
        <v>0</v>
      </c>
      <c r="N1198" t="n">
        <v>0</v>
      </c>
      <c r="O1198" t="n">
        <v>0</v>
      </c>
      <c r="P1198" t="n">
        <v>0</v>
      </c>
      <c r="Q1198" t="n">
        <v>0</v>
      </c>
      <c r="R1198" s="2" t="inlineStr"/>
    </row>
    <row r="1199" ht="15" customHeight="1">
      <c r="A1199" t="inlineStr">
        <is>
          <t>A 9966-2025</t>
        </is>
      </c>
      <c r="B1199" s="1" t="n">
        <v>45719</v>
      </c>
      <c r="C1199" s="1" t="n">
        <v>46048</v>
      </c>
      <c r="D1199" t="inlineStr">
        <is>
          <t>VÄSTERNORRLANDS LÄN</t>
        </is>
      </c>
      <c r="E1199" t="inlineStr">
        <is>
          <t>SOLLEFTEÅ</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20204-2025</t>
        </is>
      </c>
      <c r="B1200" s="1" t="n">
        <v>45772.61537037037</v>
      </c>
      <c r="C1200" s="1" t="n">
        <v>46048</v>
      </c>
      <c r="D1200" t="inlineStr">
        <is>
          <t>VÄSTERNORRLANDS LÄN</t>
        </is>
      </c>
      <c r="E1200" t="inlineStr">
        <is>
          <t>SOLLEFTEÅ</t>
        </is>
      </c>
      <c r="F1200" t="inlineStr">
        <is>
          <t>SCA</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61997-2022</t>
        </is>
      </c>
      <c r="B1201" s="1" t="n">
        <v>44914</v>
      </c>
      <c r="C1201" s="1" t="n">
        <v>46048</v>
      </c>
      <c r="D1201" t="inlineStr">
        <is>
          <t>VÄSTERNORRLANDS LÄN</t>
        </is>
      </c>
      <c r="E1201" t="inlineStr">
        <is>
          <t>SOLLEFTEÅ</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26642-2025</t>
        </is>
      </c>
      <c r="B1202" s="1" t="n">
        <v>45810.36521990741</v>
      </c>
      <c r="C1202" s="1" t="n">
        <v>46048</v>
      </c>
      <c r="D1202" t="inlineStr">
        <is>
          <t>VÄSTERNORRLANDS LÄN</t>
        </is>
      </c>
      <c r="E1202" t="inlineStr">
        <is>
          <t>SOLLEFTEÅ</t>
        </is>
      </c>
      <c r="G1202" t="n">
        <v>4.2</v>
      </c>
      <c r="H1202" t="n">
        <v>0</v>
      </c>
      <c r="I1202" t="n">
        <v>0</v>
      </c>
      <c r="J1202" t="n">
        <v>0</v>
      </c>
      <c r="K1202" t="n">
        <v>0</v>
      </c>
      <c r="L1202" t="n">
        <v>0</v>
      </c>
      <c r="M1202" t="n">
        <v>0</v>
      </c>
      <c r="N1202" t="n">
        <v>0</v>
      </c>
      <c r="O1202" t="n">
        <v>0</v>
      </c>
      <c r="P1202" t="n">
        <v>0</v>
      </c>
      <c r="Q1202" t="n">
        <v>0</v>
      </c>
      <c r="R1202" s="2" t="inlineStr"/>
    </row>
    <row r="1203" ht="15" customHeight="1">
      <c r="A1203" t="inlineStr">
        <is>
          <t>A 24461-2024</t>
        </is>
      </c>
      <c r="B1203" s="1" t="n">
        <v>45457.96806712963</v>
      </c>
      <c r="C1203" s="1" t="n">
        <v>46048</v>
      </c>
      <c r="D1203" t="inlineStr">
        <is>
          <t>VÄSTERNORRLANDS LÄN</t>
        </is>
      </c>
      <c r="E1203" t="inlineStr">
        <is>
          <t>SOLLEFTEÅ</t>
        </is>
      </c>
      <c r="F1203" t="inlineStr">
        <is>
          <t>SCA</t>
        </is>
      </c>
      <c r="G1203" t="n">
        <v>4.2</v>
      </c>
      <c r="H1203" t="n">
        <v>0</v>
      </c>
      <c r="I1203" t="n">
        <v>0</v>
      </c>
      <c r="J1203" t="n">
        <v>0</v>
      </c>
      <c r="K1203" t="n">
        <v>0</v>
      </c>
      <c r="L1203" t="n">
        <v>0</v>
      </c>
      <c r="M1203" t="n">
        <v>0</v>
      </c>
      <c r="N1203" t="n">
        <v>0</v>
      </c>
      <c r="O1203" t="n">
        <v>0</v>
      </c>
      <c r="P1203" t="n">
        <v>0</v>
      </c>
      <c r="Q1203" t="n">
        <v>0</v>
      </c>
      <c r="R1203" s="2" t="inlineStr"/>
    </row>
    <row r="1204" ht="15" customHeight="1">
      <c r="A1204" t="inlineStr">
        <is>
          <t>A 39429-2024</t>
        </is>
      </c>
      <c r="B1204" s="1" t="n">
        <v>45551.59427083333</v>
      </c>
      <c r="C1204" s="1" t="n">
        <v>46048</v>
      </c>
      <c r="D1204" t="inlineStr">
        <is>
          <t>VÄSTERNORRLANDS LÄN</t>
        </is>
      </c>
      <c r="E1204" t="inlineStr">
        <is>
          <t>SOLLEFTEÅ</t>
        </is>
      </c>
      <c r="F1204" t="inlineStr">
        <is>
          <t>SCA</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26641-2025</t>
        </is>
      </c>
      <c r="B1205" s="1" t="n">
        <v>45810.36509259259</v>
      </c>
      <c r="C1205" s="1" t="n">
        <v>46048</v>
      </c>
      <c r="D1205" t="inlineStr">
        <is>
          <t>VÄSTERNORRLANDS LÄN</t>
        </is>
      </c>
      <c r="E1205" t="inlineStr">
        <is>
          <t>SOLLEFTEÅ</t>
        </is>
      </c>
      <c r="F1205" t="inlineStr">
        <is>
          <t>SCA</t>
        </is>
      </c>
      <c r="G1205" t="n">
        <v>6</v>
      </c>
      <c r="H1205" t="n">
        <v>0</v>
      </c>
      <c r="I1205" t="n">
        <v>0</v>
      </c>
      <c r="J1205" t="n">
        <v>0</v>
      </c>
      <c r="K1205" t="n">
        <v>0</v>
      </c>
      <c r="L1205" t="n">
        <v>0</v>
      </c>
      <c r="M1205" t="n">
        <v>0</v>
      </c>
      <c r="N1205" t="n">
        <v>0</v>
      </c>
      <c r="O1205" t="n">
        <v>0</v>
      </c>
      <c r="P1205" t="n">
        <v>0</v>
      </c>
      <c r="Q1205" t="n">
        <v>0</v>
      </c>
      <c r="R1205" s="2" t="inlineStr"/>
    </row>
    <row r="1206" ht="15" customHeight="1">
      <c r="A1206" t="inlineStr">
        <is>
          <t>A 52136-2023</t>
        </is>
      </c>
      <c r="B1206" s="1" t="n">
        <v>45223.96625</v>
      </c>
      <c r="C1206" s="1" t="n">
        <v>46048</v>
      </c>
      <c r="D1206" t="inlineStr">
        <is>
          <t>VÄSTERNORRLANDS LÄN</t>
        </is>
      </c>
      <c r="E1206" t="inlineStr">
        <is>
          <t>SOLLEFTEÅ</t>
        </is>
      </c>
      <c r="F1206" t="inlineStr">
        <is>
          <t>SCA</t>
        </is>
      </c>
      <c r="G1206" t="n">
        <v>6</v>
      </c>
      <c r="H1206" t="n">
        <v>0</v>
      </c>
      <c r="I1206" t="n">
        <v>0</v>
      </c>
      <c r="J1206" t="n">
        <v>0</v>
      </c>
      <c r="K1206" t="n">
        <v>0</v>
      </c>
      <c r="L1206" t="n">
        <v>0</v>
      </c>
      <c r="M1206" t="n">
        <v>0</v>
      </c>
      <c r="N1206" t="n">
        <v>0</v>
      </c>
      <c r="O1206" t="n">
        <v>0</v>
      </c>
      <c r="P1206" t="n">
        <v>0</v>
      </c>
      <c r="Q1206" t="n">
        <v>0</v>
      </c>
      <c r="R1206" s="2" t="inlineStr"/>
    </row>
    <row r="1207" ht="15" customHeight="1">
      <c r="A1207" t="inlineStr">
        <is>
          <t>A 7184-2025</t>
        </is>
      </c>
      <c r="B1207" s="1" t="n">
        <v>45702</v>
      </c>
      <c r="C1207" s="1" t="n">
        <v>46048</v>
      </c>
      <c r="D1207" t="inlineStr">
        <is>
          <t>VÄSTERNORRLANDS LÄN</t>
        </is>
      </c>
      <c r="E1207" t="inlineStr">
        <is>
          <t>SOLLEFTEÅ</t>
        </is>
      </c>
      <c r="F1207" t="inlineStr">
        <is>
          <t>SCA</t>
        </is>
      </c>
      <c r="G1207" t="n">
        <v>4.1</v>
      </c>
      <c r="H1207" t="n">
        <v>0</v>
      </c>
      <c r="I1207" t="n">
        <v>0</v>
      </c>
      <c r="J1207" t="n">
        <v>0</v>
      </c>
      <c r="K1207" t="n">
        <v>0</v>
      </c>
      <c r="L1207" t="n">
        <v>0</v>
      </c>
      <c r="M1207" t="n">
        <v>0</v>
      </c>
      <c r="N1207" t="n">
        <v>0</v>
      </c>
      <c r="O1207" t="n">
        <v>0</v>
      </c>
      <c r="P1207" t="n">
        <v>0</v>
      </c>
      <c r="Q1207" t="n">
        <v>0</v>
      </c>
      <c r="R1207" s="2" t="inlineStr"/>
    </row>
    <row r="1208" ht="15" customHeight="1">
      <c r="A1208" t="inlineStr">
        <is>
          <t>A 6172-2022</t>
        </is>
      </c>
      <c r="B1208" s="1" t="n">
        <v>44599.93700231481</v>
      </c>
      <c r="C1208" s="1" t="n">
        <v>46048</v>
      </c>
      <c r="D1208" t="inlineStr">
        <is>
          <t>VÄSTERNORRLANDS LÄN</t>
        </is>
      </c>
      <c r="E1208" t="inlineStr">
        <is>
          <t>SOLLEFTEÅ</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26921-2025</t>
        </is>
      </c>
      <c r="B1209" s="1" t="n">
        <v>45811.38575231482</v>
      </c>
      <c r="C1209" s="1" t="n">
        <v>46048</v>
      </c>
      <c r="D1209" t="inlineStr">
        <is>
          <t>VÄSTERNORRLANDS LÄN</t>
        </is>
      </c>
      <c r="E1209" t="inlineStr">
        <is>
          <t>SOLLEFTEÅ</t>
        </is>
      </c>
      <c r="F1209" t="inlineStr">
        <is>
          <t>SCA</t>
        </is>
      </c>
      <c r="G1209" t="n">
        <v>3.6</v>
      </c>
      <c r="H1209" t="n">
        <v>0</v>
      </c>
      <c r="I1209" t="n">
        <v>0</v>
      </c>
      <c r="J1209" t="n">
        <v>0</v>
      </c>
      <c r="K1209" t="n">
        <v>0</v>
      </c>
      <c r="L1209" t="n">
        <v>0</v>
      </c>
      <c r="M1209" t="n">
        <v>0</v>
      </c>
      <c r="N1209" t="n">
        <v>0</v>
      </c>
      <c r="O1209" t="n">
        <v>0</v>
      </c>
      <c r="P1209" t="n">
        <v>0</v>
      </c>
      <c r="Q1209" t="n">
        <v>0</v>
      </c>
      <c r="R1209" s="2" t="inlineStr"/>
    </row>
    <row r="1210" ht="15" customHeight="1">
      <c r="A1210" t="inlineStr">
        <is>
          <t>A 26953-2025</t>
        </is>
      </c>
      <c r="B1210" s="1" t="n">
        <v>45811.44856481482</v>
      </c>
      <c r="C1210" s="1" t="n">
        <v>46048</v>
      </c>
      <c r="D1210" t="inlineStr">
        <is>
          <t>VÄSTERNORRLANDS LÄN</t>
        </is>
      </c>
      <c r="E1210" t="inlineStr">
        <is>
          <t>SOLLEFTEÅ</t>
        </is>
      </c>
      <c r="F1210" t="inlineStr">
        <is>
          <t>SCA</t>
        </is>
      </c>
      <c r="G1210" t="n">
        <v>8.300000000000001</v>
      </c>
      <c r="H1210" t="n">
        <v>0</v>
      </c>
      <c r="I1210" t="n">
        <v>0</v>
      </c>
      <c r="J1210" t="n">
        <v>0</v>
      </c>
      <c r="K1210" t="n">
        <v>0</v>
      </c>
      <c r="L1210" t="n">
        <v>0</v>
      </c>
      <c r="M1210" t="n">
        <v>0</v>
      </c>
      <c r="N1210" t="n">
        <v>0</v>
      </c>
      <c r="O1210" t="n">
        <v>0</v>
      </c>
      <c r="P1210" t="n">
        <v>0</v>
      </c>
      <c r="Q1210" t="n">
        <v>0</v>
      </c>
      <c r="R1210" s="2" t="inlineStr"/>
    </row>
    <row r="1211" ht="15" customHeight="1">
      <c r="A1211" t="inlineStr">
        <is>
          <t>A 22750-2023</t>
        </is>
      </c>
      <c r="B1211" s="1" t="n">
        <v>45071.94090277778</v>
      </c>
      <c r="C1211" s="1" t="n">
        <v>46048</v>
      </c>
      <c r="D1211" t="inlineStr">
        <is>
          <t>VÄSTERNORRLANDS LÄN</t>
        </is>
      </c>
      <c r="E1211" t="inlineStr">
        <is>
          <t>SOLLEFTEÅ</t>
        </is>
      </c>
      <c r="F1211" t="inlineStr">
        <is>
          <t>SCA</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11551-2023</t>
        </is>
      </c>
      <c r="B1212" s="1" t="n">
        <v>44993</v>
      </c>
      <c r="C1212" s="1" t="n">
        <v>46048</v>
      </c>
      <c r="D1212" t="inlineStr">
        <is>
          <t>VÄSTERNORRLANDS LÄN</t>
        </is>
      </c>
      <c r="E1212" t="inlineStr">
        <is>
          <t>SOLLEFTEÅ</t>
        </is>
      </c>
      <c r="G1212" t="n">
        <v>4.9</v>
      </c>
      <c r="H1212" t="n">
        <v>0</v>
      </c>
      <c r="I1212" t="n">
        <v>0</v>
      </c>
      <c r="J1212" t="n">
        <v>0</v>
      </c>
      <c r="K1212" t="n">
        <v>0</v>
      </c>
      <c r="L1212" t="n">
        <v>0</v>
      </c>
      <c r="M1212" t="n">
        <v>0</v>
      </c>
      <c r="N1212" t="n">
        <v>0</v>
      </c>
      <c r="O1212" t="n">
        <v>0</v>
      </c>
      <c r="P1212" t="n">
        <v>0</v>
      </c>
      <c r="Q1212" t="n">
        <v>0</v>
      </c>
      <c r="R1212" s="2" t="inlineStr"/>
    </row>
    <row r="1213" ht="15" customHeight="1">
      <c r="A1213" t="inlineStr">
        <is>
          <t>A 26733-2025</t>
        </is>
      </c>
      <c r="B1213" s="1" t="n">
        <v>45810.51078703703</v>
      </c>
      <c r="C1213" s="1" t="n">
        <v>46048</v>
      </c>
      <c r="D1213" t="inlineStr">
        <is>
          <t>VÄSTERNORRLANDS LÄN</t>
        </is>
      </c>
      <c r="E1213" t="inlineStr">
        <is>
          <t>SOLLEFTEÅ</t>
        </is>
      </c>
      <c r="F1213" t="inlineStr">
        <is>
          <t>SCA</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9072-2025</t>
        </is>
      </c>
      <c r="B1214" s="1" t="n">
        <v>45713.65673611111</v>
      </c>
      <c r="C1214" s="1" t="n">
        <v>46048</v>
      </c>
      <c r="D1214" t="inlineStr">
        <is>
          <t>VÄSTERNORRLANDS LÄN</t>
        </is>
      </c>
      <c r="E1214" t="inlineStr">
        <is>
          <t>SOLLEFTEÅ</t>
        </is>
      </c>
      <c r="F1214" t="inlineStr">
        <is>
          <t>SCA</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39449-2024</t>
        </is>
      </c>
      <c r="B1215" s="1" t="n">
        <v>45551.61609953704</v>
      </c>
      <c r="C1215" s="1" t="n">
        <v>46048</v>
      </c>
      <c r="D1215" t="inlineStr">
        <is>
          <t>VÄSTERNORRLANDS LÄN</t>
        </is>
      </c>
      <c r="E1215" t="inlineStr">
        <is>
          <t>SOLLEFTEÅ</t>
        </is>
      </c>
      <c r="F1215" t="inlineStr">
        <is>
          <t>SCA</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27789-2024</t>
        </is>
      </c>
      <c r="B1216" s="1" t="n">
        <v>45475</v>
      </c>
      <c r="C1216" s="1" t="n">
        <v>46048</v>
      </c>
      <c r="D1216" t="inlineStr">
        <is>
          <t>VÄSTERNORRLANDS LÄN</t>
        </is>
      </c>
      <c r="E1216" t="inlineStr">
        <is>
          <t>SOLLEFTEÅ</t>
        </is>
      </c>
      <c r="F1216" t="inlineStr">
        <is>
          <t>SCA</t>
        </is>
      </c>
      <c r="G1216" t="n">
        <v>4.5</v>
      </c>
      <c r="H1216" t="n">
        <v>0</v>
      </c>
      <c r="I1216" t="n">
        <v>0</v>
      </c>
      <c r="J1216" t="n">
        <v>0</v>
      </c>
      <c r="K1216" t="n">
        <v>0</v>
      </c>
      <c r="L1216" t="n">
        <v>0</v>
      </c>
      <c r="M1216" t="n">
        <v>0</v>
      </c>
      <c r="N1216" t="n">
        <v>0</v>
      </c>
      <c r="O1216" t="n">
        <v>0</v>
      </c>
      <c r="P1216" t="n">
        <v>0</v>
      </c>
      <c r="Q1216" t="n">
        <v>0</v>
      </c>
      <c r="R1216" s="2" t="inlineStr"/>
    </row>
    <row r="1217" ht="15" customHeight="1">
      <c r="A1217" t="inlineStr">
        <is>
          <t>A 10737-2025</t>
        </is>
      </c>
      <c r="B1217" s="1" t="n">
        <v>45722</v>
      </c>
      <c r="C1217" s="1" t="n">
        <v>46048</v>
      </c>
      <c r="D1217" t="inlineStr">
        <is>
          <t>VÄSTERNORRLANDS LÄN</t>
        </is>
      </c>
      <c r="E1217" t="inlineStr">
        <is>
          <t>SOLLEFTEÅ</t>
        </is>
      </c>
      <c r="F1217" t="inlineStr">
        <is>
          <t>SCA</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61778-2024</t>
        </is>
      </c>
      <c r="B1218" s="1" t="n">
        <v>45649.46961805555</v>
      </c>
      <c r="C1218" s="1" t="n">
        <v>46048</v>
      </c>
      <c r="D1218" t="inlineStr">
        <is>
          <t>VÄSTERNORRLANDS LÄN</t>
        </is>
      </c>
      <c r="E1218" t="inlineStr">
        <is>
          <t>SOLLEFTEÅ</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7258-2024</t>
        </is>
      </c>
      <c r="B1219" s="1" t="n">
        <v>45344.74564814815</v>
      </c>
      <c r="C1219" s="1" t="n">
        <v>46048</v>
      </c>
      <c r="D1219" t="inlineStr">
        <is>
          <t>VÄSTERNORRLANDS LÄN</t>
        </is>
      </c>
      <c r="E1219" t="inlineStr">
        <is>
          <t>SOLLEFTEÅ</t>
        </is>
      </c>
      <c r="G1219" t="n">
        <v>4.1</v>
      </c>
      <c r="H1219" t="n">
        <v>0</v>
      </c>
      <c r="I1219" t="n">
        <v>0</v>
      </c>
      <c r="J1219" t="n">
        <v>0</v>
      </c>
      <c r="K1219" t="n">
        <v>0</v>
      </c>
      <c r="L1219" t="n">
        <v>0</v>
      </c>
      <c r="M1219" t="n">
        <v>0</v>
      </c>
      <c r="N1219" t="n">
        <v>0</v>
      </c>
      <c r="O1219" t="n">
        <v>0</v>
      </c>
      <c r="P1219" t="n">
        <v>0</v>
      </c>
      <c r="Q1219" t="n">
        <v>0</v>
      </c>
      <c r="R1219" s="2" t="inlineStr"/>
    </row>
    <row r="1220" ht="15" customHeight="1">
      <c r="A1220" t="inlineStr">
        <is>
          <t>A 11117-2022</t>
        </is>
      </c>
      <c r="B1220" s="1" t="n">
        <v>44628.94248842593</v>
      </c>
      <c r="C1220" s="1" t="n">
        <v>46048</v>
      </c>
      <c r="D1220" t="inlineStr">
        <is>
          <t>VÄSTERNORRLANDS LÄN</t>
        </is>
      </c>
      <c r="E1220" t="inlineStr">
        <is>
          <t>SOLLEFTEÅ</t>
        </is>
      </c>
      <c r="F1220" t="inlineStr">
        <is>
          <t>SCA</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29070-2023</t>
        </is>
      </c>
      <c r="B1221" s="1" t="n">
        <v>45104.94119212963</v>
      </c>
      <c r="C1221" s="1" t="n">
        <v>46048</v>
      </c>
      <c r="D1221" t="inlineStr">
        <is>
          <t>VÄSTERNORRLANDS LÄN</t>
        </is>
      </c>
      <c r="E1221" t="inlineStr">
        <is>
          <t>SOLLEFTEÅ</t>
        </is>
      </c>
      <c r="F1221" t="inlineStr">
        <is>
          <t>SCA</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41413-2024</t>
        </is>
      </c>
      <c r="B1222" s="1" t="n">
        <v>45560.345</v>
      </c>
      <c r="C1222" s="1" t="n">
        <v>46048</v>
      </c>
      <c r="D1222" t="inlineStr">
        <is>
          <t>VÄSTERNORRLANDS LÄN</t>
        </is>
      </c>
      <c r="E1222" t="inlineStr">
        <is>
          <t>SOLLEFTEÅ</t>
        </is>
      </c>
      <c r="F1222" t="inlineStr">
        <is>
          <t>SCA</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54575-2024</t>
        </is>
      </c>
      <c r="B1223" s="1" t="n">
        <v>45617.65232638889</v>
      </c>
      <c r="C1223" s="1" t="n">
        <v>46048</v>
      </c>
      <c r="D1223" t="inlineStr">
        <is>
          <t>VÄSTERNORRLANDS LÄN</t>
        </is>
      </c>
      <c r="E1223" t="inlineStr">
        <is>
          <t>SOLLEFTEÅ</t>
        </is>
      </c>
      <c r="F1223" t="inlineStr">
        <is>
          <t>Holmen skog AB</t>
        </is>
      </c>
      <c r="G1223" t="n">
        <v>1.7</v>
      </c>
      <c r="H1223" t="n">
        <v>0</v>
      </c>
      <c r="I1223" t="n">
        <v>0</v>
      </c>
      <c r="J1223" t="n">
        <v>0</v>
      </c>
      <c r="K1223" t="n">
        <v>0</v>
      </c>
      <c r="L1223" t="n">
        <v>0</v>
      </c>
      <c r="M1223" t="n">
        <v>0</v>
      </c>
      <c r="N1223" t="n">
        <v>0</v>
      </c>
      <c r="O1223" t="n">
        <v>0</v>
      </c>
      <c r="P1223" t="n">
        <v>0</v>
      </c>
      <c r="Q1223" t="n">
        <v>0</v>
      </c>
      <c r="R1223" s="2" t="inlineStr"/>
      <c r="U1223">
        <f>HYPERLINK("https://klasma.github.io/Logging_2283/knärot/A 54575-2024 karta knärot.png", "A 54575-2024")</f>
        <v/>
      </c>
      <c r="V1223">
        <f>HYPERLINK("https://klasma.github.io/Logging_2283/klagomål/A 54575-2024 FSC-klagomål.docx", "A 54575-2024")</f>
        <v/>
      </c>
      <c r="W1223">
        <f>HYPERLINK("https://klasma.github.io/Logging_2283/klagomålsmail/A 54575-2024 FSC-klagomål mail.docx", "A 54575-2024")</f>
        <v/>
      </c>
      <c r="X1223">
        <f>HYPERLINK("https://klasma.github.io/Logging_2283/tillsyn/A 54575-2024 tillsynsbegäran.docx", "A 54575-2024")</f>
        <v/>
      </c>
      <c r="Y1223">
        <f>HYPERLINK("https://klasma.github.io/Logging_2283/tillsynsmail/A 54575-2024 tillsynsbegäran mail.docx", "A 54575-2024")</f>
        <v/>
      </c>
    </row>
    <row r="1224" ht="15" customHeight="1">
      <c r="A1224" t="inlineStr">
        <is>
          <t>A 18621-2024</t>
        </is>
      </c>
      <c r="B1224" s="1" t="n">
        <v>45425</v>
      </c>
      <c r="C1224" s="1" t="n">
        <v>46048</v>
      </c>
      <c r="D1224" t="inlineStr">
        <is>
          <t>VÄSTERNORRLANDS LÄN</t>
        </is>
      </c>
      <c r="E1224" t="inlineStr">
        <is>
          <t>SOLLEFTEÅ</t>
        </is>
      </c>
      <c r="F1224" t="inlineStr">
        <is>
          <t>SCA</t>
        </is>
      </c>
      <c r="G1224" t="n">
        <v>5.5</v>
      </c>
      <c r="H1224" t="n">
        <v>0</v>
      </c>
      <c r="I1224" t="n">
        <v>0</v>
      </c>
      <c r="J1224" t="n">
        <v>0</v>
      </c>
      <c r="K1224" t="n">
        <v>0</v>
      </c>
      <c r="L1224" t="n">
        <v>0</v>
      </c>
      <c r="M1224" t="n">
        <v>0</v>
      </c>
      <c r="N1224" t="n">
        <v>0</v>
      </c>
      <c r="O1224" t="n">
        <v>0</v>
      </c>
      <c r="P1224" t="n">
        <v>0</v>
      </c>
      <c r="Q1224" t="n">
        <v>0</v>
      </c>
      <c r="R1224" s="2" t="inlineStr"/>
    </row>
    <row r="1225" ht="15" customHeight="1">
      <c r="A1225" t="inlineStr">
        <is>
          <t>A 18622-2024</t>
        </is>
      </c>
      <c r="B1225" s="1" t="n">
        <v>45425.96364583333</v>
      </c>
      <c r="C1225" s="1" t="n">
        <v>46048</v>
      </c>
      <c r="D1225" t="inlineStr">
        <is>
          <t>VÄSTERNORRLANDS LÄN</t>
        </is>
      </c>
      <c r="E1225" t="inlineStr">
        <is>
          <t>SOLLEFTEÅ</t>
        </is>
      </c>
      <c r="F1225" t="inlineStr">
        <is>
          <t>SCA</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40569-2024</t>
        </is>
      </c>
      <c r="B1226" s="1" t="n">
        <v>45555.67744212963</v>
      </c>
      <c r="C1226" s="1" t="n">
        <v>46048</v>
      </c>
      <c r="D1226" t="inlineStr">
        <is>
          <t>VÄSTERNORRLANDS LÄN</t>
        </is>
      </c>
      <c r="E1226" t="inlineStr">
        <is>
          <t>SOLLEFTEÅ</t>
        </is>
      </c>
      <c r="F1226" t="inlineStr">
        <is>
          <t>SCA</t>
        </is>
      </c>
      <c r="G1226" t="n">
        <v>0.2</v>
      </c>
      <c r="H1226" t="n">
        <v>0</v>
      </c>
      <c r="I1226" t="n">
        <v>0</v>
      </c>
      <c r="J1226" t="n">
        <v>0</v>
      </c>
      <c r="K1226" t="n">
        <v>0</v>
      </c>
      <c r="L1226" t="n">
        <v>0</v>
      </c>
      <c r="M1226" t="n">
        <v>0</v>
      </c>
      <c r="N1226" t="n">
        <v>0</v>
      </c>
      <c r="O1226" t="n">
        <v>0</v>
      </c>
      <c r="P1226" t="n">
        <v>0</v>
      </c>
      <c r="Q1226" t="n">
        <v>0</v>
      </c>
      <c r="R1226" s="2" t="inlineStr"/>
    </row>
    <row r="1227" ht="15" customHeight="1">
      <c r="A1227" t="inlineStr">
        <is>
          <t>A 29197-2023</t>
        </is>
      </c>
      <c r="B1227" s="1" t="n">
        <v>45097</v>
      </c>
      <c r="C1227" s="1" t="n">
        <v>46048</v>
      </c>
      <c r="D1227" t="inlineStr">
        <is>
          <t>VÄSTERNORRLANDS LÄN</t>
        </is>
      </c>
      <c r="E1227" t="inlineStr">
        <is>
          <t>SOLLEFTEÅ</t>
        </is>
      </c>
      <c r="G1227" t="n">
        <v>6.7</v>
      </c>
      <c r="H1227" t="n">
        <v>0</v>
      </c>
      <c r="I1227" t="n">
        <v>0</v>
      </c>
      <c r="J1227" t="n">
        <v>0</v>
      </c>
      <c r="K1227" t="n">
        <v>0</v>
      </c>
      <c r="L1227" t="n">
        <v>0</v>
      </c>
      <c r="M1227" t="n">
        <v>0</v>
      </c>
      <c r="N1227" t="n">
        <v>0</v>
      </c>
      <c r="O1227" t="n">
        <v>0</v>
      </c>
      <c r="P1227" t="n">
        <v>0</v>
      </c>
      <c r="Q1227" t="n">
        <v>0</v>
      </c>
      <c r="R1227" s="2" t="inlineStr"/>
    </row>
    <row r="1228" ht="15" customHeight="1">
      <c r="A1228" t="inlineStr">
        <is>
          <t>A 22473-2024</t>
        </is>
      </c>
      <c r="B1228" s="1" t="n">
        <v>45446</v>
      </c>
      <c r="C1228" s="1" t="n">
        <v>46048</v>
      </c>
      <c r="D1228" t="inlineStr">
        <is>
          <t>VÄSTERNORRLANDS LÄN</t>
        </is>
      </c>
      <c r="E1228" t="inlineStr">
        <is>
          <t>SOLLEFTEÅ</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19433-2021</t>
        </is>
      </c>
      <c r="B1229" s="1" t="n">
        <v>44309.94400462963</v>
      </c>
      <c r="C1229" s="1" t="n">
        <v>46048</v>
      </c>
      <c r="D1229" t="inlineStr">
        <is>
          <t>VÄSTERNORRLANDS LÄN</t>
        </is>
      </c>
      <c r="E1229" t="inlineStr">
        <is>
          <t>SOLLEFTEÅ</t>
        </is>
      </c>
      <c r="F1229" t="inlineStr">
        <is>
          <t>SCA</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26935-2025</t>
        </is>
      </c>
      <c r="B1230" s="1" t="n">
        <v>45811.40413194444</v>
      </c>
      <c r="C1230" s="1" t="n">
        <v>46048</v>
      </c>
      <c r="D1230" t="inlineStr">
        <is>
          <t>VÄSTERNORRLANDS LÄN</t>
        </is>
      </c>
      <c r="E1230" t="inlineStr">
        <is>
          <t>SOLLEFTEÅ</t>
        </is>
      </c>
      <c r="G1230" t="n">
        <v>3.2</v>
      </c>
      <c r="H1230" t="n">
        <v>0</v>
      </c>
      <c r="I1230" t="n">
        <v>0</v>
      </c>
      <c r="J1230" t="n">
        <v>0</v>
      </c>
      <c r="K1230" t="n">
        <v>0</v>
      </c>
      <c r="L1230" t="n">
        <v>0</v>
      </c>
      <c r="M1230" t="n">
        <v>0</v>
      </c>
      <c r="N1230" t="n">
        <v>0</v>
      </c>
      <c r="O1230" t="n">
        <v>0</v>
      </c>
      <c r="P1230" t="n">
        <v>0</v>
      </c>
      <c r="Q1230" t="n">
        <v>0</v>
      </c>
      <c r="R1230" s="2" t="inlineStr"/>
    </row>
    <row r="1231" ht="15" customHeight="1">
      <c r="A1231" t="inlineStr">
        <is>
          <t>A 26952-2025</t>
        </is>
      </c>
      <c r="B1231" s="1" t="n">
        <v>45811.4484375</v>
      </c>
      <c r="C1231" s="1" t="n">
        <v>46048</v>
      </c>
      <c r="D1231" t="inlineStr">
        <is>
          <t>VÄSTERNORRLANDS LÄN</t>
        </is>
      </c>
      <c r="E1231" t="inlineStr">
        <is>
          <t>SOLLEFTEÅ</t>
        </is>
      </c>
      <c r="F1231" t="inlineStr">
        <is>
          <t>SCA</t>
        </is>
      </c>
      <c r="G1231" t="n">
        <v>5.1</v>
      </c>
      <c r="H1231" t="n">
        <v>0</v>
      </c>
      <c r="I1231" t="n">
        <v>0</v>
      </c>
      <c r="J1231" t="n">
        <v>0</v>
      </c>
      <c r="K1231" t="n">
        <v>0</v>
      </c>
      <c r="L1231" t="n">
        <v>0</v>
      </c>
      <c r="M1231" t="n">
        <v>0</v>
      </c>
      <c r="N1231" t="n">
        <v>0</v>
      </c>
      <c r="O1231" t="n">
        <v>0</v>
      </c>
      <c r="P1231" t="n">
        <v>0</v>
      </c>
      <c r="Q1231" t="n">
        <v>0</v>
      </c>
      <c r="R1231" s="2" t="inlineStr"/>
    </row>
    <row r="1232" ht="15" customHeight="1">
      <c r="A1232" t="inlineStr">
        <is>
          <t>A 31662-2024</t>
        </is>
      </c>
      <c r="B1232" s="1" t="n">
        <v>45506.92857638889</v>
      </c>
      <c r="C1232" s="1" t="n">
        <v>46048</v>
      </c>
      <c r="D1232" t="inlineStr">
        <is>
          <t>VÄSTERNORRLANDS LÄN</t>
        </is>
      </c>
      <c r="E1232" t="inlineStr">
        <is>
          <t>SOLLEFTEÅ</t>
        </is>
      </c>
      <c r="G1232" t="n">
        <v>11.7</v>
      </c>
      <c r="H1232" t="n">
        <v>0</v>
      </c>
      <c r="I1232" t="n">
        <v>0</v>
      </c>
      <c r="J1232" t="n">
        <v>0</v>
      </c>
      <c r="K1232" t="n">
        <v>0</v>
      </c>
      <c r="L1232" t="n">
        <v>0</v>
      </c>
      <c r="M1232" t="n">
        <v>0</v>
      </c>
      <c r="N1232" t="n">
        <v>0</v>
      </c>
      <c r="O1232" t="n">
        <v>0</v>
      </c>
      <c r="P1232" t="n">
        <v>0</v>
      </c>
      <c r="Q1232" t="n">
        <v>0</v>
      </c>
      <c r="R1232" s="2" t="inlineStr"/>
    </row>
    <row r="1233" ht="15" customHeight="1">
      <c r="A1233" t="inlineStr">
        <is>
          <t>A 19814-2022</t>
        </is>
      </c>
      <c r="B1233" s="1" t="n">
        <v>44694.93945601852</v>
      </c>
      <c r="C1233" s="1" t="n">
        <v>46048</v>
      </c>
      <c r="D1233" t="inlineStr">
        <is>
          <t>VÄSTERNORRLANDS LÄN</t>
        </is>
      </c>
      <c r="E1233" t="inlineStr">
        <is>
          <t>SOLLEFTEÅ</t>
        </is>
      </c>
      <c r="F1233" t="inlineStr">
        <is>
          <t>SCA</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45973-2023</t>
        </is>
      </c>
      <c r="B1234" s="1" t="n">
        <v>45195</v>
      </c>
      <c r="C1234" s="1" t="n">
        <v>46048</v>
      </c>
      <c r="D1234" t="inlineStr">
        <is>
          <t>VÄSTERNORRLANDS LÄN</t>
        </is>
      </c>
      <c r="E1234" t="inlineStr">
        <is>
          <t>SOLLEFTEÅ</t>
        </is>
      </c>
      <c r="F1234" t="inlineStr">
        <is>
          <t>SCA</t>
        </is>
      </c>
      <c r="G1234" t="n">
        <v>3.8</v>
      </c>
      <c r="H1234" t="n">
        <v>0</v>
      </c>
      <c r="I1234" t="n">
        <v>0</v>
      </c>
      <c r="J1234" t="n">
        <v>0</v>
      </c>
      <c r="K1234" t="n">
        <v>0</v>
      </c>
      <c r="L1234" t="n">
        <v>0</v>
      </c>
      <c r="M1234" t="n">
        <v>0</v>
      </c>
      <c r="N1234" t="n">
        <v>0</v>
      </c>
      <c r="O1234" t="n">
        <v>0</v>
      </c>
      <c r="P1234" t="n">
        <v>0</v>
      </c>
      <c r="Q1234" t="n">
        <v>0</v>
      </c>
      <c r="R1234" s="2" t="inlineStr"/>
    </row>
    <row r="1235" ht="15" customHeight="1">
      <c r="A1235" t="inlineStr">
        <is>
          <t>A 59421-2024</t>
        </is>
      </c>
      <c r="B1235" s="1" t="n">
        <v>45638.41244212963</v>
      </c>
      <c r="C1235" s="1" t="n">
        <v>46048</v>
      </c>
      <c r="D1235" t="inlineStr">
        <is>
          <t>VÄSTERNORRLANDS LÄN</t>
        </is>
      </c>
      <c r="E1235" t="inlineStr">
        <is>
          <t>SOLLEFTEÅ</t>
        </is>
      </c>
      <c r="G1235" t="n">
        <v>5.1</v>
      </c>
      <c r="H1235" t="n">
        <v>0</v>
      </c>
      <c r="I1235" t="n">
        <v>0</v>
      </c>
      <c r="J1235" t="n">
        <v>0</v>
      </c>
      <c r="K1235" t="n">
        <v>0</v>
      </c>
      <c r="L1235" t="n">
        <v>0</v>
      </c>
      <c r="M1235" t="n">
        <v>0</v>
      </c>
      <c r="N1235" t="n">
        <v>0</v>
      </c>
      <c r="O1235" t="n">
        <v>0</v>
      </c>
      <c r="P1235" t="n">
        <v>0</v>
      </c>
      <c r="Q1235" t="n">
        <v>0</v>
      </c>
      <c r="R1235" s="2" t="inlineStr"/>
    </row>
    <row r="1236" ht="15" customHeight="1">
      <c r="A1236" t="inlineStr">
        <is>
          <t>A 55912-2023</t>
        </is>
      </c>
      <c r="B1236" s="1" t="n">
        <v>45239.92665509259</v>
      </c>
      <c r="C1236" s="1" t="n">
        <v>46048</v>
      </c>
      <c r="D1236" t="inlineStr">
        <is>
          <t>VÄSTERNORRLANDS LÄN</t>
        </is>
      </c>
      <c r="E1236" t="inlineStr">
        <is>
          <t>SOLLEFTEÅ</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11125-2022</t>
        </is>
      </c>
      <c r="B1237" s="1" t="n">
        <v>44628</v>
      </c>
      <c r="C1237" s="1" t="n">
        <v>46048</v>
      </c>
      <c r="D1237" t="inlineStr">
        <is>
          <t>VÄSTERNORRLANDS LÄN</t>
        </is>
      </c>
      <c r="E1237" t="inlineStr">
        <is>
          <t>SOLLEFTEÅ</t>
        </is>
      </c>
      <c r="F1237" t="inlineStr">
        <is>
          <t>SCA</t>
        </is>
      </c>
      <c r="G1237" t="n">
        <v>6.2</v>
      </c>
      <c r="H1237" t="n">
        <v>0</v>
      </c>
      <c r="I1237" t="n">
        <v>0</v>
      </c>
      <c r="J1237" t="n">
        <v>0</v>
      </c>
      <c r="K1237" t="n">
        <v>0</v>
      </c>
      <c r="L1237" t="n">
        <v>0</v>
      </c>
      <c r="M1237" t="n">
        <v>0</v>
      </c>
      <c r="N1237" t="n">
        <v>0</v>
      </c>
      <c r="O1237" t="n">
        <v>0</v>
      </c>
      <c r="P1237" t="n">
        <v>0</v>
      </c>
      <c r="Q1237" t="n">
        <v>0</v>
      </c>
      <c r="R1237" s="2" t="inlineStr"/>
    </row>
    <row r="1238" ht="15" customHeight="1">
      <c r="A1238" t="inlineStr">
        <is>
          <t>A 31453-2022</t>
        </is>
      </c>
      <c r="B1238" s="1" t="n">
        <v>44774.94159722222</v>
      </c>
      <c r="C1238" s="1" t="n">
        <v>46048</v>
      </c>
      <c r="D1238" t="inlineStr">
        <is>
          <t>VÄSTERNORRLANDS LÄN</t>
        </is>
      </c>
      <c r="E1238" t="inlineStr">
        <is>
          <t>SOLLEFTEÅ</t>
        </is>
      </c>
      <c r="F1238" t="inlineStr">
        <is>
          <t>SCA</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26896-2025</t>
        </is>
      </c>
      <c r="B1239" s="1" t="n">
        <v>45811.33834490741</v>
      </c>
      <c r="C1239" s="1" t="n">
        <v>46048</v>
      </c>
      <c r="D1239" t="inlineStr">
        <is>
          <t>VÄSTERNORRLANDS LÄN</t>
        </is>
      </c>
      <c r="E1239" t="inlineStr">
        <is>
          <t>SOLLEFTEÅ</t>
        </is>
      </c>
      <c r="G1239" t="n">
        <v>8.5</v>
      </c>
      <c r="H1239" t="n">
        <v>0</v>
      </c>
      <c r="I1239" t="n">
        <v>0</v>
      </c>
      <c r="J1239" t="n">
        <v>0</v>
      </c>
      <c r="K1239" t="n">
        <v>0</v>
      </c>
      <c r="L1239" t="n">
        <v>0</v>
      </c>
      <c r="M1239" t="n">
        <v>0</v>
      </c>
      <c r="N1239" t="n">
        <v>0</v>
      </c>
      <c r="O1239" t="n">
        <v>0</v>
      </c>
      <c r="P1239" t="n">
        <v>0</v>
      </c>
      <c r="Q1239" t="n">
        <v>0</v>
      </c>
      <c r="R1239" s="2" t="inlineStr"/>
    </row>
    <row r="1240" ht="15" customHeight="1">
      <c r="A1240" t="inlineStr">
        <is>
          <t>A 7014-2025</t>
        </is>
      </c>
      <c r="B1240" s="1" t="n">
        <v>45701.61085648148</v>
      </c>
      <c r="C1240" s="1" t="n">
        <v>46048</v>
      </c>
      <c r="D1240" t="inlineStr">
        <is>
          <t>VÄSTERNORRLANDS LÄN</t>
        </is>
      </c>
      <c r="E1240" t="inlineStr">
        <is>
          <t>SOLLEFTEÅ</t>
        </is>
      </c>
      <c r="G1240" t="n">
        <v>9.6</v>
      </c>
      <c r="H1240" t="n">
        <v>0</v>
      </c>
      <c r="I1240" t="n">
        <v>0</v>
      </c>
      <c r="J1240" t="n">
        <v>0</v>
      </c>
      <c r="K1240" t="n">
        <v>0</v>
      </c>
      <c r="L1240" t="n">
        <v>0</v>
      </c>
      <c r="M1240" t="n">
        <v>0</v>
      </c>
      <c r="N1240" t="n">
        <v>0</v>
      </c>
      <c r="O1240" t="n">
        <v>0</v>
      </c>
      <c r="P1240" t="n">
        <v>0</v>
      </c>
      <c r="Q1240" t="n">
        <v>0</v>
      </c>
      <c r="R1240" s="2" t="inlineStr"/>
    </row>
    <row r="1241" ht="15" customHeight="1">
      <c r="A1241" t="inlineStr">
        <is>
          <t>A 13539-2024</t>
        </is>
      </c>
      <c r="B1241" s="1" t="n">
        <v>45387.92583333333</v>
      </c>
      <c r="C1241" s="1" t="n">
        <v>46048</v>
      </c>
      <c r="D1241" t="inlineStr">
        <is>
          <t>VÄSTERNORRLANDS LÄN</t>
        </is>
      </c>
      <c r="E1241" t="inlineStr">
        <is>
          <t>SOLLEFTEÅ</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22475-2024</t>
        </is>
      </c>
      <c r="B1242" s="1" t="n">
        <v>45446.95151620371</v>
      </c>
      <c r="C1242" s="1" t="n">
        <v>46048</v>
      </c>
      <c r="D1242" t="inlineStr">
        <is>
          <t>VÄSTERNORRLANDS LÄN</t>
        </is>
      </c>
      <c r="E1242" t="inlineStr">
        <is>
          <t>SOLLEFTEÅ</t>
        </is>
      </c>
      <c r="F1242" t="inlineStr">
        <is>
          <t>SCA</t>
        </is>
      </c>
      <c r="G1242" t="n">
        <v>18.5</v>
      </c>
      <c r="H1242" t="n">
        <v>0</v>
      </c>
      <c r="I1242" t="n">
        <v>0</v>
      </c>
      <c r="J1242" t="n">
        <v>0</v>
      </c>
      <c r="K1242" t="n">
        <v>0</v>
      </c>
      <c r="L1242" t="n">
        <v>0</v>
      </c>
      <c r="M1242" t="n">
        <v>0</v>
      </c>
      <c r="N1242" t="n">
        <v>0</v>
      </c>
      <c r="O1242" t="n">
        <v>0</v>
      </c>
      <c r="P1242" t="n">
        <v>0</v>
      </c>
      <c r="Q1242" t="n">
        <v>0</v>
      </c>
      <c r="R1242" s="2" t="inlineStr"/>
    </row>
    <row r="1243" ht="15" customHeight="1">
      <c r="A1243" t="inlineStr">
        <is>
          <t>A 34543-2022</t>
        </is>
      </c>
      <c r="B1243" s="1" t="n">
        <v>44793</v>
      </c>
      <c r="C1243" s="1" t="n">
        <v>46048</v>
      </c>
      <c r="D1243" t="inlineStr">
        <is>
          <t>VÄSTERNORRLANDS LÄN</t>
        </is>
      </c>
      <c r="E1243" t="inlineStr">
        <is>
          <t>SOLLEFTEÅ</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42115-2024</t>
        </is>
      </c>
      <c r="B1244" s="1" t="n">
        <v>45562.38615740741</v>
      </c>
      <c r="C1244" s="1" t="n">
        <v>46048</v>
      </c>
      <c r="D1244" t="inlineStr">
        <is>
          <t>VÄSTERNORRLANDS LÄN</t>
        </is>
      </c>
      <c r="E1244" t="inlineStr">
        <is>
          <t>SOLLEFTEÅ</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67702-2021</t>
        </is>
      </c>
      <c r="B1245" s="1" t="n">
        <v>44524.94660879629</v>
      </c>
      <c r="C1245" s="1" t="n">
        <v>46048</v>
      </c>
      <c r="D1245" t="inlineStr">
        <is>
          <t>VÄSTERNORRLANDS LÄN</t>
        </is>
      </c>
      <c r="E1245" t="inlineStr">
        <is>
          <t>SOLLEFTEÅ</t>
        </is>
      </c>
      <c r="F1245" t="inlineStr">
        <is>
          <t>SCA</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61201-2024</t>
        </is>
      </c>
      <c r="B1246" s="1" t="n">
        <v>45645.6360300926</v>
      </c>
      <c r="C1246" s="1" t="n">
        <v>46048</v>
      </c>
      <c r="D1246" t="inlineStr">
        <is>
          <t>VÄSTERNORRLANDS LÄN</t>
        </is>
      </c>
      <c r="E1246" t="inlineStr">
        <is>
          <t>SOLLEFTEÅ</t>
        </is>
      </c>
      <c r="F1246" t="inlineStr">
        <is>
          <t>SCA</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27288-2025</t>
        </is>
      </c>
      <c r="B1247" s="1" t="n">
        <v>45812.55234953704</v>
      </c>
      <c r="C1247" s="1" t="n">
        <v>46048</v>
      </c>
      <c r="D1247" t="inlineStr">
        <is>
          <t>VÄSTERNORRLANDS LÄN</t>
        </is>
      </c>
      <c r="E1247" t="inlineStr">
        <is>
          <t>SOLLEFTEÅ</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47955-2024</t>
        </is>
      </c>
      <c r="B1248" s="1" t="n">
        <v>45589.3703125</v>
      </c>
      <c r="C1248" s="1" t="n">
        <v>46048</v>
      </c>
      <c r="D1248" t="inlineStr">
        <is>
          <t>VÄSTERNORRLANDS LÄN</t>
        </is>
      </c>
      <c r="E1248" t="inlineStr">
        <is>
          <t>SOLLEFTEÅ</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3633-2024</t>
        </is>
      </c>
      <c r="B1249" s="1" t="n">
        <v>45320</v>
      </c>
      <c r="C1249" s="1" t="n">
        <v>46048</v>
      </c>
      <c r="D1249" t="inlineStr">
        <is>
          <t>VÄSTERNORRLANDS LÄN</t>
        </is>
      </c>
      <c r="E1249" t="inlineStr">
        <is>
          <t>SOLLEFTEÅ</t>
        </is>
      </c>
      <c r="F1249" t="inlineStr">
        <is>
          <t>SCA</t>
        </is>
      </c>
      <c r="G1249" t="n">
        <v>4.5</v>
      </c>
      <c r="H1249" t="n">
        <v>0</v>
      </c>
      <c r="I1249" t="n">
        <v>0</v>
      </c>
      <c r="J1249" t="n">
        <v>0</v>
      </c>
      <c r="K1249" t="n">
        <v>0</v>
      </c>
      <c r="L1249" t="n">
        <v>0</v>
      </c>
      <c r="M1249" t="n">
        <v>0</v>
      </c>
      <c r="N1249" t="n">
        <v>0</v>
      </c>
      <c r="O1249" t="n">
        <v>0</v>
      </c>
      <c r="P1249" t="n">
        <v>0</v>
      </c>
      <c r="Q1249" t="n">
        <v>0</v>
      </c>
      <c r="R1249" s="2" t="inlineStr"/>
    </row>
    <row r="1250" ht="15" customHeight="1">
      <c r="A1250" t="inlineStr">
        <is>
          <t>A 657-2025</t>
        </is>
      </c>
      <c r="B1250" s="1" t="n">
        <v>45664.67766203704</v>
      </c>
      <c r="C1250" s="1" t="n">
        <v>46048</v>
      </c>
      <c r="D1250" t="inlineStr">
        <is>
          <t>VÄSTERNORRLANDS LÄN</t>
        </is>
      </c>
      <c r="E1250" t="inlineStr">
        <is>
          <t>SOLLEFTEÅ</t>
        </is>
      </c>
      <c r="F1250" t="inlineStr">
        <is>
          <t>SCA</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7157-2025</t>
        </is>
      </c>
      <c r="B1251" s="1" t="n">
        <v>45702.38637731481</v>
      </c>
      <c r="C1251" s="1" t="n">
        <v>46048</v>
      </c>
      <c r="D1251" t="inlineStr">
        <is>
          <t>VÄSTERNORRLANDS LÄN</t>
        </is>
      </c>
      <c r="E1251" t="inlineStr">
        <is>
          <t>SOLLEFTEÅ</t>
        </is>
      </c>
      <c r="G1251" t="n">
        <v>12.5</v>
      </c>
      <c r="H1251" t="n">
        <v>0</v>
      </c>
      <c r="I1251" t="n">
        <v>0</v>
      </c>
      <c r="J1251" t="n">
        <v>0</v>
      </c>
      <c r="K1251" t="n">
        <v>0</v>
      </c>
      <c r="L1251" t="n">
        <v>0</v>
      </c>
      <c r="M1251" t="n">
        <v>0</v>
      </c>
      <c r="N1251" t="n">
        <v>0</v>
      </c>
      <c r="O1251" t="n">
        <v>0</v>
      </c>
      <c r="P1251" t="n">
        <v>0</v>
      </c>
      <c r="Q1251" t="n">
        <v>0</v>
      </c>
      <c r="R1251" s="2" t="inlineStr"/>
    </row>
    <row r="1252" ht="15" customHeight="1">
      <c r="A1252" t="inlineStr">
        <is>
          <t>A 27142-2025</t>
        </is>
      </c>
      <c r="B1252" s="1" t="n">
        <v>45812.28087962963</v>
      </c>
      <c r="C1252" s="1" t="n">
        <v>46048</v>
      </c>
      <c r="D1252" t="inlineStr">
        <is>
          <t>VÄSTERNORRLANDS LÄN</t>
        </is>
      </c>
      <c r="E1252" t="inlineStr">
        <is>
          <t>SOLLEFTEÅ</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51573-2024</t>
        </is>
      </c>
      <c r="B1253" s="1" t="n">
        <v>45604</v>
      </c>
      <c r="C1253" s="1" t="n">
        <v>46048</v>
      </c>
      <c r="D1253" t="inlineStr">
        <is>
          <t>VÄSTERNORRLANDS LÄN</t>
        </is>
      </c>
      <c r="E1253" t="inlineStr">
        <is>
          <t>SOLLEFTEÅ</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14656-2025</t>
        </is>
      </c>
      <c r="B1254" s="1" t="n">
        <v>45742.51074074074</v>
      </c>
      <c r="C1254" s="1" t="n">
        <v>46048</v>
      </c>
      <c r="D1254" t="inlineStr">
        <is>
          <t>VÄSTERNORRLANDS LÄN</t>
        </is>
      </c>
      <c r="E1254" t="inlineStr">
        <is>
          <t>SOLLEFTEÅ</t>
        </is>
      </c>
      <c r="F1254" t="inlineStr">
        <is>
          <t>SCA</t>
        </is>
      </c>
      <c r="G1254" t="n">
        <v>7.1</v>
      </c>
      <c r="H1254" t="n">
        <v>0</v>
      </c>
      <c r="I1254" t="n">
        <v>0</v>
      </c>
      <c r="J1254" t="n">
        <v>0</v>
      </c>
      <c r="K1254" t="n">
        <v>0</v>
      </c>
      <c r="L1254" t="n">
        <v>0</v>
      </c>
      <c r="M1254" t="n">
        <v>0</v>
      </c>
      <c r="N1254" t="n">
        <v>0</v>
      </c>
      <c r="O1254" t="n">
        <v>0</v>
      </c>
      <c r="P1254" t="n">
        <v>0</v>
      </c>
      <c r="Q1254" t="n">
        <v>0</v>
      </c>
      <c r="R1254" s="2" t="inlineStr"/>
    </row>
    <row r="1255" ht="15" customHeight="1">
      <c r="A1255" t="inlineStr">
        <is>
          <t>A 37042-2021</t>
        </is>
      </c>
      <c r="B1255" s="1" t="n">
        <v>44393.93495370371</v>
      </c>
      <c r="C1255" s="1" t="n">
        <v>46048</v>
      </c>
      <c r="D1255" t="inlineStr">
        <is>
          <t>VÄSTERNORRLANDS LÄN</t>
        </is>
      </c>
      <c r="E1255" t="inlineStr">
        <is>
          <t>SOLLEFTEÅ</t>
        </is>
      </c>
      <c r="F1255" t="inlineStr">
        <is>
          <t>SCA</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18459-2021</t>
        </is>
      </c>
      <c r="B1256" s="1" t="n">
        <v>44305.93701388889</v>
      </c>
      <c r="C1256" s="1" t="n">
        <v>46048</v>
      </c>
      <c r="D1256" t="inlineStr">
        <is>
          <t>VÄSTERNORRLANDS LÄN</t>
        </is>
      </c>
      <c r="E1256" t="inlineStr">
        <is>
          <t>SOLLEFTEÅ</t>
        </is>
      </c>
      <c r="F1256" t="inlineStr">
        <is>
          <t>SCA</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9254-2025</t>
        </is>
      </c>
      <c r="B1257" s="1" t="n">
        <v>45714.59442129629</v>
      </c>
      <c r="C1257" s="1" t="n">
        <v>46048</v>
      </c>
      <c r="D1257" t="inlineStr">
        <is>
          <t>VÄSTERNORRLANDS LÄN</t>
        </is>
      </c>
      <c r="E1257" t="inlineStr">
        <is>
          <t>SOLLEFTEÅ</t>
        </is>
      </c>
      <c r="F1257" t="inlineStr">
        <is>
          <t>SCA</t>
        </is>
      </c>
      <c r="G1257" t="n">
        <v>5.3</v>
      </c>
      <c r="H1257" t="n">
        <v>0</v>
      </c>
      <c r="I1257" t="n">
        <v>0</v>
      </c>
      <c r="J1257" t="n">
        <v>0</v>
      </c>
      <c r="K1257" t="n">
        <v>0</v>
      </c>
      <c r="L1257" t="n">
        <v>0</v>
      </c>
      <c r="M1257" t="n">
        <v>0</v>
      </c>
      <c r="N1257" t="n">
        <v>0</v>
      </c>
      <c r="O1257" t="n">
        <v>0</v>
      </c>
      <c r="P1257" t="n">
        <v>0</v>
      </c>
      <c r="Q1257" t="n">
        <v>0</v>
      </c>
      <c r="R1257" s="2" t="inlineStr"/>
    </row>
    <row r="1258" ht="15" customHeight="1">
      <c r="A1258" t="inlineStr">
        <is>
          <t>A 6896-2025</t>
        </is>
      </c>
      <c r="B1258" s="1" t="n">
        <v>45701.38577546296</v>
      </c>
      <c r="C1258" s="1" t="n">
        <v>46048</v>
      </c>
      <c r="D1258" t="inlineStr">
        <is>
          <t>VÄSTERNORRLANDS LÄN</t>
        </is>
      </c>
      <c r="E1258" t="inlineStr">
        <is>
          <t>SOLLEFTEÅ</t>
        </is>
      </c>
      <c r="F1258" t="inlineStr">
        <is>
          <t>SCA</t>
        </is>
      </c>
      <c r="G1258" t="n">
        <v>6.8</v>
      </c>
      <c r="H1258" t="n">
        <v>0</v>
      </c>
      <c r="I1258" t="n">
        <v>0</v>
      </c>
      <c r="J1258" t="n">
        <v>0</v>
      </c>
      <c r="K1258" t="n">
        <v>0</v>
      </c>
      <c r="L1258" t="n">
        <v>0</v>
      </c>
      <c r="M1258" t="n">
        <v>0</v>
      </c>
      <c r="N1258" t="n">
        <v>0</v>
      </c>
      <c r="O1258" t="n">
        <v>0</v>
      </c>
      <c r="P1258" t="n">
        <v>0</v>
      </c>
      <c r="Q1258" t="n">
        <v>0</v>
      </c>
      <c r="R1258" s="2" t="inlineStr"/>
    </row>
    <row r="1259" ht="15" customHeight="1">
      <c r="A1259" t="inlineStr">
        <is>
          <t>A 3001-2022</t>
        </is>
      </c>
      <c r="B1259" s="1" t="n">
        <v>44581</v>
      </c>
      <c r="C1259" s="1" t="n">
        <v>46048</v>
      </c>
      <c r="D1259" t="inlineStr">
        <is>
          <t>VÄSTERNORRLANDS LÄN</t>
        </is>
      </c>
      <c r="E1259" t="inlineStr">
        <is>
          <t>SOLLEFTEÅ</t>
        </is>
      </c>
      <c r="G1259" t="n">
        <v>4.2</v>
      </c>
      <c r="H1259" t="n">
        <v>0</v>
      </c>
      <c r="I1259" t="n">
        <v>0</v>
      </c>
      <c r="J1259" t="n">
        <v>0</v>
      </c>
      <c r="K1259" t="n">
        <v>0</v>
      </c>
      <c r="L1259" t="n">
        <v>0</v>
      </c>
      <c r="M1259" t="n">
        <v>0</v>
      </c>
      <c r="N1259" t="n">
        <v>0</v>
      </c>
      <c r="O1259" t="n">
        <v>0</v>
      </c>
      <c r="P1259" t="n">
        <v>0</v>
      </c>
      <c r="Q1259" t="n">
        <v>0</v>
      </c>
      <c r="R1259" s="2" t="inlineStr"/>
    </row>
    <row r="1260" ht="15" customHeight="1">
      <c r="A1260" t="inlineStr">
        <is>
          <t>A 27427-2025</t>
        </is>
      </c>
      <c r="B1260" s="1" t="n">
        <v>45813.28706018518</v>
      </c>
      <c r="C1260" s="1" t="n">
        <v>46048</v>
      </c>
      <c r="D1260" t="inlineStr">
        <is>
          <t>VÄSTERNORRLANDS LÄN</t>
        </is>
      </c>
      <c r="E1260" t="inlineStr">
        <is>
          <t>SOLLEFTEÅ</t>
        </is>
      </c>
      <c r="G1260" t="n">
        <v>2.9</v>
      </c>
      <c r="H1260" t="n">
        <v>0</v>
      </c>
      <c r="I1260" t="n">
        <v>0</v>
      </c>
      <c r="J1260" t="n">
        <v>0</v>
      </c>
      <c r="K1260" t="n">
        <v>0</v>
      </c>
      <c r="L1260" t="n">
        <v>0</v>
      </c>
      <c r="M1260" t="n">
        <v>0</v>
      </c>
      <c r="N1260" t="n">
        <v>0</v>
      </c>
      <c r="O1260" t="n">
        <v>0</v>
      </c>
      <c r="P1260" t="n">
        <v>0</v>
      </c>
      <c r="Q1260" t="n">
        <v>0</v>
      </c>
      <c r="R1260" s="2" t="inlineStr"/>
    </row>
    <row r="1261" ht="15" customHeight="1">
      <c r="A1261" t="inlineStr">
        <is>
          <t>A 27167-2025</t>
        </is>
      </c>
      <c r="B1261" s="1" t="n">
        <v>45812.34465277778</v>
      </c>
      <c r="C1261" s="1" t="n">
        <v>46048</v>
      </c>
      <c r="D1261" t="inlineStr">
        <is>
          <t>VÄSTERNORRLANDS LÄN</t>
        </is>
      </c>
      <c r="E1261" t="inlineStr">
        <is>
          <t>SOLLEFTEÅ</t>
        </is>
      </c>
      <c r="F1261" t="inlineStr">
        <is>
          <t>SCA</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27519-2025</t>
        </is>
      </c>
      <c r="B1262" s="1" t="n">
        <v>45813.44186342593</v>
      </c>
      <c r="C1262" s="1" t="n">
        <v>46048</v>
      </c>
      <c r="D1262" t="inlineStr">
        <is>
          <t>VÄSTERNORRLANDS LÄN</t>
        </is>
      </c>
      <c r="E1262" t="inlineStr">
        <is>
          <t>SOLLEFTEÅ</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42164-2023</t>
        </is>
      </c>
      <c r="B1263" s="1" t="n">
        <v>45177.93747685185</v>
      </c>
      <c r="C1263" s="1" t="n">
        <v>46048</v>
      </c>
      <c r="D1263" t="inlineStr">
        <is>
          <t>VÄSTERNORRLANDS LÄN</t>
        </is>
      </c>
      <c r="E1263" t="inlineStr">
        <is>
          <t>SOLLEFTEÅ</t>
        </is>
      </c>
      <c r="F1263" t="inlineStr">
        <is>
          <t>SCA</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600-2025</t>
        </is>
      </c>
      <c r="B1264" s="1" t="n">
        <v>45664.59428240741</v>
      </c>
      <c r="C1264" s="1" t="n">
        <v>46048</v>
      </c>
      <c r="D1264" t="inlineStr">
        <is>
          <t>VÄSTERNORRLANDS LÄN</t>
        </is>
      </c>
      <c r="E1264" t="inlineStr">
        <is>
          <t>SOLLEFTEÅ</t>
        </is>
      </c>
      <c r="F1264" t="inlineStr">
        <is>
          <t>SCA</t>
        </is>
      </c>
      <c r="G1264" t="n">
        <v>9.699999999999999</v>
      </c>
      <c r="H1264" t="n">
        <v>0</v>
      </c>
      <c r="I1264" t="n">
        <v>0</v>
      </c>
      <c r="J1264" t="n">
        <v>0</v>
      </c>
      <c r="K1264" t="n">
        <v>0</v>
      </c>
      <c r="L1264" t="n">
        <v>0</v>
      </c>
      <c r="M1264" t="n">
        <v>0</v>
      </c>
      <c r="N1264" t="n">
        <v>0</v>
      </c>
      <c r="O1264" t="n">
        <v>0</v>
      </c>
      <c r="P1264" t="n">
        <v>0</v>
      </c>
      <c r="Q1264" t="n">
        <v>0</v>
      </c>
      <c r="R1264" s="2" t="inlineStr"/>
    </row>
    <row r="1265" ht="15" customHeight="1">
      <c r="A1265" t="inlineStr">
        <is>
          <t>A 42514-2023</t>
        </is>
      </c>
      <c r="B1265" s="1" t="n">
        <v>45180.95969907408</v>
      </c>
      <c r="C1265" s="1" t="n">
        <v>46048</v>
      </c>
      <c r="D1265" t="inlineStr">
        <is>
          <t>VÄSTERNORRLANDS LÄN</t>
        </is>
      </c>
      <c r="E1265" t="inlineStr">
        <is>
          <t>SOLLEFTEÅ</t>
        </is>
      </c>
      <c r="F1265" t="inlineStr">
        <is>
          <t>SCA</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21092-2024</t>
        </is>
      </c>
      <c r="B1266" s="1" t="n">
        <v>45439.95009259259</v>
      </c>
      <c r="C1266" s="1" t="n">
        <v>46048</v>
      </c>
      <c r="D1266" t="inlineStr">
        <is>
          <t>VÄSTERNORRLANDS LÄN</t>
        </is>
      </c>
      <c r="E1266" t="inlineStr">
        <is>
          <t>SOLLEFTEÅ</t>
        </is>
      </c>
      <c r="F1266" t="inlineStr">
        <is>
          <t>SCA</t>
        </is>
      </c>
      <c r="G1266" t="n">
        <v>5.5</v>
      </c>
      <c r="H1266" t="n">
        <v>0</v>
      </c>
      <c r="I1266" t="n">
        <v>0</v>
      </c>
      <c r="J1266" t="n">
        <v>0</v>
      </c>
      <c r="K1266" t="n">
        <v>0</v>
      </c>
      <c r="L1266" t="n">
        <v>0</v>
      </c>
      <c r="M1266" t="n">
        <v>0</v>
      </c>
      <c r="N1266" t="n">
        <v>0</v>
      </c>
      <c r="O1266" t="n">
        <v>0</v>
      </c>
      <c r="P1266" t="n">
        <v>0</v>
      </c>
      <c r="Q1266" t="n">
        <v>0</v>
      </c>
      <c r="R1266" s="2" t="inlineStr"/>
    </row>
    <row r="1267" ht="15" customHeight="1">
      <c r="A1267" t="inlineStr">
        <is>
          <t>A 27407-2025</t>
        </is>
      </c>
      <c r="B1267" s="1" t="n">
        <v>45812.74519675926</v>
      </c>
      <c r="C1267" s="1" t="n">
        <v>46048</v>
      </c>
      <c r="D1267" t="inlineStr">
        <is>
          <t>VÄSTERNORRLANDS LÄN</t>
        </is>
      </c>
      <c r="E1267" t="inlineStr">
        <is>
          <t>SOLLEFTEÅ</t>
        </is>
      </c>
      <c r="G1267" t="n">
        <v>23.2</v>
      </c>
      <c r="H1267" t="n">
        <v>0</v>
      </c>
      <c r="I1267" t="n">
        <v>0</v>
      </c>
      <c r="J1267" t="n">
        <v>0</v>
      </c>
      <c r="K1267" t="n">
        <v>0</v>
      </c>
      <c r="L1267" t="n">
        <v>0</v>
      </c>
      <c r="M1267" t="n">
        <v>0</v>
      </c>
      <c r="N1267" t="n">
        <v>0</v>
      </c>
      <c r="O1267" t="n">
        <v>0</v>
      </c>
      <c r="P1267" t="n">
        <v>0</v>
      </c>
      <c r="Q1267" t="n">
        <v>0</v>
      </c>
      <c r="R1267" s="2" t="inlineStr"/>
    </row>
    <row r="1268" ht="15" customHeight="1">
      <c r="A1268" t="inlineStr">
        <is>
          <t>A 44661-2024</t>
        </is>
      </c>
      <c r="B1268" s="1" t="n">
        <v>45574.53180555555</v>
      </c>
      <c r="C1268" s="1" t="n">
        <v>46048</v>
      </c>
      <c r="D1268" t="inlineStr">
        <is>
          <t>VÄSTERNORRLANDS LÄN</t>
        </is>
      </c>
      <c r="E1268" t="inlineStr">
        <is>
          <t>SOLLEFTEÅ</t>
        </is>
      </c>
      <c r="F1268" t="inlineStr">
        <is>
          <t>SCA</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58995-2024</t>
        </is>
      </c>
      <c r="B1269" s="1" t="n">
        <v>45636.63726851852</v>
      </c>
      <c r="C1269" s="1" t="n">
        <v>46048</v>
      </c>
      <c r="D1269" t="inlineStr">
        <is>
          <t>VÄSTERNORRLANDS LÄN</t>
        </is>
      </c>
      <c r="E1269" t="inlineStr">
        <is>
          <t>SOLLEFTEÅ</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27592-2025</t>
        </is>
      </c>
      <c r="B1270" s="1" t="n">
        <v>45813.5191550926</v>
      </c>
      <c r="C1270" s="1" t="n">
        <v>46048</v>
      </c>
      <c r="D1270" t="inlineStr">
        <is>
          <t>VÄSTERNORRLANDS LÄN</t>
        </is>
      </c>
      <c r="E1270" t="inlineStr">
        <is>
          <t>SOLLEFTEÅ</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37696-2023</t>
        </is>
      </c>
      <c r="B1271" s="1" t="n">
        <v>45156</v>
      </c>
      <c r="C1271" s="1" t="n">
        <v>46048</v>
      </c>
      <c r="D1271" t="inlineStr">
        <is>
          <t>VÄSTERNORRLANDS LÄN</t>
        </is>
      </c>
      <c r="E1271" t="inlineStr">
        <is>
          <t>SOLLEFTEÅ</t>
        </is>
      </c>
      <c r="G1271" t="n">
        <v>0.1</v>
      </c>
      <c r="H1271" t="n">
        <v>0</v>
      </c>
      <c r="I1271" t="n">
        <v>0</v>
      </c>
      <c r="J1271" t="n">
        <v>0</v>
      </c>
      <c r="K1271" t="n">
        <v>0</v>
      </c>
      <c r="L1271" t="n">
        <v>0</v>
      </c>
      <c r="M1271" t="n">
        <v>0</v>
      </c>
      <c r="N1271" t="n">
        <v>0</v>
      </c>
      <c r="O1271" t="n">
        <v>0</v>
      </c>
      <c r="P1271" t="n">
        <v>0</v>
      </c>
      <c r="Q1271" t="n">
        <v>0</v>
      </c>
      <c r="R1271" s="2" t="inlineStr"/>
    </row>
    <row r="1272" ht="15" customHeight="1">
      <c r="A1272" t="inlineStr">
        <is>
          <t>A 27660-2025</t>
        </is>
      </c>
      <c r="B1272" s="1" t="n">
        <v>45813.61490740741</v>
      </c>
      <c r="C1272" s="1" t="n">
        <v>46048</v>
      </c>
      <c r="D1272" t="inlineStr">
        <is>
          <t>VÄSTERNORRLANDS LÄN</t>
        </is>
      </c>
      <c r="E1272" t="inlineStr">
        <is>
          <t>SOLLEFTEÅ</t>
        </is>
      </c>
      <c r="F1272" t="inlineStr">
        <is>
          <t>SCA</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42987-2024</t>
        </is>
      </c>
      <c r="B1273" s="1" t="n">
        <v>45567</v>
      </c>
      <c r="C1273" s="1" t="n">
        <v>46048</v>
      </c>
      <c r="D1273" t="inlineStr">
        <is>
          <t>VÄSTERNORRLANDS LÄN</t>
        </is>
      </c>
      <c r="E1273" t="inlineStr">
        <is>
          <t>SOLLEFTEÅ</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34878-2024</t>
        </is>
      </c>
      <c r="B1274" s="1" t="n">
        <v>45527</v>
      </c>
      <c r="C1274" s="1" t="n">
        <v>46048</v>
      </c>
      <c r="D1274" t="inlineStr">
        <is>
          <t>VÄSTERNORRLANDS LÄN</t>
        </is>
      </c>
      <c r="E1274" t="inlineStr">
        <is>
          <t>SOLLEFTEÅ</t>
        </is>
      </c>
      <c r="F1274" t="inlineStr">
        <is>
          <t>SCA</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56416-2023</t>
        </is>
      </c>
      <c r="B1275" s="1" t="n">
        <v>45237</v>
      </c>
      <c r="C1275" s="1" t="n">
        <v>46048</v>
      </c>
      <c r="D1275" t="inlineStr">
        <is>
          <t>VÄSTERNORRLANDS LÄN</t>
        </is>
      </c>
      <c r="E1275" t="inlineStr">
        <is>
          <t>SOLLEFTEÅ</t>
        </is>
      </c>
      <c r="G1275" t="n">
        <v>11.2</v>
      </c>
      <c r="H1275" t="n">
        <v>0</v>
      </c>
      <c r="I1275" t="n">
        <v>0</v>
      </c>
      <c r="J1275" t="n">
        <v>0</v>
      </c>
      <c r="K1275" t="n">
        <v>0</v>
      </c>
      <c r="L1275" t="n">
        <v>0</v>
      </c>
      <c r="M1275" t="n">
        <v>0</v>
      </c>
      <c r="N1275" t="n">
        <v>0</v>
      </c>
      <c r="O1275" t="n">
        <v>0</v>
      </c>
      <c r="P1275" t="n">
        <v>0</v>
      </c>
      <c r="Q1275" t="n">
        <v>0</v>
      </c>
      <c r="R1275" s="2" t="inlineStr"/>
    </row>
    <row r="1276" ht="15" customHeight="1">
      <c r="A1276" t="inlineStr">
        <is>
          <t>A 1466-2025</t>
        </is>
      </c>
      <c r="B1276" s="1" t="n">
        <v>45670</v>
      </c>
      <c r="C1276" s="1" t="n">
        <v>46048</v>
      </c>
      <c r="D1276" t="inlineStr">
        <is>
          <t>VÄSTERNORRLANDS LÄN</t>
        </is>
      </c>
      <c r="E1276" t="inlineStr">
        <is>
          <t>SOLLEFTEÅ</t>
        </is>
      </c>
      <c r="G1276" t="n">
        <v>5.2</v>
      </c>
      <c r="H1276" t="n">
        <v>0</v>
      </c>
      <c r="I1276" t="n">
        <v>0</v>
      </c>
      <c r="J1276" t="n">
        <v>0</v>
      </c>
      <c r="K1276" t="n">
        <v>0</v>
      </c>
      <c r="L1276" t="n">
        <v>0</v>
      </c>
      <c r="M1276" t="n">
        <v>0</v>
      </c>
      <c r="N1276" t="n">
        <v>0</v>
      </c>
      <c r="O1276" t="n">
        <v>0</v>
      </c>
      <c r="P1276" t="n">
        <v>0</v>
      </c>
      <c r="Q1276" t="n">
        <v>0</v>
      </c>
      <c r="R1276" s="2" t="inlineStr"/>
    </row>
    <row r="1277" ht="15" customHeight="1">
      <c r="A1277" t="inlineStr">
        <is>
          <t>A 31681-2024</t>
        </is>
      </c>
      <c r="B1277" s="1" t="n">
        <v>45506.94902777778</v>
      </c>
      <c r="C1277" s="1" t="n">
        <v>46048</v>
      </c>
      <c r="D1277" t="inlineStr">
        <is>
          <t>VÄSTERNORRLANDS LÄN</t>
        </is>
      </c>
      <c r="E1277" t="inlineStr">
        <is>
          <t>SOLLEFTEÅ</t>
        </is>
      </c>
      <c r="F1277" t="inlineStr">
        <is>
          <t>SCA</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54233-2024</t>
        </is>
      </c>
      <c r="B1278" s="1" t="n">
        <v>45616.67791666667</v>
      </c>
      <c r="C1278" s="1" t="n">
        <v>46048</v>
      </c>
      <c r="D1278" t="inlineStr">
        <is>
          <t>VÄSTERNORRLANDS LÄN</t>
        </is>
      </c>
      <c r="E1278" t="inlineStr">
        <is>
          <t>SOLLEFTEÅ</t>
        </is>
      </c>
      <c r="F1278" t="inlineStr">
        <is>
          <t>SCA</t>
        </is>
      </c>
      <c r="G1278" t="n">
        <v>5.3</v>
      </c>
      <c r="H1278" t="n">
        <v>0</v>
      </c>
      <c r="I1278" t="n">
        <v>0</v>
      </c>
      <c r="J1278" t="n">
        <v>0</v>
      </c>
      <c r="K1278" t="n">
        <v>0</v>
      </c>
      <c r="L1278" t="n">
        <v>0</v>
      </c>
      <c r="M1278" t="n">
        <v>0</v>
      </c>
      <c r="N1278" t="n">
        <v>0</v>
      </c>
      <c r="O1278" t="n">
        <v>0</v>
      </c>
      <c r="P1278" t="n">
        <v>0</v>
      </c>
      <c r="Q1278" t="n">
        <v>0</v>
      </c>
      <c r="R1278" s="2" t="inlineStr"/>
    </row>
    <row r="1279" ht="15" customHeight="1">
      <c r="A1279" t="inlineStr">
        <is>
          <t>A 38100-2023</t>
        </is>
      </c>
      <c r="B1279" s="1" t="n">
        <v>45160.9647800926</v>
      </c>
      <c r="C1279" s="1" t="n">
        <v>46048</v>
      </c>
      <c r="D1279" t="inlineStr">
        <is>
          <t>VÄSTERNORRLANDS LÄN</t>
        </is>
      </c>
      <c r="E1279" t="inlineStr">
        <is>
          <t>SOLLEFTEÅ</t>
        </is>
      </c>
      <c r="F1279" t="inlineStr">
        <is>
          <t>SCA</t>
        </is>
      </c>
      <c r="G1279" t="n">
        <v>4.6</v>
      </c>
      <c r="H1279" t="n">
        <v>0</v>
      </c>
      <c r="I1279" t="n">
        <v>0</v>
      </c>
      <c r="J1279" t="n">
        <v>0</v>
      </c>
      <c r="K1279" t="n">
        <v>0</v>
      </c>
      <c r="L1279" t="n">
        <v>0</v>
      </c>
      <c r="M1279" t="n">
        <v>0</v>
      </c>
      <c r="N1279" t="n">
        <v>0</v>
      </c>
      <c r="O1279" t="n">
        <v>0</v>
      </c>
      <c r="P1279" t="n">
        <v>0</v>
      </c>
      <c r="Q1279" t="n">
        <v>0</v>
      </c>
      <c r="R1279" s="2" t="inlineStr"/>
    </row>
    <row r="1280" ht="15" customHeight="1">
      <c r="A1280" t="inlineStr">
        <is>
          <t>A 25877-2021</t>
        </is>
      </c>
      <c r="B1280" s="1" t="n">
        <v>44344</v>
      </c>
      <c r="C1280" s="1" t="n">
        <v>46048</v>
      </c>
      <c r="D1280" t="inlineStr">
        <is>
          <t>VÄSTERNORRLANDS LÄN</t>
        </is>
      </c>
      <c r="E1280" t="inlineStr">
        <is>
          <t>SOLLEFTEÅ</t>
        </is>
      </c>
      <c r="G1280" t="n">
        <v>4.2</v>
      </c>
      <c r="H1280" t="n">
        <v>0</v>
      </c>
      <c r="I1280" t="n">
        <v>0</v>
      </c>
      <c r="J1280" t="n">
        <v>0</v>
      </c>
      <c r="K1280" t="n">
        <v>0</v>
      </c>
      <c r="L1280" t="n">
        <v>0</v>
      </c>
      <c r="M1280" t="n">
        <v>0</v>
      </c>
      <c r="N1280" t="n">
        <v>0</v>
      </c>
      <c r="O1280" t="n">
        <v>0</v>
      </c>
      <c r="P1280" t="n">
        <v>0</v>
      </c>
      <c r="Q1280" t="n">
        <v>0</v>
      </c>
      <c r="R1280" s="2" t="inlineStr"/>
    </row>
    <row r="1281" ht="15" customHeight="1">
      <c r="A1281" t="inlineStr">
        <is>
          <t>A 15429-2025</t>
        </is>
      </c>
      <c r="B1281" s="1" t="n">
        <v>45747.47</v>
      </c>
      <c r="C1281" s="1" t="n">
        <v>46048</v>
      </c>
      <c r="D1281" t="inlineStr">
        <is>
          <t>VÄSTERNORRLANDS LÄN</t>
        </is>
      </c>
      <c r="E1281" t="inlineStr">
        <is>
          <t>SOLLEFTEÅ</t>
        </is>
      </c>
      <c r="F1281" t="inlineStr">
        <is>
          <t>SCA</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12617-2025</t>
        </is>
      </c>
      <c r="B1282" s="1" t="n">
        <v>45733.34895833334</v>
      </c>
      <c r="C1282" s="1" t="n">
        <v>46048</v>
      </c>
      <c r="D1282" t="inlineStr">
        <is>
          <t>VÄSTERNORRLANDS LÄN</t>
        </is>
      </c>
      <c r="E1282" t="inlineStr">
        <is>
          <t>SOLLEFTEÅ</t>
        </is>
      </c>
      <c r="G1282" t="n">
        <v>5.6</v>
      </c>
      <c r="H1282" t="n">
        <v>0</v>
      </c>
      <c r="I1282" t="n">
        <v>0</v>
      </c>
      <c r="J1282" t="n">
        <v>0</v>
      </c>
      <c r="K1282" t="n">
        <v>0</v>
      </c>
      <c r="L1282" t="n">
        <v>0</v>
      </c>
      <c r="M1282" t="n">
        <v>0</v>
      </c>
      <c r="N1282" t="n">
        <v>0</v>
      </c>
      <c r="O1282" t="n">
        <v>0</v>
      </c>
      <c r="P1282" t="n">
        <v>0</v>
      </c>
      <c r="Q1282" t="n">
        <v>0</v>
      </c>
      <c r="R1282" s="2" t="inlineStr"/>
    </row>
    <row r="1283" ht="15" customHeight="1">
      <c r="A1283" t="inlineStr">
        <is>
          <t>A 23025-2024</t>
        </is>
      </c>
      <c r="B1283" s="1" t="n">
        <v>45450.36578703704</v>
      </c>
      <c r="C1283" s="1" t="n">
        <v>46048</v>
      </c>
      <c r="D1283" t="inlineStr">
        <is>
          <t>VÄSTERNORRLANDS LÄN</t>
        </is>
      </c>
      <c r="E1283" t="inlineStr">
        <is>
          <t>SOLLEFTEÅ</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19556-2024</t>
        </is>
      </c>
      <c r="B1284" s="1" t="n">
        <v>45429</v>
      </c>
      <c r="C1284" s="1" t="n">
        <v>46048</v>
      </c>
      <c r="D1284" t="inlineStr">
        <is>
          <t>VÄSTERNORRLANDS LÄN</t>
        </is>
      </c>
      <c r="E1284" t="inlineStr">
        <is>
          <t>SOLLEFTEÅ</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2677-2025</t>
        </is>
      </c>
      <c r="B1285" s="1" t="n">
        <v>45677</v>
      </c>
      <c r="C1285" s="1" t="n">
        <v>46048</v>
      </c>
      <c r="D1285" t="inlineStr">
        <is>
          <t>VÄSTERNORRLANDS LÄN</t>
        </is>
      </c>
      <c r="E1285" t="inlineStr">
        <is>
          <t>SOLLEFTEÅ</t>
        </is>
      </c>
      <c r="F1285" t="inlineStr">
        <is>
          <t>SCA</t>
        </is>
      </c>
      <c r="G1285" t="n">
        <v>11.9</v>
      </c>
      <c r="H1285" t="n">
        <v>0</v>
      </c>
      <c r="I1285" t="n">
        <v>0</v>
      </c>
      <c r="J1285" t="n">
        <v>0</v>
      </c>
      <c r="K1285" t="n">
        <v>0</v>
      </c>
      <c r="L1285" t="n">
        <v>0</v>
      </c>
      <c r="M1285" t="n">
        <v>0</v>
      </c>
      <c r="N1285" t="n">
        <v>0</v>
      </c>
      <c r="O1285" t="n">
        <v>0</v>
      </c>
      <c r="P1285" t="n">
        <v>0</v>
      </c>
      <c r="Q1285" t="n">
        <v>0</v>
      </c>
      <c r="R1285" s="2" t="inlineStr"/>
    </row>
    <row r="1286" ht="15" customHeight="1">
      <c r="A1286" t="inlineStr">
        <is>
          <t>A 36004-2024</t>
        </is>
      </c>
      <c r="B1286" s="1" t="n">
        <v>45533.54848379629</v>
      </c>
      <c r="C1286" s="1" t="n">
        <v>46048</v>
      </c>
      <c r="D1286" t="inlineStr">
        <is>
          <t>VÄSTERNORRLANDS LÄN</t>
        </is>
      </c>
      <c r="E1286" t="inlineStr">
        <is>
          <t>SOLLEFTEÅ</t>
        </is>
      </c>
      <c r="G1286" t="n">
        <v>3.7</v>
      </c>
      <c r="H1286" t="n">
        <v>0</v>
      </c>
      <c r="I1286" t="n">
        <v>0</v>
      </c>
      <c r="J1286" t="n">
        <v>0</v>
      </c>
      <c r="K1286" t="n">
        <v>0</v>
      </c>
      <c r="L1286" t="n">
        <v>0</v>
      </c>
      <c r="M1286" t="n">
        <v>0</v>
      </c>
      <c r="N1286" t="n">
        <v>0</v>
      </c>
      <c r="O1286" t="n">
        <v>0</v>
      </c>
      <c r="P1286" t="n">
        <v>0</v>
      </c>
      <c r="Q1286" t="n">
        <v>0</v>
      </c>
      <c r="R1286" s="2" t="inlineStr"/>
    </row>
    <row r="1287" ht="15" customHeight="1">
      <c r="A1287" t="inlineStr">
        <is>
          <t>A 54330-2023</t>
        </is>
      </c>
      <c r="B1287" s="1" t="n">
        <v>45232.95814814815</v>
      </c>
      <c r="C1287" s="1" t="n">
        <v>46048</v>
      </c>
      <c r="D1287" t="inlineStr">
        <is>
          <t>VÄSTERNORRLANDS LÄN</t>
        </is>
      </c>
      <c r="E1287" t="inlineStr">
        <is>
          <t>SOLLEFTEÅ</t>
        </is>
      </c>
      <c r="F1287" t="inlineStr">
        <is>
          <t>SCA</t>
        </is>
      </c>
      <c r="G1287" t="n">
        <v>3.3</v>
      </c>
      <c r="H1287" t="n">
        <v>0</v>
      </c>
      <c r="I1287" t="n">
        <v>0</v>
      </c>
      <c r="J1287" t="n">
        <v>0</v>
      </c>
      <c r="K1287" t="n">
        <v>0</v>
      </c>
      <c r="L1287" t="n">
        <v>0</v>
      </c>
      <c r="M1287" t="n">
        <v>0</v>
      </c>
      <c r="N1287" t="n">
        <v>0</v>
      </c>
      <c r="O1287" t="n">
        <v>0</v>
      </c>
      <c r="P1287" t="n">
        <v>0</v>
      </c>
      <c r="Q1287" t="n">
        <v>0</v>
      </c>
      <c r="R1287" s="2" t="inlineStr"/>
    </row>
    <row r="1288" ht="15" customHeight="1">
      <c r="A1288" t="inlineStr">
        <is>
          <t>A 27748-2025</t>
        </is>
      </c>
      <c r="B1288" s="1" t="n">
        <v>45815.67740740741</v>
      </c>
      <c r="C1288" s="1" t="n">
        <v>46048</v>
      </c>
      <c r="D1288" t="inlineStr">
        <is>
          <t>VÄSTERNORRLANDS LÄN</t>
        </is>
      </c>
      <c r="E1288" t="inlineStr">
        <is>
          <t>SOLLEFTEÅ</t>
        </is>
      </c>
      <c r="F1288" t="inlineStr">
        <is>
          <t>SCA</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27956-2025</t>
        </is>
      </c>
      <c r="B1289" s="1" t="n">
        <v>45817.5344675926</v>
      </c>
      <c r="C1289" s="1" t="n">
        <v>46048</v>
      </c>
      <c r="D1289" t="inlineStr">
        <is>
          <t>VÄSTERNORRLANDS LÄN</t>
        </is>
      </c>
      <c r="E1289" t="inlineStr">
        <is>
          <t>SOLLEFTEÅ</t>
        </is>
      </c>
      <c r="F1289" t="inlineStr">
        <is>
          <t>Holmen skog AB</t>
        </is>
      </c>
      <c r="G1289" t="n">
        <v>4</v>
      </c>
      <c r="H1289" t="n">
        <v>0</v>
      </c>
      <c r="I1289" t="n">
        <v>0</v>
      </c>
      <c r="J1289" t="n">
        <v>0</v>
      </c>
      <c r="K1289" t="n">
        <v>0</v>
      </c>
      <c r="L1289" t="n">
        <v>0</v>
      </c>
      <c r="M1289" t="n">
        <v>0</v>
      </c>
      <c r="N1289" t="n">
        <v>0</v>
      </c>
      <c r="O1289" t="n">
        <v>0</v>
      </c>
      <c r="P1289" t="n">
        <v>0</v>
      </c>
      <c r="Q1289" t="n">
        <v>0</v>
      </c>
      <c r="R1289" s="2" t="inlineStr"/>
    </row>
    <row r="1290" ht="15" customHeight="1">
      <c r="A1290" t="inlineStr">
        <is>
          <t>A 27822-2025</t>
        </is>
      </c>
      <c r="B1290" s="1" t="n">
        <v>45817.34410879629</v>
      </c>
      <c r="C1290" s="1" t="n">
        <v>46048</v>
      </c>
      <c r="D1290" t="inlineStr">
        <is>
          <t>VÄSTERNORRLANDS LÄN</t>
        </is>
      </c>
      <c r="E1290" t="inlineStr">
        <is>
          <t>SOLLEFTEÅ</t>
        </is>
      </c>
      <c r="F1290" t="inlineStr">
        <is>
          <t>SCA</t>
        </is>
      </c>
      <c r="G1290" t="n">
        <v>2.5</v>
      </c>
      <c r="H1290" t="n">
        <v>0</v>
      </c>
      <c r="I1290" t="n">
        <v>0</v>
      </c>
      <c r="J1290" t="n">
        <v>0</v>
      </c>
      <c r="K1290" t="n">
        <v>0</v>
      </c>
      <c r="L1290" t="n">
        <v>0</v>
      </c>
      <c r="M1290" t="n">
        <v>0</v>
      </c>
      <c r="N1290" t="n">
        <v>0</v>
      </c>
      <c r="O1290" t="n">
        <v>0</v>
      </c>
      <c r="P1290" t="n">
        <v>0</v>
      </c>
      <c r="Q1290" t="n">
        <v>0</v>
      </c>
      <c r="R1290" s="2" t="inlineStr"/>
    </row>
    <row r="1291" ht="15" customHeight="1">
      <c r="A1291" t="inlineStr">
        <is>
          <t>A 63529-2023</t>
        </is>
      </c>
      <c r="B1291" s="1" t="n">
        <v>45274.94859953703</v>
      </c>
      <c r="C1291" s="1" t="n">
        <v>46048</v>
      </c>
      <c r="D1291" t="inlineStr">
        <is>
          <t>VÄSTERNORRLANDS LÄN</t>
        </is>
      </c>
      <c r="E1291" t="inlineStr">
        <is>
          <t>SOLLEFTEÅ</t>
        </is>
      </c>
      <c r="F1291" t="inlineStr">
        <is>
          <t>SCA</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23542-2024</t>
        </is>
      </c>
      <c r="B1292" s="1" t="n">
        <v>45453.95262731481</v>
      </c>
      <c r="C1292" s="1" t="n">
        <v>46048</v>
      </c>
      <c r="D1292" t="inlineStr">
        <is>
          <t>VÄSTERNORRLANDS LÄN</t>
        </is>
      </c>
      <c r="E1292" t="inlineStr">
        <is>
          <t>SOLLEFTEÅ</t>
        </is>
      </c>
      <c r="F1292" t="inlineStr">
        <is>
          <t>SCA</t>
        </is>
      </c>
      <c r="G1292" t="n">
        <v>4.1</v>
      </c>
      <c r="H1292" t="n">
        <v>0</v>
      </c>
      <c r="I1292" t="n">
        <v>0</v>
      </c>
      <c r="J1292" t="n">
        <v>0</v>
      </c>
      <c r="K1292" t="n">
        <v>0</v>
      </c>
      <c r="L1292" t="n">
        <v>0</v>
      </c>
      <c r="M1292" t="n">
        <v>0</v>
      </c>
      <c r="N1292" t="n">
        <v>0</v>
      </c>
      <c r="O1292" t="n">
        <v>0</v>
      </c>
      <c r="P1292" t="n">
        <v>0</v>
      </c>
      <c r="Q1292" t="n">
        <v>0</v>
      </c>
      <c r="R1292" s="2" t="inlineStr"/>
    </row>
    <row r="1293" ht="15" customHeight="1">
      <c r="A1293" t="inlineStr">
        <is>
          <t>A 18861-2023</t>
        </is>
      </c>
      <c r="B1293" s="1" t="n">
        <v>45042</v>
      </c>
      <c r="C1293" s="1" t="n">
        <v>46048</v>
      </c>
      <c r="D1293" t="inlineStr">
        <is>
          <t>VÄSTERNORRLANDS LÄN</t>
        </is>
      </c>
      <c r="E1293" t="inlineStr">
        <is>
          <t>SOLLEFTEÅ</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17993-2025</t>
        </is>
      </c>
      <c r="B1294" s="1" t="n">
        <v>45761.40673611111</v>
      </c>
      <c r="C1294" s="1" t="n">
        <v>46048</v>
      </c>
      <c r="D1294" t="inlineStr">
        <is>
          <t>VÄSTERNORRLANDS LÄN</t>
        </is>
      </c>
      <c r="E1294" t="inlineStr">
        <is>
          <t>SOLLEFTEÅ</t>
        </is>
      </c>
      <c r="F1294" t="inlineStr">
        <is>
          <t>SCA</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23488-2023</t>
        </is>
      </c>
      <c r="B1295" s="1" t="n">
        <v>45072</v>
      </c>
      <c r="C1295" s="1" t="n">
        <v>46048</v>
      </c>
      <c r="D1295" t="inlineStr">
        <is>
          <t>VÄSTERNORRLANDS LÄN</t>
        </is>
      </c>
      <c r="E1295" t="inlineStr">
        <is>
          <t>SOLLEFTEÅ</t>
        </is>
      </c>
      <c r="G1295" t="n">
        <v>3.9</v>
      </c>
      <c r="H1295" t="n">
        <v>0</v>
      </c>
      <c r="I1295" t="n">
        <v>0</v>
      </c>
      <c r="J1295" t="n">
        <v>0</v>
      </c>
      <c r="K1295" t="n">
        <v>0</v>
      </c>
      <c r="L1295" t="n">
        <v>0</v>
      </c>
      <c r="M1295" t="n">
        <v>0</v>
      </c>
      <c r="N1295" t="n">
        <v>0</v>
      </c>
      <c r="O1295" t="n">
        <v>0</v>
      </c>
      <c r="P1295" t="n">
        <v>0</v>
      </c>
      <c r="Q1295" t="n">
        <v>0</v>
      </c>
      <c r="R1295" s="2" t="inlineStr"/>
    </row>
    <row r="1296" ht="15" customHeight="1">
      <c r="A1296" t="inlineStr">
        <is>
          <t>A 49629-2024</t>
        </is>
      </c>
      <c r="B1296" s="1" t="n">
        <v>45596</v>
      </c>
      <c r="C1296" s="1" t="n">
        <v>46048</v>
      </c>
      <c r="D1296" t="inlineStr">
        <is>
          <t>VÄSTERNORRLANDS LÄN</t>
        </is>
      </c>
      <c r="E1296" t="inlineStr">
        <is>
          <t>SOLLEFTEÅ</t>
        </is>
      </c>
      <c r="F1296" t="inlineStr">
        <is>
          <t>SCA</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50757-2023</t>
        </is>
      </c>
      <c r="B1297" s="1" t="n">
        <v>45217</v>
      </c>
      <c r="C1297" s="1" t="n">
        <v>46048</v>
      </c>
      <c r="D1297" t="inlineStr">
        <is>
          <t>VÄSTERNORRLANDS LÄN</t>
        </is>
      </c>
      <c r="E1297" t="inlineStr">
        <is>
          <t>SOLLEFTEÅ</t>
        </is>
      </c>
      <c r="F1297" t="inlineStr">
        <is>
          <t>Holmen skog AB</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9328-2024</t>
        </is>
      </c>
      <c r="B1298" s="1" t="n">
        <v>45358.99144675926</v>
      </c>
      <c r="C1298" s="1" t="n">
        <v>46048</v>
      </c>
      <c r="D1298" t="inlineStr">
        <is>
          <t>VÄSTERNORRLANDS LÄN</t>
        </is>
      </c>
      <c r="E1298" t="inlineStr">
        <is>
          <t>SOLLEFTEÅ</t>
        </is>
      </c>
      <c r="F1298" t="inlineStr">
        <is>
          <t>SCA</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16709-2024</t>
        </is>
      </c>
      <c r="B1299" s="1" t="n">
        <v>45409.07737268518</v>
      </c>
      <c r="C1299" s="1" t="n">
        <v>46048</v>
      </c>
      <c r="D1299" t="inlineStr">
        <is>
          <t>VÄSTERNORRLANDS LÄN</t>
        </is>
      </c>
      <c r="E1299" t="inlineStr">
        <is>
          <t>SOLLEFTEÅ</t>
        </is>
      </c>
      <c r="F1299" t="inlineStr">
        <is>
          <t>SCA</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51505-2024</t>
        </is>
      </c>
      <c r="B1300" s="1" t="n">
        <v>45604</v>
      </c>
      <c r="C1300" s="1" t="n">
        <v>46048</v>
      </c>
      <c r="D1300" t="inlineStr">
        <is>
          <t>VÄSTERNORRLANDS LÄN</t>
        </is>
      </c>
      <c r="E1300" t="inlineStr">
        <is>
          <t>SOLLEFTEÅ</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53855-2024</t>
        </is>
      </c>
      <c r="B1301" s="1" t="n">
        <v>45615.63724537037</v>
      </c>
      <c r="C1301" s="1" t="n">
        <v>46048</v>
      </c>
      <c r="D1301" t="inlineStr">
        <is>
          <t>VÄSTERNORRLANDS LÄN</t>
        </is>
      </c>
      <c r="E1301" t="inlineStr">
        <is>
          <t>SOLLEFTEÅ</t>
        </is>
      </c>
      <c r="F1301" t="inlineStr">
        <is>
          <t>SCA</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28579-2025</t>
        </is>
      </c>
      <c r="B1302" s="1" t="n">
        <v>45819.57334490741</v>
      </c>
      <c r="C1302" s="1" t="n">
        <v>46048</v>
      </c>
      <c r="D1302" t="inlineStr">
        <is>
          <t>VÄSTERNORRLANDS LÄN</t>
        </is>
      </c>
      <c r="E1302" t="inlineStr">
        <is>
          <t>SOLLEFTEÅ</t>
        </is>
      </c>
      <c r="G1302" t="n">
        <v>5.2</v>
      </c>
      <c r="H1302" t="n">
        <v>0</v>
      </c>
      <c r="I1302" t="n">
        <v>0</v>
      </c>
      <c r="J1302" t="n">
        <v>0</v>
      </c>
      <c r="K1302" t="n">
        <v>0</v>
      </c>
      <c r="L1302" t="n">
        <v>0</v>
      </c>
      <c r="M1302" t="n">
        <v>0</v>
      </c>
      <c r="N1302" t="n">
        <v>0</v>
      </c>
      <c r="O1302" t="n">
        <v>0</v>
      </c>
      <c r="P1302" t="n">
        <v>0</v>
      </c>
      <c r="Q1302" t="n">
        <v>0</v>
      </c>
      <c r="R1302" s="2" t="inlineStr"/>
    </row>
    <row r="1303" ht="15" customHeight="1">
      <c r="A1303" t="inlineStr">
        <is>
          <t>A 54045-2023</t>
        </is>
      </c>
      <c r="B1303" s="1" t="n">
        <v>45231.96743055555</v>
      </c>
      <c r="C1303" s="1" t="n">
        <v>46048</v>
      </c>
      <c r="D1303" t="inlineStr">
        <is>
          <t>VÄSTERNORRLANDS LÄN</t>
        </is>
      </c>
      <c r="E1303" t="inlineStr">
        <is>
          <t>SOLLEFTEÅ</t>
        </is>
      </c>
      <c r="F1303" t="inlineStr">
        <is>
          <t>SCA</t>
        </is>
      </c>
      <c r="G1303" t="n">
        <v>3.6</v>
      </c>
      <c r="H1303" t="n">
        <v>0</v>
      </c>
      <c r="I1303" t="n">
        <v>0</v>
      </c>
      <c r="J1303" t="n">
        <v>0</v>
      </c>
      <c r="K1303" t="n">
        <v>0</v>
      </c>
      <c r="L1303" t="n">
        <v>0</v>
      </c>
      <c r="M1303" t="n">
        <v>0</v>
      </c>
      <c r="N1303" t="n">
        <v>0</v>
      </c>
      <c r="O1303" t="n">
        <v>0</v>
      </c>
      <c r="P1303" t="n">
        <v>0</v>
      </c>
      <c r="Q1303" t="n">
        <v>0</v>
      </c>
      <c r="R1303" s="2" t="inlineStr"/>
    </row>
    <row r="1304" ht="15" customHeight="1">
      <c r="A1304" t="inlineStr">
        <is>
          <t>A 27377-2024</t>
        </is>
      </c>
      <c r="B1304" s="1" t="n">
        <v>45473.88317129629</v>
      </c>
      <c r="C1304" s="1" t="n">
        <v>46048</v>
      </c>
      <c r="D1304" t="inlineStr">
        <is>
          <t>VÄSTERNORRLANDS LÄN</t>
        </is>
      </c>
      <c r="E1304" t="inlineStr">
        <is>
          <t>SOLLEFTEÅ</t>
        </is>
      </c>
      <c r="G1304" t="n">
        <v>9.1</v>
      </c>
      <c r="H1304" t="n">
        <v>0</v>
      </c>
      <c r="I1304" t="n">
        <v>0</v>
      </c>
      <c r="J1304" t="n">
        <v>0</v>
      </c>
      <c r="K1304" t="n">
        <v>0</v>
      </c>
      <c r="L1304" t="n">
        <v>0</v>
      </c>
      <c r="M1304" t="n">
        <v>0</v>
      </c>
      <c r="N1304" t="n">
        <v>0</v>
      </c>
      <c r="O1304" t="n">
        <v>0</v>
      </c>
      <c r="P1304" t="n">
        <v>0</v>
      </c>
      <c r="Q1304" t="n">
        <v>0</v>
      </c>
      <c r="R1304" s="2" t="inlineStr"/>
    </row>
    <row r="1305" ht="15" customHeight="1">
      <c r="A1305" t="inlineStr">
        <is>
          <t>A 28686-2025</t>
        </is>
      </c>
      <c r="B1305" s="1" t="n">
        <v>45819</v>
      </c>
      <c r="C1305" s="1" t="n">
        <v>46048</v>
      </c>
      <c r="D1305" t="inlineStr">
        <is>
          <t>VÄSTERNORRLANDS LÄN</t>
        </is>
      </c>
      <c r="E1305" t="inlineStr">
        <is>
          <t>SOLLEFTEÅ</t>
        </is>
      </c>
      <c r="G1305" t="n">
        <v>5.7</v>
      </c>
      <c r="H1305" t="n">
        <v>0</v>
      </c>
      <c r="I1305" t="n">
        <v>0</v>
      </c>
      <c r="J1305" t="n">
        <v>0</v>
      </c>
      <c r="K1305" t="n">
        <v>0</v>
      </c>
      <c r="L1305" t="n">
        <v>0</v>
      </c>
      <c r="M1305" t="n">
        <v>0</v>
      </c>
      <c r="N1305" t="n">
        <v>0</v>
      </c>
      <c r="O1305" t="n">
        <v>0</v>
      </c>
      <c r="P1305" t="n">
        <v>0</v>
      </c>
      <c r="Q1305" t="n">
        <v>0</v>
      </c>
      <c r="R1305" s="2" t="inlineStr"/>
    </row>
    <row r="1306" ht="15" customHeight="1">
      <c r="A1306" t="inlineStr">
        <is>
          <t>A 49253-2024</t>
        </is>
      </c>
      <c r="B1306" s="1" t="n">
        <v>45595</v>
      </c>
      <c r="C1306" s="1" t="n">
        <v>46048</v>
      </c>
      <c r="D1306" t="inlineStr">
        <is>
          <t>VÄSTERNORRLANDS LÄN</t>
        </is>
      </c>
      <c r="E1306" t="inlineStr">
        <is>
          <t>SOLLEFTEÅ</t>
        </is>
      </c>
      <c r="G1306" t="n">
        <v>5.2</v>
      </c>
      <c r="H1306" t="n">
        <v>0</v>
      </c>
      <c r="I1306" t="n">
        <v>0</v>
      </c>
      <c r="J1306" t="n">
        <v>0</v>
      </c>
      <c r="K1306" t="n">
        <v>0</v>
      </c>
      <c r="L1306" t="n">
        <v>0</v>
      </c>
      <c r="M1306" t="n">
        <v>0</v>
      </c>
      <c r="N1306" t="n">
        <v>0</v>
      </c>
      <c r="O1306" t="n">
        <v>0</v>
      </c>
      <c r="P1306" t="n">
        <v>0</v>
      </c>
      <c r="Q1306" t="n">
        <v>0</v>
      </c>
      <c r="R1306" s="2" t="inlineStr"/>
    </row>
    <row r="1307" ht="15" customHeight="1">
      <c r="A1307" t="inlineStr">
        <is>
          <t>A 16632-2025</t>
        </is>
      </c>
      <c r="B1307" s="1" t="n">
        <v>45754.36490740741</v>
      </c>
      <c r="C1307" s="1" t="n">
        <v>46048</v>
      </c>
      <c r="D1307" t="inlineStr">
        <is>
          <t>VÄSTERNORRLANDS LÄN</t>
        </is>
      </c>
      <c r="E1307" t="inlineStr">
        <is>
          <t>SOLLEFTEÅ</t>
        </is>
      </c>
      <c r="F1307" t="inlineStr">
        <is>
          <t>SCA</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28672-2025</t>
        </is>
      </c>
      <c r="B1308" s="1" t="n">
        <v>45819.6754050926</v>
      </c>
      <c r="C1308" s="1" t="n">
        <v>46048</v>
      </c>
      <c r="D1308" t="inlineStr">
        <is>
          <t>VÄSTERNORRLANDS LÄN</t>
        </is>
      </c>
      <c r="E1308" t="inlineStr">
        <is>
          <t>SOLLEFTEÅ</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11009-2024</t>
        </is>
      </c>
      <c r="B1309" s="1" t="n">
        <v>45370</v>
      </c>
      <c r="C1309" s="1" t="n">
        <v>46048</v>
      </c>
      <c r="D1309" t="inlineStr">
        <is>
          <t>VÄSTERNORRLANDS LÄN</t>
        </is>
      </c>
      <c r="E1309" t="inlineStr">
        <is>
          <t>SOLLEFTEÅ</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11455-2025</t>
        </is>
      </c>
      <c r="B1310" s="1" t="n">
        <v>45726.64886574074</v>
      </c>
      <c r="C1310" s="1" t="n">
        <v>46048</v>
      </c>
      <c r="D1310" t="inlineStr">
        <is>
          <t>VÄSTERNORRLANDS LÄN</t>
        </is>
      </c>
      <c r="E1310" t="inlineStr">
        <is>
          <t>SOLLEFTEÅ</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10138-2022</t>
        </is>
      </c>
      <c r="B1311" s="1" t="n">
        <v>44621.94612268519</v>
      </c>
      <c r="C1311" s="1" t="n">
        <v>46048</v>
      </c>
      <c r="D1311" t="inlineStr">
        <is>
          <t>VÄSTERNORRLANDS LÄN</t>
        </is>
      </c>
      <c r="E1311" t="inlineStr">
        <is>
          <t>SOLLEFTEÅ</t>
        </is>
      </c>
      <c r="F1311" t="inlineStr">
        <is>
          <t>SCA</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11746-2025</t>
        </is>
      </c>
      <c r="B1312" s="1" t="n">
        <v>45727.63577546296</v>
      </c>
      <c r="C1312" s="1" t="n">
        <v>46048</v>
      </c>
      <c r="D1312" t="inlineStr">
        <is>
          <t>VÄSTERNORRLANDS LÄN</t>
        </is>
      </c>
      <c r="E1312" t="inlineStr">
        <is>
          <t>SOLLEFTEÅ</t>
        </is>
      </c>
      <c r="F1312" t="inlineStr">
        <is>
          <t>SCA</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1114-2025</t>
        </is>
      </c>
      <c r="B1313" s="1" t="n">
        <v>45666.65664351852</v>
      </c>
      <c r="C1313" s="1" t="n">
        <v>46048</v>
      </c>
      <c r="D1313" t="inlineStr">
        <is>
          <t>VÄSTERNORRLANDS LÄN</t>
        </is>
      </c>
      <c r="E1313" t="inlineStr">
        <is>
          <t>SOLLEFTEÅ</t>
        </is>
      </c>
      <c r="F1313" t="inlineStr">
        <is>
          <t>SCA</t>
        </is>
      </c>
      <c r="G1313" t="n">
        <v>3.2</v>
      </c>
      <c r="H1313" t="n">
        <v>0</v>
      </c>
      <c r="I1313" t="n">
        <v>0</v>
      </c>
      <c r="J1313" t="n">
        <v>0</v>
      </c>
      <c r="K1313" t="n">
        <v>0</v>
      </c>
      <c r="L1313" t="n">
        <v>0</v>
      </c>
      <c r="M1313" t="n">
        <v>0</v>
      </c>
      <c r="N1313" t="n">
        <v>0</v>
      </c>
      <c r="O1313" t="n">
        <v>0</v>
      </c>
      <c r="P1313" t="n">
        <v>0</v>
      </c>
      <c r="Q1313" t="n">
        <v>0</v>
      </c>
      <c r="R1313" s="2" t="inlineStr"/>
    </row>
    <row r="1314" ht="15" customHeight="1">
      <c r="A1314" t="inlineStr">
        <is>
          <t>A 8880-2023</t>
        </is>
      </c>
      <c r="B1314" s="1" t="n">
        <v>44978.94346064814</v>
      </c>
      <c r="C1314" s="1" t="n">
        <v>46048</v>
      </c>
      <c r="D1314" t="inlineStr">
        <is>
          <t>VÄSTERNORRLANDS LÄN</t>
        </is>
      </c>
      <c r="E1314" t="inlineStr">
        <is>
          <t>SOLLEFTEÅ</t>
        </is>
      </c>
      <c r="F1314" t="inlineStr">
        <is>
          <t>SCA</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51847-2021</t>
        </is>
      </c>
      <c r="B1315" s="1" t="n">
        <v>44462.69077546296</v>
      </c>
      <c r="C1315" s="1" t="n">
        <v>46048</v>
      </c>
      <c r="D1315" t="inlineStr">
        <is>
          <t>VÄSTERNORRLANDS LÄN</t>
        </is>
      </c>
      <c r="E1315" t="inlineStr">
        <is>
          <t>SOLLEFTEÅ</t>
        </is>
      </c>
      <c r="F1315" t="inlineStr">
        <is>
          <t>Holmen skog AB</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28142-2025</t>
        </is>
      </c>
      <c r="B1316" s="1" t="n">
        <v>45818.34538194445</v>
      </c>
      <c r="C1316" s="1" t="n">
        <v>46048</v>
      </c>
      <c r="D1316" t="inlineStr">
        <is>
          <t>VÄSTERNORRLANDS LÄN</t>
        </is>
      </c>
      <c r="E1316" t="inlineStr">
        <is>
          <t>SOLLEFTEÅ</t>
        </is>
      </c>
      <c r="F1316" t="inlineStr">
        <is>
          <t>SCA</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28195-2025</t>
        </is>
      </c>
      <c r="B1317" s="1" t="n">
        <v>45818</v>
      </c>
      <c r="C1317" s="1" t="n">
        <v>46048</v>
      </c>
      <c r="D1317" t="inlineStr">
        <is>
          <t>VÄSTERNORRLANDS LÄN</t>
        </is>
      </c>
      <c r="E1317" t="inlineStr">
        <is>
          <t>SOLLEFTEÅ</t>
        </is>
      </c>
      <c r="G1317" t="n">
        <v>5.2</v>
      </c>
      <c r="H1317" t="n">
        <v>0</v>
      </c>
      <c r="I1317" t="n">
        <v>0</v>
      </c>
      <c r="J1317" t="n">
        <v>0</v>
      </c>
      <c r="K1317" t="n">
        <v>0</v>
      </c>
      <c r="L1317" t="n">
        <v>0</v>
      </c>
      <c r="M1317" t="n">
        <v>0</v>
      </c>
      <c r="N1317" t="n">
        <v>0</v>
      </c>
      <c r="O1317" t="n">
        <v>0</v>
      </c>
      <c r="P1317" t="n">
        <v>0</v>
      </c>
      <c r="Q1317" t="n">
        <v>0</v>
      </c>
      <c r="R1317" s="2" t="inlineStr"/>
    </row>
    <row r="1318" ht="15" customHeight="1">
      <c r="A1318" t="inlineStr">
        <is>
          <t>A 30063-2024</t>
        </is>
      </c>
      <c r="B1318" s="1" t="n">
        <v>45488.94841435185</v>
      </c>
      <c r="C1318" s="1" t="n">
        <v>46048</v>
      </c>
      <c r="D1318" t="inlineStr">
        <is>
          <t>VÄSTERNORRLANDS LÄN</t>
        </is>
      </c>
      <c r="E1318" t="inlineStr">
        <is>
          <t>SOLLEFTEÅ</t>
        </is>
      </c>
      <c r="F1318" t="inlineStr">
        <is>
          <t>SCA</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39799-2024</t>
        </is>
      </c>
      <c r="B1319" s="1" t="n">
        <v>45553.34415509259</v>
      </c>
      <c r="C1319" s="1" t="n">
        <v>46048</v>
      </c>
      <c r="D1319" t="inlineStr">
        <is>
          <t>VÄSTERNORRLANDS LÄN</t>
        </is>
      </c>
      <c r="E1319" t="inlineStr">
        <is>
          <t>SOLLEFTEÅ</t>
        </is>
      </c>
      <c r="F1319" t="inlineStr">
        <is>
          <t>SCA</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39801-2024</t>
        </is>
      </c>
      <c r="B1320" s="1" t="n">
        <v>45553.34439814815</v>
      </c>
      <c r="C1320" s="1" t="n">
        <v>46048</v>
      </c>
      <c r="D1320" t="inlineStr">
        <is>
          <t>VÄSTERNORRLANDS LÄN</t>
        </is>
      </c>
      <c r="E1320" t="inlineStr">
        <is>
          <t>SOLLEFTEÅ</t>
        </is>
      </c>
      <c r="F1320" t="inlineStr">
        <is>
          <t>SCA</t>
        </is>
      </c>
      <c r="G1320" t="n">
        <v>3.3</v>
      </c>
      <c r="H1320" t="n">
        <v>0</v>
      </c>
      <c r="I1320" t="n">
        <v>0</v>
      </c>
      <c r="J1320" t="n">
        <v>0</v>
      </c>
      <c r="K1320" t="n">
        <v>0</v>
      </c>
      <c r="L1320" t="n">
        <v>0</v>
      </c>
      <c r="M1320" t="n">
        <v>0</v>
      </c>
      <c r="N1320" t="n">
        <v>0</v>
      </c>
      <c r="O1320" t="n">
        <v>0</v>
      </c>
      <c r="P1320" t="n">
        <v>0</v>
      </c>
      <c r="Q1320" t="n">
        <v>0</v>
      </c>
      <c r="R1320" s="2" t="inlineStr"/>
    </row>
    <row r="1321" ht="15" customHeight="1">
      <c r="A1321" t="inlineStr">
        <is>
          <t>A 29142-2025</t>
        </is>
      </c>
      <c r="B1321" s="1" t="n">
        <v>45821.61518518518</v>
      </c>
      <c r="C1321" s="1" t="n">
        <v>46048</v>
      </c>
      <c r="D1321" t="inlineStr">
        <is>
          <t>VÄSTERNORRLANDS LÄN</t>
        </is>
      </c>
      <c r="E1321" t="inlineStr">
        <is>
          <t>SOLLEFTEÅ</t>
        </is>
      </c>
      <c r="F1321" t="inlineStr">
        <is>
          <t>SCA</t>
        </is>
      </c>
      <c r="G1321" t="n">
        <v>3.9</v>
      </c>
      <c r="H1321" t="n">
        <v>0</v>
      </c>
      <c r="I1321" t="n">
        <v>0</v>
      </c>
      <c r="J1321" t="n">
        <v>0</v>
      </c>
      <c r="K1321" t="n">
        <v>0</v>
      </c>
      <c r="L1321" t="n">
        <v>0</v>
      </c>
      <c r="M1321" t="n">
        <v>0</v>
      </c>
      <c r="N1321" t="n">
        <v>0</v>
      </c>
      <c r="O1321" t="n">
        <v>0</v>
      </c>
      <c r="P1321" t="n">
        <v>0</v>
      </c>
      <c r="Q1321" t="n">
        <v>0</v>
      </c>
      <c r="R1321" s="2" t="inlineStr"/>
    </row>
    <row r="1322" ht="15" customHeight="1">
      <c r="A1322" t="inlineStr">
        <is>
          <t>A 28698-2025</t>
        </is>
      </c>
      <c r="B1322" s="1" t="n">
        <v>45819.925625</v>
      </c>
      <c r="C1322" s="1" t="n">
        <v>46048</v>
      </c>
      <c r="D1322" t="inlineStr">
        <is>
          <t>VÄSTERNORRLANDS LÄN</t>
        </is>
      </c>
      <c r="E1322" t="inlineStr">
        <is>
          <t>SOLLEFTEÅ</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29103-2025</t>
        </is>
      </c>
      <c r="B1323" s="1" t="n">
        <v>45821.57219907407</v>
      </c>
      <c r="C1323" s="1" t="n">
        <v>46048</v>
      </c>
      <c r="D1323" t="inlineStr">
        <is>
          <t>VÄSTERNORRLANDS LÄN</t>
        </is>
      </c>
      <c r="E1323" t="inlineStr">
        <is>
          <t>SOLLEFTEÅ</t>
        </is>
      </c>
      <c r="G1323" t="n">
        <v>9.1</v>
      </c>
      <c r="H1323" t="n">
        <v>0</v>
      </c>
      <c r="I1323" t="n">
        <v>0</v>
      </c>
      <c r="J1323" t="n">
        <v>0</v>
      </c>
      <c r="K1323" t="n">
        <v>0</v>
      </c>
      <c r="L1323" t="n">
        <v>0</v>
      </c>
      <c r="M1323" t="n">
        <v>0</v>
      </c>
      <c r="N1323" t="n">
        <v>0</v>
      </c>
      <c r="O1323" t="n">
        <v>0</v>
      </c>
      <c r="P1323" t="n">
        <v>0</v>
      </c>
      <c r="Q1323" t="n">
        <v>0</v>
      </c>
      <c r="R1323" s="2" t="inlineStr"/>
    </row>
    <row r="1324" ht="15" customHeight="1">
      <c r="A1324" t="inlineStr">
        <is>
          <t>A 59317-2024</t>
        </is>
      </c>
      <c r="B1324" s="1" t="n">
        <v>45637.69873842593</v>
      </c>
      <c r="C1324" s="1" t="n">
        <v>46048</v>
      </c>
      <c r="D1324" t="inlineStr">
        <is>
          <t>VÄSTERNORRLANDS LÄN</t>
        </is>
      </c>
      <c r="E1324" t="inlineStr">
        <is>
          <t>SOLLEFTEÅ</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51942-2024</t>
        </is>
      </c>
      <c r="B1325" s="1" t="n">
        <v>45607.63592592593</v>
      </c>
      <c r="C1325" s="1" t="n">
        <v>46048</v>
      </c>
      <c r="D1325" t="inlineStr">
        <is>
          <t>VÄSTERNORRLANDS LÄN</t>
        </is>
      </c>
      <c r="E1325" t="inlineStr">
        <is>
          <t>SOLLEFTEÅ</t>
        </is>
      </c>
      <c r="F1325" t="inlineStr">
        <is>
          <t>SCA</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60168-2022</t>
        </is>
      </c>
      <c r="B1326" s="1" t="n">
        <v>44909</v>
      </c>
      <c r="C1326" s="1" t="n">
        <v>46048</v>
      </c>
      <c r="D1326" t="inlineStr">
        <is>
          <t>VÄSTERNORRLANDS LÄN</t>
        </is>
      </c>
      <c r="E1326" t="inlineStr">
        <is>
          <t>SOLLEFTEÅ</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60171-2022</t>
        </is>
      </c>
      <c r="B1327" s="1" t="n">
        <v>44909</v>
      </c>
      <c r="C1327" s="1" t="n">
        <v>46048</v>
      </c>
      <c r="D1327" t="inlineStr">
        <is>
          <t>VÄSTERNORRLANDS LÄN</t>
        </is>
      </c>
      <c r="E1327" t="inlineStr">
        <is>
          <t>SOLLEFTEÅ</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59388-2024</t>
        </is>
      </c>
      <c r="B1328" s="1" t="n">
        <v>45638.365</v>
      </c>
      <c r="C1328" s="1" t="n">
        <v>46048</v>
      </c>
      <c r="D1328" t="inlineStr">
        <is>
          <t>VÄSTERNORRLANDS LÄN</t>
        </is>
      </c>
      <c r="E1328" t="inlineStr">
        <is>
          <t>SOLLEFTEÅ</t>
        </is>
      </c>
      <c r="F1328" t="inlineStr">
        <is>
          <t>SCA</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23527-2023</t>
        </is>
      </c>
      <c r="B1329" s="1" t="n">
        <v>45076</v>
      </c>
      <c r="C1329" s="1" t="n">
        <v>46048</v>
      </c>
      <c r="D1329" t="inlineStr">
        <is>
          <t>VÄSTERNORRLANDS LÄN</t>
        </is>
      </c>
      <c r="E1329" t="inlineStr">
        <is>
          <t>SOLLEFTEÅ</t>
        </is>
      </c>
      <c r="F1329" t="inlineStr">
        <is>
          <t>SCA</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22690-2024</t>
        </is>
      </c>
      <c r="B1330" s="1" t="n">
        <v>45448.31293981482</v>
      </c>
      <c r="C1330" s="1" t="n">
        <v>46048</v>
      </c>
      <c r="D1330" t="inlineStr">
        <is>
          <t>VÄSTERNORRLANDS LÄN</t>
        </is>
      </c>
      <c r="E1330" t="inlineStr">
        <is>
          <t>SOLLEFTEÅ</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51341-2024</t>
        </is>
      </c>
      <c r="B1331" s="1" t="n">
        <v>45604.34481481482</v>
      </c>
      <c r="C1331" s="1" t="n">
        <v>46048</v>
      </c>
      <c r="D1331" t="inlineStr">
        <is>
          <t>VÄSTERNORRLANDS LÄN</t>
        </is>
      </c>
      <c r="E1331" t="inlineStr">
        <is>
          <t>SOLLEFTEÅ</t>
        </is>
      </c>
      <c r="F1331" t="inlineStr">
        <is>
          <t>SCA</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40429-2024</t>
        </is>
      </c>
      <c r="B1332" s="1" t="n">
        <v>45555</v>
      </c>
      <c r="C1332" s="1" t="n">
        <v>46048</v>
      </c>
      <c r="D1332" t="inlineStr">
        <is>
          <t>VÄSTERNORRLANDS LÄN</t>
        </is>
      </c>
      <c r="E1332" t="inlineStr">
        <is>
          <t>SOLLEFTEÅ</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50963-2024</t>
        </is>
      </c>
      <c r="B1333" s="1" t="n">
        <v>45603.32388888889</v>
      </c>
      <c r="C1333" s="1" t="n">
        <v>46048</v>
      </c>
      <c r="D1333" t="inlineStr">
        <is>
          <t>VÄSTERNORRLANDS LÄN</t>
        </is>
      </c>
      <c r="E1333" t="inlineStr">
        <is>
          <t>SOLLEFTEÅ</t>
        </is>
      </c>
      <c r="F1333" t="inlineStr">
        <is>
          <t>Holmen skog AB</t>
        </is>
      </c>
      <c r="G1333" t="n">
        <v>6.6</v>
      </c>
      <c r="H1333" t="n">
        <v>0</v>
      </c>
      <c r="I1333" t="n">
        <v>0</v>
      </c>
      <c r="J1333" t="n">
        <v>0</v>
      </c>
      <c r="K1333" t="n">
        <v>0</v>
      </c>
      <c r="L1333" t="n">
        <v>0</v>
      </c>
      <c r="M1333" t="n">
        <v>0</v>
      </c>
      <c r="N1333" t="n">
        <v>0</v>
      </c>
      <c r="O1333" t="n">
        <v>0</v>
      </c>
      <c r="P1333" t="n">
        <v>0</v>
      </c>
      <c r="Q1333" t="n">
        <v>0</v>
      </c>
      <c r="R1333" s="2" t="inlineStr"/>
    </row>
    <row r="1334" ht="15" customHeight="1">
      <c r="A1334" t="inlineStr">
        <is>
          <t>A 19407-2025</t>
        </is>
      </c>
      <c r="B1334" s="1" t="n">
        <v>45769.67832175926</v>
      </c>
      <c r="C1334" s="1" t="n">
        <v>46048</v>
      </c>
      <c r="D1334" t="inlineStr">
        <is>
          <t>VÄSTERNORRLANDS LÄN</t>
        </is>
      </c>
      <c r="E1334" t="inlineStr">
        <is>
          <t>SOLLEFTEÅ</t>
        </is>
      </c>
      <c r="F1334" t="inlineStr">
        <is>
          <t>SCA</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20551-2022</t>
        </is>
      </c>
      <c r="B1335" s="1" t="n">
        <v>44699</v>
      </c>
      <c r="C1335" s="1" t="n">
        <v>46048</v>
      </c>
      <c r="D1335" t="inlineStr">
        <is>
          <t>VÄSTERNORRLANDS LÄN</t>
        </is>
      </c>
      <c r="E1335" t="inlineStr">
        <is>
          <t>SOLLEFTEÅ</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28715-2025</t>
        </is>
      </c>
      <c r="B1336" s="1" t="n">
        <v>45820</v>
      </c>
      <c r="C1336" s="1" t="n">
        <v>46048</v>
      </c>
      <c r="D1336" t="inlineStr">
        <is>
          <t>VÄSTERNORRLANDS LÄN</t>
        </is>
      </c>
      <c r="E1336" t="inlineStr">
        <is>
          <t>SOLLEFTEÅ</t>
        </is>
      </c>
      <c r="F1336" t="inlineStr">
        <is>
          <t>SCA</t>
        </is>
      </c>
      <c r="G1336" t="n">
        <v>5.9</v>
      </c>
      <c r="H1336" t="n">
        <v>0</v>
      </c>
      <c r="I1336" t="n">
        <v>0</v>
      </c>
      <c r="J1336" t="n">
        <v>0</v>
      </c>
      <c r="K1336" t="n">
        <v>0</v>
      </c>
      <c r="L1336" t="n">
        <v>0</v>
      </c>
      <c r="M1336" t="n">
        <v>0</v>
      </c>
      <c r="N1336" t="n">
        <v>0</v>
      </c>
      <c r="O1336" t="n">
        <v>0</v>
      </c>
      <c r="P1336" t="n">
        <v>0</v>
      </c>
      <c r="Q1336" t="n">
        <v>0</v>
      </c>
      <c r="R1336" s="2" t="inlineStr"/>
    </row>
    <row r="1337" ht="15" customHeight="1">
      <c r="A1337" t="inlineStr">
        <is>
          <t>A 28719-2025</t>
        </is>
      </c>
      <c r="B1337" s="1" t="n">
        <v>45820</v>
      </c>
      <c r="C1337" s="1" t="n">
        <v>46048</v>
      </c>
      <c r="D1337" t="inlineStr">
        <is>
          <t>VÄSTERNORRLANDS LÄN</t>
        </is>
      </c>
      <c r="E1337" t="inlineStr">
        <is>
          <t>SOLLEFTEÅ</t>
        </is>
      </c>
      <c r="F1337" t="inlineStr">
        <is>
          <t>SCA</t>
        </is>
      </c>
      <c r="G1337" t="n">
        <v>4.3</v>
      </c>
      <c r="H1337" t="n">
        <v>0</v>
      </c>
      <c r="I1337" t="n">
        <v>0</v>
      </c>
      <c r="J1337" t="n">
        <v>0</v>
      </c>
      <c r="K1337" t="n">
        <v>0</v>
      </c>
      <c r="L1337" t="n">
        <v>0</v>
      </c>
      <c r="M1337" t="n">
        <v>0</v>
      </c>
      <c r="N1337" t="n">
        <v>0</v>
      </c>
      <c r="O1337" t="n">
        <v>0</v>
      </c>
      <c r="P1337" t="n">
        <v>0</v>
      </c>
      <c r="Q1337" t="n">
        <v>0</v>
      </c>
      <c r="R1337" s="2" t="inlineStr"/>
    </row>
    <row r="1338" ht="15" customHeight="1">
      <c r="A1338" t="inlineStr">
        <is>
          <t>A 28993-2025</t>
        </is>
      </c>
      <c r="B1338" s="1" t="n">
        <v>45821.38574074074</v>
      </c>
      <c r="C1338" s="1" t="n">
        <v>46048</v>
      </c>
      <c r="D1338" t="inlineStr">
        <is>
          <t>VÄSTERNORRLANDS LÄN</t>
        </is>
      </c>
      <c r="E1338" t="inlineStr">
        <is>
          <t>SOLLEFTEÅ</t>
        </is>
      </c>
      <c r="F1338" t="inlineStr">
        <is>
          <t>SCA</t>
        </is>
      </c>
      <c r="G1338" t="n">
        <v>5.9</v>
      </c>
      <c r="H1338" t="n">
        <v>0</v>
      </c>
      <c r="I1338" t="n">
        <v>0</v>
      </c>
      <c r="J1338" t="n">
        <v>0</v>
      </c>
      <c r="K1338" t="n">
        <v>0</v>
      </c>
      <c r="L1338" t="n">
        <v>0</v>
      </c>
      <c r="M1338" t="n">
        <v>0</v>
      </c>
      <c r="N1338" t="n">
        <v>0</v>
      </c>
      <c r="O1338" t="n">
        <v>0</v>
      </c>
      <c r="P1338" t="n">
        <v>0</v>
      </c>
      <c r="Q1338" t="n">
        <v>0</v>
      </c>
      <c r="R1338" s="2" t="inlineStr"/>
    </row>
    <row r="1339" ht="15" customHeight="1">
      <c r="A1339" t="inlineStr">
        <is>
          <t>A 28994-2025</t>
        </is>
      </c>
      <c r="B1339" s="1" t="n">
        <v>45821.38587962963</v>
      </c>
      <c r="C1339" s="1" t="n">
        <v>46048</v>
      </c>
      <c r="D1339" t="inlineStr">
        <is>
          <t>VÄSTERNORRLANDS LÄN</t>
        </is>
      </c>
      <c r="E1339" t="inlineStr">
        <is>
          <t>SOLLEFTEÅ</t>
        </is>
      </c>
      <c r="F1339" t="inlineStr">
        <is>
          <t>SCA</t>
        </is>
      </c>
      <c r="G1339" t="n">
        <v>10.8</v>
      </c>
      <c r="H1339" t="n">
        <v>0</v>
      </c>
      <c r="I1339" t="n">
        <v>0</v>
      </c>
      <c r="J1339" t="n">
        <v>0</v>
      </c>
      <c r="K1339" t="n">
        <v>0</v>
      </c>
      <c r="L1339" t="n">
        <v>0</v>
      </c>
      <c r="M1339" t="n">
        <v>0</v>
      </c>
      <c r="N1339" t="n">
        <v>0</v>
      </c>
      <c r="O1339" t="n">
        <v>0</v>
      </c>
      <c r="P1339" t="n">
        <v>0</v>
      </c>
      <c r="Q1339" t="n">
        <v>0</v>
      </c>
      <c r="R1339" s="2" t="inlineStr"/>
    </row>
    <row r="1340" ht="15" customHeight="1">
      <c r="A1340" t="inlineStr">
        <is>
          <t>A 45801-2024</t>
        </is>
      </c>
      <c r="B1340" s="1" t="n">
        <v>45579.67798611111</v>
      </c>
      <c r="C1340" s="1" t="n">
        <v>46048</v>
      </c>
      <c r="D1340" t="inlineStr">
        <is>
          <t>VÄSTERNORRLANDS LÄN</t>
        </is>
      </c>
      <c r="E1340" t="inlineStr">
        <is>
          <t>SOLLEFTEÅ</t>
        </is>
      </c>
      <c r="F1340" t="inlineStr">
        <is>
          <t>SCA</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45802-2024</t>
        </is>
      </c>
      <c r="B1341" s="1" t="n">
        <v>45579.67818287037</v>
      </c>
      <c r="C1341" s="1" t="n">
        <v>46048</v>
      </c>
      <c r="D1341" t="inlineStr">
        <is>
          <t>VÄSTERNORRLANDS LÄN</t>
        </is>
      </c>
      <c r="E1341" t="inlineStr">
        <is>
          <t>SOLLEFTEÅ</t>
        </is>
      </c>
      <c r="F1341" t="inlineStr">
        <is>
          <t>SCA</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41595-2024</t>
        </is>
      </c>
      <c r="B1342" s="1" t="n">
        <v>45560.57378472222</v>
      </c>
      <c r="C1342" s="1" t="n">
        <v>46048</v>
      </c>
      <c r="D1342" t="inlineStr">
        <is>
          <t>VÄSTERNORRLANDS LÄN</t>
        </is>
      </c>
      <c r="E1342" t="inlineStr">
        <is>
          <t>SOLLEFTEÅ</t>
        </is>
      </c>
      <c r="F1342" t="inlineStr">
        <is>
          <t>SCA</t>
        </is>
      </c>
      <c r="G1342" t="n">
        <v>3.3</v>
      </c>
      <c r="H1342" t="n">
        <v>0</v>
      </c>
      <c r="I1342" t="n">
        <v>0</v>
      </c>
      <c r="J1342" t="n">
        <v>0</v>
      </c>
      <c r="K1342" t="n">
        <v>0</v>
      </c>
      <c r="L1342" t="n">
        <v>0</v>
      </c>
      <c r="M1342" t="n">
        <v>0</v>
      </c>
      <c r="N1342" t="n">
        <v>0</v>
      </c>
      <c r="O1342" t="n">
        <v>0</v>
      </c>
      <c r="P1342" t="n">
        <v>0</v>
      </c>
      <c r="Q1342" t="n">
        <v>0</v>
      </c>
      <c r="R1342" s="2" t="inlineStr"/>
    </row>
    <row r="1343" ht="15" customHeight="1">
      <c r="A1343" t="inlineStr">
        <is>
          <t>A 46101-2024</t>
        </is>
      </c>
      <c r="B1343" s="1" t="n">
        <v>45581</v>
      </c>
      <c r="C1343" s="1" t="n">
        <v>46048</v>
      </c>
      <c r="D1343" t="inlineStr">
        <is>
          <t>VÄSTERNORRLANDS LÄN</t>
        </is>
      </c>
      <c r="E1343" t="inlineStr">
        <is>
          <t>SOLLEFTEÅ</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28995-2025</t>
        </is>
      </c>
      <c r="B1344" s="1" t="n">
        <v>45821.38596064815</v>
      </c>
      <c r="C1344" s="1" t="n">
        <v>46048</v>
      </c>
      <c r="D1344" t="inlineStr">
        <is>
          <t>VÄSTERNORRLANDS LÄN</t>
        </is>
      </c>
      <c r="E1344" t="inlineStr">
        <is>
          <t>SOLLEFTEÅ</t>
        </is>
      </c>
      <c r="F1344" t="inlineStr">
        <is>
          <t>SCA</t>
        </is>
      </c>
      <c r="G1344" t="n">
        <v>3.9</v>
      </c>
      <c r="H1344" t="n">
        <v>0</v>
      </c>
      <c r="I1344" t="n">
        <v>0</v>
      </c>
      <c r="J1344" t="n">
        <v>0</v>
      </c>
      <c r="K1344" t="n">
        <v>0</v>
      </c>
      <c r="L1344" t="n">
        <v>0</v>
      </c>
      <c r="M1344" t="n">
        <v>0</v>
      </c>
      <c r="N1344" t="n">
        <v>0</v>
      </c>
      <c r="O1344" t="n">
        <v>0</v>
      </c>
      <c r="P1344" t="n">
        <v>0</v>
      </c>
      <c r="Q1344" t="n">
        <v>0</v>
      </c>
      <c r="R1344" s="2" t="inlineStr"/>
    </row>
    <row r="1345" ht="15" customHeight="1">
      <c r="A1345" t="inlineStr">
        <is>
          <t>A 14365-2024</t>
        </is>
      </c>
      <c r="B1345" s="1" t="n">
        <v>45393.94332175926</v>
      </c>
      <c r="C1345" s="1" t="n">
        <v>46048</v>
      </c>
      <c r="D1345" t="inlineStr">
        <is>
          <t>VÄSTERNORRLANDS LÄN</t>
        </is>
      </c>
      <c r="E1345" t="inlineStr">
        <is>
          <t>SOLLEFTEÅ</t>
        </is>
      </c>
      <c r="F1345" t="inlineStr">
        <is>
          <t>SCA</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28743-2025</t>
        </is>
      </c>
      <c r="B1346" s="1" t="n">
        <v>45820.38586805556</v>
      </c>
      <c r="C1346" s="1" t="n">
        <v>46048</v>
      </c>
      <c r="D1346" t="inlineStr">
        <is>
          <t>VÄSTERNORRLANDS LÄN</t>
        </is>
      </c>
      <c r="E1346" t="inlineStr">
        <is>
          <t>SOLLEFTEÅ</t>
        </is>
      </c>
      <c r="F1346" t="inlineStr">
        <is>
          <t>SCA</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29039-2025</t>
        </is>
      </c>
      <c r="B1347" s="1" t="n">
        <v>45821.44844907407</v>
      </c>
      <c r="C1347" s="1" t="n">
        <v>46048</v>
      </c>
      <c r="D1347" t="inlineStr">
        <is>
          <t>VÄSTERNORRLANDS LÄN</t>
        </is>
      </c>
      <c r="E1347" t="inlineStr">
        <is>
          <t>SOLLEFTEÅ</t>
        </is>
      </c>
      <c r="F1347" t="inlineStr">
        <is>
          <t>SCA</t>
        </is>
      </c>
      <c r="G1347" t="n">
        <v>5.6</v>
      </c>
      <c r="H1347" t="n">
        <v>0</v>
      </c>
      <c r="I1347" t="n">
        <v>0</v>
      </c>
      <c r="J1347" t="n">
        <v>0</v>
      </c>
      <c r="K1347" t="n">
        <v>0</v>
      </c>
      <c r="L1347" t="n">
        <v>0</v>
      </c>
      <c r="M1347" t="n">
        <v>0</v>
      </c>
      <c r="N1347" t="n">
        <v>0</v>
      </c>
      <c r="O1347" t="n">
        <v>0</v>
      </c>
      <c r="P1347" t="n">
        <v>0</v>
      </c>
      <c r="Q1347" t="n">
        <v>0</v>
      </c>
      <c r="R1347" s="2" t="inlineStr"/>
    </row>
    <row r="1348" ht="15" customHeight="1">
      <c r="A1348" t="inlineStr">
        <is>
          <t>A 1679-2024</t>
        </is>
      </c>
      <c r="B1348" s="1" t="n">
        <v>45306</v>
      </c>
      <c r="C1348" s="1" t="n">
        <v>46048</v>
      </c>
      <c r="D1348" t="inlineStr">
        <is>
          <t>VÄSTERNORRLANDS LÄN</t>
        </is>
      </c>
      <c r="E1348" t="inlineStr">
        <is>
          <t>SOLLEFTEÅ</t>
        </is>
      </c>
      <c r="F1348" t="inlineStr">
        <is>
          <t>SCA</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29273-2025</t>
        </is>
      </c>
      <c r="B1349" s="1" t="n">
        <v>45824.41125</v>
      </c>
      <c r="C1349" s="1" t="n">
        <v>46048</v>
      </c>
      <c r="D1349" t="inlineStr">
        <is>
          <t>VÄSTERNORRLANDS LÄN</t>
        </is>
      </c>
      <c r="E1349" t="inlineStr">
        <is>
          <t>SOLLEFTEÅ</t>
        </is>
      </c>
      <c r="G1349" t="n">
        <v>6.6</v>
      </c>
      <c r="H1349" t="n">
        <v>0</v>
      </c>
      <c r="I1349" t="n">
        <v>0</v>
      </c>
      <c r="J1349" t="n">
        <v>0</v>
      </c>
      <c r="K1349" t="n">
        <v>0</v>
      </c>
      <c r="L1349" t="n">
        <v>0</v>
      </c>
      <c r="M1349" t="n">
        <v>0</v>
      </c>
      <c r="N1349" t="n">
        <v>0</v>
      </c>
      <c r="O1349" t="n">
        <v>0</v>
      </c>
      <c r="P1349" t="n">
        <v>0</v>
      </c>
      <c r="Q1349" t="n">
        <v>0</v>
      </c>
      <c r="R1349" s="2" t="inlineStr"/>
    </row>
    <row r="1350" ht="15" customHeight="1">
      <c r="A1350" t="inlineStr">
        <is>
          <t>A 29946-2023</t>
        </is>
      </c>
      <c r="B1350" s="1" t="n">
        <v>45107.93818287037</v>
      </c>
      <c r="C1350" s="1" t="n">
        <v>46048</v>
      </c>
      <c r="D1350" t="inlineStr">
        <is>
          <t>VÄSTERNORRLANDS LÄN</t>
        </is>
      </c>
      <c r="E1350" t="inlineStr">
        <is>
          <t>SOLLEFTEÅ</t>
        </is>
      </c>
      <c r="F1350" t="inlineStr">
        <is>
          <t>SCA</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29793-2025</t>
        </is>
      </c>
      <c r="B1351" s="1" t="n">
        <v>45825</v>
      </c>
      <c r="C1351" s="1" t="n">
        <v>46048</v>
      </c>
      <c r="D1351" t="inlineStr">
        <is>
          <t>VÄSTERNORRLANDS LÄN</t>
        </is>
      </c>
      <c r="E1351" t="inlineStr">
        <is>
          <t>SOLLEFTEÅ</t>
        </is>
      </c>
      <c r="G1351" t="n">
        <v>10</v>
      </c>
      <c r="H1351" t="n">
        <v>0</v>
      </c>
      <c r="I1351" t="n">
        <v>0</v>
      </c>
      <c r="J1351" t="n">
        <v>0</v>
      </c>
      <c r="K1351" t="n">
        <v>0</v>
      </c>
      <c r="L1351" t="n">
        <v>0</v>
      </c>
      <c r="M1351" t="n">
        <v>0</v>
      </c>
      <c r="N1351" t="n">
        <v>0</v>
      </c>
      <c r="O1351" t="n">
        <v>0</v>
      </c>
      <c r="P1351" t="n">
        <v>0</v>
      </c>
      <c r="Q1351" t="n">
        <v>0</v>
      </c>
      <c r="R1351" s="2" t="inlineStr"/>
    </row>
    <row r="1352" ht="15" customHeight="1">
      <c r="A1352" t="inlineStr">
        <is>
          <t>A 10094-2023</t>
        </is>
      </c>
      <c r="B1352" s="1" t="n">
        <v>44985</v>
      </c>
      <c r="C1352" s="1" t="n">
        <v>46048</v>
      </c>
      <c r="D1352" t="inlineStr">
        <is>
          <t>VÄSTERNORRLANDS LÄN</t>
        </is>
      </c>
      <c r="E1352" t="inlineStr">
        <is>
          <t>SOLLEFTEÅ</t>
        </is>
      </c>
      <c r="F1352" t="inlineStr">
        <is>
          <t>SCA</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29309-2025</t>
        </is>
      </c>
      <c r="B1353" s="1" t="n">
        <v>45824.46333333333</v>
      </c>
      <c r="C1353" s="1" t="n">
        <v>46048</v>
      </c>
      <c r="D1353" t="inlineStr">
        <is>
          <t>VÄSTERNORRLANDS LÄN</t>
        </is>
      </c>
      <c r="E1353" t="inlineStr">
        <is>
          <t>SOLLEFTEÅ</t>
        </is>
      </c>
      <c r="F1353" t="inlineStr">
        <is>
          <t>Holmen skog AB</t>
        </is>
      </c>
      <c r="G1353" t="n">
        <v>9.9</v>
      </c>
      <c r="H1353" t="n">
        <v>0</v>
      </c>
      <c r="I1353" t="n">
        <v>0</v>
      </c>
      <c r="J1353" t="n">
        <v>0</v>
      </c>
      <c r="K1353" t="n">
        <v>0</v>
      </c>
      <c r="L1353" t="n">
        <v>0</v>
      </c>
      <c r="M1353" t="n">
        <v>0</v>
      </c>
      <c r="N1353" t="n">
        <v>0</v>
      </c>
      <c r="O1353" t="n">
        <v>0</v>
      </c>
      <c r="P1353" t="n">
        <v>0</v>
      </c>
      <c r="Q1353" t="n">
        <v>0</v>
      </c>
      <c r="R1353" s="2" t="inlineStr"/>
    </row>
    <row r="1354" ht="15" customHeight="1">
      <c r="A1354" t="inlineStr">
        <is>
          <t>A 41146-2023</t>
        </is>
      </c>
      <c r="B1354" s="1" t="n">
        <v>45173.94277777777</v>
      </c>
      <c r="C1354" s="1" t="n">
        <v>46048</v>
      </c>
      <c r="D1354" t="inlineStr">
        <is>
          <t>VÄSTERNORRLANDS LÄN</t>
        </is>
      </c>
      <c r="E1354" t="inlineStr">
        <is>
          <t>SOLLEFTEÅ</t>
        </is>
      </c>
      <c r="F1354" t="inlineStr">
        <is>
          <t>SCA</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38102-2022</t>
        </is>
      </c>
      <c r="B1355" s="1" t="n">
        <v>44811</v>
      </c>
      <c r="C1355" s="1" t="n">
        <v>46048</v>
      </c>
      <c r="D1355" t="inlineStr">
        <is>
          <t>VÄSTERNORRLANDS LÄN</t>
        </is>
      </c>
      <c r="E1355" t="inlineStr">
        <is>
          <t>SOLLEFTEÅ</t>
        </is>
      </c>
      <c r="F1355" t="inlineStr">
        <is>
          <t>SCA</t>
        </is>
      </c>
      <c r="G1355" t="n">
        <v>4.9</v>
      </c>
      <c r="H1355" t="n">
        <v>0</v>
      </c>
      <c r="I1355" t="n">
        <v>0</v>
      </c>
      <c r="J1355" t="n">
        <v>0</v>
      </c>
      <c r="K1355" t="n">
        <v>0</v>
      </c>
      <c r="L1355" t="n">
        <v>0</v>
      </c>
      <c r="M1355" t="n">
        <v>0</v>
      </c>
      <c r="N1355" t="n">
        <v>0</v>
      </c>
      <c r="O1355" t="n">
        <v>0</v>
      </c>
      <c r="P1355" t="n">
        <v>0</v>
      </c>
      <c r="Q1355" t="n">
        <v>0</v>
      </c>
      <c r="R1355" s="2" t="inlineStr"/>
      <c r="U1355">
        <f>HYPERLINK("https://klasma.github.io/Logging_2283/knärot/A 38102-2022 karta knärot.png", "A 38102-2022")</f>
        <v/>
      </c>
      <c r="V1355">
        <f>HYPERLINK("https://klasma.github.io/Logging_2283/klagomål/A 38102-2022 FSC-klagomål.docx", "A 38102-2022")</f>
        <v/>
      </c>
      <c r="W1355">
        <f>HYPERLINK("https://klasma.github.io/Logging_2283/klagomålsmail/A 38102-2022 FSC-klagomål mail.docx", "A 38102-2022")</f>
        <v/>
      </c>
      <c r="X1355">
        <f>HYPERLINK("https://klasma.github.io/Logging_2283/tillsyn/A 38102-2022 tillsynsbegäran.docx", "A 38102-2022")</f>
        <v/>
      </c>
      <c r="Y1355">
        <f>HYPERLINK("https://klasma.github.io/Logging_2283/tillsynsmail/A 38102-2022 tillsynsbegäran mail.docx", "A 38102-2022")</f>
        <v/>
      </c>
    </row>
    <row r="1356" ht="15" customHeight="1">
      <c r="A1356" t="inlineStr">
        <is>
          <t>A 29435-2025</t>
        </is>
      </c>
      <c r="B1356" s="1" t="n">
        <v>45824.65762731482</v>
      </c>
      <c r="C1356" s="1" t="n">
        <v>46048</v>
      </c>
      <c r="D1356" t="inlineStr">
        <is>
          <t>VÄSTERNORRLANDS LÄN</t>
        </is>
      </c>
      <c r="E1356" t="inlineStr">
        <is>
          <t>SOLLEFTEÅ</t>
        </is>
      </c>
      <c r="G1356" t="n">
        <v>8</v>
      </c>
      <c r="H1356" t="n">
        <v>0</v>
      </c>
      <c r="I1356" t="n">
        <v>0</v>
      </c>
      <c r="J1356" t="n">
        <v>0</v>
      </c>
      <c r="K1356" t="n">
        <v>0</v>
      </c>
      <c r="L1356" t="n">
        <v>0</v>
      </c>
      <c r="M1356" t="n">
        <v>0</v>
      </c>
      <c r="N1356" t="n">
        <v>0</v>
      </c>
      <c r="O1356" t="n">
        <v>0</v>
      </c>
      <c r="P1356" t="n">
        <v>0</v>
      </c>
      <c r="Q1356" t="n">
        <v>0</v>
      </c>
      <c r="R1356" s="2" t="inlineStr"/>
    </row>
    <row r="1357" ht="15" customHeight="1">
      <c r="A1357" t="inlineStr">
        <is>
          <t>A 22462-2024</t>
        </is>
      </c>
      <c r="B1357" s="1" t="n">
        <v>45446</v>
      </c>
      <c r="C1357" s="1" t="n">
        <v>46048</v>
      </c>
      <c r="D1357" t="inlineStr">
        <is>
          <t>VÄSTERNORRLANDS LÄN</t>
        </is>
      </c>
      <c r="E1357" t="inlineStr">
        <is>
          <t>SOLLEFTEÅ</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22468-2024</t>
        </is>
      </c>
      <c r="B1358" s="1" t="n">
        <v>45446.95068287037</v>
      </c>
      <c r="C1358" s="1" t="n">
        <v>46048</v>
      </c>
      <c r="D1358" t="inlineStr">
        <is>
          <t>VÄSTERNORRLANDS LÄN</t>
        </is>
      </c>
      <c r="E1358" t="inlineStr">
        <is>
          <t>SOLLEFTEÅ</t>
        </is>
      </c>
      <c r="F1358" t="inlineStr">
        <is>
          <t>SCA</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10865-2025</t>
        </is>
      </c>
      <c r="B1359" s="1" t="n">
        <v>45722.61526620371</v>
      </c>
      <c r="C1359" s="1" t="n">
        <v>46048</v>
      </c>
      <c r="D1359" t="inlineStr">
        <is>
          <t>VÄSTERNORRLANDS LÄN</t>
        </is>
      </c>
      <c r="E1359" t="inlineStr">
        <is>
          <t>SOLLEFTEÅ</t>
        </is>
      </c>
      <c r="F1359" t="inlineStr">
        <is>
          <t>SCA</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41478-2022</t>
        </is>
      </c>
      <c r="B1360" s="1" t="n">
        <v>44826.94892361111</v>
      </c>
      <c r="C1360" s="1" t="n">
        <v>46048</v>
      </c>
      <c r="D1360" t="inlineStr">
        <is>
          <t>VÄSTERNORRLANDS LÄN</t>
        </is>
      </c>
      <c r="E1360" t="inlineStr">
        <is>
          <t>SOLLEFTEÅ</t>
        </is>
      </c>
      <c r="F1360" t="inlineStr">
        <is>
          <t>SCA</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29759-2025</t>
        </is>
      </c>
      <c r="B1361" s="1" t="n">
        <v>45825</v>
      </c>
      <c r="C1361" s="1" t="n">
        <v>46048</v>
      </c>
      <c r="D1361" t="inlineStr">
        <is>
          <t>VÄSTERNORRLANDS LÄN</t>
        </is>
      </c>
      <c r="E1361" t="inlineStr">
        <is>
          <t>SOLLEFTEÅ</t>
        </is>
      </c>
      <c r="F1361" t="inlineStr">
        <is>
          <t>SCA</t>
        </is>
      </c>
      <c r="G1361" t="n">
        <v>3.8</v>
      </c>
      <c r="H1361" t="n">
        <v>0</v>
      </c>
      <c r="I1361" t="n">
        <v>0</v>
      </c>
      <c r="J1361" t="n">
        <v>0</v>
      </c>
      <c r="K1361" t="n">
        <v>0</v>
      </c>
      <c r="L1361" t="n">
        <v>0</v>
      </c>
      <c r="M1361" t="n">
        <v>0</v>
      </c>
      <c r="N1361" t="n">
        <v>0</v>
      </c>
      <c r="O1361" t="n">
        <v>0</v>
      </c>
      <c r="P1361" t="n">
        <v>0</v>
      </c>
      <c r="Q1361" t="n">
        <v>0</v>
      </c>
      <c r="R1361" s="2" t="inlineStr"/>
    </row>
    <row r="1362" ht="15" customHeight="1">
      <c r="A1362" t="inlineStr">
        <is>
          <t>A 28580-2024</t>
        </is>
      </c>
      <c r="B1362" s="1" t="n">
        <v>45478</v>
      </c>
      <c r="C1362" s="1" t="n">
        <v>46048</v>
      </c>
      <c r="D1362" t="inlineStr">
        <is>
          <t>VÄSTERNORRLANDS LÄN</t>
        </is>
      </c>
      <c r="E1362" t="inlineStr">
        <is>
          <t>SOLLEFTEÅ</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6474-2023</t>
        </is>
      </c>
      <c r="B1363" s="1" t="n">
        <v>44965.94128472222</v>
      </c>
      <c r="C1363" s="1" t="n">
        <v>46048</v>
      </c>
      <c r="D1363" t="inlineStr">
        <is>
          <t>VÄSTERNORRLANDS LÄN</t>
        </is>
      </c>
      <c r="E1363" t="inlineStr">
        <is>
          <t>SOLLEFTEÅ</t>
        </is>
      </c>
      <c r="F1363" t="inlineStr">
        <is>
          <t>SCA</t>
        </is>
      </c>
      <c r="G1363" t="n">
        <v>47.3</v>
      </c>
      <c r="H1363" t="n">
        <v>0</v>
      </c>
      <c r="I1363" t="n">
        <v>0</v>
      </c>
      <c r="J1363" t="n">
        <v>0</v>
      </c>
      <c r="K1363" t="n">
        <v>0</v>
      </c>
      <c r="L1363" t="n">
        <v>0</v>
      </c>
      <c r="M1363" t="n">
        <v>0</v>
      </c>
      <c r="N1363" t="n">
        <v>0</v>
      </c>
      <c r="O1363" t="n">
        <v>0</v>
      </c>
      <c r="P1363" t="n">
        <v>0</v>
      </c>
      <c r="Q1363" t="n">
        <v>0</v>
      </c>
      <c r="R1363" s="2" t="inlineStr"/>
    </row>
    <row r="1364" ht="15" customHeight="1">
      <c r="A1364" t="inlineStr">
        <is>
          <t>A 17279-2025</t>
        </is>
      </c>
      <c r="B1364" s="1" t="n">
        <v>45756.56396990741</v>
      </c>
      <c r="C1364" s="1" t="n">
        <v>46048</v>
      </c>
      <c r="D1364" t="inlineStr">
        <is>
          <t>VÄSTERNORRLANDS LÄN</t>
        </is>
      </c>
      <c r="E1364" t="inlineStr">
        <is>
          <t>SOLLEFTEÅ</t>
        </is>
      </c>
      <c r="G1364" t="n">
        <v>22.4</v>
      </c>
      <c r="H1364" t="n">
        <v>0</v>
      </c>
      <c r="I1364" t="n">
        <v>0</v>
      </c>
      <c r="J1364" t="n">
        <v>0</v>
      </c>
      <c r="K1364" t="n">
        <v>0</v>
      </c>
      <c r="L1364" t="n">
        <v>0</v>
      </c>
      <c r="M1364" t="n">
        <v>0</v>
      </c>
      <c r="N1364" t="n">
        <v>0</v>
      </c>
      <c r="O1364" t="n">
        <v>0</v>
      </c>
      <c r="P1364" t="n">
        <v>0</v>
      </c>
      <c r="Q1364" t="n">
        <v>0</v>
      </c>
      <c r="R1364" s="2" t="inlineStr"/>
    </row>
    <row r="1365" ht="15" customHeight="1">
      <c r="A1365" t="inlineStr">
        <is>
          <t>A 26014-2025</t>
        </is>
      </c>
      <c r="B1365" s="1" t="n">
        <v>45804.67773148148</v>
      </c>
      <c r="C1365" s="1" t="n">
        <v>46048</v>
      </c>
      <c r="D1365" t="inlineStr">
        <is>
          <t>VÄSTERNORRLANDS LÄN</t>
        </is>
      </c>
      <c r="E1365" t="inlineStr">
        <is>
          <t>SOLLEFTEÅ</t>
        </is>
      </c>
      <c r="F1365" t="inlineStr">
        <is>
          <t>SCA</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52035-2022</t>
        </is>
      </c>
      <c r="B1366" s="1" t="n">
        <v>44872</v>
      </c>
      <c r="C1366" s="1" t="n">
        <v>46048</v>
      </c>
      <c r="D1366" t="inlineStr">
        <is>
          <t>VÄSTERNORRLANDS LÄN</t>
        </is>
      </c>
      <c r="E1366" t="inlineStr">
        <is>
          <t>SOLLEFTEÅ</t>
        </is>
      </c>
      <c r="F1366" t="inlineStr">
        <is>
          <t>SCA</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29011-2025</t>
        </is>
      </c>
      <c r="B1367" s="1" t="n">
        <v>45821.40659722222</v>
      </c>
      <c r="C1367" s="1" t="n">
        <v>46048</v>
      </c>
      <c r="D1367" t="inlineStr">
        <is>
          <t>VÄSTERNORRLANDS LÄN</t>
        </is>
      </c>
      <c r="E1367" t="inlineStr">
        <is>
          <t>SOLLEFTEÅ</t>
        </is>
      </c>
      <c r="F1367" t="inlineStr">
        <is>
          <t>SCA</t>
        </is>
      </c>
      <c r="G1367" t="n">
        <v>4.8</v>
      </c>
      <c r="H1367" t="n">
        <v>0</v>
      </c>
      <c r="I1367" t="n">
        <v>0</v>
      </c>
      <c r="J1367" t="n">
        <v>0</v>
      </c>
      <c r="K1367" t="n">
        <v>0</v>
      </c>
      <c r="L1367" t="n">
        <v>0</v>
      </c>
      <c r="M1367" t="n">
        <v>0</v>
      </c>
      <c r="N1367" t="n">
        <v>0</v>
      </c>
      <c r="O1367" t="n">
        <v>0</v>
      </c>
      <c r="P1367" t="n">
        <v>0</v>
      </c>
      <c r="Q1367" t="n">
        <v>0</v>
      </c>
      <c r="R1367" s="2" t="inlineStr"/>
    </row>
    <row r="1368" ht="15" customHeight="1">
      <c r="A1368" t="inlineStr">
        <is>
          <t>A 52702-2024</t>
        </is>
      </c>
      <c r="B1368" s="1" t="n">
        <v>45610</v>
      </c>
      <c r="C1368" s="1" t="n">
        <v>46048</v>
      </c>
      <c r="D1368" t="inlineStr">
        <is>
          <t>VÄSTERNORRLANDS LÄN</t>
        </is>
      </c>
      <c r="E1368" t="inlineStr">
        <is>
          <t>SOLLEFTEÅ</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29535-2025</t>
        </is>
      </c>
      <c r="B1369" s="1" t="n">
        <v>45825.34486111111</v>
      </c>
      <c r="C1369" s="1" t="n">
        <v>46048</v>
      </c>
      <c r="D1369" t="inlineStr">
        <is>
          <t>VÄSTERNORRLANDS LÄN</t>
        </is>
      </c>
      <c r="E1369" t="inlineStr">
        <is>
          <t>SOLLEFTEÅ</t>
        </is>
      </c>
      <c r="F1369" t="inlineStr">
        <is>
          <t>SCA</t>
        </is>
      </c>
      <c r="G1369" t="n">
        <v>20.6</v>
      </c>
      <c r="H1369" t="n">
        <v>0</v>
      </c>
      <c r="I1369" t="n">
        <v>0</v>
      </c>
      <c r="J1369" t="n">
        <v>0</v>
      </c>
      <c r="K1369" t="n">
        <v>0</v>
      </c>
      <c r="L1369" t="n">
        <v>0</v>
      </c>
      <c r="M1369" t="n">
        <v>0</v>
      </c>
      <c r="N1369" t="n">
        <v>0</v>
      </c>
      <c r="O1369" t="n">
        <v>0</v>
      </c>
      <c r="P1369" t="n">
        <v>0</v>
      </c>
      <c r="Q1369" t="n">
        <v>0</v>
      </c>
      <c r="R1369" s="2" t="inlineStr"/>
    </row>
    <row r="1370" ht="15" customHeight="1">
      <c r="A1370" t="inlineStr">
        <is>
          <t>A 59346-2023</t>
        </is>
      </c>
      <c r="B1370" s="1" t="n">
        <v>45253</v>
      </c>
      <c r="C1370" s="1" t="n">
        <v>46048</v>
      </c>
      <c r="D1370" t="inlineStr">
        <is>
          <t>VÄSTERNORRLANDS LÄN</t>
        </is>
      </c>
      <c r="E1370" t="inlineStr">
        <is>
          <t>SOLLEFTEÅ</t>
        </is>
      </c>
      <c r="F1370" t="inlineStr">
        <is>
          <t>Holmen skog AB</t>
        </is>
      </c>
      <c r="G1370" t="n">
        <v>6.3</v>
      </c>
      <c r="H1370" t="n">
        <v>0</v>
      </c>
      <c r="I1370" t="n">
        <v>0</v>
      </c>
      <c r="J1370" t="n">
        <v>0</v>
      </c>
      <c r="K1370" t="n">
        <v>0</v>
      </c>
      <c r="L1370" t="n">
        <v>0</v>
      </c>
      <c r="M1370" t="n">
        <v>0</v>
      </c>
      <c r="N1370" t="n">
        <v>0</v>
      </c>
      <c r="O1370" t="n">
        <v>0</v>
      </c>
      <c r="P1370" t="n">
        <v>0</v>
      </c>
      <c r="Q1370" t="n">
        <v>0</v>
      </c>
      <c r="R1370" s="2" t="inlineStr"/>
    </row>
    <row r="1371" ht="15" customHeight="1">
      <c r="A1371" t="inlineStr">
        <is>
          <t>A 50549-2024</t>
        </is>
      </c>
      <c r="B1371" s="1" t="n">
        <v>45601</v>
      </c>
      <c r="C1371" s="1" t="n">
        <v>46048</v>
      </c>
      <c r="D1371" t="inlineStr">
        <is>
          <t>VÄSTERNORRLANDS LÄN</t>
        </is>
      </c>
      <c r="E1371" t="inlineStr">
        <is>
          <t>SOLLEFTEÅ</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38769-2024</t>
        </is>
      </c>
      <c r="B1372" s="1" t="n">
        <v>45547.44914351852</v>
      </c>
      <c r="C1372" s="1" t="n">
        <v>46048</v>
      </c>
      <c r="D1372" t="inlineStr">
        <is>
          <t>VÄSTERNORRLANDS LÄN</t>
        </is>
      </c>
      <c r="E1372" t="inlineStr">
        <is>
          <t>SOLLEFTEÅ</t>
        </is>
      </c>
      <c r="F1372" t="inlineStr">
        <is>
          <t>SCA</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29760-2025</t>
        </is>
      </c>
      <c r="B1373" s="1" t="n">
        <v>45825.61805555555</v>
      </c>
      <c r="C1373" s="1" t="n">
        <v>46048</v>
      </c>
      <c r="D1373" t="inlineStr">
        <is>
          <t>VÄSTERNORRLANDS LÄN</t>
        </is>
      </c>
      <c r="E1373" t="inlineStr">
        <is>
          <t>SOLLEFTEÅ</t>
        </is>
      </c>
      <c r="F1373" t="inlineStr">
        <is>
          <t>SCA</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29769-2025</t>
        </is>
      </c>
      <c r="B1374" s="1" t="n">
        <v>45825.62796296296</v>
      </c>
      <c r="C1374" s="1" t="n">
        <v>46048</v>
      </c>
      <c r="D1374" t="inlineStr">
        <is>
          <t>VÄSTERNORRLANDS LÄN</t>
        </is>
      </c>
      <c r="E1374" t="inlineStr">
        <is>
          <t>SOLLEFTEÅ</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50624-2024</t>
        </is>
      </c>
      <c r="B1375" s="1" t="n">
        <v>45601.65728009259</v>
      </c>
      <c r="C1375" s="1" t="n">
        <v>46048</v>
      </c>
      <c r="D1375" t="inlineStr">
        <is>
          <t>VÄSTERNORRLANDS LÄN</t>
        </is>
      </c>
      <c r="E1375" t="inlineStr">
        <is>
          <t>SOLLEFTEÅ</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31555-2024</t>
        </is>
      </c>
      <c r="B1376" s="1" t="n">
        <v>45505.96484953703</v>
      </c>
      <c r="C1376" s="1" t="n">
        <v>46048</v>
      </c>
      <c r="D1376" t="inlineStr">
        <is>
          <t>VÄSTERNORRLANDS LÄN</t>
        </is>
      </c>
      <c r="E1376" t="inlineStr">
        <is>
          <t>SOLLEFTEÅ</t>
        </is>
      </c>
      <c r="F1376" t="inlineStr">
        <is>
          <t>SCA</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29436-2025</t>
        </is>
      </c>
      <c r="B1377" s="1" t="n">
        <v>45824.65766203704</v>
      </c>
      <c r="C1377" s="1" t="n">
        <v>46048</v>
      </c>
      <c r="D1377" t="inlineStr">
        <is>
          <t>VÄSTERNORRLANDS LÄN</t>
        </is>
      </c>
      <c r="E1377" t="inlineStr">
        <is>
          <t>SOLLEFTEÅ</t>
        </is>
      </c>
      <c r="G1377" t="n">
        <v>9.699999999999999</v>
      </c>
      <c r="H1377" t="n">
        <v>0</v>
      </c>
      <c r="I1377" t="n">
        <v>0</v>
      </c>
      <c r="J1377" t="n">
        <v>0</v>
      </c>
      <c r="K1377" t="n">
        <v>0</v>
      </c>
      <c r="L1377" t="n">
        <v>0</v>
      </c>
      <c r="M1377" t="n">
        <v>0</v>
      </c>
      <c r="N1377" t="n">
        <v>0</v>
      </c>
      <c r="O1377" t="n">
        <v>0</v>
      </c>
      <c r="P1377" t="n">
        <v>0</v>
      </c>
      <c r="Q1377" t="n">
        <v>0</v>
      </c>
      <c r="R1377" s="2" t="inlineStr"/>
    </row>
    <row r="1378" ht="15" customHeight="1">
      <c r="A1378" t="inlineStr">
        <is>
          <t>A 29445-2025</t>
        </is>
      </c>
      <c r="B1378" s="1" t="n">
        <v>45824.66322916667</v>
      </c>
      <c r="C1378" s="1" t="n">
        <v>46048</v>
      </c>
      <c r="D1378" t="inlineStr">
        <is>
          <t>VÄSTERNORRLANDS LÄN</t>
        </is>
      </c>
      <c r="E1378" t="inlineStr">
        <is>
          <t>SOLLEFTEÅ</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29762-2025</t>
        </is>
      </c>
      <c r="B1379" s="1" t="n">
        <v>45825.61826388889</v>
      </c>
      <c r="C1379" s="1" t="n">
        <v>46048</v>
      </c>
      <c r="D1379" t="inlineStr">
        <is>
          <t>VÄSTERNORRLANDS LÄN</t>
        </is>
      </c>
      <c r="E1379" t="inlineStr">
        <is>
          <t>SOLLEFTEÅ</t>
        </is>
      </c>
      <c r="F1379" t="inlineStr">
        <is>
          <t>SCA</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30068-2024</t>
        </is>
      </c>
      <c r="B1380" s="1" t="n">
        <v>45488.94886574074</v>
      </c>
      <c r="C1380" s="1" t="n">
        <v>46048</v>
      </c>
      <c r="D1380" t="inlineStr">
        <is>
          <t>VÄSTERNORRLANDS LÄN</t>
        </is>
      </c>
      <c r="E1380" t="inlineStr">
        <is>
          <t>SOLLEFTEÅ</t>
        </is>
      </c>
      <c r="F1380" t="inlineStr">
        <is>
          <t>SCA</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25017-2022</t>
        </is>
      </c>
      <c r="B1381" s="1" t="n">
        <v>44728.94331018518</v>
      </c>
      <c r="C1381" s="1" t="n">
        <v>46048</v>
      </c>
      <c r="D1381" t="inlineStr">
        <is>
          <t>VÄSTERNORRLANDS LÄN</t>
        </is>
      </c>
      <c r="E1381" t="inlineStr">
        <is>
          <t>SOLLEFTEÅ</t>
        </is>
      </c>
      <c r="F1381" t="inlineStr">
        <is>
          <t>SCA</t>
        </is>
      </c>
      <c r="G1381" t="n">
        <v>4.8</v>
      </c>
      <c r="H1381" t="n">
        <v>0</v>
      </c>
      <c r="I1381" t="n">
        <v>0</v>
      </c>
      <c r="J1381" t="n">
        <v>0</v>
      </c>
      <c r="K1381" t="n">
        <v>0</v>
      </c>
      <c r="L1381" t="n">
        <v>0</v>
      </c>
      <c r="M1381" t="n">
        <v>0</v>
      </c>
      <c r="N1381" t="n">
        <v>0</v>
      </c>
      <c r="O1381" t="n">
        <v>0</v>
      </c>
      <c r="P1381" t="n">
        <v>0</v>
      </c>
      <c r="Q1381" t="n">
        <v>0</v>
      </c>
      <c r="R1381" s="2" t="inlineStr"/>
    </row>
    <row r="1382" ht="15" customHeight="1">
      <c r="A1382" t="inlineStr">
        <is>
          <t>A 58226-2024</t>
        </is>
      </c>
      <c r="B1382" s="1" t="n">
        <v>45632.51076388889</v>
      </c>
      <c r="C1382" s="1" t="n">
        <v>46048</v>
      </c>
      <c r="D1382" t="inlineStr">
        <is>
          <t>VÄSTERNORRLANDS LÄN</t>
        </is>
      </c>
      <c r="E1382" t="inlineStr">
        <is>
          <t>SOLLEFTEÅ</t>
        </is>
      </c>
      <c r="F1382" t="inlineStr">
        <is>
          <t>SCA</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28998-2025</t>
        </is>
      </c>
      <c r="B1383" s="1" t="n">
        <v>45821.38626157407</v>
      </c>
      <c r="C1383" s="1" t="n">
        <v>46048</v>
      </c>
      <c r="D1383" t="inlineStr">
        <is>
          <t>VÄSTERNORRLANDS LÄN</t>
        </is>
      </c>
      <c r="E1383" t="inlineStr">
        <is>
          <t>SOLLEFTEÅ</t>
        </is>
      </c>
      <c r="F1383" t="inlineStr">
        <is>
          <t>SCA</t>
        </is>
      </c>
      <c r="G1383" t="n">
        <v>14.2</v>
      </c>
      <c r="H1383" t="n">
        <v>0</v>
      </c>
      <c r="I1383" t="n">
        <v>0</v>
      </c>
      <c r="J1383" t="n">
        <v>0</v>
      </c>
      <c r="K1383" t="n">
        <v>0</v>
      </c>
      <c r="L1383" t="n">
        <v>0</v>
      </c>
      <c r="M1383" t="n">
        <v>0</v>
      </c>
      <c r="N1383" t="n">
        <v>0</v>
      </c>
      <c r="O1383" t="n">
        <v>0</v>
      </c>
      <c r="P1383" t="n">
        <v>0</v>
      </c>
      <c r="Q1383" t="n">
        <v>0</v>
      </c>
      <c r="R1383" s="2" t="inlineStr"/>
    </row>
    <row r="1384" ht="15" customHeight="1">
      <c r="A1384" t="inlineStr">
        <is>
          <t>A 29562-2025</t>
        </is>
      </c>
      <c r="B1384" s="1" t="n">
        <v>45825</v>
      </c>
      <c r="C1384" s="1" t="n">
        <v>46048</v>
      </c>
      <c r="D1384" t="inlineStr">
        <is>
          <t>VÄSTERNORRLANDS LÄN</t>
        </is>
      </c>
      <c r="E1384" t="inlineStr">
        <is>
          <t>SOLLEFTEÅ</t>
        </is>
      </c>
      <c r="F1384" t="inlineStr">
        <is>
          <t>SCA</t>
        </is>
      </c>
      <c r="G1384" t="n">
        <v>4.7</v>
      </c>
      <c r="H1384" t="n">
        <v>0</v>
      </c>
      <c r="I1384" t="n">
        <v>0</v>
      </c>
      <c r="J1384" t="n">
        <v>0</v>
      </c>
      <c r="K1384" t="n">
        <v>0</v>
      </c>
      <c r="L1384" t="n">
        <v>0</v>
      </c>
      <c r="M1384" t="n">
        <v>0</v>
      </c>
      <c r="N1384" t="n">
        <v>0</v>
      </c>
      <c r="O1384" t="n">
        <v>0</v>
      </c>
      <c r="P1384" t="n">
        <v>0</v>
      </c>
      <c r="Q1384" t="n">
        <v>0</v>
      </c>
      <c r="R1384" s="2" t="inlineStr"/>
    </row>
    <row r="1385" ht="15" customHeight="1">
      <c r="A1385" t="inlineStr">
        <is>
          <t>A 35470-2023</t>
        </is>
      </c>
      <c r="B1385" s="1" t="n">
        <v>45146</v>
      </c>
      <c r="C1385" s="1" t="n">
        <v>46048</v>
      </c>
      <c r="D1385" t="inlineStr">
        <is>
          <t>VÄSTERNORRLANDS LÄN</t>
        </is>
      </c>
      <c r="E1385" t="inlineStr">
        <is>
          <t>SOLLEFTEÅ</t>
        </is>
      </c>
      <c r="G1385" t="n">
        <v>7.5</v>
      </c>
      <c r="H1385" t="n">
        <v>0</v>
      </c>
      <c r="I1385" t="n">
        <v>0</v>
      </c>
      <c r="J1385" t="n">
        <v>0</v>
      </c>
      <c r="K1385" t="n">
        <v>0</v>
      </c>
      <c r="L1385" t="n">
        <v>0</v>
      </c>
      <c r="M1385" t="n">
        <v>0</v>
      </c>
      <c r="N1385" t="n">
        <v>0</v>
      </c>
      <c r="O1385" t="n">
        <v>0</v>
      </c>
      <c r="P1385" t="n">
        <v>0</v>
      </c>
      <c r="Q1385" t="n">
        <v>0</v>
      </c>
      <c r="R1385" s="2" t="inlineStr"/>
    </row>
    <row r="1386" ht="15" customHeight="1">
      <c r="A1386" t="inlineStr">
        <is>
          <t>A 30369-2025</t>
        </is>
      </c>
      <c r="B1386" s="1" t="n">
        <v>45827.55729166666</v>
      </c>
      <c r="C1386" s="1" t="n">
        <v>46048</v>
      </c>
      <c r="D1386" t="inlineStr">
        <is>
          <t>VÄSTERNORRLANDS LÄN</t>
        </is>
      </c>
      <c r="E1386" t="inlineStr">
        <is>
          <t>SOLLEFTEÅ</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30389-2025</t>
        </is>
      </c>
      <c r="B1387" s="1" t="n">
        <v>45827.57356481482</v>
      </c>
      <c r="C1387" s="1" t="n">
        <v>46048</v>
      </c>
      <c r="D1387" t="inlineStr">
        <is>
          <t>VÄSTERNORRLANDS LÄN</t>
        </is>
      </c>
      <c r="E1387" t="inlineStr">
        <is>
          <t>SOLLEFTEÅ</t>
        </is>
      </c>
      <c r="F1387" t="inlineStr">
        <is>
          <t>SCA</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18442-2025</t>
        </is>
      </c>
      <c r="B1388" s="1" t="n">
        <v>45762.65658564815</v>
      </c>
      <c r="C1388" s="1" t="n">
        <v>46048</v>
      </c>
      <c r="D1388" t="inlineStr">
        <is>
          <t>VÄSTERNORRLANDS LÄN</t>
        </is>
      </c>
      <c r="E1388" t="inlineStr">
        <is>
          <t>SOLLEFTEÅ</t>
        </is>
      </c>
      <c r="F1388" t="inlineStr">
        <is>
          <t>SCA</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56685-2023</t>
        </is>
      </c>
      <c r="B1389" s="1" t="n">
        <v>45243.96600694444</v>
      </c>
      <c r="C1389" s="1" t="n">
        <v>46048</v>
      </c>
      <c r="D1389" t="inlineStr">
        <is>
          <t>VÄSTERNORRLANDS LÄN</t>
        </is>
      </c>
      <c r="E1389" t="inlineStr">
        <is>
          <t>SOLLEFTEÅ</t>
        </is>
      </c>
      <c r="F1389" t="inlineStr">
        <is>
          <t>SCA</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29884-2025</t>
        </is>
      </c>
      <c r="B1390" s="1" t="n">
        <v>45826.36582175926</v>
      </c>
      <c r="C1390" s="1" t="n">
        <v>46048</v>
      </c>
      <c r="D1390" t="inlineStr">
        <is>
          <t>VÄSTERNORRLANDS LÄN</t>
        </is>
      </c>
      <c r="E1390" t="inlineStr">
        <is>
          <t>SOLLEFTEÅ</t>
        </is>
      </c>
      <c r="F1390" t="inlineStr">
        <is>
          <t>SCA</t>
        </is>
      </c>
      <c r="G1390" t="n">
        <v>5.9</v>
      </c>
      <c r="H1390" t="n">
        <v>0</v>
      </c>
      <c r="I1390" t="n">
        <v>0</v>
      </c>
      <c r="J1390" t="n">
        <v>0</v>
      </c>
      <c r="K1390" t="n">
        <v>0</v>
      </c>
      <c r="L1390" t="n">
        <v>0</v>
      </c>
      <c r="M1390" t="n">
        <v>0</v>
      </c>
      <c r="N1390" t="n">
        <v>0</v>
      </c>
      <c r="O1390" t="n">
        <v>0</v>
      </c>
      <c r="P1390" t="n">
        <v>0</v>
      </c>
      <c r="Q1390" t="n">
        <v>0</v>
      </c>
      <c r="R1390" s="2" t="inlineStr"/>
    </row>
    <row r="1391" ht="15" customHeight="1">
      <c r="A1391" t="inlineStr">
        <is>
          <t>A 30279-2025</t>
        </is>
      </c>
      <c r="B1391" s="1" t="n">
        <v>45827</v>
      </c>
      <c r="C1391" s="1" t="n">
        <v>46048</v>
      </c>
      <c r="D1391" t="inlineStr">
        <is>
          <t>VÄSTERNORRLANDS LÄN</t>
        </is>
      </c>
      <c r="E1391" t="inlineStr">
        <is>
          <t>SOLLEFTEÅ</t>
        </is>
      </c>
      <c r="G1391" t="n">
        <v>5.7</v>
      </c>
      <c r="H1391" t="n">
        <v>0</v>
      </c>
      <c r="I1391" t="n">
        <v>0</v>
      </c>
      <c r="J1391" t="n">
        <v>0</v>
      </c>
      <c r="K1391" t="n">
        <v>0</v>
      </c>
      <c r="L1391" t="n">
        <v>0</v>
      </c>
      <c r="M1391" t="n">
        <v>0</v>
      </c>
      <c r="N1391" t="n">
        <v>0</v>
      </c>
      <c r="O1391" t="n">
        <v>0</v>
      </c>
      <c r="P1391" t="n">
        <v>0</v>
      </c>
      <c r="Q1391" t="n">
        <v>0</v>
      </c>
      <c r="R1391" s="2" t="inlineStr"/>
    </row>
    <row r="1392" ht="15" customHeight="1">
      <c r="A1392" t="inlineStr">
        <is>
          <t>A 30311-2025</t>
        </is>
      </c>
      <c r="B1392" s="1" t="n">
        <v>45827.49015046296</v>
      </c>
      <c r="C1392" s="1" t="n">
        <v>46048</v>
      </c>
      <c r="D1392" t="inlineStr">
        <is>
          <t>VÄSTERNORRLANDS LÄN</t>
        </is>
      </c>
      <c r="E1392" t="inlineStr">
        <is>
          <t>SOLLEFTEÅ</t>
        </is>
      </c>
      <c r="F1392" t="inlineStr">
        <is>
          <t>SCA</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13554-2023</t>
        </is>
      </c>
      <c r="B1393" s="1" t="n">
        <v>45005</v>
      </c>
      <c r="C1393" s="1" t="n">
        <v>46048</v>
      </c>
      <c r="D1393" t="inlineStr">
        <is>
          <t>VÄSTERNORRLANDS LÄN</t>
        </is>
      </c>
      <c r="E1393" t="inlineStr">
        <is>
          <t>SOLLEFTEÅ</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26391-2024</t>
        </is>
      </c>
      <c r="B1394" s="1" t="n">
        <v>45468</v>
      </c>
      <c r="C1394" s="1" t="n">
        <v>46048</v>
      </c>
      <c r="D1394" t="inlineStr">
        <is>
          <t>VÄSTERNORRLANDS LÄN</t>
        </is>
      </c>
      <c r="E1394" t="inlineStr">
        <is>
          <t>SOLLEFTEÅ</t>
        </is>
      </c>
      <c r="G1394" t="n">
        <v>5.2</v>
      </c>
      <c r="H1394" t="n">
        <v>0</v>
      </c>
      <c r="I1394" t="n">
        <v>0</v>
      </c>
      <c r="J1394" t="n">
        <v>0</v>
      </c>
      <c r="K1394" t="n">
        <v>0</v>
      </c>
      <c r="L1394" t="n">
        <v>0</v>
      </c>
      <c r="M1394" t="n">
        <v>0</v>
      </c>
      <c r="N1394" t="n">
        <v>0</v>
      </c>
      <c r="O1394" t="n">
        <v>0</v>
      </c>
      <c r="P1394" t="n">
        <v>0</v>
      </c>
      <c r="Q1394" t="n">
        <v>0</v>
      </c>
      <c r="R1394" s="2" t="inlineStr"/>
    </row>
    <row r="1395" ht="15" customHeight="1">
      <c r="A1395" t="inlineStr">
        <is>
          <t>A 12311-2023</t>
        </is>
      </c>
      <c r="B1395" s="1" t="n">
        <v>44995</v>
      </c>
      <c r="C1395" s="1" t="n">
        <v>46048</v>
      </c>
      <c r="D1395" t="inlineStr">
        <is>
          <t>VÄSTERNORRLANDS LÄN</t>
        </is>
      </c>
      <c r="E1395" t="inlineStr">
        <is>
          <t>SOLLEFTEÅ</t>
        </is>
      </c>
      <c r="G1395" t="n">
        <v>16.8</v>
      </c>
      <c r="H1395" t="n">
        <v>0</v>
      </c>
      <c r="I1395" t="n">
        <v>0</v>
      </c>
      <c r="J1395" t="n">
        <v>0</v>
      </c>
      <c r="K1395" t="n">
        <v>0</v>
      </c>
      <c r="L1395" t="n">
        <v>0</v>
      </c>
      <c r="M1395" t="n">
        <v>0</v>
      </c>
      <c r="N1395" t="n">
        <v>0</v>
      </c>
      <c r="O1395" t="n">
        <v>0</v>
      </c>
      <c r="P1395" t="n">
        <v>0</v>
      </c>
      <c r="Q1395" t="n">
        <v>0</v>
      </c>
      <c r="R1395" s="2" t="inlineStr"/>
    </row>
    <row r="1396" ht="15" customHeight="1">
      <c r="A1396" t="inlineStr">
        <is>
          <t>A 34309-2023</t>
        </is>
      </c>
      <c r="B1396" s="1" t="n">
        <v>45138.92300925926</v>
      </c>
      <c r="C1396" s="1" t="n">
        <v>46048</v>
      </c>
      <c r="D1396" t="inlineStr">
        <is>
          <t>VÄSTERNORRLANDS LÄN</t>
        </is>
      </c>
      <c r="E1396" t="inlineStr">
        <is>
          <t>SOLLEFTEÅ</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30018-2025</t>
        </is>
      </c>
      <c r="B1397" s="1" t="n">
        <v>45826.55332175926</v>
      </c>
      <c r="C1397" s="1" t="n">
        <v>46048</v>
      </c>
      <c r="D1397" t="inlineStr">
        <is>
          <t>VÄSTERNORRLANDS LÄN</t>
        </is>
      </c>
      <c r="E1397" t="inlineStr">
        <is>
          <t>SOLLEFTEÅ</t>
        </is>
      </c>
      <c r="F1397" t="inlineStr">
        <is>
          <t>SCA</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30020-2025</t>
        </is>
      </c>
      <c r="B1398" s="1" t="n">
        <v>45826.55337962963</v>
      </c>
      <c r="C1398" s="1" t="n">
        <v>46048</v>
      </c>
      <c r="D1398" t="inlineStr">
        <is>
          <t>VÄSTERNORRLANDS LÄN</t>
        </is>
      </c>
      <c r="E1398" t="inlineStr">
        <is>
          <t>SOLLEFTEÅ</t>
        </is>
      </c>
      <c r="F1398" t="inlineStr">
        <is>
          <t>SCA</t>
        </is>
      </c>
      <c r="G1398" t="n">
        <v>6.4</v>
      </c>
      <c r="H1398" t="n">
        <v>0</v>
      </c>
      <c r="I1398" t="n">
        <v>0</v>
      </c>
      <c r="J1398" t="n">
        <v>0</v>
      </c>
      <c r="K1398" t="n">
        <v>0</v>
      </c>
      <c r="L1398" t="n">
        <v>0</v>
      </c>
      <c r="M1398" t="n">
        <v>0</v>
      </c>
      <c r="N1398" t="n">
        <v>0</v>
      </c>
      <c r="O1398" t="n">
        <v>0</v>
      </c>
      <c r="P1398" t="n">
        <v>0</v>
      </c>
      <c r="Q1398" t="n">
        <v>0</v>
      </c>
      <c r="R1398" s="2" t="inlineStr"/>
    </row>
    <row r="1399" ht="15" customHeight="1">
      <c r="A1399" t="inlineStr">
        <is>
          <t>A 13009-2023</t>
        </is>
      </c>
      <c r="B1399" s="1" t="n">
        <v>45002.03643518518</v>
      </c>
      <c r="C1399" s="1" t="n">
        <v>46048</v>
      </c>
      <c r="D1399" t="inlineStr">
        <is>
          <t>VÄSTERNORRLANDS LÄN</t>
        </is>
      </c>
      <c r="E1399" t="inlineStr">
        <is>
          <t>SOLLEFTEÅ</t>
        </is>
      </c>
      <c r="F1399" t="inlineStr">
        <is>
          <t>SCA</t>
        </is>
      </c>
      <c r="G1399" t="n">
        <v>7.9</v>
      </c>
      <c r="H1399" t="n">
        <v>0</v>
      </c>
      <c r="I1399" t="n">
        <v>0</v>
      </c>
      <c r="J1399" t="n">
        <v>0</v>
      </c>
      <c r="K1399" t="n">
        <v>0</v>
      </c>
      <c r="L1399" t="n">
        <v>0</v>
      </c>
      <c r="M1399" t="n">
        <v>0</v>
      </c>
      <c r="N1399" t="n">
        <v>0</v>
      </c>
      <c r="O1399" t="n">
        <v>0</v>
      </c>
      <c r="P1399" t="n">
        <v>0</v>
      </c>
      <c r="Q1399" t="n">
        <v>0</v>
      </c>
      <c r="R1399" s="2" t="inlineStr"/>
    </row>
    <row r="1400" ht="15" customHeight="1">
      <c r="A1400" t="inlineStr">
        <is>
          <t>A 16710-2024</t>
        </is>
      </c>
      <c r="B1400" s="1" t="n">
        <v>45409.07748842592</v>
      </c>
      <c r="C1400" s="1" t="n">
        <v>46048</v>
      </c>
      <c r="D1400" t="inlineStr">
        <is>
          <t>VÄSTERNORRLANDS LÄN</t>
        </is>
      </c>
      <c r="E1400" t="inlineStr">
        <is>
          <t>SOLLEFTEÅ</t>
        </is>
      </c>
      <c r="F1400" t="inlineStr">
        <is>
          <t>SCA</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16308-2025</t>
        </is>
      </c>
      <c r="B1401" s="1" t="n">
        <v>45751.34700231482</v>
      </c>
      <c r="C1401" s="1" t="n">
        <v>46048</v>
      </c>
      <c r="D1401" t="inlineStr">
        <is>
          <t>VÄSTERNORRLANDS LÄN</t>
        </is>
      </c>
      <c r="E1401" t="inlineStr">
        <is>
          <t>SOLLEFTEÅ</t>
        </is>
      </c>
      <c r="F1401" t="inlineStr">
        <is>
          <t>SCA</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29883-2025</t>
        </is>
      </c>
      <c r="B1402" s="1" t="n">
        <v>45826.36568287037</v>
      </c>
      <c r="C1402" s="1" t="n">
        <v>46048</v>
      </c>
      <c r="D1402" t="inlineStr">
        <is>
          <t>VÄSTERNORRLANDS LÄN</t>
        </is>
      </c>
      <c r="E1402" t="inlineStr">
        <is>
          <t>SOLLEFTEÅ</t>
        </is>
      </c>
      <c r="F1402" t="inlineStr">
        <is>
          <t>SCA</t>
        </is>
      </c>
      <c r="G1402" t="n">
        <v>4.7</v>
      </c>
      <c r="H1402" t="n">
        <v>0</v>
      </c>
      <c r="I1402" t="n">
        <v>0</v>
      </c>
      <c r="J1402" t="n">
        <v>0</v>
      </c>
      <c r="K1402" t="n">
        <v>0</v>
      </c>
      <c r="L1402" t="n">
        <v>0</v>
      </c>
      <c r="M1402" t="n">
        <v>0</v>
      </c>
      <c r="N1402" t="n">
        <v>0</v>
      </c>
      <c r="O1402" t="n">
        <v>0</v>
      </c>
      <c r="P1402" t="n">
        <v>0</v>
      </c>
      <c r="Q1402" t="n">
        <v>0</v>
      </c>
      <c r="R1402" s="2" t="inlineStr"/>
    </row>
    <row r="1403" ht="15" customHeight="1">
      <c r="A1403" t="inlineStr">
        <is>
          <t>A 30401-2025</t>
        </is>
      </c>
      <c r="B1403" s="1" t="n">
        <v>45827.59135416667</v>
      </c>
      <c r="C1403" s="1" t="n">
        <v>46048</v>
      </c>
      <c r="D1403" t="inlineStr">
        <is>
          <t>VÄSTERNORRLANDS LÄN</t>
        </is>
      </c>
      <c r="E1403" t="inlineStr">
        <is>
          <t>SOLLEFTEÅ</t>
        </is>
      </c>
      <c r="G1403" t="n">
        <v>6.3</v>
      </c>
      <c r="H1403" t="n">
        <v>0</v>
      </c>
      <c r="I1403" t="n">
        <v>0</v>
      </c>
      <c r="J1403" t="n">
        <v>0</v>
      </c>
      <c r="K1403" t="n">
        <v>0</v>
      </c>
      <c r="L1403" t="n">
        <v>0</v>
      </c>
      <c r="M1403" t="n">
        <v>0</v>
      </c>
      <c r="N1403" t="n">
        <v>0</v>
      </c>
      <c r="O1403" t="n">
        <v>0</v>
      </c>
      <c r="P1403" t="n">
        <v>0</v>
      </c>
      <c r="Q1403" t="n">
        <v>0</v>
      </c>
      <c r="R1403" s="2" t="inlineStr"/>
    </row>
    <row r="1404" ht="15" customHeight="1">
      <c r="A1404" t="inlineStr">
        <is>
          <t>A 5036-2024</t>
        </is>
      </c>
      <c r="B1404" s="1" t="n">
        <v>45329.87555555555</v>
      </c>
      <c r="C1404" s="1" t="n">
        <v>46048</v>
      </c>
      <c r="D1404" t="inlineStr">
        <is>
          <t>VÄSTERNORRLANDS LÄN</t>
        </is>
      </c>
      <c r="E1404" t="inlineStr">
        <is>
          <t>SOLLEFTEÅ</t>
        </is>
      </c>
      <c r="F1404" t="inlineStr">
        <is>
          <t>Övriga Aktiebolag</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20738-2022</t>
        </is>
      </c>
      <c r="B1405" s="1" t="n">
        <v>44700</v>
      </c>
      <c r="C1405" s="1" t="n">
        <v>46048</v>
      </c>
      <c r="D1405" t="inlineStr">
        <is>
          <t>VÄSTERNORRLANDS LÄN</t>
        </is>
      </c>
      <c r="E1405" t="inlineStr">
        <is>
          <t>SOLLEFTEÅ</t>
        </is>
      </c>
      <c r="G1405" t="n">
        <v>8.1</v>
      </c>
      <c r="H1405" t="n">
        <v>0</v>
      </c>
      <c r="I1405" t="n">
        <v>0</v>
      </c>
      <c r="J1405" t="n">
        <v>0</v>
      </c>
      <c r="K1405" t="n">
        <v>0</v>
      </c>
      <c r="L1405" t="n">
        <v>0</v>
      </c>
      <c r="M1405" t="n">
        <v>0</v>
      </c>
      <c r="N1405" t="n">
        <v>0</v>
      </c>
      <c r="O1405" t="n">
        <v>0</v>
      </c>
      <c r="P1405" t="n">
        <v>0</v>
      </c>
      <c r="Q1405" t="n">
        <v>0</v>
      </c>
      <c r="R1405" s="2" t="inlineStr"/>
    </row>
    <row r="1406" ht="15" customHeight="1">
      <c r="A1406" t="inlineStr">
        <is>
          <t>A 5111-2022</t>
        </is>
      </c>
      <c r="B1406" s="1" t="n">
        <v>44593.92144675926</v>
      </c>
      <c r="C1406" s="1" t="n">
        <v>46048</v>
      </c>
      <c r="D1406" t="inlineStr">
        <is>
          <t>VÄSTERNORRLANDS LÄN</t>
        </is>
      </c>
      <c r="E1406" t="inlineStr">
        <is>
          <t>SOLLEFTEÅ</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42512-2023</t>
        </is>
      </c>
      <c r="B1407" s="1" t="n">
        <v>45180.95953703704</v>
      </c>
      <c r="C1407" s="1" t="n">
        <v>46048</v>
      </c>
      <c r="D1407" t="inlineStr">
        <is>
          <t>VÄSTERNORRLANDS LÄN</t>
        </is>
      </c>
      <c r="E1407" t="inlineStr">
        <is>
          <t>SOLLEFTEÅ</t>
        </is>
      </c>
      <c r="F1407" t="inlineStr">
        <is>
          <t>SCA</t>
        </is>
      </c>
      <c r="G1407" t="n">
        <v>4.7</v>
      </c>
      <c r="H1407" t="n">
        <v>0</v>
      </c>
      <c r="I1407" t="n">
        <v>0</v>
      </c>
      <c r="J1407" t="n">
        <v>0</v>
      </c>
      <c r="K1407" t="n">
        <v>0</v>
      </c>
      <c r="L1407" t="n">
        <v>0</v>
      </c>
      <c r="M1407" t="n">
        <v>0</v>
      </c>
      <c r="N1407" t="n">
        <v>0</v>
      </c>
      <c r="O1407" t="n">
        <v>0</v>
      </c>
      <c r="P1407" t="n">
        <v>0</v>
      </c>
      <c r="Q1407" t="n">
        <v>0</v>
      </c>
      <c r="R1407" s="2" t="inlineStr"/>
    </row>
    <row r="1408" ht="15" customHeight="1">
      <c r="A1408" t="inlineStr">
        <is>
          <t>A 30073-2025</t>
        </is>
      </c>
      <c r="B1408" s="1" t="n">
        <v>45826.63643518519</v>
      </c>
      <c r="C1408" s="1" t="n">
        <v>46048</v>
      </c>
      <c r="D1408" t="inlineStr">
        <is>
          <t>VÄSTERNORRLANDS LÄN</t>
        </is>
      </c>
      <c r="E1408" t="inlineStr">
        <is>
          <t>SOLLEFTEÅ</t>
        </is>
      </c>
      <c r="F1408" t="inlineStr">
        <is>
          <t>SCA</t>
        </is>
      </c>
      <c r="G1408" t="n">
        <v>5.4</v>
      </c>
      <c r="H1408" t="n">
        <v>0</v>
      </c>
      <c r="I1408" t="n">
        <v>0</v>
      </c>
      <c r="J1408" t="n">
        <v>0</v>
      </c>
      <c r="K1408" t="n">
        <v>0</v>
      </c>
      <c r="L1408" t="n">
        <v>0</v>
      </c>
      <c r="M1408" t="n">
        <v>0</v>
      </c>
      <c r="N1408" t="n">
        <v>0</v>
      </c>
      <c r="O1408" t="n">
        <v>0</v>
      </c>
      <c r="P1408" t="n">
        <v>0</v>
      </c>
      <c r="Q1408" t="n">
        <v>0</v>
      </c>
      <c r="R1408" s="2" t="inlineStr"/>
    </row>
    <row r="1409" ht="15" customHeight="1">
      <c r="A1409" t="inlineStr">
        <is>
          <t>A 44591-2024</t>
        </is>
      </c>
      <c r="B1409" s="1" t="n">
        <v>45574</v>
      </c>
      <c r="C1409" s="1" t="n">
        <v>46048</v>
      </c>
      <c r="D1409" t="inlineStr">
        <is>
          <t>VÄSTERNORRLANDS LÄN</t>
        </is>
      </c>
      <c r="E1409" t="inlineStr">
        <is>
          <t>SOLLEFTEÅ</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42160-2023</t>
        </is>
      </c>
      <c r="B1410" s="1" t="n">
        <v>45177</v>
      </c>
      <c r="C1410" s="1" t="n">
        <v>46048</v>
      </c>
      <c r="D1410" t="inlineStr">
        <is>
          <t>VÄSTERNORRLANDS LÄN</t>
        </is>
      </c>
      <c r="E1410" t="inlineStr">
        <is>
          <t>SOLLEFTEÅ</t>
        </is>
      </c>
      <c r="F1410" t="inlineStr">
        <is>
          <t>SCA</t>
        </is>
      </c>
      <c r="G1410" t="n">
        <v>4.1</v>
      </c>
      <c r="H1410" t="n">
        <v>0</v>
      </c>
      <c r="I1410" t="n">
        <v>0</v>
      </c>
      <c r="J1410" t="n">
        <v>0</v>
      </c>
      <c r="K1410" t="n">
        <v>0</v>
      </c>
      <c r="L1410" t="n">
        <v>0</v>
      </c>
      <c r="M1410" t="n">
        <v>0</v>
      </c>
      <c r="N1410" t="n">
        <v>0</v>
      </c>
      <c r="O1410" t="n">
        <v>0</v>
      </c>
      <c r="P1410" t="n">
        <v>0</v>
      </c>
      <c r="Q1410" t="n">
        <v>0</v>
      </c>
      <c r="R1410" s="2" t="inlineStr"/>
    </row>
    <row r="1411" ht="15" customHeight="1">
      <c r="A1411" t="inlineStr">
        <is>
          <t>A 18795-2025</t>
        </is>
      </c>
      <c r="B1411" s="1" t="n">
        <v>45764.34564814815</v>
      </c>
      <c r="C1411" s="1" t="n">
        <v>46048</v>
      </c>
      <c r="D1411" t="inlineStr">
        <is>
          <t>VÄSTERNORRLANDS LÄN</t>
        </is>
      </c>
      <c r="E1411" t="inlineStr">
        <is>
          <t>SOLLEFTEÅ</t>
        </is>
      </c>
      <c r="F1411" t="inlineStr">
        <is>
          <t>SCA</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41456-2022</t>
        </is>
      </c>
      <c r="B1412" s="1" t="n">
        <v>44826</v>
      </c>
      <c r="C1412" s="1" t="n">
        <v>46048</v>
      </c>
      <c r="D1412" t="inlineStr">
        <is>
          <t>VÄSTERNORRLANDS LÄN</t>
        </is>
      </c>
      <c r="E1412" t="inlineStr">
        <is>
          <t>SOLLEFTEÅ</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43845-2024</t>
        </is>
      </c>
      <c r="B1413" s="1" t="n">
        <v>45572.34483796296</v>
      </c>
      <c r="C1413" s="1" t="n">
        <v>46048</v>
      </c>
      <c r="D1413" t="inlineStr">
        <is>
          <t>VÄSTERNORRLANDS LÄN</t>
        </is>
      </c>
      <c r="E1413" t="inlineStr">
        <is>
          <t>SOLLEFTEÅ</t>
        </is>
      </c>
      <c r="F1413" t="inlineStr">
        <is>
          <t>SCA</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20599-2023</t>
        </is>
      </c>
      <c r="B1414" s="1" t="n">
        <v>45057.94172453704</v>
      </c>
      <c r="C1414" s="1" t="n">
        <v>46048</v>
      </c>
      <c r="D1414" t="inlineStr">
        <is>
          <t>VÄSTERNORRLANDS LÄN</t>
        </is>
      </c>
      <c r="E1414" t="inlineStr">
        <is>
          <t>SOLLEFTEÅ</t>
        </is>
      </c>
      <c r="F1414" t="inlineStr">
        <is>
          <t>SCA</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31177-2023</t>
        </is>
      </c>
      <c r="B1415" s="1" t="n">
        <v>45113</v>
      </c>
      <c r="C1415" s="1" t="n">
        <v>46048</v>
      </c>
      <c r="D1415" t="inlineStr">
        <is>
          <t>VÄSTERNORRLANDS LÄN</t>
        </is>
      </c>
      <c r="E1415" t="inlineStr">
        <is>
          <t>SOLLEFTEÅ</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16670-2022</t>
        </is>
      </c>
      <c r="B1416" s="1" t="n">
        <v>44672.93802083333</v>
      </c>
      <c r="C1416" s="1" t="n">
        <v>46048</v>
      </c>
      <c r="D1416" t="inlineStr">
        <is>
          <t>VÄSTERNORRLANDS LÄN</t>
        </is>
      </c>
      <c r="E1416" t="inlineStr">
        <is>
          <t>SOLLEFTEÅ</t>
        </is>
      </c>
      <c r="F1416" t="inlineStr">
        <is>
          <t>SCA</t>
        </is>
      </c>
      <c r="G1416" t="n">
        <v>4.1</v>
      </c>
      <c r="H1416" t="n">
        <v>0</v>
      </c>
      <c r="I1416" t="n">
        <v>0</v>
      </c>
      <c r="J1416" t="n">
        <v>0</v>
      </c>
      <c r="K1416" t="n">
        <v>0</v>
      </c>
      <c r="L1416" t="n">
        <v>0</v>
      </c>
      <c r="M1416" t="n">
        <v>0</v>
      </c>
      <c r="N1416" t="n">
        <v>0</v>
      </c>
      <c r="O1416" t="n">
        <v>0</v>
      </c>
      <c r="P1416" t="n">
        <v>0</v>
      </c>
      <c r="Q1416" t="n">
        <v>0</v>
      </c>
      <c r="R1416" s="2" t="inlineStr"/>
    </row>
    <row r="1417" ht="15" customHeight="1">
      <c r="A1417" t="inlineStr">
        <is>
          <t>A 53669-2023</t>
        </is>
      </c>
      <c r="B1417" s="1" t="n">
        <v>45230</v>
      </c>
      <c r="C1417" s="1" t="n">
        <v>46048</v>
      </c>
      <c r="D1417" t="inlineStr">
        <is>
          <t>VÄSTERNORRLANDS LÄN</t>
        </is>
      </c>
      <c r="E1417" t="inlineStr">
        <is>
          <t>SOLLEFTEÅ</t>
        </is>
      </c>
      <c r="G1417" t="n">
        <v>11.2</v>
      </c>
      <c r="H1417" t="n">
        <v>0</v>
      </c>
      <c r="I1417" t="n">
        <v>0</v>
      </c>
      <c r="J1417" t="n">
        <v>0</v>
      </c>
      <c r="K1417" t="n">
        <v>0</v>
      </c>
      <c r="L1417" t="n">
        <v>0</v>
      </c>
      <c r="M1417" t="n">
        <v>0</v>
      </c>
      <c r="N1417" t="n">
        <v>0</v>
      </c>
      <c r="O1417" t="n">
        <v>0</v>
      </c>
      <c r="P1417" t="n">
        <v>0</v>
      </c>
      <c r="Q1417" t="n">
        <v>0</v>
      </c>
      <c r="R1417" s="2" t="inlineStr"/>
    </row>
    <row r="1418" ht="15" customHeight="1">
      <c r="A1418" t="inlineStr">
        <is>
          <t>A 30478-2025</t>
        </is>
      </c>
      <c r="B1418" s="1" t="n">
        <v>45828.45866898148</v>
      </c>
      <c r="C1418" s="1" t="n">
        <v>46048</v>
      </c>
      <c r="D1418" t="inlineStr">
        <is>
          <t>VÄSTERNORRLANDS LÄN</t>
        </is>
      </c>
      <c r="E1418" t="inlineStr">
        <is>
          <t>SOLLEFTEÅ</t>
        </is>
      </c>
      <c r="G1418" t="n">
        <v>1.5</v>
      </c>
      <c r="H1418" t="n">
        <v>0</v>
      </c>
      <c r="I1418" t="n">
        <v>0</v>
      </c>
      <c r="J1418" t="n">
        <v>0</v>
      </c>
      <c r="K1418" t="n">
        <v>0</v>
      </c>
      <c r="L1418" t="n">
        <v>0</v>
      </c>
      <c r="M1418" t="n">
        <v>0</v>
      </c>
      <c r="N1418" t="n">
        <v>0</v>
      </c>
      <c r="O1418" t="n">
        <v>0</v>
      </c>
      <c r="P1418" t="n">
        <v>0</v>
      </c>
      <c r="Q1418" t="n">
        <v>0</v>
      </c>
      <c r="R1418" s="2" t="inlineStr"/>
      <c r="U1418">
        <f>HYPERLINK("https://klasma.github.io/Logging_2283/knärot/A 30478-2025 karta knärot.png", "A 30478-2025")</f>
        <v/>
      </c>
      <c r="V1418">
        <f>HYPERLINK("https://klasma.github.io/Logging_2283/klagomål/A 30478-2025 FSC-klagomål.docx", "A 30478-2025")</f>
        <v/>
      </c>
      <c r="W1418">
        <f>HYPERLINK("https://klasma.github.io/Logging_2283/klagomålsmail/A 30478-2025 FSC-klagomål mail.docx", "A 30478-2025")</f>
        <v/>
      </c>
      <c r="X1418">
        <f>HYPERLINK("https://klasma.github.io/Logging_2283/tillsyn/A 30478-2025 tillsynsbegäran.docx", "A 30478-2025")</f>
        <v/>
      </c>
      <c r="Y1418">
        <f>HYPERLINK("https://klasma.github.io/Logging_2283/tillsynsmail/A 30478-2025 tillsynsbegäran mail.docx", "A 30478-2025")</f>
        <v/>
      </c>
    </row>
    <row r="1419" ht="15" customHeight="1">
      <c r="A1419" t="inlineStr">
        <is>
          <t>A 23287-2023</t>
        </is>
      </c>
      <c r="B1419" s="1" t="n">
        <v>45075</v>
      </c>
      <c r="C1419" s="1" t="n">
        <v>46048</v>
      </c>
      <c r="D1419" t="inlineStr">
        <is>
          <t>VÄSTERNORRLANDS LÄN</t>
        </is>
      </c>
      <c r="E1419" t="inlineStr">
        <is>
          <t>SOLLEFTEÅ</t>
        </is>
      </c>
      <c r="G1419" t="n">
        <v>0.2</v>
      </c>
      <c r="H1419" t="n">
        <v>0</v>
      </c>
      <c r="I1419" t="n">
        <v>0</v>
      </c>
      <c r="J1419" t="n">
        <v>0</v>
      </c>
      <c r="K1419" t="n">
        <v>0</v>
      </c>
      <c r="L1419" t="n">
        <v>0</v>
      </c>
      <c r="M1419" t="n">
        <v>0</v>
      </c>
      <c r="N1419" t="n">
        <v>0</v>
      </c>
      <c r="O1419" t="n">
        <v>0</v>
      </c>
      <c r="P1419" t="n">
        <v>0</v>
      </c>
      <c r="Q1419" t="n">
        <v>0</v>
      </c>
      <c r="R1419" s="2" t="inlineStr"/>
    </row>
    <row r="1420" ht="15" customHeight="1">
      <c r="A1420" t="inlineStr">
        <is>
          <t>A 30750-2025</t>
        </is>
      </c>
      <c r="B1420" s="1" t="n">
        <v>45831.58900462963</v>
      </c>
      <c r="C1420" s="1" t="n">
        <v>46048</v>
      </c>
      <c r="D1420" t="inlineStr">
        <is>
          <t>VÄSTERNORRLANDS LÄN</t>
        </is>
      </c>
      <c r="E1420" t="inlineStr">
        <is>
          <t>SOLLEFTEÅ</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30754-2025</t>
        </is>
      </c>
      <c r="B1421" s="1" t="n">
        <v>45831.59417824074</v>
      </c>
      <c r="C1421" s="1" t="n">
        <v>46048</v>
      </c>
      <c r="D1421" t="inlineStr">
        <is>
          <t>VÄSTERNORRLANDS LÄN</t>
        </is>
      </c>
      <c r="E1421" t="inlineStr">
        <is>
          <t>SOLLEFTEÅ</t>
        </is>
      </c>
      <c r="F1421" t="inlineStr">
        <is>
          <t>SCA</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53325-2024</t>
        </is>
      </c>
      <c r="B1422" s="1" t="n">
        <v>45614.41177083334</v>
      </c>
      <c r="C1422" s="1" t="n">
        <v>46048</v>
      </c>
      <c r="D1422" t="inlineStr">
        <is>
          <t>VÄSTERNORRLANDS LÄN</t>
        </is>
      </c>
      <c r="E1422" t="inlineStr">
        <is>
          <t>SOLLEFTEÅ</t>
        </is>
      </c>
      <c r="G1422" t="n">
        <v>9.6</v>
      </c>
      <c r="H1422" t="n">
        <v>0</v>
      </c>
      <c r="I1422" t="n">
        <v>0</v>
      </c>
      <c r="J1422" t="n">
        <v>0</v>
      </c>
      <c r="K1422" t="n">
        <v>0</v>
      </c>
      <c r="L1422" t="n">
        <v>0</v>
      </c>
      <c r="M1422" t="n">
        <v>0</v>
      </c>
      <c r="N1422" t="n">
        <v>0</v>
      </c>
      <c r="O1422" t="n">
        <v>0</v>
      </c>
      <c r="P1422" t="n">
        <v>0</v>
      </c>
      <c r="Q1422" t="n">
        <v>0</v>
      </c>
      <c r="R1422" s="2" t="inlineStr"/>
    </row>
    <row r="1423" ht="15" customHeight="1">
      <c r="A1423" t="inlineStr">
        <is>
          <t>A 35420-2024</t>
        </is>
      </c>
      <c r="B1423" s="1" t="n">
        <v>45531</v>
      </c>
      <c r="C1423" s="1" t="n">
        <v>46048</v>
      </c>
      <c r="D1423" t="inlineStr">
        <is>
          <t>VÄSTERNORRLANDS LÄN</t>
        </is>
      </c>
      <c r="E1423" t="inlineStr">
        <is>
          <t>SOLLEFTEÅ</t>
        </is>
      </c>
      <c r="F1423" t="inlineStr">
        <is>
          <t>SCA</t>
        </is>
      </c>
      <c r="G1423" t="n">
        <v>9.1</v>
      </c>
      <c r="H1423" t="n">
        <v>0</v>
      </c>
      <c r="I1423" t="n">
        <v>0</v>
      </c>
      <c r="J1423" t="n">
        <v>0</v>
      </c>
      <c r="K1423" t="n">
        <v>0</v>
      </c>
      <c r="L1423" t="n">
        <v>0</v>
      </c>
      <c r="M1423" t="n">
        <v>0</v>
      </c>
      <c r="N1423" t="n">
        <v>0</v>
      </c>
      <c r="O1423" t="n">
        <v>0</v>
      </c>
      <c r="P1423" t="n">
        <v>0</v>
      </c>
      <c r="Q1423" t="n">
        <v>0</v>
      </c>
      <c r="R1423" s="2" t="inlineStr"/>
    </row>
    <row r="1424" ht="15" customHeight="1">
      <c r="A1424" t="inlineStr">
        <is>
          <t>A 35147-2023</t>
        </is>
      </c>
      <c r="B1424" s="1" t="n">
        <v>45142</v>
      </c>
      <c r="C1424" s="1" t="n">
        <v>46048</v>
      </c>
      <c r="D1424" t="inlineStr">
        <is>
          <t>VÄSTERNORRLANDS LÄN</t>
        </is>
      </c>
      <c r="E1424" t="inlineStr">
        <is>
          <t>SOLLEFTEÅ</t>
        </is>
      </c>
      <c r="F1424" t="inlineStr">
        <is>
          <t>SCA</t>
        </is>
      </c>
      <c r="G1424" t="n">
        <v>3.9</v>
      </c>
      <c r="H1424" t="n">
        <v>0</v>
      </c>
      <c r="I1424" t="n">
        <v>0</v>
      </c>
      <c r="J1424" t="n">
        <v>0</v>
      </c>
      <c r="K1424" t="n">
        <v>0</v>
      </c>
      <c r="L1424" t="n">
        <v>0</v>
      </c>
      <c r="M1424" t="n">
        <v>0</v>
      </c>
      <c r="N1424" t="n">
        <v>0</v>
      </c>
      <c r="O1424" t="n">
        <v>0</v>
      </c>
      <c r="P1424" t="n">
        <v>0</v>
      </c>
      <c r="Q1424" t="n">
        <v>0</v>
      </c>
      <c r="R1424" s="2" t="inlineStr"/>
    </row>
    <row r="1425" ht="15" customHeight="1">
      <c r="A1425" t="inlineStr">
        <is>
          <t>A 37197-2024</t>
        </is>
      </c>
      <c r="B1425" s="1" t="n">
        <v>45539</v>
      </c>
      <c r="C1425" s="1" t="n">
        <v>46048</v>
      </c>
      <c r="D1425" t="inlineStr">
        <is>
          <t>VÄSTERNORRLANDS LÄN</t>
        </is>
      </c>
      <c r="E1425" t="inlineStr">
        <is>
          <t>SOLLEFTEÅ</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13292-2023</t>
        </is>
      </c>
      <c r="B1426" s="1" t="n">
        <v>45004</v>
      </c>
      <c r="C1426" s="1" t="n">
        <v>46048</v>
      </c>
      <c r="D1426" t="inlineStr">
        <is>
          <t>VÄSTERNORRLANDS LÄN</t>
        </is>
      </c>
      <c r="E1426" t="inlineStr">
        <is>
          <t>SOLLEFTEÅ</t>
        </is>
      </c>
      <c r="F1426" t="inlineStr">
        <is>
          <t>SCA</t>
        </is>
      </c>
      <c r="G1426" t="n">
        <v>6.1</v>
      </c>
      <c r="H1426" t="n">
        <v>0</v>
      </c>
      <c r="I1426" t="n">
        <v>0</v>
      </c>
      <c r="J1426" t="n">
        <v>0</v>
      </c>
      <c r="K1426" t="n">
        <v>0</v>
      </c>
      <c r="L1426" t="n">
        <v>0</v>
      </c>
      <c r="M1426" t="n">
        <v>0</v>
      </c>
      <c r="N1426" t="n">
        <v>0</v>
      </c>
      <c r="O1426" t="n">
        <v>0</v>
      </c>
      <c r="P1426" t="n">
        <v>0</v>
      </c>
      <c r="Q1426" t="n">
        <v>0</v>
      </c>
      <c r="R1426" s="2" t="inlineStr"/>
    </row>
    <row r="1427" ht="15" customHeight="1">
      <c r="A1427" t="inlineStr">
        <is>
          <t>A 25795-2023</t>
        </is>
      </c>
      <c r="B1427" s="1" t="n">
        <v>45085</v>
      </c>
      <c r="C1427" s="1" t="n">
        <v>46048</v>
      </c>
      <c r="D1427" t="inlineStr">
        <is>
          <t>VÄSTERNORRLANDS LÄN</t>
        </is>
      </c>
      <c r="E1427" t="inlineStr">
        <is>
          <t>SOLLEFTEÅ</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30774-2025</t>
        </is>
      </c>
      <c r="B1428" s="1" t="n">
        <v>45831.61501157407</v>
      </c>
      <c r="C1428" s="1" t="n">
        <v>46048</v>
      </c>
      <c r="D1428" t="inlineStr">
        <is>
          <t>VÄSTERNORRLANDS LÄN</t>
        </is>
      </c>
      <c r="E1428" t="inlineStr">
        <is>
          <t>SOLLEFTEÅ</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4623-2023</t>
        </is>
      </c>
      <c r="B1429" s="1" t="n">
        <v>44956.94013888889</v>
      </c>
      <c r="C1429" s="1" t="n">
        <v>46048</v>
      </c>
      <c r="D1429" t="inlineStr">
        <is>
          <t>VÄSTERNORRLANDS LÄN</t>
        </is>
      </c>
      <c r="E1429" t="inlineStr">
        <is>
          <t>SOLLEFTEÅ</t>
        </is>
      </c>
      <c r="F1429" t="inlineStr">
        <is>
          <t>SCA</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30834-2025</t>
        </is>
      </c>
      <c r="B1430" s="1" t="n">
        <v>45831.6984837963</v>
      </c>
      <c r="C1430" s="1" t="n">
        <v>46048</v>
      </c>
      <c r="D1430" t="inlineStr">
        <is>
          <t>VÄSTERNORRLANDS LÄN</t>
        </is>
      </c>
      <c r="E1430" t="inlineStr">
        <is>
          <t>SOLLEFTEÅ</t>
        </is>
      </c>
      <c r="F1430" t="inlineStr">
        <is>
          <t>SCA</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30733-2025</t>
        </is>
      </c>
      <c r="B1431" s="1" t="n">
        <v>45831.57340277778</v>
      </c>
      <c r="C1431" s="1" t="n">
        <v>46048</v>
      </c>
      <c r="D1431" t="inlineStr">
        <is>
          <t>VÄSTERNORRLANDS LÄN</t>
        </is>
      </c>
      <c r="E1431" t="inlineStr">
        <is>
          <t>SOLLEFTEÅ</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30734-2025</t>
        </is>
      </c>
      <c r="B1432" s="1" t="n">
        <v>45831.5734375</v>
      </c>
      <c r="C1432" s="1" t="n">
        <v>46048</v>
      </c>
      <c r="D1432" t="inlineStr">
        <is>
          <t>VÄSTERNORRLANDS LÄN</t>
        </is>
      </c>
      <c r="E1432" t="inlineStr">
        <is>
          <t>SOLLEFTEÅ</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17682-2025</t>
        </is>
      </c>
      <c r="B1433" s="1" t="n">
        <v>45758</v>
      </c>
      <c r="C1433" s="1" t="n">
        <v>46048</v>
      </c>
      <c r="D1433" t="inlineStr">
        <is>
          <t>VÄSTERNORRLANDS LÄN</t>
        </is>
      </c>
      <c r="E1433" t="inlineStr">
        <is>
          <t>SOLLEFTEÅ</t>
        </is>
      </c>
      <c r="F1433" t="inlineStr">
        <is>
          <t>SCA</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18456-2023</t>
        </is>
      </c>
      <c r="B1434" s="1" t="n">
        <v>45041</v>
      </c>
      <c r="C1434" s="1" t="n">
        <v>46048</v>
      </c>
      <c r="D1434" t="inlineStr">
        <is>
          <t>VÄSTERNORRLANDS LÄN</t>
        </is>
      </c>
      <c r="E1434" t="inlineStr">
        <is>
          <t>SOLLEFTEÅ</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3080-2025</t>
        </is>
      </c>
      <c r="B1435" s="1" t="n">
        <v>45678</v>
      </c>
      <c r="C1435" s="1" t="n">
        <v>46048</v>
      </c>
      <c r="D1435" t="inlineStr">
        <is>
          <t>VÄSTERNORRLANDS LÄN</t>
        </is>
      </c>
      <c r="E1435" t="inlineStr">
        <is>
          <t>SOLLEFTEÅ</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54532-2024</t>
        </is>
      </c>
      <c r="B1436" s="1" t="n">
        <v>45617.60480324074</v>
      </c>
      <c r="C1436" s="1" t="n">
        <v>46048</v>
      </c>
      <c r="D1436" t="inlineStr">
        <is>
          <t>VÄSTERNORRLANDS LÄN</t>
        </is>
      </c>
      <c r="E1436" t="inlineStr">
        <is>
          <t>SOLLEFTEÅ</t>
        </is>
      </c>
      <c r="G1436" t="n">
        <v>8.199999999999999</v>
      </c>
      <c r="H1436" t="n">
        <v>0</v>
      </c>
      <c r="I1436" t="n">
        <v>0</v>
      </c>
      <c r="J1436" t="n">
        <v>0</v>
      </c>
      <c r="K1436" t="n">
        <v>0</v>
      </c>
      <c r="L1436" t="n">
        <v>0</v>
      </c>
      <c r="M1436" t="n">
        <v>0</v>
      </c>
      <c r="N1436" t="n">
        <v>0</v>
      </c>
      <c r="O1436" t="n">
        <v>0</v>
      </c>
      <c r="P1436" t="n">
        <v>0</v>
      </c>
      <c r="Q1436" t="n">
        <v>0</v>
      </c>
      <c r="R1436" s="2" t="inlineStr"/>
    </row>
    <row r="1437" ht="15" customHeight="1">
      <c r="A1437" t="inlineStr">
        <is>
          <t>A 30889-2025</t>
        </is>
      </c>
      <c r="B1437" s="1" t="n">
        <v>45832.34618055556</v>
      </c>
      <c r="C1437" s="1" t="n">
        <v>46048</v>
      </c>
      <c r="D1437" t="inlineStr">
        <is>
          <t>VÄSTERNORRLANDS LÄN</t>
        </is>
      </c>
      <c r="E1437" t="inlineStr">
        <is>
          <t>SOLLEFTEÅ</t>
        </is>
      </c>
      <c r="F1437" t="inlineStr">
        <is>
          <t>SCA</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48606-2024</t>
        </is>
      </c>
      <c r="B1438" s="1" t="n">
        <v>45593.4485300926</v>
      </c>
      <c r="C1438" s="1" t="n">
        <v>46048</v>
      </c>
      <c r="D1438" t="inlineStr">
        <is>
          <t>VÄSTERNORRLANDS LÄN</t>
        </is>
      </c>
      <c r="E1438" t="inlineStr">
        <is>
          <t>SOLLEFTEÅ</t>
        </is>
      </c>
      <c r="F1438" t="inlineStr">
        <is>
          <t>SCA</t>
        </is>
      </c>
      <c r="G1438" t="n">
        <v>2.8</v>
      </c>
      <c r="H1438" t="n">
        <v>0</v>
      </c>
      <c r="I1438" t="n">
        <v>0</v>
      </c>
      <c r="J1438" t="n">
        <v>0</v>
      </c>
      <c r="K1438" t="n">
        <v>0</v>
      </c>
      <c r="L1438" t="n">
        <v>0</v>
      </c>
      <c r="M1438" t="n">
        <v>0</v>
      </c>
      <c r="N1438" t="n">
        <v>0</v>
      </c>
      <c r="O1438" t="n">
        <v>0</v>
      </c>
      <c r="P1438" t="n">
        <v>0</v>
      </c>
      <c r="Q1438" t="n">
        <v>0</v>
      </c>
      <c r="R1438" s="2" t="inlineStr"/>
    </row>
    <row r="1439" ht="15" customHeight="1">
      <c r="A1439" t="inlineStr">
        <is>
          <t>A 30964-2025</t>
        </is>
      </c>
      <c r="B1439" s="1" t="n">
        <v>45832.45111111111</v>
      </c>
      <c r="C1439" s="1" t="n">
        <v>46048</v>
      </c>
      <c r="D1439" t="inlineStr">
        <is>
          <t>VÄSTERNORRLANDS LÄN</t>
        </is>
      </c>
      <c r="E1439" t="inlineStr">
        <is>
          <t>SOLLEFTEÅ</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31183-2025</t>
        </is>
      </c>
      <c r="B1440" s="1" t="n">
        <v>45832.67774305555</v>
      </c>
      <c r="C1440" s="1" t="n">
        <v>46048</v>
      </c>
      <c r="D1440" t="inlineStr">
        <is>
          <t>VÄSTERNORRLANDS LÄN</t>
        </is>
      </c>
      <c r="E1440" t="inlineStr">
        <is>
          <t>SOLLEFTEÅ</t>
        </is>
      </c>
      <c r="F1440" t="inlineStr">
        <is>
          <t>SCA</t>
        </is>
      </c>
      <c r="G1440" t="n">
        <v>11.2</v>
      </c>
      <c r="H1440" t="n">
        <v>0</v>
      </c>
      <c r="I1440" t="n">
        <v>0</v>
      </c>
      <c r="J1440" t="n">
        <v>0</v>
      </c>
      <c r="K1440" t="n">
        <v>0</v>
      </c>
      <c r="L1440" t="n">
        <v>0</v>
      </c>
      <c r="M1440" t="n">
        <v>0</v>
      </c>
      <c r="N1440" t="n">
        <v>0</v>
      </c>
      <c r="O1440" t="n">
        <v>0</v>
      </c>
      <c r="P1440" t="n">
        <v>0</v>
      </c>
      <c r="Q1440" t="n">
        <v>0</v>
      </c>
      <c r="R1440" s="2" t="inlineStr"/>
    </row>
    <row r="1441" ht="15" customHeight="1">
      <c r="A1441" t="inlineStr">
        <is>
          <t>A 31345-2025</t>
        </is>
      </c>
      <c r="B1441" s="1" t="n">
        <v>45833.42854166667</v>
      </c>
      <c r="C1441" s="1" t="n">
        <v>46048</v>
      </c>
      <c r="D1441" t="inlineStr">
        <is>
          <t>VÄSTERNORRLANDS LÄN</t>
        </is>
      </c>
      <c r="E1441" t="inlineStr">
        <is>
          <t>SOLLEFTEÅ</t>
        </is>
      </c>
      <c r="F1441" t="inlineStr">
        <is>
          <t>SCA</t>
        </is>
      </c>
      <c r="G1441" t="n">
        <v>5.3</v>
      </c>
      <c r="H1441" t="n">
        <v>0</v>
      </c>
      <c r="I1441" t="n">
        <v>0</v>
      </c>
      <c r="J1441" t="n">
        <v>0</v>
      </c>
      <c r="K1441" t="n">
        <v>0</v>
      </c>
      <c r="L1441" t="n">
        <v>0</v>
      </c>
      <c r="M1441" t="n">
        <v>0</v>
      </c>
      <c r="N1441" t="n">
        <v>0</v>
      </c>
      <c r="O1441" t="n">
        <v>0</v>
      </c>
      <c r="P1441" t="n">
        <v>0</v>
      </c>
      <c r="Q1441" t="n">
        <v>0</v>
      </c>
      <c r="R1441" s="2" t="inlineStr"/>
    </row>
    <row r="1442" ht="15" customHeight="1">
      <c r="A1442" t="inlineStr">
        <is>
          <t>A 31347-2025</t>
        </is>
      </c>
      <c r="B1442" s="1" t="n">
        <v>45833</v>
      </c>
      <c r="C1442" s="1" t="n">
        <v>46048</v>
      </c>
      <c r="D1442" t="inlineStr">
        <is>
          <t>VÄSTERNORRLANDS LÄN</t>
        </is>
      </c>
      <c r="E1442" t="inlineStr">
        <is>
          <t>SOLLEFTEÅ</t>
        </is>
      </c>
      <c r="F1442" t="inlineStr">
        <is>
          <t>SCA</t>
        </is>
      </c>
      <c r="G1442" t="n">
        <v>19.5</v>
      </c>
      <c r="H1442" t="n">
        <v>0</v>
      </c>
      <c r="I1442" t="n">
        <v>0</v>
      </c>
      <c r="J1442" t="n">
        <v>0</v>
      </c>
      <c r="K1442" t="n">
        <v>0</v>
      </c>
      <c r="L1442" t="n">
        <v>0</v>
      </c>
      <c r="M1442" t="n">
        <v>0</v>
      </c>
      <c r="N1442" t="n">
        <v>0</v>
      </c>
      <c r="O1442" t="n">
        <v>0</v>
      </c>
      <c r="P1442" t="n">
        <v>0</v>
      </c>
      <c r="Q1442" t="n">
        <v>0</v>
      </c>
      <c r="R1442" s="2" t="inlineStr"/>
    </row>
    <row r="1443" ht="15" customHeight="1">
      <c r="A1443" t="inlineStr">
        <is>
          <t>A 56256-2023</t>
        </is>
      </c>
      <c r="B1443" s="1" t="n">
        <v>45240</v>
      </c>
      <c r="C1443" s="1" t="n">
        <v>46048</v>
      </c>
      <c r="D1443" t="inlineStr">
        <is>
          <t>VÄSTERNORRLANDS LÄN</t>
        </is>
      </c>
      <c r="E1443" t="inlineStr">
        <is>
          <t>SOLLEFTEÅ</t>
        </is>
      </c>
      <c r="F1443" t="inlineStr">
        <is>
          <t>SCA</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31435-2025</t>
        </is>
      </c>
      <c r="B1444" s="1" t="n">
        <v>45833.49708333334</v>
      </c>
      <c r="C1444" s="1" t="n">
        <v>46048</v>
      </c>
      <c r="D1444" t="inlineStr">
        <is>
          <t>VÄSTERNORRLANDS LÄN</t>
        </is>
      </c>
      <c r="E1444" t="inlineStr">
        <is>
          <t>SOLLEFTEÅ</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31396-2025</t>
        </is>
      </c>
      <c r="B1445" s="1" t="n">
        <v>45833.4658912037</v>
      </c>
      <c r="C1445" s="1" t="n">
        <v>46048</v>
      </c>
      <c r="D1445" t="inlineStr">
        <is>
          <t>VÄSTERNORRLANDS LÄN</t>
        </is>
      </c>
      <c r="E1445" t="inlineStr">
        <is>
          <t>SOLLEFTEÅ</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6065-2024</t>
        </is>
      </c>
      <c r="B1446" s="1" t="n">
        <v>45336.87826388889</v>
      </c>
      <c r="C1446" s="1" t="n">
        <v>46048</v>
      </c>
      <c r="D1446" t="inlineStr">
        <is>
          <t>VÄSTERNORRLANDS LÄN</t>
        </is>
      </c>
      <c r="E1446" t="inlineStr">
        <is>
          <t>SOLLEFTEÅ</t>
        </is>
      </c>
      <c r="F1446" t="inlineStr">
        <is>
          <t>Övriga Aktiebolag</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54485-2024</t>
        </is>
      </c>
      <c r="B1447" s="1" t="n">
        <v>45617.5625462963</v>
      </c>
      <c r="C1447" s="1" t="n">
        <v>46048</v>
      </c>
      <c r="D1447" t="inlineStr">
        <is>
          <t>VÄSTERNORRLANDS LÄN</t>
        </is>
      </c>
      <c r="E1447" t="inlineStr">
        <is>
          <t>SOLLEFTEÅ</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12355-2025</t>
        </is>
      </c>
      <c r="B1448" s="1" t="n">
        <v>45730.36490740741</v>
      </c>
      <c r="C1448" s="1" t="n">
        <v>46048</v>
      </c>
      <c r="D1448" t="inlineStr">
        <is>
          <t>VÄSTERNORRLANDS LÄN</t>
        </is>
      </c>
      <c r="E1448" t="inlineStr">
        <is>
          <t>SOLLEFTEÅ</t>
        </is>
      </c>
      <c r="F1448" t="inlineStr">
        <is>
          <t>SCA</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44407-2023</t>
        </is>
      </c>
      <c r="B1449" s="1" t="n">
        <v>45188.9465625</v>
      </c>
      <c r="C1449" s="1" t="n">
        <v>46048</v>
      </c>
      <c r="D1449" t="inlineStr">
        <is>
          <t>VÄSTERNORRLANDS LÄN</t>
        </is>
      </c>
      <c r="E1449" t="inlineStr">
        <is>
          <t>SOLLEFTEÅ</t>
        </is>
      </c>
      <c r="F1449" t="inlineStr">
        <is>
          <t>SCA</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44408-2023</t>
        </is>
      </c>
      <c r="B1450" s="1" t="n">
        <v>45188.94663194445</v>
      </c>
      <c r="C1450" s="1" t="n">
        <v>46048</v>
      </c>
      <c r="D1450" t="inlineStr">
        <is>
          <t>VÄSTERNORRLANDS LÄN</t>
        </is>
      </c>
      <c r="E1450" t="inlineStr">
        <is>
          <t>SOLLEFTEÅ</t>
        </is>
      </c>
      <c r="F1450" t="inlineStr">
        <is>
          <t>SCA</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36139-2024</t>
        </is>
      </c>
      <c r="B1451" s="1" t="n">
        <v>45534.35474537037</v>
      </c>
      <c r="C1451" s="1" t="n">
        <v>46048</v>
      </c>
      <c r="D1451" t="inlineStr">
        <is>
          <t>VÄSTERNORRLANDS LÄN</t>
        </is>
      </c>
      <c r="E1451" t="inlineStr">
        <is>
          <t>SOLLEFTEÅ</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14875-2023</t>
        </is>
      </c>
      <c r="B1452" s="1" t="n">
        <v>45015.07292824074</v>
      </c>
      <c r="C1452" s="1" t="n">
        <v>46048</v>
      </c>
      <c r="D1452" t="inlineStr">
        <is>
          <t>VÄSTERNORRLANDS LÄN</t>
        </is>
      </c>
      <c r="E1452" t="inlineStr">
        <is>
          <t>SOLLEFTEÅ</t>
        </is>
      </c>
      <c r="F1452" t="inlineStr">
        <is>
          <t>SCA</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14975-2024</t>
        </is>
      </c>
      <c r="B1453" s="1" t="n">
        <v>45398.94100694444</v>
      </c>
      <c r="C1453" s="1" t="n">
        <v>46048</v>
      </c>
      <c r="D1453" t="inlineStr">
        <is>
          <t>VÄSTERNORRLANDS LÄN</t>
        </is>
      </c>
      <c r="E1453" t="inlineStr">
        <is>
          <t>SOLLEFTEÅ</t>
        </is>
      </c>
      <c r="F1453" t="inlineStr">
        <is>
          <t>SCA</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31423-2025</t>
        </is>
      </c>
      <c r="B1454" s="1" t="n">
        <v>45833.48957175926</v>
      </c>
      <c r="C1454" s="1" t="n">
        <v>46048</v>
      </c>
      <c r="D1454" t="inlineStr">
        <is>
          <t>VÄSTERNORRLANDS LÄN</t>
        </is>
      </c>
      <c r="E1454" t="inlineStr">
        <is>
          <t>SOLLEFTEÅ</t>
        </is>
      </c>
      <c r="G1454" t="n">
        <v>3.9</v>
      </c>
      <c r="H1454" t="n">
        <v>0</v>
      </c>
      <c r="I1454" t="n">
        <v>0</v>
      </c>
      <c r="J1454" t="n">
        <v>0</v>
      </c>
      <c r="K1454" t="n">
        <v>0</v>
      </c>
      <c r="L1454" t="n">
        <v>0</v>
      </c>
      <c r="M1454" t="n">
        <v>0</v>
      </c>
      <c r="N1454" t="n">
        <v>0</v>
      </c>
      <c r="O1454" t="n">
        <v>0</v>
      </c>
      <c r="P1454" t="n">
        <v>0</v>
      </c>
      <c r="Q1454" t="n">
        <v>0</v>
      </c>
      <c r="R1454" s="2" t="inlineStr"/>
    </row>
    <row r="1455" ht="15" customHeight="1">
      <c r="A1455" t="inlineStr">
        <is>
          <t>A 14983-2024</t>
        </is>
      </c>
      <c r="B1455" s="1" t="n">
        <v>45398.94237268518</v>
      </c>
      <c r="C1455" s="1" t="n">
        <v>46048</v>
      </c>
      <c r="D1455" t="inlineStr">
        <is>
          <t>VÄSTERNORRLANDS LÄN</t>
        </is>
      </c>
      <c r="E1455" t="inlineStr">
        <is>
          <t>SOLLEFTEÅ</t>
        </is>
      </c>
      <c r="F1455" t="inlineStr">
        <is>
          <t>SCA</t>
        </is>
      </c>
      <c r="G1455" t="n">
        <v>6.7</v>
      </c>
      <c r="H1455" t="n">
        <v>0</v>
      </c>
      <c r="I1455" t="n">
        <v>0</v>
      </c>
      <c r="J1455" t="n">
        <v>0</v>
      </c>
      <c r="K1455" t="n">
        <v>0</v>
      </c>
      <c r="L1455" t="n">
        <v>0</v>
      </c>
      <c r="M1455" t="n">
        <v>0</v>
      </c>
      <c r="N1455" t="n">
        <v>0</v>
      </c>
      <c r="O1455" t="n">
        <v>0</v>
      </c>
      <c r="P1455" t="n">
        <v>0</v>
      </c>
      <c r="Q1455" t="n">
        <v>0</v>
      </c>
      <c r="R1455" s="2" t="inlineStr"/>
    </row>
    <row r="1456" ht="15" customHeight="1">
      <c r="A1456" t="inlineStr">
        <is>
          <t>A 31306-2025</t>
        </is>
      </c>
      <c r="B1456" s="1" t="n">
        <v>45833</v>
      </c>
      <c r="C1456" s="1" t="n">
        <v>46048</v>
      </c>
      <c r="D1456" t="inlineStr">
        <is>
          <t>VÄSTERNORRLANDS LÄN</t>
        </is>
      </c>
      <c r="E1456" t="inlineStr">
        <is>
          <t>SOLLEFTEÅ</t>
        </is>
      </c>
      <c r="F1456" t="inlineStr">
        <is>
          <t>SCA</t>
        </is>
      </c>
      <c r="G1456" t="n">
        <v>19.3</v>
      </c>
      <c r="H1456" t="n">
        <v>0</v>
      </c>
      <c r="I1456" t="n">
        <v>0</v>
      </c>
      <c r="J1456" t="n">
        <v>0</v>
      </c>
      <c r="K1456" t="n">
        <v>0</v>
      </c>
      <c r="L1456" t="n">
        <v>0</v>
      </c>
      <c r="M1456" t="n">
        <v>0</v>
      </c>
      <c r="N1456" t="n">
        <v>0</v>
      </c>
      <c r="O1456" t="n">
        <v>0</v>
      </c>
      <c r="P1456" t="n">
        <v>0</v>
      </c>
      <c r="Q1456" t="n">
        <v>0</v>
      </c>
      <c r="R1456" s="2" t="inlineStr"/>
    </row>
    <row r="1457" ht="15" customHeight="1">
      <c r="A1457" t="inlineStr">
        <is>
          <t>A 50721-2024</t>
        </is>
      </c>
      <c r="B1457" s="1" t="n">
        <v>45602.3863425926</v>
      </c>
      <c r="C1457" s="1" t="n">
        <v>46048</v>
      </c>
      <c r="D1457" t="inlineStr">
        <is>
          <t>VÄSTERNORRLANDS LÄN</t>
        </is>
      </c>
      <c r="E1457" t="inlineStr">
        <is>
          <t>SOLLEFTEÅ</t>
        </is>
      </c>
      <c r="F1457" t="inlineStr">
        <is>
          <t>SCA</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31337-2025</t>
        </is>
      </c>
      <c r="B1458" s="1" t="n">
        <v>45833.42751157407</v>
      </c>
      <c r="C1458" s="1" t="n">
        <v>46048</v>
      </c>
      <c r="D1458" t="inlineStr">
        <is>
          <t>VÄSTERNORRLANDS LÄN</t>
        </is>
      </c>
      <c r="E1458" t="inlineStr">
        <is>
          <t>SOLLEFTEÅ</t>
        </is>
      </c>
      <c r="F1458" t="inlineStr">
        <is>
          <t>SCA</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15621-2025</t>
        </is>
      </c>
      <c r="B1459" s="1" t="n">
        <v>45748.35635416667</v>
      </c>
      <c r="C1459" s="1" t="n">
        <v>46048</v>
      </c>
      <c r="D1459" t="inlineStr">
        <is>
          <t>VÄSTERNORRLANDS LÄN</t>
        </is>
      </c>
      <c r="E1459" t="inlineStr">
        <is>
          <t>SOLLEFTEÅ</t>
        </is>
      </c>
      <c r="F1459" t="inlineStr">
        <is>
          <t>SCA</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53477-2024</t>
        </is>
      </c>
      <c r="B1460" s="1" t="n">
        <v>45611</v>
      </c>
      <c r="C1460" s="1" t="n">
        <v>46048</v>
      </c>
      <c r="D1460" t="inlineStr">
        <is>
          <t>VÄSTERNORRLANDS LÄN</t>
        </is>
      </c>
      <c r="E1460" t="inlineStr">
        <is>
          <t>SOLLEFTEÅ</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1986-2025</t>
        </is>
      </c>
      <c r="B1461" s="1" t="n">
        <v>45672.40684027778</v>
      </c>
      <c r="C1461" s="1" t="n">
        <v>46048</v>
      </c>
      <c r="D1461" t="inlineStr">
        <is>
          <t>VÄSTERNORRLANDS LÄN</t>
        </is>
      </c>
      <c r="E1461" t="inlineStr">
        <is>
          <t>SOLLEFTEÅ</t>
        </is>
      </c>
      <c r="F1461" t="inlineStr">
        <is>
          <t>SCA</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23282-2022</t>
        </is>
      </c>
      <c r="B1462" s="1" t="n">
        <v>44720</v>
      </c>
      <c r="C1462" s="1" t="n">
        <v>46048</v>
      </c>
      <c r="D1462" t="inlineStr">
        <is>
          <t>VÄSTERNORRLANDS LÄN</t>
        </is>
      </c>
      <c r="E1462" t="inlineStr">
        <is>
          <t>SOLLEFTEÅ</t>
        </is>
      </c>
      <c r="G1462" t="n">
        <v>3.4</v>
      </c>
      <c r="H1462" t="n">
        <v>0</v>
      </c>
      <c r="I1462" t="n">
        <v>0</v>
      </c>
      <c r="J1462" t="n">
        <v>0</v>
      </c>
      <c r="K1462" t="n">
        <v>0</v>
      </c>
      <c r="L1462" t="n">
        <v>0</v>
      </c>
      <c r="M1462" t="n">
        <v>0</v>
      </c>
      <c r="N1462" t="n">
        <v>0</v>
      </c>
      <c r="O1462" t="n">
        <v>0</v>
      </c>
      <c r="P1462" t="n">
        <v>0</v>
      </c>
      <c r="Q1462" t="n">
        <v>0</v>
      </c>
      <c r="R1462" s="2" t="inlineStr"/>
    </row>
    <row r="1463" ht="15" customHeight="1">
      <c r="A1463" t="inlineStr">
        <is>
          <t>A 31545-2025</t>
        </is>
      </c>
      <c r="B1463" s="1" t="n">
        <v>45833.63615740741</v>
      </c>
      <c r="C1463" s="1" t="n">
        <v>46048</v>
      </c>
      <c r="D1463" t="inlineStr">
        <is>
          <t>VÄSTERNORRLANDS LÄN</t>
        </is>
      </c>
      <c r="E1463" t="inlineStr">
        <is>
          <t>SOLLEFTEÅ</t>
        </is>
      </c>
      <c r="F1463" t="inlineStr">
        <is>
          <t>SCA</t>
        </is>
      </c>
      <c r="G1463" t="n">
        <v>3.8</v>
      </c>
      <c r="H1463" t="n">
        <v>0</v>
      </c>
      <c r="I1463" t="n">
        <v>0</v>
      </c>
      <c r="J1463" t="n">
        <v>0</v>
      </c>
      <c r="K1463" t="n">
        <v>0</v>
      </c>
      <c r="L1463" t="n">
        <v>0</v>
      </c>
      <c r="M1463" t="n">
        <v>0</v>
      </c>
      <c r="N1463" t="n">
        <v>0</v>
      </c>
      <c r="O1463" t="n">
        <v>0</v>
      </c>
      <c r="P1463" t="n">
        <v>0</v>
      </c>
      <c r="Q1463" t="n">
        <v>0</v>
      </c>
      <c r="R1463" s="2" t="inlineStr"/>
    </row>
    <row r="1464" ht="15" customHeight="1">
      <c r="A1464" t="inlineStr">
        <is>
          <t>A 16492-2025</t>
        </is>
      </c>
      <c r="B1464" s="1" t="n">
        <v>45751.59414351852</v>
      </c>
      <c r="C1464" s="1" t="n">
        <v>46048</v>
      </c>
      <c r="D1464" t="inlineStr">
        <is>
          <t>VÄSTERNORRLANDS LÄN</t>
        </is>
      </c>
      <c r="E1464" t="inlineStr">
        <is>
          <t>SOLLEFTEÅ</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31432-2025</t>
        </is>
      </c>
      <c r="B1465" s="1" t="n">
        <v>45833.49442129629</v>
      </c>
      <c r="C1465" s="1" t="n">
        <v>46048</v>
      </c>
      <c r="D1465" t="inlineStr">
        <is>
          <t>VÄSTERNORRLANDS LÄN</t>
        </is>
      </c>
      <c r="E1465" t="inlineStr">
        <is>
          <t>SOLLEFTEÅ</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7330-2023</t>
        </is>
      </c>
      <c r="B1466" s="1" t="n">
        <v>44970.97920138889</v>
      </c>
      <c r="C1466" s="1" t="n">
        <v>46048</v>
      </c>
      <c r="D1466" t="inlineStr">
        <is>
          <t>VÄSTERNORRLANDS LÄN</t>
        </is>
      </c>
      <c r="E1466" t="inlineStr">
        <is>
          <t>SOLLEFTEÅ</t>
        </is>
      </c>
      <c r="F1466" t="inlineStr">
        <is>
          <t>SCA</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7333-2023</t>
        </is>
      </c>
      <c r="B1467" s="1" t="n">
        <v>44970.97947916666</v>
      </c>
      <c r="C1467" s="1" t="n">
        <v>46048</v>
      </c>
      <c r="D1467" t="inlineStr">
        <is>
          <t>VÄSTERNORRLANDS LÄN</t>
        </is>
      </c>
      <c r="E1467" t="inlineStr">
        <is>
          <t>SOLLEFTEÅ</t>
        </is>
      </c>
      <c r="F1467" t="inlineStr">
        <is>
          <t>SCA</t>
        </is>
      </c>
      <c r="G1467" t="n">
        <v>6.1</v>
      </c>
      <c r="H1467" t="n">
        <v>0</v>
      </c>
      <c r="I1467" t="n">
        <v>0</v>
      </c>
      <c r="J1467" t="n">
        <v>0</v>
      </c>
      <c r="K1467" t="n">
        <v>0</v>
      </c>
      <c r="L1467" t="n">
        <v>0</v>
      </c>
      <c r="M1467" t="n">
        <v>0</v>
      </c>
      <c r="N1467" t="n">
        <v>0</v>
      </c>
      <c r="O1467" t="n">
        <v>0</v>
      </c>
      <c r="P1467" t="n">
        <v>0</v>
      </c>
      <c r="Q1467" t="n">
        <v>0</v>
      </c>
      <c r="R1467" s="2" t="inlineStr"/>
    </row>
    <row r="1468" ht="15" customHeight="1">
      <c r="A1468" t="inlineStr">
        <is>
          <t>A 42482-2024</t>
        </is>
      </c>
      <c r="B1468" s="1" t="n">
        <v>45565</v>
      </c>
      <c r="C1468" s="1" t="n">
        <v>46048</v>
      </c>
      <c r="D1468" t="inlineStr">
        <is>
          <t>VÄSTERNORRLANDS LÄN</t>
        </is>
      </c>
      <c r="E1468" t="inlineStr">
        <is>
          <t>SOLLEFTEÅ</t>
        </is>
      </c>
      <c r="F1468" t="inlineStr">
        <is>
          <t>SCA</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25999-2021</t>
        </is>
      </c>
      <c r="B1469" s="1" t="n">
        <v>44344</v>
      </c>
      <c r="C1469" s="1" t="n">
        <v>46048</v>
      </c>
      <c r="D1469" t="inlineStr">
        <is>
          <t>VÄSTERNORRLANDS LÄN</t>
        </is>
      </c>
      <c r="E1469" t="inlineStr">
        <is>
          <t>SOLLEFTEÅ</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31304-2025</t>
        </is>
      </c>
      <c r="B1470" s="1" t="n">
        <v>45833.38600694444</v>
      </c>
      <c r="C1470" s="1" t="n">
        <v>46048</v>
      </c>
      <c r="D1470" t="inlineStr">
        <is>
          <t>VÄSTERNORRLANDS LÄN</t>
        </is>
      </c>
      <c r="E1470" t="inlineStr">
        <is>
          <t>SOLLEFTEÅ</t>
        </is>
      </c>
      <c r="F1470" t="inlineStr">
        <is>
          <t>SCA</t>
        </is>
      </c>
      <c r="G1470" t="n">
        <v>3.2</v>
      </c>
      <c r="H1470" t="n">
        <v>0</v>
      </c>
      <c r="I1470" t="n">
        <v>0</v>
      </c>
      <c r="J1470" t="n">
        <v>0</v>
      </c>
      <c r="K1470" t="n">
        <v>0</v>
      </c>
      <c r="L1470" t="n">
        <v>0</v>
      </c>
      <c r="M1470" t="n">
        <v>0</v>
      </c>
      <c r="N1470" t="n">
        <v>0</v>
      </c>
      <c r="O1470" t="n">
        <v>0</v>
      </c>
      <c r="P1470" t="n">
        <v>0</v>
      </c>
      <c r="Q1470" t="n">
        <v>0</v>
      </c>
      <c r="R1470" s="2" t="inlineStr"/>
    </row>
    <row r="1471" ht="15" customHeight="1">
      <c r="A1471" t="inlineStr">
        <is>
          <t>A 31338-2025</t>
        </is>
      </c>
      <c r="B1471" s="1" t="n">
        <v>45833.42768518518</v>
      </c>
      <c r="C1471" s="1" t="n">
        <v>46048</v>
      </c>
      <c r="D1471" t="inlineStr">
        <is>
          <t>VÄSTERNORRLANDS LÄN</t>
        </is>
      </c>
      <c r="E1471" t="inlineStr">
        <is>
          <t>SOLLEFTEÅ</t>
        </is>
      </c>
      <c r="F1471" t="inlineStr">
        <is>
          <t>SCA</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31437-2025</t>
        </is>
      </c>
      <c r="B1472" s="1" t="n">
        <v>45833.49855324074</v>
      </c>
      <c r="C1472" s="1" t="n">
        <v>46048</v>
      </c>
      <c r="D1472" t="inlineStr">
        <is>
          <t>VÄSTERNORRLANDS LÄN</t>
        </is>
      </c>
      <c r="E1472" t="inlineStr">
        <is>
          <t>SOLLEFTEÅ</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31479-2025</t>
        </is>
      </c>
      <c r="B1473" s="1" t="n">
        <v>45833.57333333333</v>
      </c>
      <c r="C1473" s="1" t="n">
        <v>46048</v>
      </c>
      <c r="D1473" t="inlineStr">
        <is>
          <t>VÄSTERNORRLANDS LÄN</t>
        </is>
      </c>
      <c r="E1473" t="inlineStr">
        <is>
          <t>SOLLEFTEÅ</t>
        </is>
      </c>
      <c r="F1473" t="inlineStr">
        <is>
          <t>SCA</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6066-2024</t>
        </is>
      </c>
      <c r="B1474" s="1" t="n">
        <v>45336.88386574074</v>
      </c>
      <c r="C1474" s="1" t="n">
        <v>46048</v>
      </c>
      <c r="D1474" t="inlineStr">
        <is>
          <t>VÄSTERNORRLANDS LÄN</t>
        </is>
      </c>
      <c r="E1474" t="inlineStr">
        <is>
          <t>SOLLEFTEÅ</t>
        </is>
      </c>
      <c r="F1474" t="inlineStr">
        <is>
          <t>Övriga Aktiebolag</t>
        </is>
      </c>
      <c r="G1474" t="n">
        <v>14.8</v>
      </c>
      <c r="H1474" t="n">
        <v>0</v>
      </c>
      <c r="I1474" t="n">
        <v>0</v>
      </c>
      <c r="J1474" t="n">
        <v>0</v>
      </c>
      <c r="K1474" t="n">
        <v>0</v>
      </c>
      <c r="L1474" t="n">
        <v>0</v>
      </c>
      <c r="M1474" t="n">
        <v>0</v>
      </c>
      <c r="N1474" t="n">
        <v>0</v>
      </c>
      <c r="O1474" t="n">
        <v>0</v>
      </c>
      <c r="P1474" t="n">
        <v>0</v>
      </c>
      <c r="Q1474" t="n">
        <v>0</v>
      </c>
      <c r="R1474" s="2" t="inlineStr"/>
    </row>
    <row r="1475" ht="15" customHeight="1">
      <c r="A1475" t="inlineStr">
        <is>
          <t>A 4905-2025</t>
        </is>
      </c>
      <c r="B1475" s="1" t="n">
        <v>45688.68043981482</v>
      </c>
      <c r="C1475" s="1" t="n">
        <v>46048</v>
      </c>
      <c r="D1475" t="inlineStr">
        <is>
          <t>VÄSTERNORRLANDS LÄN</t>
        </is>
      </c>
      <c r="E1475" t="inlineStr">
        <is>
          <t>SOLLEFTEÅ</t>
        </is>
      </c>
      <c r="F1475" t="inlineStr">
        <is>
          <t>SCA</t>
        </is>
      </c>
      <c r="G1475" t="n">
        <v>4.2</v>
      </c>
      <c r="H1475" t="n">
        <v>0</v>
      </c>
      <c r="I1475" t="n">
        <v>0</v>
      </c>
      <c r="J1475" t="n">
        <v>0</v>
      </c>
      <c r="K1475" t="n">
        <v>0</v>
      </c>
      <c r="L1475" t="n">
        <v>0</v>
      </c>
      <c r="M1475" t="n">
        <v>0</v>
      </c>
      <c r="N1475" t="n">
        <v>0</v>
      </c>
      <c r="O1475" t="n">
        <v>0</v>
      </c>
      <c r="P1475" t="n">
        <v>0</v>
      </c>
      <c r="Q1475" t="n">
        <v>0</v>
      </c>
      <c r="R1475" s="2" t="inlineStr"/>
    </row>
    <row r="1476" ht="15" customHeight="1">
      <c r="A1476" t="inlineStr">
        <is>
          <t>A 56204-2024</t>
        </is>
      </c>
      <c r="B1476" s="1" t="n">
        <v>45624</v>
      </c>
      <c r="C1476" s="1" t="n">
        <v>46048</v>
      </c>
      <c r="D1476" t="inlineStr">
        <is>
          <t>VÄSTERNORRLANDS LÄN</t>
        </is>
      </c>
      <c r="E1476" t="inlineStr">
        <is>
          <t>SOLLEFTEÅ</t>
        </is>
      </c>
      <c r="G1476" t="n">
        <v>6.4</v>
      </c>
      <c r="H1476" t="n">
        <v>0</v>
      </c>
      <c r="I1476" t="n">
        <v>0</v>
      </c>
      <c r="J1476" t="n">
        <v>0</v>
      </c>
      <c r="K1476" t="n">
        <v>0</v>
      </c>
      <c r="L1476" t="n">
        <v>0</v>
      </c>
      <c r="M1476" t="n">
        <v>0</v>
      </c>
      <c r="N1476" t="n">
        <v>0</v>
      </c>
      <c r="O1476" t="n">
        <v>0</v>
      </c>
      <c r="P1476" t="n">
        <v>0</v>
      </c>
      <c r="Q1476" t="n">
        <v>0</v>
      </c>
      <c r="R1476" s="2" t="inlineStr"/>
    </row>
    <row r="1477" ht="15" customHeight="1">
      <c r="A1477" t="inlineStr">
        <is>
          <t>A 2346-2025</t>
        </is>
      </c>
      <c r="B1477" s="1" t="n">
        <v>45673.67767361111</v>
      </c>
      <c r="C1477" s="1" t="n">
        <v>46048</v>
      </c>
      <c r="D1477" t="inlineStr">
        <is>
          <t>VÄSTERNORRLANDS LÄN</t>
        </is>
      </c>
      <c r="E1477" t="inlineStr">
        <is>
          <t>SOLLEFTEÅ</t>
        </is>
      </c>
      <c r="F1477" t="inlineStr">
        <is>
          <t>SCA</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32271-2025</t>
        </is>
      </c>
      <c r="B1478" s="1" t="n">
        <v>45835.65662037037</v>
      </c>
      <c r="C1478" s="1" t="n">
        <v>46048</v>
      </c>
      <c r="D1478" t="inlineStr">
        <is>
          <t>VÄSTERNORRLANDS LÄN</t>
        </is>
      </c>
      <c r="E1478" t="inlineStr">
        <is>
          <t>SOLLEFTEÅ</t>
        </is>
      </c>
      <c r="F1478" t="inlineStr">
        <is>
          <t>SCA</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55149-2024</t>
        </is>
      </c>
      <c r="B1479" s="1" t="n">
        <v>45621.49055555555</v>
      </c>
      <c r="C1479" s="1" t="n">
        <v>46048</v>
      </c>
      <c r="D1479" t="inlineStr">
        <is>
          <t>VÄSTERNORRLANDS LÄN</t>
        </is>
      </c>
      <c r="E1479" t="inlineStr">
        <is>
          <t>SOLLEFTEÅ</t>
        </is>
      </c>
      <c r="F1479" t="inlineStr">
        <is>
          <t>SCA</t>
        </is>
      </c>
      <c r="G1479" t="n">
        <v>2.8</v>
      </c>
      <c r="H1479" t="n">
        <v>0</v>
      </c>
      <c r="I1479" t="n">
        <v>0</v>
      </c>
      <c r="J1479" t="n">
        <v>0</v>
      </c>
      <c r="K1479" t="n">
        <v>0</v>
      </c>
      <c r="L1479" t="n">
        <v>0</v>
      </c>
      <c r="M1479" t="n">
        <v>0</v>
      </c>
      <c r="N1479" t="n">
        <v>0</v>
      </c>
      <c r="O1479" t="n">
        <v>0</v>
      </c>
      <c r="P1479" t="n">
        <v>0</v>
      </c>
      <c r="Q1479" t="n">
        <v>0</v>
      </c>
      <c r="R1479" s="2" t="inlineStr"/>
    </row>
    <row r="1480" ht="15" customHeight="1">
      <c r="A1480" t="inlineStr">
        <is>
          <t>A 32291-2025</t>
        </is>
      </c>
      <c r="B1480" s="1" t="n">
        <v>45835.69961805556</v>
      </c>
      <c r="C1480" s="1" t="n">
        <v>46048</v>
      </c>
      <c r="D1480" t="inlineStr">
        <is>
          <t>VÄSTERNORRLANDS LÄN</t>
        </is>
      </c>
      <c r="E1480" t="inlineStr">
        <is>
          <t>SOLLEFTEÅ</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31680-2024</t>
        </is>
      </c>
      <c r="B1481" s="1" t="n">
        <v>45506.94894675926</v>
      </c>
      <c r="C1481" s="1" t="n">
        <v>46048</v>
      </c>
      <c r="D1481" t="inlineStr">
        <is>
          <t>VÄSTERNORRLANDS LÄN</t>
        </is>
      </c>
      <c r="E1481" t="inlineStr">
        <is>
          <t>SOLLEFTEÅ</t>
        </is>
      </c>
      <c r="F1481" t="inlineStr">
        <is>
          <t>SCA</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32280-2025</t>
        </is>
      </c>
      <c r="B1482" s="1" t="n">
        <v>45835.67638888889</v>
      </c>
      <c r="C1482" s="1" t="n">
        <v>46048</v>
      </c>
      <c r="D1482" t="inlineStr">
        <is>
          <t>VÄSTERNORRLANDS LÄN</t>
        </is>
      </c>
      <c r="E1482" t="inlineStr">
        <is>
          <t>SOLLEFTEÅ</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32069-2025</t>
        </is>
      </c>
      <c r="B1483" s="1" t="n">
        <v>45835.4487037037</v>
      </c>
      <c r="C1483" s="1" t="n">
        <v>46048</v>
      </c>
      <c r="D1483" t="inlineStr">
        <is>
          <t>VÄSTERNORRLANDS LÄN</t>
        </is>
      </c>
      <c r="E1483" t="inlineStr">
        <is>
          <t>SOLLEFTEÅ</t>
        </is>
      </c>
      <c r="F1483" t="inlineStr">
        <is>
          <t>SCA</t>
        </is>
      </c>
      <c r="G1483" t="n">
        <v>3.9</v>
      </c>
      <c r="H1483" t="n">
        <v>0</v>
      </c>
      <c r="I1483" t="n">
        <v>0</v>
      </c>
      <c r="J1483" t="n">
        <v>0</v>
      </c>
      <c r="K1483" t="n">
        <v>0</v>
      </c>
      <c r="L1483" t="n">
        <v>0</v>
      </c>
      <c r="M1483" t="n">
        <v>0</v>
      </c>
      <c r="N1483" t="n">
        <v>0</v>
      </c>
      <c r="O1483" t="n">
        <v>0</v>
      </c>
      <c r="P1483" t="n">
        <v>0</v>
      </c>
      <c r="Q1483" t="n">
        <v>0</v>
      </c>
      <c r="R1483" s="2" t="inlineStr"/>
    </row>
    <row r="1484" ht="15" customHeight="1">
      <c r="A1484" t="inlineStr">
        <is>
          <t>A 34284-2023</t>
        </is>
      </c>
      <c r="B1484" s="1" t="n">
        <v>45128</v>
      </c>
      <c r="C1484" s="1" t="n">
        <v>46048</v>
      </c>
      <c r="D1484" t="inlineStr">
        <is>
          <t>VÄSTERNORRLANDS LÄN</t>
        </is>
      </c>
      <c r="E1484" t="inlineStr">
        <is>
          <t>SOLLEFTEÅ</t>
        </is>
      </c>
      <c r="G1484" t="n">
        <v>6.6</v>
      </c>
      <c r="H1484" t="n">
        <v>0</v>
      </c>
      <c r="I1484" t="n">
        <v>0</v>
      </c>
      <c r="J1484" t="n">
        <v>0</v>
      </c>
      <c r="K1484" t="n">
        <v>0</v>
      </c>
      <c r="L1484" t="n">
        <v>0</v>
      </c>
      <c r="M1484" t="n">
        <v>0</v>
      </c>
      <c r="N1484" t="n">
        <v>0</v>
      </c>
      <c r="O1484" t="n">
        <v>0</v>
      </c>
      <c r="P1484" t="n">
        <v>0</v>
      </c>
      <c r="Q1484" t="n">
        <v>0</v>
      </c>
      <c r="R1484" s="2" t="inlineStr"/>
    </row>
    <row r="1485" ht="15" customHeight="1">
      <c r="A1485" t="inlineStr">
        <is>
          <t>A 54235-2024</t>
        </is>
      </c>
      <c r="B1485" s="1" t="n">
        <v>45616.67806712963</v>
      </c>
      <c r="C1485" s="1" t="n">
        <v>46048</v>
      </c>
      <c r="D1485" t="inlineStr">
        <is>
          <t>VÄSTERNORRLANDS LÄN</t>
        </is>
      </c>
      <c r="E1485" t="inlineStr">
        <is>
          <t>SOLLEFTEÅ</t>
        </is>
      </c>
      <c r="F1485" t="inlineStr">
        <is>
          <t>SCA</t>
        </is>
      </c>
      <c r="G1485" t="n">
        <v>0.1</v>
      </c>
      <c r="H1485" t="n">
        <v>0</v>
      </c>
      <c r="I1485" t="n">
        <v>0</v>
      </c>
      <c r="J1485" t="n">
        <v>0</v>
      </c>
      <c r="K1485" t="n">
        <v>0</v>
      </c>
      <c r="L1485" t="n">
        <v>0</v>
      </c>
      <c r="M1485" t="n">
        <v>0</v>
      </c>
      <c r="N1485" t="n">
        <v>0</v>
      </c>
      <c r="O1485" t="n">
        <v>0</v>
      </c>
      <c r="P1485" t="n">
        <v>0</v>
      </c>
      <c r="Q1485" t="n">
        <v>0</v>
      </c>
      <c r="R1485" s="2" t="inlineStr"/>
    </row>
    <row r="1486" ht="15" customHeight="1">
      <c r="A1486" t="inlineStr">
        <is>
          <t>A 32139-2025</t>
        </is>
      </c>
      <c r="B1486" s="1" t="n">
        <v>45835</v>
      </c>
      <c r="C1486" s="1" t="n">
        <v>46048</v>
      </c>
      <c r="D1486" t="inlineStr">
        <is>
          <t>VÄSTERNORRLANDS LÄN</t>
        </is>
      </c>
      <c r="E1486" t="inlineStr">
        <is>
          <t>SOLLEFTEÅ</t>
        </is>
      </c>
      <c r="G1486" t="n">
        <v>17.8</v>
      </c>
      <c r="H1486" t="n">
        <v>0</v>
      </c>
      <c r="I1486" t="n">
        <v>0</v>
      </c>
      <c r="J1486" t="n">
        <v>0</v>
      </c>
      <c r="K1486" t="n">
        <v>0</v>
      </c>
      <c r="L1486" t="n">
        <v>0</v>
      </c>
      <c r="M1486" t="n">
        <v>0</v>
      </c>
      <c r="N1486" t="n">
        <v>0</v>
      </c>
      <c r="O1486" t="n">
        <v>0</v>
      </c>
      <c r="P1486" t="n">
        <v>0</v>
      </c>
      <c r="Q1486" t="n">
        <v>0</v>
      </c>
      <c r="R1486" s="2" t="inlineStr"/>
    </row>
    <row r="1487" ht="15" customHeight="1">
      <c r="A1487" t="inlineStr">
        <is>
          <t>A 31547-2024</t>
        </is>
      </c>
      <c r="B1487" s="1" t="n">
        <v>45505.96362268519</v>
      </c>
      <c r="C1487" s="1" t="n">
        <v>46048</v>
      </c>
      <c r="D1487" t="inlineStr">
        <is>
          <t>VÄSTERNORRLANDS LÄN</t>
        </is>
      </c>
      <c r="E1487" t="inlineStr">
        <is>
          <t>SOLLEFTEÅ</t>
        </is>
      </c>
      <c r="F1487" t="inlineStr">
        <is>
          <t>SCA</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1030-2025</t>
        </is>
      </c>
      <c r="B1488" s="1" t="n">
        <v>45666</v>
      </c>
      <c r="C1488" s="1" t="n">
        <v>46048</v>
      </c>
      <c r="D1488" t="inlineStr">
        <is>
          <t>VÄSTERNORRLANDS LÄN</t>
        </is>
      </c>
      <c r="E1488" t="inlineStr">
        <is>
          <t>SOLLEFTEÅ</t>
        </is>
      </c>
      <c r="F1488" t="inlineStr">
        <is>
          <t>SCA</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14731-2025</t>
        </is>
      </c>
      <c r="B1489" s="1" t="n">
        <v>45742.6360300926</v>
      </c>
      <c r="C1489" s="1" t="n">
        <v>46048</v>
      </c>
      <c r="D1489" t="inlineStr">
        <is>
          <t>VÄSTERNORRLANDS LÄN</t>
        </is>
      </c>
      <c r="E1489" t="inlineStr">
        <is>
          <t>SOLLEFTEÅ</t>
        </is>
      </c>
      <c r="F1489" t="inlineStr">
        <is>
          <t>SCA</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46765-2024</t>
        </is>
      </c>
      <c r="B1490" s="1" t="n">
        <v>45583.49491898148</v>
      </c>
      <c r="C1490" s="1" t="n">
        <v>46048</v>
      </c>
      <c r="D1490" t="inlineStr">
        <is>
          <t>VÄSTERNORRLANDS LÄN</t>
        </is>
      </c>
      <c r="E1490" t="inlineStr">
        <is>
          <t>SOLLEFTEÅ</t>
        </is>
      </c>
      <c r="F1490" t="inlineStr">
        <is>
          <t>SCA</t>
        </is>
      </c>
      <c r="G1490" t="n">
        <v>3.8</v>
      </c>
      <c r="H1490" t="n">
        <v>0</v>
      </c>
      <c r="I1490" t="n">
        <v>0</v>
      </c>
      <c r="J1490" t="n">
        <v>0</v>
      </c>
      <c r="K1490" t="n">
        <v>0</v>
      </c>
      <c r="L1490" t="n">
        <v>0</v>
      </c>
      <c r="M1490" t="n">
        <v>0</v>
      </c>
      <c r="N1490" t="n">
        <v>0</v>
      </c>
      <c r="O1490" t="n">
        <v>0</v>
      </c>
      <c r="P1490" t="n">
        <v>0</v>
      </c>
      <c r="Q1490" t="n">
        <v>0</v>
      </c>
      <c r="R1490" s="2" t="inlineStr"/>
    </row>
    <row r="1491" ht="15" customHeight="1">
      <c r="A1491" t="inlineStr">
        <is>
          <t>A 32073-2025</t>
        </is>
      </c>
      <c r="B1491" s="1" t="n">
        <v>45835.44931712963</v>
      </c>
      <c r="C1491" s="1" t="n">
        <v>46048</v>
      </c>
      <c r="D1491" t="inlineStr">
        <is>
          <t>VÄSTERNORRLANDS LÄN</t>
        </is>
      </c>
      <c r="E1491" t="inlineStr">
        <is>
          <t>SOLLEFTEÅ</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21349-2023</t>
        </is>
      </c>
      <c r="B1492" s="1" t="n">
        <v>45062.9390625</v>
      </c>
      <c r="C1492" s="1" t="n">
        <v>46048</v>
      </c>
      <c r="D1492" t="inlineStr">
        <is>
          <t>VÄSTERNORRLANDS LÄN</t>
        </is>
      </c>
      <c r="E1492" t="inlineStr">
        <is>
          <t>SOLLEFTEÅ</t>
        </is>
      </c>
      <c r="F1492" t="inlineStr">
        <is>
          <t>SCA</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28658-2025</t>
        </is>
      </c>
      <c r="B1493" s="1" t="n">
        <v>45819</v>
      </c>
      <c r="C1493" s="1" t="n">
        <v>46048</v>
      </c>
      <c r="D1493" t="inlineStr">
        <is>
          <t>VÄSTERNORRLANDS LÄN</t>
        </is>
      </c>
      <c r="E1493" t="inlineStr">
        <is>
          <t>SOLLEFTEÅ</t>
        </is>
      </c>
      <c r="F1493" t="inlineStr">
        <is>
          <t>SCA</t>
        </is>
      </c>
      <c r="G1493" t="n">
        <v>3</v>
      </c>
      <c r="H1493" t="n">
        <v>0</v>
      </c>
      <c r="I1493" t="n">
        <v>0</v>
      </c>
      <c r="J1493" t="n">
        <v>0</v>
      </c>
      <c r="K1493" t="n">
        <v>0</v>
      </c>
      <c r="L1493" t="n">
        <v>0</v>
      </c>
      <c r="M1493" t="n">
        <v>0</v>
      </c>
      <c r="N1493" t="n">
        <v>0</v>
      </c>
      <c r="O1493" t="n">
        <v>0</v>
      </c>
      <c r="P1493" t="n">
        <v>0</v>
      </c>
      <c r="Q1493" t="n">
        <v>0</v>
      </c>
      <c r="R1493" s="2" t="inlineStr"/>
    </row>
    <row r="1494" ht="15" customHeight="1">
      <c r="A1494" t="inlineStr">
        <is>
          <t>A 10726-2025</t>
        </is>
      </c>
      <c r="B1494" s="1" t="n">
        <v>45722.38599537037</v>
      </c>
      <c r="C1494" s="1" t="n">
        <v>46048</v>
      </c>
      <c r="D1494" t="inlineStr">
        <is>
          <t>VÄSTERNORRLANDS LÄN</t>
        </is>
      </c>
      <c r="E1494" t="inlineStr">
        <is>
          <t>SOLLEFTEÅ</t>
        </is>
      </c>
      <c r="F1494" t="inlineStr">
        <is>
          <t>SCA</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25259-2023</t>
        </is>
      </c>
      <c r="B1495" s="1" t="n">
        <v>45079</v>
      </c>
      <c r="C1495" s="1" t="n">
        <v>46048</v>
      </c>
      <c r="D1495" t="inlineStr">
        <is>
          <t>VÄSTERNORRLANDS LÄN</t>
        </is>
      </c>
      <c r="E1495" t="inlineStr">
        <is>
          <t>SOLLEFTEÅ</t>
        </is>
      </c>
      <c r="G1495" t="n">
        <v>5.4</v>
      </c>
      <c r="H1495" t="n">
        <v>0</v>
      </c>
      <c r="I1495" t="n">
        <v>0</v>
      </c>
      <c r="J1495" t="n">
        <v>0</v>
      </c>
      <c r="K1495" t="n">
        <v>0</v>
      </c>
      <c r="L1495" t="n">
        <v>0</v>
      </c>
      <c r="M1495" t="n">
        <v>0</v>
      </c>
      <c r="N1495" t="n">
        <v>0</v>
      </c>
      <c r="O1495" t="n">
        <v>0</v>
      </c>
      <c r="P1495" t="n">
        <v>0</v>
      </c>
      <c r="Q1495" t="n">
        <v>0</v>
      </c>
      <c r="R1495" s="2" t="inlineStr"/>
    </row>
    <row r="1496" ht="15" customHeight="1">
      <c r="A1496" t="inlineStr">
        <is>
          <t>A 32029-2025</t>
        </is>
      </c>
      <c r="B1496" s="1" t="n">
        <v>45835.40788194445</v>
      </c>
      <c r="C1496" s="1" t="n">
        <v>46048</v>
      </c>
      <c r="D1496" t="inlineStr">
        <is>
          <t>VÄSTERNORRLANDS LÄN</t>
        </is>
      </c>
      <c r="E1496" t="inlineStr">
        <is>
          <t>SOLLEFTEÅ</t>
        </is>
      </c>
      <c r="F1496" t="inlineStr">
        <is>
          <t>SCA</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32112-2025</t>
        </is>
      </c>
      <c r="B1497" s="1" t="n">
        <v>45835.48392361111</v>
      </c>
      <c r="C1497" s="1" t="n">
        <v>46048</v>
      </c>
      <c r="D1497" t="inlineStr">
        <is>
          <t>VÄSTERNORRLANDS LÄN</t>
        </is>
      </c>
      <c r="E1497" t="inlineStr">
        <is>
          <t>SOLLEFTEÅ</t>
        </is>
      </c>
      <c r="G1497" t="n">
        <v>9.1</v>
      </c>
      <c r="H1497" t="n">
        <v>0</v>
      </c>
      <c r="I1497" t="n">
        <v>0</v>
      </c>
      <c r="J1497" t="n">
        <v>0</v>
      </c>
      <c r="K1497" t="n">
        <v>0</v>
      </c>
      <c r="L1497" t="n">
        <v>0</v>
      </c>
      <c r="M1497" t="n">
        <v>0</v>
      </c>
      <c r="N1497" t="n">
        <v>0</v>
      </c>
      <c r="O1497" t="n">
        <v>0</v>
      </c>
      <c r="P1497" t="n">
        <v>0</v>
      </c>
      <c r="Q1497" t="n">
        <v>0</v>
      </c>
      <c r="R1497" s="2" t="inlineStr"/>
    </row>
    <row r="1498" ht="15" customHeight="1">
      <c r="A1498" t="inlineStr">
        <is>
          <t>A 31925-2023</t>
        </is>
      </c>
      <c r="B1498" s="1" t="n">
        <v>45118</v>
      </c>
      <c r="C1498" s="1" t="n">
        <v>46048</v>
      </c>
      <c r="D1498" t="inlineStr">
        <is>
          <t>VÄSTERNORRLANDS LÄN</t>
        </is>
      </c>
      <c r="E1498" t="inlineStr">
        <is>
          <t>SOLLEFTEÅ</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32071-2024</t>
        </is>
      </c>
      <c r="B1499" s="1" t="n">
        <v>45510.97246527778</v>
      </c>
      <c r="C1499" s="1" t="n">
        <v>46048</v>
      </c>
      <c r="D1499" t="inlineStr">
        <is>
          <t>VÄSTERNORRLANDS LÄN</t>
        </is>
      </c>
      <c r="E1499" t="inlineStr">
        <is>
          <t>SOLLEFTEÅ</t>
        </is>
      </c>
      <c r="F1499" t="inlineStr">
        <is>
          <t>SCA</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58694-2024</t>
        </is>
      </c>
      <c r="B1500" s="1" t="n">
        <v>45635.63575231482</v>
      </c>
      <c r="C1500" s="1" t="n">
        <v>46048</v>
      </c>
      <c r="D1500" t="inlineStr">
        <is>
          <t>VÄSTERNORRLANDS LÄN</t>
        </is>
      </c>
      <c r="E1500" t="inlineStr">
        <is>
          <t>SOLLEFTEÅ</t>
        </is>
      </c>
      <c r="F1500" t="inlineStr">
        <is>
          <t>SCA</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469-2025</t>
        </is>
      </c>
      <c r="B1501" s="1" t="n">
        <v>45664</v>
      </c>
      <c r="C1501" s="1" t="n">
        <v>46048</v>
      </c>
      <c r="D1501" t="inlineStr">
        <is>
          <t>VÄSTERNORRLANDS LÄN</t>
        </is>
      </c>
      <c r="E1501" t="inlineStr">
        <is>
          <t>SOLLEFTEÅ</t>
        </is>
      </c>
      <c r="F1501" t="inlineStr">
        <is>
          <t>SCA</t>
        </is>
      </c>
      <c r="G1501" t="n">
        <v>4</v>
      </c>
      <c r="H1501" t="n">
        <v>0</v>
      </c>
      <c r="I1501" t="n">
        <v>0</v>
      </c>
      <c r="J1501" t="n">
        <v>0</v>
      </c>
      <c r="K1501" t="n">
        <v>0</v>
      </c>
      <c r="L1501" t="n">
        <v>0</v>
      </c>
      <c r="M1501" t="n">
        <v>0</v>
      </c>
      <c r="N1501" t="n">
        <v>0</v>
      </c>
      <c r="O1501" t="n">
        <v>0</v>
      </c>
      <c r="P1501" t="n">
        <v>0</v>
      </c>
      <c r="Q1501" t="n">
        <v>0</v>
      </c>
      <c r="R1501" s="2" t="inlineStr"/>
    </row>
    <row r="1502" ht="15" customHeight="1">
      <c r="A1502" t="inlineStr">
        <is>
          <t>A 3324-2025</t>
        </is>
      </c>
      <c r="B1502" s="1" t="n">
        <v>45679.69924768519</v>
      </c>
      <c r="C1502" s="1" t="n">
        <v>46048</v>
      </c>
      <c r="D1502" t="inlineStr">
        <is>
          <t>VÄSTERNORRLANDS LÄN</t>
        </is>
      </c>
      <c r="E1502" t="inlineStr">
        <is>
          <t>SOLLEFTEÅ</t>
        </is>
      </c>
      <c r="F1502" t="inlineStr">
        <is>
          <t>SCA</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6876-2025</t>
        </is>
      </c>
      <c r="B1503" s="1" t="n">
        <v>45701.34446759259</v>
      </c>
      <c r="C1503" s="1" t="n">
        <v>46048</v>
      </c>
      <c r="D1503" t="inlineStr">
        <is>
          <t>VÄSTERNORRLANDS LÄN</t>
        </is>
      </c>
      <c r="E1503" t="inlineStr">
        <is>
          <t>SOLLEFTEÅ</t>
        </is>
      </c>
      <c r="F1503" t="inlineStr">
        <is>
          <t>SCA</t>
        </is>
      </c>
      <c r="G1503" t="n">
        <v>10.4</v>
      </c>
      <c r="H1503" t="n">
        <v>0</v>
      </c>
      <c r="I1503" t="n">
        <v>0</v>
      </c>
      <c r="J1503" t="n">
        <v>0</v>
      </c>
      <c r="K1503" t="n">
        <v>0</v>
      </c>
      <c r="L1503" t="n">
        <v>0</v>
      </c>
      <c r="M1503" t="n">
        <v>0</v>
      </c>
      <c r="N1503" t="n">
        <v>0</v>
      </c>
      <c r="O1503" t="n">
        <v>0</v>
      </c>
      <c r="P1503" t="n">
        <v>0</v>
      </c>
      <c r="Q1503" t="n">
        <v>0</v>
      </c>
      <c r="R1503" s="2" t="inlineStr"/>
    </row>
    <row r="1504" ht="15" customHeight="1">
      <c r="A1504" t="inlineStr">
        <is>
          <t>A 46759-2024</t>
        </is>
      </c>
      <c r="B1504" s="1" t="n">
        <v>45583.49101851852</v>
      </c>
      <c r="C1504" s="1" t="n">
        <v>46048</v>
      </c>
      <c r="D1504" t="inlineStr">
        <is>
          <t>VÄSTERNORRLANDS LÄN</t>
        </is>
      </c>
      <c r="E1504" t="inlineStr">
        <is>
          <t>SOLLEFTEÅ</t>
        </is>
      </c>
      <c r="F1504" t="inlineStr">
        <is>
          <t>SCA</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59424-2024</t>
        </is>
      </c>
      <c r="B1505" s="1" t="n">
        <v>45638</v>
      </c>
      <c r="C1505" s="1" t="n">
        <v>46048</v>
      </c>
      <c r="D1505" t="inlineStr">
        <is>
          <t>VÄSTERNORRLANDS LÄN</t>
        </is>
      </c>
      <c r="E1505" t="inlineStr">
        <is>
          <t>SOLLEFTEÅ</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59434-2024</t>
        </is>
      </c>
      <c r="B1506" s="1" t="n">
        <v>45638.43040509259</v>
      </c>
      <c r="C1506" s="1" t="n">
        <v>46048</v>
      </c>
      <c r="D1506" t="inlineStr">
        <is>
          <t>VÄSTERNORRLANDS LÄN</t>
        </is>
      </c>
      <c r="E1506" t="inlineStr">
        <is>
          <t>SOLLEFTEÅ</t>
        </is>
      </c>
      <c r="G1506" t="n">
        <v>3.9</v>
      </c>
      <c r="H1506" t="n">
        <v>0</v>
      </c>
      <c r="I1506" t="n">
        <v>0</v>
      </c>
      <c r="J1506" t="n">
        <v>0</v>
      </c>
      <c r="K1506" t="n">
        <v>0</v>
      </c>
      <c r="L1506" t="n">
        <v>0</v>
      </c>
      <c r="M1506" t="n">
        <v>0</v>
      </c>
      <c r="N1506" t="n">
        <v>0</v>
      </c>
      <c r="O1506" t="n">
        <v>0</v>
      </c>
      <c r="P1506" t="n">
        <v>0</v>
      </c>
      <c r="Q1506" t="n">
        <v>0</v>
      </c>
      <c r="R1506" s="2" t="inlineStr"/>
    </row>
    <row r="1507" ht="15" customHeight="1">
      <c r="A1507" t="inlineStr">
        <is>
          <t>A 50655-2022</t>
        </is>
      </c>
      <c r="B1507" s="1" t="n">
        <v>44866</v>
      </c>
      <c r="C1507" s="1" t="n">
        <v>46048</v>
      </c>
      <c r="D1507" t="inlineStr">
        <is>
          <t>VÄSTERNORRLANDS LÄN</t>
        </is>
      </c>
      <c r="E1507" t="inlineStr">
        <is>
          <t>SOLLEFTEÅ</t>
        </is>
      </c>
      <c r="G1507" t="n">
        <v>4.4</v>
      </c>
      <c r="H1507" t="n">
        <v>0</v>
      </c>
      <c r="I1507" t="n">
        <v>0</v>
      </c>
      <c r="J1507" t="n">
        <v>0</v>
      </c>
      <c r="K1507" t="n">
        <v>0</v>
      </c>
      <c r="L1507" t="n">
        <v>0</v>
      </c>
      <c r="M1507" t="n">
        <v>0</v>
      </c>
      <c r="N1507" t="n">
        <v>0</v>
      </c>
      <c r="O1507" t="n">
        <v>0</v>
      </c>
      <c r="P1507" t="n">
        <v>0</v>
      </c>
      <c r="Q1507" t="n">
        <v>0</v>
      </c>
      <c r="R1507" s="2" t="inlineStr"/>
    </row>
    <row r="1508" ht="15" customHeight="1">
      <c r="A1508" t="inlineStr">
        <is>
          <t>A 31801-2025</t>
        </is>
      </c>
      <c r="B1508" s="1" t="n">
        <v>45834.55290509259</v>
      </c>
      <c r="C1508" s="1" t="n">
        <v>46048</v>
      </c>
      <c r="D1508" t="inlineStr">
        <is>
          <t>VÄSTERNORRLANDS LÄN</t>
        </is>
      </c>
      <c r="E1508" t="inlineStr">
        <is>
          <t>SOLLEFTEÅ</t>
        </is>
      </c>
      <c r="F1508" t="inlineStr">
        <is>
          <t>SCA</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10926-2022</t>
        </is>
      </c>
      <c r="B1509" s="1" t="n">
        <v>44627.94447916667</v>
      </c>
      <c r="C1509" s="1" t="n">
        <v>46048</v>
      </c>
      <c r="D1509" t="inlineStr">
        <is>
          <t>VÄSTERNORRLANDS LÄN</t>
        </is>
      </c>
      <c r="E1509" t="inlineStr">
        <is>
          <t>SOLLEFTEÅ</t>
        </is>
      </c>
      <c r="F1509" t="inlineStr">
        <is>
          <t>SCA</t>
        </is>
      </c>
      <c r="G1509" t="n">
        <v>4.3</v>
      </c>
      <c r="H1509" t="n">
        <v>0</v>
      </c>
      <c r="I1509" t="n">
        <v>0</v>
      </c>
      <c r="J1509" t="n">
        <v>0</v>
      </c>
      <c r="K1509" t="n">
        <v>0</v>
      </c>
      <c r="L1509" t="n">
        <v>0</v>
      </c>
      <c r="M1509" t="n">
        <v>0</v>
      </c>
      <c r="N1509" t="n">
        <v>0</v>
      </c>
      <c r="O1509" t="n">
        <v>0</v>
      </c>
      <c r="P1509" t="n">
        <v>0</v>
      </c>
      <c r="Q1509" t="n">
        <v>0</v>
      </c>
      <c r="R1509" s="2" t="inlineStr"/>
    </row>
    <row r="1510" ht="15" customHeight="1">
      <c r="A1510" t="inlineStr">
        <is>
          <t>A 31665-2025</t>
        </is>
      </c>
      <c r="B1510" s="1" t="n">
        <v>45834.36497685185</v>
      </c>
      <c r="C1510" s="1" t="n">
        <v>46048</v>
      </c>
      <c r="D1510" t="inlineStr">
        <is>
          <t>VÄSTERNORRLANDS LÄN</t>
        </is>
      </c>
      <c r="E1510" t="inlineStr">
        <is>
          <t>SOLLEFTEÅ</t>
        </is>
      </c>
      <c r="F1510" t="inlineStr">
        <is>
          <t>SCA</t>
        </is>
      </c>
      <c r="G1510" t="n">
        <v>3.3</v>
      </c>
      <c r="H1510" t="n">
        <v>0</v>
      </c>
      <c r="I1510" t="n">
        <v>0</v>
      </c>
      <c r="J1510" t="n">
        <v>0</v>
      </c>
      <c r="K1510" t="n">
        <v>0</v>
      </c>
      <c r="L1510" t="n">
        <v>0</v>
      </c>
      <c r="M1510" t="n">
        <v>0</v>
      </c>
      <c r="N1510" t="n">
        <v>0</v>
      </c>
      <c r="O1510" t="n">
        <v>0</v>
      </c>
      <c r="P1510" t="n">
        <v>0</v>
      </c>
      <c r="Q1510" t="n">
        <v>0</v>
      </c>
      <c r="R1510" s="2" t="inlineStr"/>
    </row>
    <row r="1511" ht="15" customHeight="1">
      <c r="A1511" t="inlineStr">
        <is>
          <t>A 31963-2025</t>
        </is>
      </c>
      <c r="B1511" s="1" t="n">
        <v>45835.34480324074</v>
      </c>
      <c r="C1511" s="1" t="n">
        <v>46048</v>
      </c>
      <c r="D1511" t="inlineStr">
        <is>
          <t>VÄSTERNORRLANDS LÄN</t>
        </is>
      </c>
      <c r="E1511" t="inlineStr">
        <is>
          <t>SOLLEFTEÅ</t>
        </is>
      </c>
      <c r="F1511" t="inlineStr">
        <is>
          <t>SCA</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13257-2025</t>
        </is>
      </c>
      <c r="B1512" s="1" t="n">
        <v>45735.51075231482</v>
      </c>
      <c r="C1512" s="1" t="n">
        <v>46048</v>
      </c>
      <c r="D1512" t="inlineStr">
        <is>
          <t>VÄSTERNORRLANDS LÄN</t>
        </is>
      </c>
      <c r="E1512" t="inlineStr">
        <is>
          <t>SOLLEFTEÅ</t>
        </is>
      </c>
      <c r="F1512" t="inlineStr">
        <is>
          <t>SCA</t>
        </is>
      </c>
      <c r="G1512" t="n">
        <v>15.3</v>
      </c>
      <c r="H1512" t="n">
        <v>0</v>
      </c>
      <c r="I1512" t="n">
        <v>0</v>
      </c>
      <c r="J1512" t="n">
        <v>0</v>
      </c>
      <c r="K1512" t="n">
        <v>0</v>
      </c>
      <c r="L1512" t="n">
        <v>0</v>
      </c>
      <c r="M1512" t="n">
        <v>0</v>
      </c>
      <c r="N1512" t="n">
        <v>0</v>
      </c>
      <c r="O1512" t="n">
        <v>0</v>
      </c>
      <c r="P1512" t="n">
        <v>0</v>
      </c>
      <c r="Q1512" t="n">
        <v>0</v>
      </c>
      <c r="R1512" s="2" t="inlineStr"/>
    </row>
    <row r="1513" ht="15" customHeight="1">
      <c r="A1513" t="inlineStr">
        <is>
          <t>A 32749-2025</t>
        </is>
      </c>
      <c r="B1513" s="1" t="n">
        <v>45839.42834490741</v>
      </c>
      <c r="C1513" s="1" t="n">
        <v>46048</v>
      </c>
      <c r="D1513" t="inlineStr">
        <is>
          <t>VÄSTERNORRLANDS LÄN</t>
        </is>
      </c>
      <c r="E1513" t="inlineStr">
        <is>
          <t>SOLLEFTEÅ</t>
        </is>
      </c>
      <c r="F1513" t="inlineStr">
        <is>
          <t>SCA</t>
        </is>
      </c>
      <c r="G1513" t="n">
        <v>15.3</v>
      </c>
      <c r="H1513" t="n">
        <v>0</v>
      </c>
      <c r="I1513" t="n">
        <v>0</v>
      </c>
      <c r="J1513" t="n">
        <v>0</v>
      </c>
      <c r="K1513" t="n">
        <v>0</v>
      </c>
      <c r="L1513" t="n">
        <v>0</v>
      </c>
      <c r="M1513" t="n">
        <v>0</v>
      </c>
      <c r="N1513" t="n">
        <v>0</v>
      </c>
      <c r="O1513" t="n">
        <v>0</v>
      </c>
      <c r="P1513" t="n">
        <v>0</v>
      </c>
      <c r="Q1513" t="n">
        <v>0</v>
      </c>
      <c r="R1513" s="2" t="inlineStr"/>
    </row>
    <row r="1514" ht="15" customHeight="1">
      <c r="A1514" t="inlineStr">
        <is>
          <t>A 38283-2021</t>
        </is>
      </c>
      <c r="B1514" s="1" t="n">
        <v>44405</v>
      </c>
      <c r="C1514" s="1" t="n">
        <v>46048</v>
      </c>
      <c r="D1514" t="inlineStr">
        <is>
          <t>VÄSTERNORRLANDS LÄN</t>
        </is>
      </c>
      <c r="E1514" t="inlineStr">
        <is>
          <t>SOLLEFTEÅ</t>
        </is>
      </c>
      <c r="F1514" t="inlineStr">
        <is>
          <t>SCA</t>
        </is>
      </c>
      <c r="G1514" t="n">
        <v>2.7</v>
      </c>
      <c r="H1514" t="n">
        <v>0</v>
      </c>
      <c r="I1514" t="n">
        <v>0</v>
      </c>
      <c r="J1514" t="n">
        <v>0</v>
      </c>
      <c r="K1514" t="n">
        <v>0</v>
      </c>
      <c r="L1514" t="n">
        <v>0</v>
      </c>
      <c r="M1514" t="n">
        <v>0</v>
      </c>
      <c r="N1514" t="n">
        <v>0</v>
      </c>
      <c r="O1514" t="n">
        <v>0</v>
      </c>
      <c r="P1514" t="n">
        <v>0</v>
      </c>
      <c r="Q1514" t="n">
        <v>0</v>
      </c>
      <c r="R1514" s="2" t="inlineStr"/>
    </row>
    <row r="1515" ht="15" customHeight="1">
      <c r="A1515" t="inlineStr">
        <is>
          <t>A 32924-2024</t>
        </is>
      </c>
      <c r="B1515" s="1" t="n">
        <v>45516.95292824074</v>
      </c>
      <c r="C1515" s="1" t="n">
        <v>46048</v>
      </c>
      <c r="D1515" t="inlineStr">
        <is>
          <t>VÄSTERNORRLANDS LÄN</t>
        </is>
      </c>
      <c r="E1515" t="inlineStr">
        <is>
          <t>SOLLEFTEÅ</t>
        </is>
      </c>
      <c r="F1515" t="inlineStr">
        <is>
          <t>SCA</t>
        </is>
      </c>
      <c r="G1515" t="n">
        <v>4.4</v>
      </c>
      <c r="H1515" t="n">
        <v>0</v>
      </c>
      <c r="I1515" t="n">
        <v>0</v>
      </c>
      <c r="J1515" t="n">
        <v>0</v>
      </c>
      <c r="K1515" t="n">
        <v>0</v>
      </c>
      <c r="L1515" t="n">
        <v>0</v>
      </c>
      <c r="M1515" t="n">
        <v>0</v>
      </c>
      <c r="N1515" t="n">
        <v>0</v>
      </c>
      <c r="O1515" t="n">
        <v>0</v>
      </c>
      <c r="P1515" t="n">
        <v>0</v>
      </c>
      <c r="Q1515" t="n">
        <v>0</v>
      </c>
      <c r="R1515" s="2" t="inlineStr"/>
    </row>
    <row r="1516" ht="15" customHeight="1">
      <c r="A1516" t="inlineStr">
        <is>
          <t>A 32745-2025</t>
        </is>
      </c>
      <c r="B1516" s="1" t="n">
        <v>45839.42753472222</v>
      </c>
      <c r="C1516" s="1" t="n">
        <v>46048</v>
      </c>
      <c r="D1516" t="inlineStr">
        <is>
          <t>VÄSTERNORRLANDS LÄN</t>
        </is>
      </c>
      <c r="E1516" t="inlineStr">
        <is>
          <t>SOLLEFTEÅ</t>
        </is>
      </c>
      <c r="F1516" t="inlineStr">
        <is>
          <t>SCA</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7257-2024</t>
        </is>
      </c>
      <c r="B1517" s="1" t="n">
        <v>45344.7371412037</v>
      </c>
      <c r="C1517" s="1" t="n">
        <v>46048</v>
      </c>
      <c r="D1517" t="inlineStr">
        <is>
          <t>VÄSTERNORRLANDS LÄN</t>
        </is>
      </c>
      <c r="E1517" t="inlineStr">
        <is>
          <t>SOLLEFTEÅ</t>
        </is>
      </c>
      <c r="G1517" t="n">
        <v>9.1</v>
      </c>
      <c r="H1517" t="n">
        <v>0</v>
      </c>
      <c r="I1517" t="n">
        <v>0</v>
      </c>
      <c r="J1517" t="n">
        <v>0</v>
      </c>
      <c r="K1517" t="n">
        <v>0</v>
      </c>
      <c r="L1517" t="n">
        <v>0</v>
      </c>
      <c r="M1517" t="n">
        <v>0</v>
      </c>
      <c r="N1517" t="n">
        <v>0</v>
      </c>
      <c r="O1517" t="n">
        <v>0</v>
      </c>
      <c r="P1517" t="n">
        <v>0</v>
      </c>
      <c r="Q1517" t="n">
        <v>0</v>
      </c>
      <c r="R1517" s="2" t="inlineStr"/>
    </row>
    <row r="1518" ht="15" customHeight="1">
      <c r="A1518" t="inlineStr">
        <is>
          <t>A 11108-2025</t>
        </is>
      </c>
      <c r="B1518" s="1" t="n">
        <v>45723.6150462963</v>
      </c>
      <c r="C1518" s="1" t="n">
        <v>46048</v>
      </c>
      <c r="D1518" t="inlineStr">
        <is>
          <t>VÄSTERNORRLANDS LÄN</t>
        </is>
      </c>
      <c r="E1518" t="inlineStr">
        <is>
          <t>SOLLEFTEÅ</t>
        </is>
      </c>
      <c r="F1518" t="inlineStr">
        <is>
          <t>SCA</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21191-2022</t>
        </is>
      </c>
      <c r="B1519" s="1" t="n">
        <v>44704.94193287037</v>
      </c>
      <c r="C1519" s="1" t="n">
        <v>46048</v>
      </c>
      <c r="D1519" t="inlineStr">
        <is>
          <t>VÄSTERNORRLANDS LÄN</t>
        </is>
      </c>
      <c r="E1519" t="inlineStr">
        <is>
          <t>SOLLEFTEÅ</t>
        </is>
      </c>
      <c r="F1519" t="inlineStr">
        <is>
          <t>SCA</t>
        </is>
      </c>
      <c r="G1519" t="n">
        <v>26.5</v>
      </c>
      <c r="H1519" t="n">
        <v>0</v>
      </c>
      <c r="I1519" t="n">
        <v>0</v>
      </c>
      <c r="J1519" t="n">
        <v>0</v>
      </c>
      <c r="K1519" t="n">
        <v>0</v>
      </c>
      <c r="L1519" t="n">
        <v>0</v>
      </c>
      <c r="M1519" t="n">
        <v>0</v>
      </c>
      <c r="N1519" t="n">
        <v>0</v>
      </c>
      <c r="O1519" t="n">
        <v>0</v>
      </c>
      <c r="P1519" t="n">
        <v>0</v>
      </c>
      <c r="Q1519" t="n">
        <v>0</v>
      </c>
      <c r="R1519" s="2" t="inlineStr"/>
    </row>
    <row r="1520" ht="15" customHeight="1">
      <c r="A1520" t="inlineStr">
        <is>
          <t>A 61847-2024</t>
        </is>
      </c>
      <c r="B1520" s="1" t="n">
        <v>45646</v>
      </c>
      <c r="C1520" s="1" t="n">
        <v>46048</v>
      </c>
      <c r="D1520" t="inlineStr">
        <is>
          <t>VÄSTERNORRLANDS LÄN</t>
        </is>
      </c>
      <c r="E1520" t="inlineStr">
        <is>
          <t>SOLLEFTEÅ</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53831-2024</t>
        </is>
      </c>
      <c r="B1521" s="1" t="n">
        <v>45615.61575231481</v>
      </c>
      <c r="C1521" s="1" t="n">
        <v>46048</v>
      </c>
      <c r="D1521" t="inlineStr">
        <is>
          <t>VÄSTERNORRLANDS LÄN</t>
        </is>
      </c>
      <c r="E1521" t="inlineStr">
        <is>
          <t>SOLLEFTEÅ</t>
        </is>
      </c>
      <c r="F1521" t="inlineStr">
        <is>
          <t>SCA</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32346-2025</t>
        </is>
      </c>
      <c r="B1522" s="1" t="n">
        <v>45837.44827546296</v>
      </c>
      <c r="C1522" s="1" t="n">
        <v>46048</v>
      </c>
      <c r="D1522" t="inlineStr">
        <is>
          <t>VÄSTERNORRLANDS LÄN</t>
        </is>
      </c>
      <c r="E1522" t="inlineStr">
        <is>
          <t>SOLLEFTEÅ</t>
        </is>
      </c>
      <c r="F1522" t="inlineStr">
        <is>
          <t>SCA</t>
        </is>
      </c>
      <c r="G1522" t="n">
        <v>7</v>
      </c>
      <c r="H1522" t="n">
        <v>0</v>
      </c>
      <c r="I1522" t="n">
        <v>0</v>
      </c>
      <c r="J1522" t="n">
        <v>0</v>
      </c>
      <c r="K1522" t="n">
        <v>0</v>
      </c>
      <c r="L1522" t="n">
        <v>0</v>
      </c>
      <c r="M1522" t="n">
        <v>0</v>
      </c>
      <c r="N1522" t="n">
        <v>0</v>
      </c>
      <c r="O1522" t="n">
        <v>0</v>
      </c>
      <c r="P1522" t="n">
        <v>0</v>
      </c>
      <c r="Q1522" t="n">
        <v>0</v>
      </c>
      <c r="R1522" s="2" t="inlineStr"/>
    </row>
    <row r="1523" ht="15" customHeight="1">
      <c r="A1523" t="inlineStr">
        <is>
          <t>A 37046-2024</t>
        </is>
      </c>
      <c r="B1523" s="1" t="n">
        <v>45539.42739583334</v>
      </c>
      <c r="C1523" s="1" t="n">
        <v>46048</v>
      </c>
      <c r="D1523" t="inlineStr">
        <is>
          <t>VÄSTERNORRLANDS LÄN</t>
        </is>
      </c>
      <c r="E1523" t="inlineStr">
        <is>
          <t>SOLLEFTEÅ</t>
        </is>
      </c>
      <c r="F1523" t="inlineStr">
        <is>
          <t>SCA</t>
        </is>
      </c>
      <c r="G1523" t="n">
        <v>6.2</v>
      </c>
      <c r="H1523" t="n">
        <v>0</v>
      </c>
      <c r="I1523" t="n">
        <v>0</v>
      </c>
      <c r="J1523" t="n">
        <v>0</v>
      </c>
      <c r="K1523" t="n">
        <v>0</v>
      </c>
      <c r="L1523" t="n">
        <v>0</v>
      </c>
      <c r="M1523" t="n">
        <v>0</v>
      </c>
      <c r="N1523" t="n">
        <v>0</v>
      </c>
      <c r="O1523" t="n">
        <v>0</v>
      </c>
      <c r="P1523" t="n">
        <v>0</v>
      </c>
      <c r="Q1523" t="n">
        <v>0</v>
      </c>
      <c r="R1523" s="2" t="inlineStr"/>
    </row>
    <row r="1524" ht="15" customHeight="1">
      <c r="A1524" t="inlineStr">
        <is>
          <t>A 32338-2025</t>
        </is>
      </c>
      <c r="B1524" s="1" t="n">
        <v>45836.67751157407</v>
      </c>
      <c r="C1524" s="1" t="n">
        <v>46048</v>
      </c>
      <c r="D1524" t="inlineStr">
        <is>
          <t>VÄSTERNORRLANDS LÄN</t>
        </is>
      </c>
      <c r="E1524" t="inlineStr">
        <is>
          <t>SOLLEFTEÅ</t>
        </is>
      </c>
      <c r="F1524" t="inlineStr">
        <is>
          <t>SCA</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50688-2023</t>
        </is>
      </c>
      <c r="B1525" s="1" t="n">
        <v>45210</v>
      </c>
      <c r="C1525" s="1" t="n">
        <v>46048</v>
      </c>
      <c r="D1525" t="inlineStr">
        <is>
          <t>VÄSTERNORRLANDS LÄN</t>
        </is>
      </c>
      <c r="E1525" t="inlineStr">
        <is>
          <t>SOLLEFTEÅ</t>
        </is>
      </c>
      <c r="G1525" t="n">
        <v>15.6</v>
      </c>
      <c r="H1525" t="n">
        <v>0</v>
      </c>
      <c r="I1525" t="n">
        <v>0</v>
      </c>
      <c r="J1525" t="n">
        <v>0</v>
      </c>
      <c r="K1525" t="n">
        <v>0</v>
      </c>
      <c r="L1525" t="n">
        <v>0</v>
      </c>
      <c r="M1525" t="n">
        <v>0</v>
      </c>
      <c r="N1525" t="n">
        <v>0</v>
      </c>
      <c r="O1525" t="n">
        <v>0</v>
      </c>
      <c r="P1525" t="n">
        <v>0</v>
      </c>
      <c r="Q1525" t="n">
        <v>0</v>
      </c>
      <c r="R1525" s="2" t="inlineStr"/>
    </row>
    <row r="1526" ht="15" customHeight="1">
      <c r="A1526" t="inlineStr">
        <is>
          <t>A 50745-2023</t>
        </is>
      </c>
      <c r="B1526" s="1" t="n">
        <v>45210</v>
      </c>
      <c r="C1526" s="1" t="n">
        <v>46048</v>
      </c>
      <c r="D1526" t="inlineStr">
        <is>
          <t>VÄSTERNORRLANDS LÄN</t>
        </is>
      </c>
      <c r="E1526" t="inlineStr">
        <is>
          <t>SOLLEFTEÅ</t>
        </is>
      </c>
      <c r="G1526" t="n">
        <v>3.8</v>
      </c>
      <c r="H1526" t="n">
        <v>0</v>
      </c>
      <c r="I1526" t="n">
        <v>0</v>
      </c>
      <c r="J1526" t="n">
        <v>0</v>
      </c>
      <c r="K1526" t="n">
        <v>0</v>
      </c>
      <c r="L1526" t="n">
        <v>0</v>
      </c>
      <c r="M1526" t="n">
        <v>0</v>
      </c>
      <c r="N1526" t="n">
        <v>0</v>
      </c>
      <c r="O1526" t="n">
        <v>0</v>
      </c>
      <c r="P1526" t="n">
        <v>0</v>
      </c>
      <c r="Q1526" t="n">
        <v>0</v>
      </c>
      <c r="R1526" s="2" t="inlineStr"/>
    </row>
    <row r="1527" ht="15" customHeight="1">
      <c r="A1527" t="inlineStr">
        <is>
          <t>A 43772-2022</t>
        </is>
      </c>
      <c r="B1527" s="1" t="n">
        <v>44837</v>
      </c>
      <c r="C1527" s="1" t="n">
        <v>46048</v>
      </c>
      <c r="D1527" t="inlineStr">
        <is>
          <t>VÄSTERNORRLANDS LÄN</t>
        </is>
      </c>
      <c r="E1527" t="inlineStr">
        <is>
          <t>SOLLEFTEÅ</t>
        </is>
      </c>
      <c r="F1527" t="inlineStr">
        <is>
          <t>Kyrkan</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8656-2024</t>
        </is>
      </c>
      <c r="B1528" s="1" t="n">
        <v>45356</v>
      </c>
      <c r="C1528" s="1" t="n">
        <v>46048</v>
      </c>
      <c r="D1528" t="inlineStr">
        <is>
          <t>VÄSTERNORRLANDS LÄN</t>
        </is>
      </c>
      <c r="E1528" t="inlineStr">
        <is>
          <t>SOLLEFTEÅ</t>
        </is>
      </c>
      <c r="F1528" t="inlineStr">
        <is>
          <t>SCA</t>
        </is>
      </c>
      <c r="G1528" t="n">
        <v>18.4</v>
      </c>
      <c r="H1528" t="n">
        <v>0</v>
      </c>
      <c r="I1528" t="n">
        <v>0</v>
      </c>
      <c r="J1528" t="n">
        <v>0</v>
      </c>
      <c r="K1528" t="n">
        <v>0</v>
      </c>
      <c r="L1528" t="n">
        <v>0</v>
      </c>
      <c r="M1528" t="n">
        <v>0</v>
      </c>
      <c r="N1528" t="n">
        <v>0</v>
      </c>
      <c r="O1528" t="n">
        <v>0</v>
      </c>
      <c r="P1528" t="n">
        <v>0</v>
      </c>
      <c r="Q1528" t="n">
        <v>0</v>
      </c>
      <c r="R1528" s="2" t="inlineStr"/>
    </row>
    <row r="1529" ht="15" customHeight="1">
      <c r="A1529" t="inlineStr">
        <is>
          <t>A 57010-2023</t>
        </is>
      </c>
      <c r="B1529" s="1" t="n">
        <v>45239</v>
      </c>
      <c r="C1529" s="1" t="n">
        <v>46048</v>
      </c>
      <c r="D1529" t="inlineStr">
        <is>
          <t>VÄSTERNORRLANDS LÄN</t>
        </is>
      </c>
      <c r="E1529" t="inlineStr">
        <is>
          <t>SOLLEFTEÅ</t>
        </is>
      </c>
      <c r="G1529" t="n">
        <v>1.6</v>
      </c>
      <c r="H1529" t="n">
        <v>0</v>
      </c>
      <c r="I1529" t="n">
        <v>0</v>
      </c>
      <c r="J1529" t="n">
        <v>0</v>
      </c>
      <c r="K1529" t="n">
        <v>0</v>
      </c>
      <c r="L1529" t="n">
        <v>0</v>
      </c>
      <c r="M1529" t="n">
        <v>0</v>
      </c>
      <c r="N1529" t="n">
        <v>0</v>
      </c>
      <c r="O1529" t="n">
        <v>0</v>
      </c>
      <c r="P1529" t="n">
        <v>0</v>
      </c>
      <c r="Q1529" t="n">
        <v>0</v>
      </c>
      <c r="R1529" s="2" t="inlineStr"/>
      <c r="U1529">
        <f>HYPERLINK("https://klasma.github.io/Logging_2283/knärot/A 57010-2023 karta knärot.png", "A 57010-2023")</f>
        <v/>
      </c>
      <c r="V1529">
        <f>HYPERLINK("https://klasma.github.io/Logging_2283/klagomål/A 57010-2023 FSC-klagomål.docx", "A 57010-2023")</f>
        <v/>
      </c>
      <c r="W1529">
        <f>HYPERLINK("https://klasma.github.io/Logging_2283/klagomålsmail/A 57010-2023 FSC-klagomål mail.docx", "A 57010-2023")</f>
        <v/>
      </c>
      <c r="X1529">
        <f>HYPERLINK("https://klasma.github.io/Logging_2283/tillsyn/A 57010-2023 tillsynsbegäran.docx", "A 57010-2023")</f>
        <v/>
      </c>
      <c r="Y1529">
        <f>HYPERLINK("https://klasma.github.io/Logging_2283/tillsynsmail/A 57010-2023 tillsynsbegäran mail.docx", "A 57010-2023")</f>
        <v/>
      </c>
    </row>
    <row r="1530" ht="15" customHeight="1">
      <c r="A1530" t="inlineStr">
        <is>
          <t>A 48038-2024</t>
        </is>
      </c>
      <c r="B1530" s="1" t="n">
        <v>45589.49350694445</v>
      </c>
      <c r="C1530" s="1" t="n">
        <v>46048</v>
      </c>
      <c r="D1530" t="inlineStr">
        <is>
          <t>VÄSTERNORRLANDS LÄN</t>
        </is>
      </c>
      <c r="E1530" t="inlineStr">
        <is>
          <t>SOLLEFTEÅ</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32537-2025</t>
        </is>
      </c>
      <c r="B1531" s="1" t="n">
        <v>45838.49689814815</v>
      </c>
      <c r="C1531" s="1" t="n">
        <v>46048</v>
      </c>
      <c r="D1531" t="inlineStr">
        <is>
          <t>VÄSTERNORRLANDS LÄN</t>
        </is>
      </c>
      <c r="E1531" t="inlineStr">
        <is>
          <t>SOLLEFTEÅ</t>
        </is>
      </c>
      <c r="G1531" t="n">
        <v>9.6</v>
      </c>
      <c r="H1531" t="n">
        <v>0</v>
      </c>
      <c r="I1531" t="n">
        <v>0</v>
      </c>
      <c r="J1531" t="n">
        <v>0</v>
      </c>
      <c r="K1531" t="n">
        <v>0</v>
      </c>
      <c r="L1531" t="n">
        <v>0</v>
      </c>
      <c r="M1531" t="n">
        <v>0</v>
      </c>
      <c r="N1531" t="n">
        <v>0</v>
      </c>
      <c r="O1531" t="n">
        <v>0</v>
      </c>
      <c r="P1531" t="n">
        <v>0</v>
      </c>
      <c r="Q1531" t="n">
        <v>0</v>
      </c>
      <c r="R1531" s="2" t="inlineStr"/>
    </row>
    <row r="1532" ht="15" customHeight="1">
      <c r="A1532" t="inlineStr">
        <is>
          <t>A 4722-2025</t>
        </is>
      </c>
      <c r="B1532" s="1" t="n">
        <v>45688.41627314815</v>
      </c>
      <c r="C1532" s="1" t="n">
        <v>46048</v>
      </c>
      <c r="D1532" t="inlineStr">
        <is>
          <t>VÄSTERNORRLANDS LÄN</t>
        </is>
      </c>
      <c r="E1532" t="inlineStr">
        <is>
          <t>SOLLEFTEÅ</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4726-2025</t>
        </is>
      </c>
      <c r="B1533" s="1" t="n">
        <v>45688</v>
      </c>
      <c r="C1533" s="1" t="n">
        <v>46048</v>
      </c>
      <c r="D1533" t="inlineStr">
        <is>
          <t>VÄSTERNORRLANDS LÄN</t>
        </is>
      </c>
      <c r="E1533" t="inlineStr">
        <is>
          <t>SOLLEFTEÅ</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6282-2024</t>
        </is>
      </c>
      <c r="B1534" s="1" t="n">
        <v>45337</v>
      </c>
      <c r="C1534" s="1" t="n">
        <v>46048</v>
      </c>
      <c r="D1534" t="inlineStr">
        <is>
          <t>VÄSTERNORRLANDS LÄN</t>
        </is>
      </c>
      <c r="E1534" t="inlineStr">
        <is>
          <t>SOLLEFTEÅ</t>
        </is>
      </c>
      <c r="F1534" t="inlineStr">
        <is>
          <t>SCA</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33502-2025</t>
        </is>
      </c>
      <c r="B1535" s="1" t="n">
        <v>45841.51101851852</v>
      </c>
      <c r="C1535" s="1" t="n">
        <v>46048</v>
      </c>
      <c r="D1535" t="inlineStr">
        <is>
          <t>VÄSTERNORRLANDS LÄN</t>
        </is>
      </c>
      <c r="E1535" t="inlineStr">
        <is>
          <t>SOLLEFTEÅ</t>
        </is>
      </c>
      <c r="F1535" t="inlineStr">
        <is>
          <t>SCA</t>
        </is>
      </c>
      <c r="G1535" t="n">
        <v>6.4</v>
      </c>
      <c r="H1535" t="n">
        <v>0</v>
      </c>
      <c r="I1535" t="n">
        <v>0</v>
      </c>
      <c r="J1535" t="n">
        <v>0</v>
      </c>
      <c r="K1535" t="n">
        <v>0</v>
      </c>
      <c r="L1535" t="n">
        <v>0</v>
      </c>
      <c r="M1535" t="n">
        <v>0</v>
      </c>
      <c r="N1535" t="n">
        <v>0</v>
      </c>
      <c r="O1535" t="n">
        <v>0</v>
      </c>
      <c r="P1535" t="n">
        <v>0</v>
      </c>
      <c r="Q1535" t="n">
        <v>0</v>
      </c>
      <c r="R1535" s="2" t="inlineStr"/>
    </row>
    <row r="1536" ht="15" customHeight="1">
      <c r="A1536" t="inlineStr">
        <is>
          <t>A 33739-2024</t>
        </is>
      </c>
      <c r="B1536" s="1" t="n">
        <v>45520.55943287037</v>
      </c>
      <c r="C1536" s="1" t="n">
        <v>46048</v>
      </c>
      <c r="D1536" t="inlineStr">
        <is>
          <t>VÄSTERNORRLANDS LÄN</t>
        </is>
      </c>
      <c r="E1536" t="inlineStr">
        <is>
          <t>SOLLEFTEÅ</t>
        </is>
      </c>
      <c r="F1536" t="inlineStr">
        <is>
          <t>SCA</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25703-2024</t>
        </is>
      </c>
      <c r="B1537" s="1" t="n">
        <v>45463</v>
      </c>
      <c r="C1537" s="1" t="n">
        <v>46048</v>
      </c>
      <c r="D1537" t="inlineStr">
        <is>
          <t>VÄSTERNORRLANDS LÄN</t>
        </is>
      </c>
      <c r="E1537" t="inlineStr">
        <is>
          <t>SOLLEFTEÅ</t>
        </is>
      </c>
      <c r="F1537" t="inlineStr">
        <is>
          <t>SCA</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25704-2024</t>
        </is>
      </c>
      <c r="B1538" s="1" t="n">
        <v>45463.94270833334</v>
      </c>
      <c r="C1538" s="1" t="n">
        <v>46048</v>
      </c>
      <c r="D1538" t="inlineStr">
        <is>
          <t>VÄSTERNORRLANDS LÄN</t>
        </is>
      </c>
      <c r="E1538" t="inlineStr">
        <is>
          <t>SOLLEFTEÅ</t>
        </is>
      </c>
      <c r="F1538" t="inlineStr">
        <is>
          <t>SCA</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29459-2024</t>
        </is>
      </c>
      <c r="B1539" s="1" t="n">
        <v>45483.96939814815</v>
      </c>
      <c r="C1539" s="1" t="n">
        <v>46048</v>
      </c>
      <c r="D1539" t="inlineStr">
        <is>
          <t>VÄSTERNORRLANDS LÄN</t>
        </is>
      </c>
      <c r="E1539" t="inlineStr">
        <is>
          <t>SOLLEFTEÅ</t>
        </is>
      </c>
      <c r="F1539" t="inlineStr">
        <is>
          <t>SCA</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55654-2023</t>
        </is>
      </c>
      <c r="B1540" s="1" t="n">
        <v>45238.96642361111</v>
      </c>
      <c r="C1540" s="1" t="n">
        <v>46048</v>
      </c>
      <c r="D1540" t="inlineStr">
        <is>
          <t>VÄSTERNORRLANDS LÄN</t>
        </is>
      </c>
      <c r="E1540" t="inlineStr">
        <is>
          <t>SOLLEFTEÅ</t>
        </is>
      </c>
      <c r="F1540" t="inlineStr">
        <is>
          <t>SCA</t>
        </is>
      </c>
      <c r="G1540" t="n">
        <v>4.1</v>
      </c>
      <c r="H1540" t="n">
        <v>0</v>
      </c>
      <c r="I1540" t="n">
        <v>0</v>
      </c>
      <c r="J1540" t="n">
        <v>0</v>
      </c>
      <c r="K1540" t="n">
        <v>0</v>
      </c>
      <c r="L1540" t="n">
        <v>0</v>
      </c>
      <c r="M1540" t="n">
        <v>0</v>
      </c>
      <c r="N1540" t="n">
        <v>0</v>
      </c>
      <c r="O1540" t="n">
        <v>0</v>
      </c>
      <c r="P1540" t="n">
        <v>0</v>
      </c>
      <c r="Q1540" t="n">
        <v>0</v>
      </c>
      <c r="R1540" s="2" t="inlineStr"/>
    </row>
    <row r="1541" ht="15" customHeight="1">
      <c r="A1541" t="inlineStr">
        <is>
          <t>A 33430-2025</t>
        </is>
      </c>
      <c r="B1541" s="1" t="n">
        <v>45841.44829861111</v>
      </c>
      <c r="C1541" s="1" t="n">
        <v>46048</v>
      </c>
      <c r="D1541" t="inlineStr">
        <is>
          <t>VÄSTERNORRLANDS LÄN</t>
        </is>
      </c>
      <c r="E1541" t="inlineStr">
        <is>
          <t>SOLLEFTEÅ</t>
        </is>
      </c>
      <c r="F1541" t="inlineStr">
        <is>
          <t>SCA</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33436-2025</t>
        </is>
      </c>
      <c r="B1542" s="1" t="n">
        <v>45841.44898148148</v>
      </c>
      <c r="C1542" s="1" t="n">
        <v>46048</v>
      </c>
      <c r="D1542" t="inlineStr">
        <is>
          <t>VÄSTERNORRLANDS LÄN</t>
        </is>
      </c>
      <c r="E1542" t="inlineStr">
        <is>
          <t>SOLLEFTEÅ</t>
        </is>
      </c>
      <c r="F1542" t="inlineStr">
        <is>
          <t>SCA</t>
        </is>
      </c>
      <c r="G1542" t="n">
        <v>19.2</v>
      </c>
      <c r="H1542" t="n">
        <v>0</v>
      </c>
      <c r="I1542" t="n">
        <v>0</v>
      </c>
      <c r="J1542" t="n">
        <v>0</v>
      </c>
      <c r="K1542" t="n">
        <v>0</v>
      </c>
      <c r="L1542" t="n">
        <v>0</v>
      </c>
      <c r="M1542" t="n">
        <v>0</v>
      </c>
      <c r="N1542" t="n">
        <v>0</v>
      </c>
      <c r="O1542" t="n">
        <v>0</v>
      </c>
      <c r="P1542" t="n">
        <v>0</v>
      </c>
      <c r="Q1542" t="n">
        <v>0</v>
      </c>
      <c r="R1542" s="2" t="inlineStr"/>
    </row>
    <row r="1543" ht="15" customHeight="1">
      <c r="A1543" t="inlineStr">
        <is>
          <t>A 33437-2025</t>
        </is>
      </c>
      <c r="B1543" s="1" t="n">
        <v>45841.4502199074</v>
      </c>
      <c r="C1543" s="1" t="n">
        <v>46048</v>
      </c>
      <c r="D1543" t="inlineStr">
        <is>
          <t>VÄSTERNORRLANDS LÄN</t>
        </is>
      </c>
      <c r="E1543" t="inlineStr">
        <is>
          <t>SOLLEFTEÅ</t>
        </is>
      </c>
      <c r="G1543" t="n">
        <v>2.8</v>
      </c>
      <c r="H1543" t="n">
        <v>0</v>
      </c>
      <c r="I1543" t="n">
        <v>0</v>
      </c>
      <c r="J1543" t="n">
        <v>0</v>
      </c>
      <c r="K1543" t="n">
        <v>0</v>
      </c>
      <c r="L1543" t="n">
        <v>0</v>
      </c>
      <c r="M1543" t="n">
        <v>0</v>
      </c>
      <c r="N1543" t="n">
        <v>0</v>
      </c>
      <c r="O1543" t="n">
        <v>0</v>
      </c>
      <c r="P1543" t="n">
        <v>0</v>
      </c>
      <c r="Q1543" t="n">
        <v>0</v>
      </c>
      <c r="R1543" s="2" t="inlineStr"/>
    </row>
    <row r="1544" ht="15" customHeight="1">
      <c r="A1544" t="inlineStr">
        <is>
          <t>A 17664-2023</t>
        </is>
      </c>
      <c r="B1544" s="1" t="n">
        <v>45036.94416666667</v>
      </c>
      <c r="C1544" s="1" t="n">
        <v>46048</v>
      </c>
      <c r="D1544" t="inlineStr">
        <is>
          <t>VÄSTERNORRLANDS LÄN</t>
        </is>
      </c>
      <c r="E1544" t="inlineStr">
        <is>
          <t>SOLLEFTEÅ</t>
        </is>
      </c>
      <c r="F1544" t="inlineStr">
        <is>
          <t>SCA</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18741-2021</t>
        </is>
      </c>
      <c r="B1545" s="1" t="n">
        <v>44306</v>
      </c>
      <c r="C1545" s="1" t="n">
        <v>46048</v>
      </c>
      <c r="D1545" t="inlineStr">
        <is>
          <t>VÄSTERNORRLANDS LÄN</t>
        </is>
      </c>
      <c r="E1545" t="inlineStr">
        <is>
          <t>SOLLEFTEÅ</t>
        </is>
      </c>
      <c r="F1545" t="inlineStr">
        <is>
          <t>Kyrkan</t>
        </is>
      </c>
      <c r="G1545" t="n">
        <v>4.8</v>
      </c>
      <c r="H1545" t="n">
        <v>0</v>
      </c>
      <c r="I1545" t="n">
        <v>0</v>
      </c>
      <c r="J1545" t="n">
        <v>0</v>
      </c>
      <c r="K1545" t="n">
        <v>0</v>
      </c>
      <c r="L1545" t="n">
        <v>0</v>
      </c>
      <c r="M1545" t="n">
        <v>0</v>
      </c>
      <c r="N1545" t="n">
        <v>0</v>
      </c>
      <c r="O1545" t="n">
        <v>0</v>
      </c>
      <c r="P1545" t="n">
        <v>0</v>
      </c>
      <c r="Q1545" t="n">
        <v>0</v>
      </c>
      <c r="R1545" s="2" t="inlineStr"/>
    </row>
    <row r="1546" ht="15" customHeight="1">
      <c r="A1546" t="inlineStr">
        <is>
          <t>A 7007-2025</t>
        </is>
      </c>
      <c r="B1546" s="1" t="n">
        <v>45701</v>
      </c>
      <c r="C1546" s="1" t="n">
        <v>46048</v>
      </c>
      <c r="D1546" t="inlineStr">
        <is>
          <t>VÄSTERNORRLANDS LÄN</t>
        </is>
      </c>
      <c r="E1546" t="inlineStr">
        <is>
          <t>SOLLEFTEÅ</t>
        </is>
      </c>
      <c r="G1546" t="n">
        <v>6.1</v>
      </c>
      <c r="H1546" t="n">
        <v>0</v>
      </c>
      <c r="I1546" t="n">
        <v>0</v>
      </c>
      <c r="J1546" t="n">
        <v>0</v>
      </c>
      <c r="K1546" t="n">
        <v>0</v>
      </c>
      <c r="L1546" t="n">
        <v>0</v>
      </c>
      <c r="M1546" t="n">
        <v>0</v>
      </c>
      <c r="N1546" t="n">
        <v>0</v>
      </c>
      <c r="O1546" t="n">
        <v>0</v>
      </c>
      <c r="P1546" t="n">
        <v>0</v>
      </c>
      <c r="Q1546" t="n">
        <v>0</v>
      </c>
      <c r="R1546" s="2" t="inlineStr"/>
    </row>
    <row r="1547" ht="15" customHeight="1">
      <c r="A1547" t="inlineStr">
        <is>
          <t>A 33676-2025</t>
        </is>
      </c>
      <c r="B1547" s="1" t="n">
        <v>45841.67818287037</v>
      </c>
      <c r="C1547" s="1" t="n">
        <v>46048</v>
      </c>
      <c r="D1547" t="inlineStr">
        <is>
          <t>VÄSTERNORRLANDS LÄN</t>
        </is>
      </c>
      <c r="E1547" t="inlineStr">
        <is>
          <t>SOLLEFTEÅ</t>
        </is>
      </c>
      <c r="F1547" t="inlineStr">
        <is>
          <t>SCA</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48235-2024</t>
        </is>
      </c>
      <c r="B1548" s="1" t="n">
        <v>45590</v>
      </c>
      <c r="C1548" s="1" t="n">
        <v>46048</v>
      </c>
      <c r="D1548" t="inlineStr">
        <is>
          <t>VÄSTERNORRLANDS LÄN</t>
        </is>
      </c>
      <c r="E1548" t="inlineStr">
        <is>
          <t>SOLLEFTEÅ</t>
        </is>
      </c>
      <c r="F1548" t="inlineStr">
        <is>
          <t>SCA</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23285-2023</t>
        </is>
      </c>
      <c r="B1549" s="1" t="n">
        <v>45075</v>
      </c>
      <c r="C1549" s="1" t="n">
        <v>46048</v>
      </c>
      <c r="D1549" t="inlineStr">
        <is>
          <t>VÄSTERNORRLANDS LÄN</t>
        </is>
      </c>
      <c r="E1549" t="inlineStr">
        <is>
          <t>SOLLEFTEÅ</t>
        </is>
      </c>
      <c r="G1549" t="n">
        <v>0.2</v>
      </c>
      <c r="H1549" t="n">
        <v>0</v>
      </c>
      <c r="I1549" t="n">
        <v>0</v>
      </c>
      <c r="J1549" t="n">
        <v>0</v>
      </c>
      <c r="K1549" t="n">
        <v>0</v>
      </c>
      <c r="L1549" t="n">
        <v>0</v>
      </c>
      <c r="M1549" t="n">
        <v>0</v>
      </c>
      <c r="N1549" t="n">
        <v>0</v>
      </c>
      <c r="O1549" t="n">
        <v>0</v>
      </c>
      <c r="P1549" t="n">
        <v>0</v>
      </c>
      <c r="Q1549" t="n">
        <v>0</v>
      </c>
      <c r="R1549" s="2" t="inlineStr"/>
    </row>
    <row r="1550" ht="15" customHeight="1">
      <c r="A1550" t="inlineStr">
        <is>
          <t>A 19936-2025</t>
        </is>
      </c>
      <c r="B1550" s="1" t="n">
        <v>45771.64130787037</v>
      </c>
      <c r="C1550" s="1" t="n">
        <v>46048</v>
      </c>
      <c r="D1550" t="inlineStr">
        <is>
          <t>VÄSTERNORRLANDS LÄN</t>
        </is>
      </c>
      <c r="E1550" t="inlineStr">
        <is>
          <t>SOLLEFTEÅ</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3103-2025</t>
        </is>
      </c>
      <c r="B1551" s="1" t="n">
        <v>45678.67739583334</v>
      </c>
      <c r="C1551" s="1" t="n">
        <v>46048</v>
      </c>
      <c r="D1551" t="inlineStr">
        <is>
          <t>VÄSTERNORRLANDS LÄN</t>
        </is>
      </c>
      <c r="E1551" t="inlineStr">
        <is>
          <t>SOLLEFTEÅ</t>
        </is>
      </c>
      <c r="F1551" t="inlineStr">
        <is>
          <t>SCA</t>
        </is>
      </c>
      <c r="G1551" t="n">
        <v>5.2</v>
      </c>
      <c r="H1551" t="n">
        <v>0</v>
      </c>
      <c r="I1551" t="n">
        <v>0</v>
      </c>
      <c r="J1551" t="n">
        <v>0</v>
      </c>
      <c r="K1551" t="n">
        <v>0</v>
      </c>
      <c r="L1551" t="n">
        <v>0</v>
      </c>
      <c r="M1551" t="n">
        <v>0</v>
      </c>
      <c r="N1551" t="n">
        <v>0</v>
      </c>
      <c r="O1551" t="n">
        <v>0</v>
      </c>
      <c r="P1551" t="n">
        <v>0</v>
      </c>
      <c r="Q1551" t="n">
        <v>0</v>
      </c>
      <c r="R1551" s="2" t="inlineStr"/>
    </row>
    <row r="1552" ht="15" customHeight="1">
      <c r="A1552" t="inlineStr">
        <is>
          <t>A 57078-2024</t>
        </is>
      </c>
      <c r="B1552" s="1" t="n">
        <v>45629.35518518519</v>
      </c>
      <c r="C1552" s="1" t="n">
        <v>46048</v>
      </c>
      <c r="D1552" t="inlineStr">
        <is>
          <t>VÄSTERNORRLANDS LÄN</t>
        </is>
      </c>
      <c r="E1552" t="inlineStr">
        <is>
          <t>SOLLEFTEÅ</t>
        </is>
      </c>
      <c r="F1552" t="inlineStr">
        <is>
          <t>SCA</t>
        </is>
      </c>
      <c r="G1552" t="n">
        <v>2.8</v>
      </c>
      <c r="H1552" t="n">
        <v>0</v>
      </c>
      <c r="I1552" t="n">
        <v>0</v>
      </c>
      <c r="J1552" t="n">
        <v>0</v>
      </c>
      <c r="K1552" t="n">
        <v>0</v>
      </c>
      <c r="L1552" t="n">
        <v>0</v>
      </c>
      <c r="M1552" t="n">
        <v>0</v>
      </c>
      <c r="N1552" t="n">
        <v>0</v>
      </c>
      <c r="O1552" t="n">
        <v>0</v>
      </c>
      <c r="P1552" t="n">
        <v>0</v>
      </c>
      <c r="Q1552" t="n">
        <v>0</v>
      </c>
      <c r="R1552" s="2" t="inlineStr"/>
    </row>
    <row r="1553" ht="15" customHeight="1">
      <c r="A1553" t="inlineStr">
        <is>
          <t>A 33013-2025</t>
        </is>
      </c>
      <c r="B1553" s="1" t="n">
        <v>45840.36518518518</v>
      </c>
      <c r="C1553" s="1" t="n">
        <v>46048</v>
      </c>
      <c r="D1553" t="inlineStr">
        <is>
          <t>VÄSTERNORRLANDS LÄN</t>
        </is>
      </c>
      <c r="E1553" t="inlineStr">
        <is>
          <t>SOLLEFTEÅ</t>
        </is>
      </c>
      <c r="F1553" t="inlineStr">
        <is>
          <t>SCA</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33607-2025</t>
        </is>
      </c>
      <c r="B1554" s="1" t="n">
        <v>45841.61521990741</v>
      </c>
      <c r="C1554" s="1" t="n">
        <v>46048</v>
      </c>
      <c r="D1554" t="inlineStr">
        <is>
          <t>VÄSTERNORRLANDS LÄN</t>
        </is>
      </c>
      <c r="E1554" t="inlineStr">
        <is>
          <t>SOLLEFTEÅ</t>
        </is>
      </c>
      <c r="F1554" t="inlineStr">
        <is>
          <t>SCA</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33673-2025</t>
        </is>
      </c>
      <c r="B1555" s="1" t="n">
        <v>45841.67761574074</v>
      </c>
      <c r="C1555" s="1" t="n">
        <v>46048</v>
      </c>
      <c r="D1555" t="inlineStr">
        <is>
          <t>VÄSTERNORRLANDS LÄN</t>
        </is>
      </c>
      <c r="E1555" t="inlineStr">
        <is>
          <t>SOLLEFTEÅ</t>
        </is>
      </c>
      <c r="F1555" t="inlineStr">
        <is>
          <t>SCA</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33012-2025</t>
        </is>
      </c>
      <c r="B1556" s="1" t="n">
        <v>45840.36498842593</v>
      </c>
      <c r="C1556" s="1" t="n">
        <v>46048</v>
      </c>
      <c r="D1556" t="inlineStr">
        <is>
          <t>VÄSTERNORRLANDS LÄN</t>
        </is>
      </c>
      <c r="E1556" t="inlineStr">
        <is>
          <t>SOLLEFTEÅ</t>
        </is>
      </c>
      <c r="F1556" t="inlineStr">
        <is>
          <t>SCA</t>
        </is>
      </c>
      <c r="G1556" t="n">
        <v>5.5</v>
      </c>
      <c r="H1556" t="n">
        <v>0</v>
      </c>
      <c r="I1556" t="n">
        <v>0</v>
      </c>
      <c r="J1556" t="n">
        <v>0</v>
      </c>
      <c r="K1556" t="n">
        <v>0</v>
      </c>
      <c r="L1556" t="n">
        <v>0</v>
      </c>
      <c r="M1556" t="n">
        <v>0</v>
      </c>
      <c r="N1556" t="n">
        <v>0</v>
      </c>
      <c r="O1556" t="n">
        <v>0</v>
      </c>
      <c r="P1556" t="n">
        <v>0</v>
      </c>
      <c r="Q1556" t="n">
        <v>0</v>
      </c>
      <c r="R1556" s="2" t="inlineStr"/>
    </row>
    <row r="1557" ht="15" customHeight="1">
      <c r="A1557" t="inlineStr">
        <is>
          <t>A 33675-2025</t>
        </is>
      </c>
      <c r="B1557" s="1" t="n">
        <v>45841.67796296296</v>
      </c>
      <c r="C1557" s="1" t="n">
        <v>46048</v>
      </c>
      <c r="D1557" t="inlineStr">
        <is>
          <t>VÄSTERNORRLANDS LÄN</t>
        </is>
      </c>
      <c r="E1557" t="inlineStr">
        <is>
          <t>SOLLEFTEÅ</t>
        </is>
      </c>
      <c r="F1557" t="inlineStr">
        <is>
          <t>SCA</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53545-2024</t>
        </is>
      </c>
      <c r="B1558" s="1" t="n">
        <v>45614.6370949074</v>
      </c>
      <c r="C1558" s="1" t="n">
        <v>46048</v>
      </c>
      <c r="D1558" t="inlineStr">
        <is>
          <t>VÄSTERNORRLANDS LÄN</t>
        </is>
      </c>
      <c r="E1558" t="inlineStr">
        <is>
          <t>SOLLEFTEÅ</t>
        </is>
      </c>
      <c r="F1558" t="inlineStr">
        <is>
          <t>SCA</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6068-2024</t>
        </is>
      </c>
      <c r="B1559" s="1" t="n">
        <v>45336.89725694444</v>
      </c>
      <c r="C1559" s="1" t="n">
        <v>46048</v>
      </c>
      <c r="D1559" t="inlineStr">
        <is>
          <t>VÄSTERNORRLANDS LÄN</t>
        </is>
      </c>
      <c r="E1559" t="inlineStr">
        <is>
          <t>SOLLEFTEÅ</t>
        </is>
      </c>
      <c r="F1559" t="inlineStr">
        <is>
          <t>Övriga Aktiebolag</t>
        </is>
      </c>
      <c r="G1559" t="n">
        <v>12.6</v>
      </c>
      <c r="H1559" t="n">
        <v>0</v>
      </c>
      <c r="I1559" t="n">
        <v>0</v>
      </c>
      <c r="J1559" t="n">
        <v>0</v>
      </c>
      <c r="K1559" t="n">
        <v>0</v>
      </c>
      <c r="L1559" t="n">
        <v>0</v>
      </c>
      <c r="M1559" t="n">
        <v>0</v>
      </c>
      <c r="N1559" t="n">
        <v>0</v>
      </c>
      <c r="O1559" t="n">
        <v>0</v>
      </c>
      <c r="P1559" t="n">
        <v>0</v>
      </c>
      <c r="Q1559" t="n">
        <v>0</v>
      </c>
      <c r="R1559" s="2" t="inlineStr"/>
    </row>
    <row r="1560" ht="15" customHeight="1">
      <c r="A1560" t="inlineStr">
        <is>
          <t>A 33442-2025</t>
        </is>
      </c>
      <c r="B1560" s="1" t="n">
        <v>45841.46092592592</v>
      </c>
      <c r="C1560" s="1" t="n">
        <v>46048</v>
      </c>
      <c r="D1560" t="inlineStr">
        <is>
          <t>VÄSTERNORRLANDS LÄN</t>
        </is>
      </c>
      <c r="E1560" t="inlineStr">
        <is>
          <t>SOLLEFTEÅ</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33674-2025</t>
        </is>
      </c>
      <c r="B1561" s="1" t="n">
        <v>45841.67770833334</v>
      </c>
      <c r="C1561" s="1" t="n">
        <v>46048</v>
      </c>
      <c r="D1561" t="inlineStr">
        <is>
          <t>VÄSTERNORRLANDS LÄN</t>
        </is>
      </c>
      <c r="E1561" t="inlineStr">
        <is>
          <t>SOLLEFTEÅ</t>
        </is>
      </c>
      <c r="F1561" t="inlineStr">
        <is>
          <t>SCA</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14109-2023</t>
        </is>
      </c>
      <c r="B1562" s="1" t="n">
        <v>45008</v>
      </c>
      <c r="C1562" s="1" t="n">
        <v>46048</v>
      </c>
      <c r="D1562" t="inlineStr">
        <is>
          <t>VÄSTERNORRLANDS LÄN</t>
        </is>
      </c>
      <c r="E1562" t="inlineStr">
        <is>
          <t>SOLLEFTEÅ</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20183-2025</t>
        </is>
      </c>
      <c r="B1563" s="1" t="n">
        <v>45772.59440972222</v>
      </c>
      <c r="C1563" s="1" t="n">
        <v>46048</v>
      </c>
      <c r="D1563" t="inlineStr">
        <is>
          <t>VÄSTERNORRLANDS LÄN</t>
        </is>
      </c>
      <c r="E1563" t="inlineStr">
        <is>
          <t>SOLLEFTEÅ</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27025-2024</t>
        </is>
      </c>
      <c r="B1564" s="1" t="n">
        <v>45471.42071759259</v>
      </c>
      <c r="C1564" s="1" t="n">
        <v>46048</v>
      </c>
      <c r="D1564" t="inlineStr">
        <is>
          <t>VÄSTERNORRLANDS LÄN</t>
        </is>
      </c>
      <c r="E1564" t="inlineStr">
        <is>
          <t>SOLLEFTEÅ</t>
        </is>
      </c>
      <c r="F1564" t="inlineStr">
        <is>
          <t>Holmen skog AB</t>
        </is>
      </c>
      <c r="G1564" t="n">
        <v>4.5</v>
      </c>
      <c r="H1564" t="n">
        <v>0</v>
      </c>
      <c r="I1564" t="n">
        <v>0</v>
      </c>
      <c r="J1564" t="n">
        <v>0</v>
      </c>
      <c r="K1564" t="n">
        <v>0</v>
      </c>
      <c r="L1564" t="n">
        <v>0</v>
      </c>
      <c r="M1564" t="n">
        <v>0</v>
      </c>
      <c r="N1564" t="n">
        <v>0</v>
      </c>
      <c r="O1564" t="n">
        <v>0</v>
      </c>
      <c r="P1564" t="n">
        <v>0</v>
      </c>
      <c r="Q1564" t="n">
        <v>0</v>
      </c>
      <c r="R1564" s="2" t="inlineStr"/>
    </row>
    <row r="1565" ht="15" customHeight="1">
      <c r="A1565" t="inlineStr">
        <is>
          <t>A 33452-2025</t>
        </is>
      </c>
      <c r="B1565" s="1" t="n">
        <v>45841.46940972222</v>
      </c>
      <c r="C1565" s="1" t="n">
        <v>46048</v>
      </c>
      <c r="D1565" t="inlineStr">
        <is>
          <t>VÄSTERNORRLANDS LÄN</t>
        </is>
      </c>
      <c r="E1565" t="inlineStr">
        <is>
          <t>SOLLEFTEÅ</t>
        </is>
      </c>
      <c r="F1565" t="inlineStr">
        <is>
          <t>SCA</t>
        </is>
      </c>
      <c r="G1565" t="n">
        <v>3.7</v>
      </c>
      <c r="H1565" t="n">
        <v>0</v>
      </c>
      <c r="I1565" t="n">
        <v>0</v>
      </c>
      <c r="J1565" t="n">
        <v>0</v>
      </c>
      <c r="K1565" t="n">
        <v>0</v>
      </c>
      <c r="L1565" t="n">
        <v>0</v>
      </c>
      <c r="M1565" t="n">
        <v>0</v>
      </c>
      <c r="N1565" t="n">
        <v>0</v>
      </c>
      <c r="O1565" t="n">
        <v>0</v>
      </c>
      <c r="P1565" t="n">
        <v>0</v>
      </c>
      <c r="Q1565" t="n">
        <v>0</v>
      </c>
      <c r="R1565" s="2" t="inlineStr"/>
    </row>
    <row r="1566" ht="15" customHeight="1">
      <c r="A1566" t="inlineStr">
        <is>
          <t>A 58155-2023</t>
        </is>
      </c>
      <c r="B1566" s="1" t="n">
        <v>45250</v>
      </c>
      <c r="C1566" s="1" t="n">
        <v>46048</v>
      </c>
      <c r="D1566" t="inlineStr">
        <is>
          <t>VÄSTERNORRLANDS LÄN</t>
        </is>
      </c>
      <c r="E1566" t="inlineStr">
        <is>
          <t>SOLLEFTEÅ</t>
        </is>
      </c>
      <c r="G1566" t="n">
        <v>4.1</v>
      </c>
      <c r="H1566" t="n">
        <v>0</v>
      </c>
      <c r="I1566" t="n">
        <v>0</v>
      </c>
      <c r="J1566" t="n">
        <v>0</v>
      </c>
      <c r="K1566" t="n">
        <v>0</v>
      </c>
      <c r="L1566" t="n">
        <v>0</v>
      </c>
      <c r="M1566" t="n">
        <v>0</v>
      </c>
      <c r="N1566" t="n">
        <v>0</v>
      </c>
      <c r="O1566" t="n">
        <v>0</v>
      </c>
      <c r="P1566" t="n">
        <v>0</v>
      </c>
      <c r="Q1566" t="n">
        <v>0</v>
      </c>
      <c r="R1566" s="2" t="inlineStr"/>
    </row>
    <row r="1567" ht="15" customHeight="1">
      <c r="A1567" t="inlineStr">
        <is>
          <t>A 20334-2025</t>
        </is>
      </c>
      <c r="B1567" s="1" t="n">
        <v>45775.36496527777</v>
      </c>
      <c r="C1567" s="1" t="n">
        <v>46048</v>
      </c>
      <c r="D1567" t="inlineStr">
        <is>
          <t>VÄSTERNORRLANDS LÄN</t>
        </is>
      </c>
      <c r="E1567" t="inlineStr">
        <is>
          <t>SOLLEFTEÅ</t>
        </is>
      </c>
      <c r="F1567" t="inlineStr">
        <is>
          <t>SCA</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39230-2021</t>
        </is>
      </c>
      <c r="B1568" s="1" t="n">
        <v>44413.43902777778</v>
      </c>
      <c r="C1568" s="1" t="n">
        <v>46048</v>
      </c>
      <c r="D1568" t="inlineStr">
        <is>
          <t>VÄSTERNORRLANDS LÄN</t>
        </is>
      </c>
      <c r="E1568" t="inlineStr">
        <is>
          <t>SOLLEFTEÅ</t>
        </is>
      </c>
      <c r="G1568" t="n">
        <v>13.6</v>
      </c>
      <c r="H1568" t="n">
        <v>0</v>
      </c>
      <c r="I1568" t="n">
        <v>0</v>
      </c>
      <c r="J1568" t="n">
        <v>0</v>
      </c>
      <c r="K1568" t="n">
        <v>0</v>
      </c>
      <c r="L1568" t="n">
        <v>0</v>
      </c>
      <c r="M1568" t="n">
        <v>0</v>
      </c>
      <c r="N1568" t="n">
        <v>0</v>
      </c>
      <c r="O1568" t="n">
        <v>0</v>
      </c>
      <c r="P1568" t="n">
        <v>0</v>
      </c>
      <c r="Q1568" t="n">
        <v>0</v>
      </c>
      <c r="R1568" s="2" t="inlineStr"/>
    </row>
    <row r="1569" ht="15" customHeight="1">
      <c r="A1569" t="inlineStr">
        <is>
          <t>A 33825-2025</t>
        </is>
      </c>
      <c r="B1569" s="1" t="n">
        <v>45842.46930555555</v>
      </c>
      <c r="C1569" s="1" t="n">
        <v>46048</v>
      </c>
      <c r="D1569" t="inlineStr">
        <is>
          <t>VÄSTERNORRLANDS LÄN</t>
        </is>
      </c>
      <c r="E1569" t="inlineStr">
        <is>
          <t>SOLLEFTEÅ</t>
        </is>
      </c>
      <c r="F1569" t="inlineStr">
        <is>
          <t>SCA</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33855-2025</t>
        </is>
      </c>
      <c r="B1570" s="1" t="n">
        <v>45842.51125</v>
      </c>
      <c r="C1570" s="1" t="n">
        <v>46048</v>
      </c>
      <c r="D1570" t="inlineStr">
        <is>
          <t>VÄSTERNORRLANDS LÄN</t>
        </is>
      </c>
      <c r="E1570" t="inlineStr">
        <is>
          <t>SOLLEFTEÅ</t>
        </is>
      </c>
      <c r="F1570" t="inlineStr">
        <is>
          <t>SCA</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33936-2025</t>
        </is>
      </c>
      <c r="B1571" s="1" t="n">
        <v>45842.63630787037</v>
      </c>
      <c r="C1571" s="1" t="n">
        <v>46048</v>
      </c>
      <c r="D1571" t="inlineStr">
        <is>
          <t>VÄSTERNORRLANDS LÄN</t>
        </is>
      </c>
      <c r="E1571" t="inlineStr">
        <is>
          <t>SOLLEFTEÅ</t>
        </is>
      </c>
      <c r="F1571" t="inlineStr">
        <is>
          <t>SCA</t>
        </is>
      </c>
      <c r="G1571" t="n">
        <v>3.2</v>
      </c>
      <c r="H1571" t="n">
        <v>0</v>
      </c>
      <c r="I1571" t="n">
        <v>0</v>
      </c>
      <c r="J1571" t="n">
        <v>0</v>
      </c>
      <c r="K1571" t="n">
        <v>0</v>
      </c>
      <c r="L1571" t="n">
        <v>0</v>
      </c>
      <c r="M1571" t="n">
        <v>0</v>
      </c>
      <c r="N1571" t="n">
        <v>0</v>
      </c>
      <c r="O1571" t="n">
        <v>0</v>
      </c>
      <c r="P1571" t="n">
        <v>0</v>
      </c>
      <c r="Q1571" t="n">
        <v>0</v>
      </c>
      <c r="R1571" s="2" t="inlineStr"/>
    </row>
    <row r="1572" ht="15" customHeight="1">
      <c r="A1572" t="inlineStr">
        <is>
          <t>A 40571-2024</t>
        </is>
      </c>
      <c r="B1572" s="1" t="n">
        <v>45555.67759259259</v>
      </c>
      <c r="C1572" s="1" t="n">
        <v>46048</v>
      </c>
      <c r="D1572" t="inlineStr">
        <is>
          <t>VÄSTERNORRLANDS LÄN</t>
        </is>
      </c>
      <c r="E1572" t="inlineStr">
        <is>
          <t>SOLLEFTEÅ</t>
        </is>
      </c>
      <c r="F1572" t="inlineStr">
        <is>
          <t>SCA</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40679-2024</t>
        </is>
      </c>
      <c r="B1573" s="1" t="n">
        <v>45558</v>
      </c>
      <c r="C1573" s="1" t="n">
        <v>46048</v>
      </c>
      <c r="D1573" t="inlineStr">
        <is>
          <t>VÄSTERNORRLANDS LÄN</t>
        </is>
      </c>
      <c r="E1573" t="inlineStr">
        <is>
          <t>SOLLEFTEÅ</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33917-2025</t>
        </is>
      </c>
      <c r="B1574" s="1" t="n">
        <v>45842.61491898148</v>
      </c>
      <c r="C1574" s="1" t="n">
        <v>46048</v>
      </c>
      <c r="D1574" t="inlineStr">
        <is>
          <t>VÄSTERNORRLANDS LÄN</t>
        </is>
      </c>
      <c r="E1574" t="inlineStr">
        <is>
          <t>SOLLEFTEÅ</t>
        </is>
      </c>
      <c r="F1574" t="inlineStr">
        <is>
          <t>SCA</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19053-2022</t>
        </is>
      </c>
      <c r="B1575" s="1" t="n">
        <v>44691.41626157407</v>
      </c>
      <c r="C1575" s="1" t="n">
        <v>46048</v>
      </c>
      <c r="D1575" t="inlineStr">
        <is>
          <t>VÄSTERNORRLANDS LÄN</t>
        </is>
      </c>
      <c r="E1575" t="inlineStr">
        <is>
          <t>SOLLEFTEÅ</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54572-2024</t>
        </is>
      </c>
      <c r="B1576" s="1" t="n">
        <v>45617.65054398148</v>
      </c>
      <c r="C1576" s="1" t="n">
        <v>46048</v>
      </c>
      <c r="D1576" t="inlineStr">
        <is>
          <t>VÄSTERNORRLANDS LÄN</t>
        </is>
      </c>
      <c r="E1576" t="inlineStr">
        <is>
          <t>SOLLEFTEÅ</t>
        </is>
      </c>
      <c r="G1576" t="n">
        <v>28.2</v>
      </c>
      <c r="H1576" t="n">
        <v>0</v>
      </c>
      <c r="I1576" t="n">
        <v>0</v>
      </c>
      <c r="J1576" t="n">
        <v>0</v>
      </c>
      <c r="K1576" t="n">
        <v>0</v>
      </c>
      <c r="L1576" t="n">
        <v>0</v>
      </c>
      <c r="M1576" t="n">
        <v>0</v>
      </c>
      <c r="N1576" t="n">
        <v>0</v>
      </c>
      <c r="O1576" t="n">
        <v>0</v>
      </c>
      <c r="P1576" t="n">
        <v>0</v>
      </c>
      <c r="Q1576" t="n">
        <v>0</v>
      </c>
      <c r="R1576" s="2" t="inlineStr"/>
    </row>
    <row r="1577" ht="15" customHeight="1">
      <c r="A1577" t="inlineStr">
        <is>
          <t>A 14308-2022</t>
        </is>
      </c>
      <c r="B1577" s="1" t="n">
        <v>44651.93954861111</v>
      </c>
      <c r="C1577" s="1" t="n">
        <v>46048</v>
      </c>
      <c r="D1577" t="inlineStr">
        <is>
          <t>VÄSTERNORRLANDS LÄN</t>
        </is>
      </c>
      <c r="E1577" t="inlineStr">
        <is>
          <t>SOLLEFTEÅ</t>
        </is>
      </c>
      <c r="F1577" t="inlineStr">
        <is>
          <t>SCA</t>
        </is>
      </c>
      <c r="G1577" t="n">
        <v>4.1</v>
      </c>
      <c r="H1577" t="n">
        <v>0</v>
      </c>
      <c r="I1577" t="n">
        <v>0</v>
      </c>
      <c r="J1577" t="n">
        <v>0</v>
      </c>
      <c r="K1577" t="n">
        <v>0</v>
      </c>
      <c r="L1577" t="n">
        <v>0</v>
      </c>
      <c r="M1577" t="n">
        <v>0</v>
      </c>
      <c r="N1577" t="n">
        <v>0</v>
      </c>
      <c r="O1577" t="n">
        <v>0</v>
      </c>
      <c r="P1577" t="n">
        <v>0</v>
      </c>
      <c r="Q1577" t="n">
        <v>0</v>
      </c>
      <c r="R1577" s="2" t="inlineStr"/>
    </row>
    <row r="1578" ht="15" customHeight="1">
      <c r="A1578" t="inlineStr">
        <is>
          <t>A 40575-2024</t>
        </is>
      </c>
      <c r="B1578" s="1" t="n">
        <v>45555</v>
      </c>
      <c r="C1578" s="1" t="n">
        <v>46048</v>
      </c>
      <c r="D1578" t="inlineStr">
        <is>
          <t>VÄSTERNORRLANDS LÄN</t>
        </is>
      </c>
      <c r="E1578" t="inlineStr">
        <is>
          <t>SOLLEFTEÅ</t>
        </is>
      </c>
      <c r="F1578" t="inlineStr">
        <is>
          <t>SCA</t>
        </is>
      </c>
      <c r="G1578" t="n">
        <v>2.7</v>
      </c>
      <c r="H1578" t="n">
        <v>0</v>
      </c>
      <c r="I1578" t="n">
        <v>0</v>
      </c>
      <c r="J1578" t="n">
        <v>0</v>
      </c>
      <c r="K1578" t="n">
        <v>0</v>
      </c>
      <c r="L1578" t="n">
        <v>0</v>
      </c>
      <c r="M1578" t="n">
        <v>0</v>
      </c>
      <c r="N1578" t="n">
        <v>0</v>
      </c>
      <c r="O1578" t="n">
        <v>0</v>
      </c>
      <c r="P1578" t="n">
        <v>0</v>
      </c>
      <c r="Q1578" t="n">
        <v>0</v>
      </c>
      <c r="R1578" s="2" t="inlineStr"/>
    </row>
    <row r="1579" ht="15" customHeight="1">
      <c r="A1579" t="inlineStr">
        <is>
          <t>A 42663-2022</t>
        </is>
      </c>
      <c r="B1579" s="1" t="n">
        <v>44831</v>
      </c>
      <c r="C1579" s="1" t="n">
        <v>46048</v>
      </c>
      <c r="D1579" t="inlineStr">
        <is>
          <t>VÄSTERNORRLANDS LÄN</t>
        </is>
      </c>
      <c r="E1579" t="inlineStr">
        <is>
          <t>SOLLEFTEÅ</t>
        </is>
      </c>
      <c r="F1579" t="inlineStr">
        <is>
          <t>SCA</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19749-2025</t>
        </is>
      </c>
      <c r="B1580" s="1" t="n">
        <v>45771.38582175926</v>
      </c>
      <c r="C1580" s="1" t="n">
        <v>46048</v>
      </c>
      <c r="D1580" t="inlineStr">
        <is>
          <t>VÄSTERNORRLANDS LÄN</t>
        </is>
      </c>
      <c r="E1580" t="inlineStr">
        <is>
          <t>SOLLEFTEÅ</t>
        </is>
      </c>
      <c r="F1580" t="inlineStr">
        <is>
          <t>SCA</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17172-2024</t>
        </is>
      </c>
      <c r="B1581" s="1" t="n">
        <v>45412.97858796296</v>
      </c>
      <c r="C1581" s="1" t="n">
        <v>46048</v>
      </c>
      <c r="D1581" t="inlineStr">
        <is>
          <t>VÄSTERNORRLANDS LÄN</t>
        </is>
      </c>
      <c r="E1581" t="inlineStr">
        <is>
          <t>SOLLEFTEÅ</t>
        </is>
      </c>
      <c r="F1581" t="inlineStr">
        <is>
          <t>SCA</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10950-2025</t>
        </is>
      </c>
      <c r="B1582" s="1" t="n">
        <v>45723.34474537037</v>
      </c>
      <c r="C1582" s="1" t="n">
        <v>46048</v>
      </c>
      <c r="D1582" t="inlineStr">
        <is>
          <t>VÄSTERNORRLANDS LÄN</t>
        </is>
      </c>
      <c r="E1582" t="inlineStr">
        <is>
          <t>SOLLEFTEÅ</t>
        </is>
      </c>
      <c r="F1582" t="inlineStr">
        <is>
          <t>SCA</t>
        </is>
      </c>
      <c r="G1582" t="n">
        <v>32.3</v>
      </c>
      <c r="H1582" t="n">
        <v>0</v>
      </c>
      <c r="I1582" t="n">
        <v>0</v>
      </c>
      <c r="J1582" t="n">
        <v>0</v>
      </c>
      <c r="K1582" t="n">
        <v>0</v>
      </c>
      <c r="L1582" t="n">
        <v>0</v>
      </c>
      <c r="M1582" t="n">
        <v>0</v>
      </c>
      <c r="N1582" t="n">
        <v>0</v>
      </c>
      <c r="O1582" t="n">
        <v>0</v>
      </c>
      <c r="P1582" t="n">
        <v>0</v>
      </c>
      <c r="Q1582" t="n">
        <v>0</v>
      </c>
      <c r="R1582" s="2" t="inlineStr"/>
    </row>
    <row r="1583" ht="15" customHeight="1">
      <c r="A1583" t="inlineStr">
        <is>
          <t>A 2939-2025</t>
        </is>
      </c>
      <c r="B1583" s="1" t="n">
        <v>45678.38581018519</v>
      </c>
      <c r="C1583" s="1" t="n">
        <v>46048</v>
      </c>
      <c r="D1583" t="inlineStr">
        <is>
          <t>VÄSTERNORRLANDS LÄN</t>
        </is>
      </c>
      <c r="E1583" t="inlineStr">
        <is>
          <t>SOLLEFTEÅ</t>
        </is>
      </c>
      <c r="F1583" t="inlineStr">
        <is>
          <t>SCA</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24731-2021</t>
        </is>
      </c>
      <c r="B1584" s="1" t="n">
        <v>44340</v>
      </c>
      <c r="C1584" s="1" t="n">
        <v>46048</v>
      </c>
      <c r="D1584" t="inlineStr">
        <is>
          <t>VÄSTERNORRLANDS LÄN</t>
        </is>
      </c>
      <c r="E1584" t="inlineStr">
        <is>
          <t>SOLLEFTEÅ</t>
        </is>
      </c>
      <c r="G1584" t="n">
        <v>5.3</v>
      </c>
      <c r="H1584" t="n">
        <v>0</v>
      </c>
      <c r="I1584" t="n">
        <v>0</v>
      </c>
      <c r="J1584" t="n">
        <v>0</v>
      </c>
      <c r="K1584" t="n">
        <v>0</v>
      </c>
      <c r="L1584" t="n">
        <v>0</v>
      </c>
      <c r="M1584" t="n">
        <v>0</v>
      </c>
      <c r="N1584" t="n">
        <v>0</v>
      </c>
      <c r="O1584" t="n">
        <v>0</v>
      </c>
      <c r="P1584" t="n">
        <v>0</v>
      </c>
      <c r="Q1584" t="n">
        <v>0</v>
      </c>
      <c r="R1584" s="2" t="inlineStr"/>
    </row>
    <row r="1585" ht="15" customHeight="1">
      <c r="A1585" t="inlineStr">
        <is>
          <t>A 10093-2023</t>
        </is>
      </c>
      <c r="B1585" s="1" t="n">
        <v>44985</v>
      </c>
      <c r="C1585" s="1" t="n">
        <v>46048</v>
      </c>
      <c r="D1585" t="inlineStr">
        <is>
          <t>VÄSTERNORRLANDS LÄN</t>
        </is>
      </c>
      <c r="E1585" t="inlineStr">
        <is>
          <t>SOLLEFTEÅ</t>
        </is>
      </c>
      <c r="F1585" t="inlineStr">
        <is>
          <t>SCA</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39446-2024</t>
        </is>
      </c>
      <c r="B1586" s="1" t="n">
        <v>45551</v>
      </c>
      <c r="C1586" s="1" t="n">
        <v>46048</v>
      </c>
      <c r="D1586" t="inlineStr">
        <is>
          <t>VÄSTERNORRLANDS LÄN</t>
        </is>
      </c>
      <c r="E1586" t="inlineStr">
        <is>
          <t>SOLLEFTEÅ</t>
        </is>
      </c>
      <c r="F1586" t="inlineStr">
        <is>
          <t>SCA</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39469-2024</t>
        </is>
      </c>
      <c r="B1587" s="1" t="n">
        <v>45551</v>
      </c>
      <c r="C1587" s="1" t="n">
        <v>46048</v>
      </c>
      <c r="D1587" t="inlineStr">
        <is>
          <t>VÄSTERNORRLANDS LÄN</t>
        </is>
      </c>
      <c r="E1587" t="inlineStr">
        <is>
          <t>SOLLEFTEÅ</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20461-2023</t>
        </is>
      </c>
      <c r="B1588" s="1" t="n">
        <v>45056.95284722222</v>
      </c>
      <c r="C1588" s="1" t="n">
        <v>46048</v>
      </c>
      <c r="D1588" t="inlineStr">
        <is>
          <t>VÄSTERNORRLANDS LÄN</t>
        </is>
      </c>
      <c r="E1588" t="inlineStr">
        <is>
          <t>SOLLEFTEÅ</t>
        </is>
      </c>
      <c r="F1588" t="inlineStr">
        <is>
          <t>SCA</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12965-2025</t>
        </is>
      </c>
      <c r="B1589" s="1" t="n">
        <v>45734.42753472222</v>
      </c>
      <c r="C1589" s="1" t="n">
        <v>46048</v>
      </c>
      <c r="D1589" t="inlineStr">
        <is>
          <t>VÄSTERNORRLANDS LÄN</t>
        </is>
      </c>
      <c r="E1589" t="inlineStr">
        <is>
          <t>SOLLEFTEÅ</t>
        </is>
      </c>
      <c r="G1589" t="n">
        <v>5.7</v>
      </c>
      <c r="H1589" t="n">
        <v>0</v>
      </c>
      <c r="I1589" t="n">
        <v>0</v>
      </c>
      <c r="J1589" t="n">
        <v>0</v>
      </c>
      <c r="K1589" t="n">
        <v>0</v>
      </c>
      <c r="L1589" t="n">
        <v>0</v>
      </c>
      <c r="M1589" t="n">
        <v>0</v>
      </c>
      <c r="N1589" t="n">
        <v>0</v>
      </c>
      <c r="O1589" t="n">
        <v>0</v>
      </c>
      <c r="P1589" t="n">
        <v>0</v>
      </c>
      <c r="Q1589" t="n">
        <v>0</v>
      </c>
      <c r="R1589" s="2" t="inlineStr"/>
    </row>
    <row r="1590" ht="15" customHeight="1">
      <c r="A1590" t="inlineStr">
        <is>
          <t>A 33935-2025</t>
        </is>
      </c>
      <c r="B1590" s="1" t="n">
        <v>45842.63614583333</v>
      </c>
      <c r="C1590" s="1" t="n">
        <v>46048</v>
      </c>
      <c r="D1590" t="inlineStr">
        <is>
          <t>VÄSTERNORRLANDS LÄN</t>
        </is>
      </c>
      <c r="E1590" t="inlineStr">
        <is>
          <t>SOLLEFTEÅ</t>
        </is>
      </c>
      <c r="F1590" t="inlineStr">
        <is>
          <t>SCA</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34051-2025</t>
        </is>
      </c>
      <c r="B1591" s="1" t="n">
        <v>45845.40672453704</v>
      </c>
      <c r="C1591" s="1" t="n">
        <v>46048</v>
      </c>
      <c r="D1591" t="inlineStr">
        <is>
          <t>VÄSTERNORRLANDS LÄN</t>
        </is>
      </c>
      <c r="E1591" t="inlineStr">
        <is>
          <t>SOLLEFTEÅ</t>
        </is>
      </c>
      <c r="F1591" t="inlineStr">
        <is>
          <t>SCA</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33852-2025</t>
        </is>
      </c>
      <c r="B1592" s="1" t="n">
        <v>45842.51079861111</v>
      </c>
      <c r="C1592" s="1" t="n">
        <v>46048</v>
      </c>
      <c r="D1592" t="inlineStr">
        <is>
          <t>VÄSTERNORRLANDS LÄN</t>
        </is>
      </c>
      <c r="E1592" t="inlineStr">
        <is>
          <t>SOLLEFTEÅ</t>
        </is>
      </c>
      <c r="F1592" t="inlineStr">
        <is>
          <t>SCA</t>
        </is>
      </c>
      <c r="G1592" t="n">
        <v>3.7</v>
      </c>
      <c r="H1592" t="n">
        <v>0</v>
      </c>
      <c r="I1592" t="n">
        <v>0</v>
      </c>
      <c r="J1592" t="n">
        <v>0</v>
      </c>
      <c r="K1592" t="n">
        <v>0</v>
      </c>
      <c r="L1592" t="n">
        <v>0</v>
      </c>
      <c r="M1592" t="n">
        <v>0</v>
      </c>
      <c r="N1592" t="n">
        <v>0</v>
      </c>
      <c r="O1592" t="n">
        <v>0</v>
      </c>
      <c r="P1592" t="n">
        <v>0</v>
      </c>
      <c r="Q1592" t="n">
        <v>0</v>
      </c>
      <c r="R1592" s="2" t="inlineStr"/>
    </row>
    <row r="1593" ht="15" customHeight="1">
      <c r="A1593" t="inlineStr">
        <is>
          <t>A 3081-2025</t>
        </is>
      </c>
      <c r="B1593" s="1" t="n">
        <v>45678.644375</v>
      </c>
      <c r="C1593" s="1" t="n">
        <v>46048</v>
      </c>
      <c r="D1593" t="inlineStr">
        <is>
          <t>VÄSTERNORRLANDS LÄN</t>
        </is>
      </c>
      <c r="E1593" t="inlineStr">
        <is>
          <t>SOLLEFTEÅ</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27314-2024</t>
        </is>
      </c>
      <c r="B1594" s="1" t="n">
        <v>45471.94633101852</v>
      </c>
      <c r="C1594" s="1" t="n">
        <v>46048</v>
      </c>
      <c r="D1594" t="inlineStr">
        <is>
          <t>VÄSTERNORRLANDS LÄN</t>
        </is>
      </c>
      <c r="E1594" t="inlineStr">
        <is>
          <t>SOLLEFTEÅ</t>
        </is>
      </c>
      <c r="G1594" t="n">
        <v>3.8</v>
      </c>
      <c r="H1594" t="n">
        <v>0</v>
      </c>
      <c r="I1594" t="n">
        <v>0</v>
      </c>
      <c r="J1594" t="n">
        <v>0</v>
      </c>
      <c r="K1594" t="n">
        <v>0</v>
      </c>
      <c r="L1594" t="n">
        <v>0</v>
      </c>
      <c r="M1594" t="n">
        <v>0</v>
      </c>
      <c r="N1594" t="n">
        <v>0</v>
      </c>
      <c r="O1594" t="n">
        <v>0</v>
      </c>
      <c r="P1594" t="n">
        <v>0</v>
      </c>
      <c r="Q1594" t="n">
        <v>0</v>
      </c>
      <c r="R1594" s="2" t="inlineStr"/>
      <c r="U1594">
        <f>HYPERLINK("https://klasma.github.io/Logging_2283/knärot/A 27314-2024 karta knärot.png", "A 27314-2024")</f>
        <v/>
      </c>
      <c r="V1594">
        <f>HYPERLINK("https://klasma.github.io/Logging_2283/klagomål/A 27314-2024 FSC-klagomål.docx", "A 27314-2024")</f>
        <v/>
      </c>
      <c r="W1594">
        <f>HYPERLINK("https://klasma.github.io/Logging_2283/klagomålsmail/A 27314-2024 FSC-klagomål mail.docx", "A 27314-2024")</f>
        <v/>
      </c>
      <c r="X1594">
        <f>HYPERLINK("https://klasma.github.io/Logging_2283/tillsyn/A 27314-2024 tillsynsbegäran.docx", "A 27314-2024")</f>
        <v/>
      </c>
      <c r="Y1594">
        <f>HYPERLINK("https://klasma.github.io/Logging_2283/tillsynsmail/A 27314-2024 tillsynsbegäran mail.docx", "A 27314-2024")</f>
        <v/>
      </c>
    </row>
    <row r="1595" ht="15" customHeight="1">
      <c r="A1595" t="inlineStr">
        <is>
          <t>A 19929-2025</t>
        </is>
      </c>
      <c r="B1595" s="1" t="n">
        <v>45771.6359837963</v>
      </c>
      <c r="C1595" s="1" t="n">
        <v>46048</v>
      </c>
      <c r="D1595" t="inlineStr">
        <is>
          <t>VÄSTERNORRLANDS LÄN</t>
        </is>
      </c>
      <c r="E1595" t="inlineStr">
        <is>
          <t>SOLLEFTEÅ</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19932-2025</t>
        </is>
      </c>
      <c r="B1596" s="1" t="n">
        <v>45771.63940972222</v>
      </c>
      <c r="C1596" s="1" t="n">
        <v>46048</v>
      </c>
      <c r="D1596" t="inlineStr">
        <is>
          <t>VÄSTERNORRLANDS LÄN</t>
        </is>
      </c>
      <c r="E1596" t="inlineStr">
        <is>
          <t>SOLLEFTEÅ</t>
        </is>
      </c>
      <c r="G1596" t="n">
        <v>4</v>
      </c>
      <c r="H1596" t="n">
        <v>0</v>
      </c>
      <c r="I1596" t="n">
        <v>0</v>
      </c>
      <c r="J1596" t="n">
        <v>0</v>
      </c>
      <c r="K1596" t="n">
        <v>0</v>
      </c>
      <c r="L1596" t="n">
        <v>0</v>
      </c>
      <c r="M1596" t="n">
        <v>0</v>
      </c>
      <c r="N1596" t="n">
        <v>0</v>
      </c>
      <c r="O1596" t="n">
        <v>0</v>
      </c>
      <c r="P1596" t="n">
        <v>0</v>
      </c>
      <c r="Q1596" t="n">
        <v>0</v>
      </c>
      <c r="R1596" s="2" t="inlineStr"/>
    </row>
    <row r="1597" ht="15" customHeight="1">
      <c r="A1597" t="inlineStr">
        <is>
          <t>A 1623-2025</t>
        </is>
      </c>
      <c r="B1597" s="1" t="n">
        <v>45670.61526620371</v>
      </c>
      <c r="C1597" s="1" t="n">
        <v>46048</v>
      </c>
      <c r="D1597" t="inlineStr">
        <is>
          <t>VÄSTERNORRLANDS LÄN</t>
        </is>
      </c>
      <c r="E1597" t="inlineStr">
        <is>
          <t>SOLLEFTEÅ</t>
        </is>
      </c>
      <c r="F1597" t="inlineStr">
        <is>
          <t>SCA</t>
        </is>
      </c>
      <c r="G1597" t="n">
        <v>4.9</v>
      </c>
      <c r="H1597" t="n">
        <v>0</v>
      </c>
      <c r="I1597" t="n">
        <v>0</v>
      </c>
      <c r="J1597" t="n">
        <v>0</v>
      </c>
      <c r="K1597" t="n">
        <v>0</v>
      </c>
      <c r="L1597" t="n">
        <v>0</v>
      </c>
      <c r="M1597" t="n">
        <v>0</v>
      </c>
      <c r="N1597" t="n">
        <v>0</v>
      </c>
      <c r="O1597" t="n">
        <v>0</v>
      </c>
      <c r="P1597" t="n">
        <v>0</v>
      </c>
      <c r="Q1597" t="n">
        <v>0</v>
      </c>
      <c r="R1597" s="2" t="inlineStr"/>
    </row>
    <row r="1598" ht="15" customHeight="1">
      <c r="A1598" t="inlineStr">
        <is>
          <t>A 18949-2025</t>
        </is>
      </c>
      <c r="B1598" s="1" t="n">
        <v>45764</v>
      </c>
      <c r="C1598" s="1" t="n">
        <v>46048</v>
      </c>
      <c r="D1598" t="inlineStr">
        <is>
          <t>VÄSTERNORRLANDS LÄN</t>
        </is>
      </c>
      <c r="E1598" t="inlineStr">
        <is>
          <t>SOLLEFTEÅ</t>
        </is>
      </c>
      <c r="F1598" t="inlineStr">
        <is>
          <t>SCA</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48396-2024</t>
        </is>
      </c>
      <c r="B1599" s="1" t="n">
        <v>45590.61503472222</v>
      </c>
      <c r="C1599" s="1" t="n">
        <v>46048</v>
      </c>
      <c r="D1599" t="inlineStr">
        <is>
          <t>VÄSTERNORRLANDS LÄN</t>
        </is>
      </c>
      <c r="E1599" t="inlineStr">
        <is>
          <t>SOLLEFTEÅ</t>
        </is>
      </c>
      <c r="F1599" t="inlineStr">
        <is>
          <t>SCA</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11057-2025</t>
        </is>
      </c>
      <c r="B1600" s="1" t="n">
        <v>45723.51069444444</v>
      </c>
      <c r="C1600" s="1" t="n">
        <v>46048</v>
      </c>
      <c r="D1600" t="inlineStr">
        <is>
          <t>VÄSTERNORRLANDS LÄN</t>
        </is>
      </c>
      <c r="E1600" t="inlineStr">
        <is>
          <t>SOLLEFTEÅ</t>
        </is>
      </c>
      <c r="F1600" t="inlineStr">
        <is>
          <t>SCA</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33957-2025</t>
        </is>
      </c>
      <c r="B1601" s="1" t="n">
        <v>45842.67762731481</v>
      </c>
      <c r="C1601" s="1" t="n">
        <v>46048</v>
      </c>
      <c r="D1601" t="inlineStr">
        <is>
          <t>VÄSTERNORRLANDS LÄN</t>
        </is>
      </c>
      <c r="E1601" t="inlineStr">
        <is>
          <t>SOLLEFTEÅ</t>
        </is>
      </c>
      <c r="F1601" t="inlineStr">
        <is>
          <t>SCA</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34000-2025</t>
        </is>
      </c>
      <c r="B1602" s="1" t="n">
        <v>45844.37024305556</v>
      </c>
      <c r="C1602" s="1" t="n">
        <v>46048</v>
      </c>
      <c r="D1602" t="inlineStr">
        <is>
          <t>VÄSTERNORRLANDS LÄN</t>
        </is>
      </c>
      <c r="E1602" t="inlineStr">
        <is>
          <t>SOLLEFTEÅ</t>
        </is>
      </c>
      <c r="G1602" t="n">
        <v>4.3</v>
      </c>
      <c r="H1602" t="n">
        <v>0</v>
      </c>
      <c r="I1602" t="n">
        <v>0</v>
      </c>
      <c r="J1602" t="n">
        <v>0</v>
      </c>
      <c r="K1602" t="n">
        <v>0</v>
      </c>
      <c r="L1602" t="n">
        <v>0</v>
      </c>
      <c r="M1602" t="n">
        <v>0</v>
      </c>
      <c r="N1602" t="n">
        <v>0</v>
      </c>
      <c r="O1602" t="n">
        <v>0</v>
      </c>
      <c r="P1602" t="n">
        <v>0</v>
      </c>
      <c r="Q1602" t="n">
        <v>0</v>
      </c>
      <c r="R1602" s="2" t="inlineStr"/>
    </row>
    <row r="1603" ht="15" customHeight="1">
      <c r="A1603" t="inlineStr">
        <is>
          <t>A 51314-2022</t>
        </is>
      </c>
      <c r="B1603" s="1" t="n">
        <v>44868.950625</v>
      </c>
      <c r="C1603" s="1" t="n">
        <v>46048</v>
      </c>
      <c r="D1603" t="inlineStr">
        <is>
          <t>VÄSTERNORRLANDS LÄN</t>
        </is>
      </c>
      <c r="E1603" t="inlineStr">
        <is>
          <t>SOLLEFTEÅ</t>
        </is>
      </c>
      <c r="F1603" t="inlineStr">
        <is>
          <t>SCA</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33999-2025</t>
        </is>
      </c>
      <c r="B1604" s="1" t="n">
        <v>45844.36113425926</v>
      </c>
      <c r="C1604" s="1" t="n">
        <v>46048</v>
      </c>
      <c r="D1604" t="inlineStr">
        <is>
          <t>VÄSTERNORRLANDS LÄN</t>
        </is>
      </c>
      <c r="E1604" t="inlineStr">
        <is>
          <t>SOLLEFTEÅ</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34459-2025</t>
        </is>
      </c>
      <c r="B1605" s="1" t="n">
        <v>45847.34442129629</v>
      </c>
      <c r="C1605" s="1" t="n">
        <v>46048</v>
      </c>
      <c r="D1605" t="inlineStr">
        <is>
          <t>VÄSTERNORRLANDS LÄN</t>
        </is>
      </c>
      <c r="E1605" t="inlineStr">
        <is>
          <t>SOLLEFTEÅ</t>
        </is>
      </c>
      <c r="G1605" t="n">
        <v>2.8</v>
      </c>
      <c r="H1605" t="n">
        <v>0</v>
      </c>
      <c r="I1605" t="n">
        <v>0</v>
      </c>
      <c r="J1605" t="n">
        <v>0</v>
      </c>
      <c r="K1605" t="n">
        <v>0</v>
      </c>
      <c r="L1605" t="n">
        <v>0</v>
      </c>
      <c r="M1605" t="n">
        <v>0</v>
      </c>
      <c r="N1605" t="n">
        <v>0</v>
      </c>
      <c r="O1605" t="n">
        <v>0</v>
      </c>
      <c r="P1605" t="n">
        <v>0</v>
      </c>
      <c r="Q1605" t="n">
        <v>0</v>
      </c>
      <c r="R1605" s="2" t="inlineStr"/>
    </row>
    <row r="1606" ht="15" customHeight="1">
      <c r="A1606" t="inlineStr">
        <is>
          <t>A 59179-2024</t>
        </is>
      </c>
      <c r="B1606" s="1" t="n">
        <v>45637.51149305556</v>
      </c>
      <c r="C1606" s="1" t="n">
        <v>46048</v>
      </c>
      <c r="D1606" t="inlineStr">
        <is>
          <t>VÄSTERNORRLANDS LÄN</t>
        </is>
      </c>
      <c r="E1606" t="inlineStr">
        <is>
          <t>SOLLEFTEÅ</t>
        </is>
      </c>
      <c r="G1606" t="n">
        <v>5.1</v>
      </c>
      <c r="H1606" t="n">
        <v>0</v>
      </c>
      <c r="I1606" t="n">
        <v>0</v>
      </c>
      <c r="J1606" t="n">
        <v>0</v>
      </c>
      <c r="K1606" t="n">
        <v>0</v>
      </c>
      <c r="L1606" t="n">
        <v>0</v>
      </c>
      <c r="M1606" t="n">
        <v>0</v>
      </c>
      <c r="N1606" t="n">
        <v>0</v>
      </c>
      <c r="O1606" t="n">
        <v>0</v>
      </c>
      <c r="P1606" t="n">
        <v>0</v>
      </c>
      <c r="Q1606" t="n">
        <v>0</v>
      </c>
      <c r="R1606" s="2" t="inlineStr"/>
    </row>
    <row r="1607" ht="15" customHeight="1">
      <c r="A1607" t="inlineStr">
        <is>
          <t>A 34476-2025</t>
        </is>
      </c>
      <c r="B1607" s="1" t="n">
        <v>45847.36752314815</v>
      </c>
      <c r="C1607" s="1" t="n">
        <v>46048</v>
      </c>
      <c r="D1607" t="inlineStr">
        <is>
          <t>VÄSTERNORRLANDS LÄN</t>
        </is>
      </c>
      <c r="E1607" t="inlineStr">
        <is>
          <t>SOLLEFTEÅ</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30060-2024</t>
        </is>
      </c>
      <c r="B1608" s="1" t="n">
        <v>45488.94813657407</v>
      </c>
      <c r="C1608" s="1" t="n">
        <v>46048</v>
      </c>
      <c r="D1608" t="inlineStr">
        <is>
          <t>VÄSTERNORRLANDS LÄN</t>
        </is>
      </c>
      <c r="E1608" t="inlineStr">
        <is>
          <t>SOLLEFTEÅ</t>
        </is>
      </c>
      <c r="F1608" t="inlineStr">
        <is>
          <t>SCA</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41655-2023</t>
        </is>
      </c>
      <c r="B1609" s="1" t="n">
        <v>45175.95751157407</v>
      </c>
      <c r="C1609" s="1" t="n">
        <v>46048</v>
      </c>
      <c r="D1609" t="inlineStr">
        <is>
          <t>VÄSTERNORRLANDS LÄN</t>
        </is>
      </c>
      <c r="E1609" t="inlineStr">
        <is>
          <t>SOLLEFTEÅ</t>
        </is>
      </c>
      <c r="F1609" t="inlineStr">
        <is>
          <t>SCA</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13598-2022</t>
        </is>
      </c>
      <c r="B1610" s="1" t="n">
        <v>44648</v>
      </c>
      <c r="C1610" s="1" t="n">
        <v>46048</v>
      </c>
      <c r="D1610" t="inlineStr">
        <is>
          <t>VÄSTERNORRLANDS LÄN</t>
        </is>
      </c>
      <c r="E1610" t="inlineStr">
        <is>
          <t>SOLLEFTEÅ</t>
        </is>
      </c>
      <c r="G1610" t="n">
        <v>2.5</v>
      </c>
      <c r="H1610" t="n">
        <v>0</v>
      </c>
      <c r="I1610" t="n">
        <v>0</v>
      </c>
      <c r="J1610" t="n">
        <v>0</v>
      </c>
      <c r="K1610" t="n">
        <v>0</v>
      </c>
      <c r="L1610" t="n">
        <v>0</v>
      </c>
      <c r="M1610" t="n">
        <v>0</v>
      </c>
      <c r="N1610" t="n">
        <v>0</v>
      </c>
      <c r="O1610" t="n">
        <v>0</v>
      </c>
      <c r="P1610" t="n">
        <v>0</v>
      </c>
      <c r="Q1610" t="n">
        <v>0</v>
      </c>
      <c r="R1610" s="2" t="inlineStr"/>
    </row>
    <row r="1611" ht="15" customHeight="1">
      <c r="A1611" t="inlineStr">
        <is>
          <t>A 34462-2025</t>
        </is>
      </c>
      <c r="B1611" s="1" t="n">
        <v>45847.34498842592</v>
      </c>
      <c r="C1611" s="1" t="n">
        <v>46048</v>
      </c>
      <c r="D1611" t="inlineStr">
        <is>
          <t>VÄSTERNORRLANDS LÄN</t>
        </is>
      </c>
      <c r="E1611" t="inlineStr">
        <is>
          <t>SOLLEFTEÅ</t>
        </is>
      </c>
      <c r="F1611" t="inlineStr">
        <is>
          <t>SCA</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34473-2025</t>
        </is>
      </c>
      <c r="B1612" s="1" t="n">
        <v>45847.36511574074</v>
      </c>
      <c r="C1612" s="1" t="n">
        <v>46048</v>
      </c>
      <c r="D1612" t="inlineStr">
        <is>
          <t>VÄSTERNORRLANDS LÄN</t>
        </is>
      </c>
      <c r="E1612" t="inlineStr">
        <is>
          <t>SOLLEFTEÅ</t>
        </is>
      </c>
      <c r="F1612" t="inlineStr">
        <is>
          <t>SCA</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41041-2024</t>
        </is>
      </c>
      <c r="B1613" s="1" t="n">
        <v>45558</v>
      </c>
      <c r="C1613" s="1" t="n">
        <v>46048</v>
      </c>
      <c r="D1613" t="inlineStr">
        <is>
          <t>VÄSTERNORRLANDS LÄN</t>
        </is>
      </c>
      <c r="E1613" t="inlineStr">
        <is>
          <t>SOLLEFTEÅ</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41042-2024</t>
        </is>
      </c>
      <c r="B1614" s="1" t="n">
        <v>45559.36490740741</v>
      </c>
      <c r="C1614" s="1" t="n">
        <v>46048</v>
      </c>
      <c r="D1614" t="inlineStr">
        <is>
          <t>VÄSTERNORRLANDS LÄN</t>
        </is>
      </c>
      <c r="E1614" t="inlineStr">
        <is>
          <t>SOLLEFTEÅ</t>
        </is>
      </c>
      <c r="F1614" t="inlineStr">
        <is>
          <t>SCA</t>
        </is>
      </c>
      <c r="G1614" t="n">
        <v>3.9</v>
      </c>
      <c r="H1614" t="n">
        <v>0</v>
      </c>
      <c r="I1614" t="n">
        <v>0</v>
      </c>
      <c r="J1614" t="n">
        <v>0</v>
      </c>
      <c r="K1614" t="n">
        <v>0</v>
      </c>
      <c r="L1614" t="n">
        <v>0</v>
      </c>
      <c r="M1614" t="n">
        <v>0</v>
      </c>
      <c r="N1614" t="n">
        <v>0</v>
      </c>
      <c r="O1614" t="n">
        <v>0</v>
      </c>
      <c r="P1614" t="n">
        <v>0</v>
      </c>
      <c r="Q1614" t="n">
        <v>0</v>
      </c>
      <c r="R1614" s="2" t="inlineStr"/>
    </row>
    <row r="1615" ht="15" customHeight="1">
      <c r="A1615" t="inlineStr">
        <is>
          <t>A 26407-2022</t>
        </is>
      </c>
      <c r="B1615" s="1" t="n">
        <v>44735</v>
      </c>
      <c r="C1615" s="1" t="n">
        <v>46048</v>
      </c>
      <c r="D1615" t="inlineStr">
        <is>
          <t>VÄSTERNORRLANDS LÄN</t>
        </is>
      </c>
      <c r="E1615" t="inlineStr">
        <is>
          <t>SOLLEFTEÅ</t>
        </is>
      </c>
      <c r="F1615" t="inlineStr">
        <is>
          <t>SCA</t>
        </is>
      </c>
      <c r="G1615" t="n">
        <v>2.8</v>
      </c>
      <c r="H1615" t="n">
        <v>0</v>
      </c>
      <c r="I1615" t="n">
        <v>0</v>
      </c>
      <c r="J1615" t="n">
        <v>0</v>
      </c>
      <c r="K1615" t="n">
        <v>0</v>
      </c>
      <c r="L1615" t="n">
        <v>0</v>
      </c>
      <c r="M1615" t="n">
        <v>0</v>
      </c>
      <c r="N1615" t="n">
        <v>0</v>
      </c>
      <c r="O1615" t="n">
        <v>0</v>
      </c>
      <c r="P1615" t="n">
        <v>0</v>
      </c>
      <c r="Q1615" t="n">
        <v>0</v>
      </c>
      <c r="R1615" s="2" t="inlineStr"/>
    </row>
    <row r="1616" ht="15" customHeight="1">
      <c r="A1616" t="inlineStr">
        <is>
          <t>A 36514-2023</t>
        </is>
      </c>
      <c r="B1616" s="1" t="n">
        <v>45152.95377314815</v>
      </c>
      <c r="C1616" s="1" t="n">
        <v>46048</v>
      </c>
      <c r="D1616" t="inlineStr">
        <is>
          <t>VÄSTERNORRLANDS LÄN</t>
        </is>
      </c>
      <c r="E1616" t="inlineStr">
        <is>
          <t>SOLLEFTEÅ</t>
        </is>
      </c>
      <c r="F1616" t="inlineStr">
        <is>
          <t>SCA</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19326-2024</t>
        </is>
      </c>
      <c r="B1617" s="1" t="n">
        <v>45428</v>
      </c>
      <c r="C1617" s="1" t="n">
        <v>46048</v>
      </c>
      <c r="D1617" t="inlineStr">
        <is>
          <t>VÄSTERNORRLANDS LÄN</t>
        </is>
      </c>
      <c r="E1617" t="inlineStr">
        <is>
          <t>SOLLEFTEÅ</t>
        </is>
      </c>
      <c r="G1617" t="n">
        <v>7.4</v>
      </c>
      <c r="H1617" t="n">
        <v>0</v>
      </c>
      <c r="I1617" t="n">
        <v>0</v>
      </c>
      <c r="J1617" t="n">
        <v>0</v>
      </c>
      <c r="K1617" t="n">
        <v>0</v>
      </c>
      <c r="L1617" t="n">
        <v>0</v>
      </c>
      <c r="M1617" t="n">
        <v>0</v>
      </c>
      <c r="N1617" t="n">
        <v>0</v>
      </c>
      <c r="O1617" t="n">
        <v>0</v>
      </c>
      <c r="P1617" t="n">
        <v>0</v>
      </c>
      <c r="Q1617" t="n">
        <v>0</v>
      </c>
      <c r="R1617" s="2" t="inlineStr"/>
    </row>
    <row r="1618" ht="15" customHeight="1">
      <c r="A1618" t="inlineStr">
        <is>
          <t>A 37977-2022</t>
        </is>
      </c>
      <c r="B1618" s="1" t="n">
        <v>44811</v>
      </c>
      <c r="C1618" s="1" t="n">
        <v>46048</v>
      </c>
      <c r="D1618" t="inlineStr">
        <is>
          <t>VÄSTERNORRLANDS LÄN</t>
        </is>
      </c>
      <c r="E1618" t="inlineStr">
        <is>
          <t>SOLLEFTEÅ</t>
        </is>
      </c>
      <c r="G1618" t="n">
        <v>3.8</v>
      </c>
      <c r="H1618" t="n">
        <v>0</v>
      </c>
      <c r="I1618" t="n">
        <v>0</v>
      </c>
      <c r="J1618" t="n">
        <v>0</v>
      </c>
      <c r="K1618" t="n">
        <v>0</v>
      </c>
      <c r="L1618" t="n">
        <v>0</v>
      </c>
      <c r="M1618" t="n">
        <v>0</v>
      </c>
      <c r="N1618" t="n">
        <v>0</v>
      </c>
      <c r="O1618" t="n">
        <v>0</v>
      </c>
      <c r="P1618" t="n">
        <v>0</v>
      </c>
      <c r="Q1618" t="n">
        <v>0</v>
      </c>
      <c r="R1618" s="2" t="inlineStr"/>
    </row>
    <row r="1619" ht="15" customHeight="1">
      <c r="A1619" t="inlineStr">
        <is>
          <t>A 34870-2025</t>
        </is>
      </c>
      <c r="B1619" s="1" t="n">
        <v>45849.44729166666</v>
      </c>
      <c r="C1619" s="1" t="n">
        <v>46048</v>
      </c>
      <c r="D1619" t="inlineStr">
        <is>
          <t>VÄSTERNORRLANDS LÄN</t>
        </is>
      </c>
      <c r="E1619" t="inlineStr">
        <is>
          <t>SOLLEFTEÅ</t>
        </is>
      </c>
      <c r="G1619" t="n">
        <v>6.6</v>
      </c>
      <c r="H1619" t="n">
        <v>0</v>
      </c>
      <c r="I1619" t="n">
        <v>0</v>
      </c>
      <c r="J1619" t="n">
        <v>0</v>
      </c>
      <c r="K1619" t="n">
        <v>0</v>
      </c>
      <c r="L1619" t="n">
        <v>0</v>
      </c>
      <c r="M1619" t="n">
        <v>0</v>
      </c>
      <c r="N1619" t="n">
        <v>0</v>
      </c>
      <c r="O1619" t="n">
        <v>0</v>
      </c>
      <c r="P1619" t="n">
        <v>0</v>
      </c>
      <c r="Q1619" t="n">
        <v>0</v>
      </c>
      <c r="R1619" s="2" t="inlineStr"/>
    </row>
    <row r="1620" ht="15" customHeight="1">
      <c r="A1620" t="inlineStr">
        <is>
          <t>A 17604-2021</t>
        </is>
      </c>
      <c r="B1620" s="1" t="n">
        <v>44299</v>
      </c>
      <c r="C1620" s="1" t="n">
        <v>46048</v>
      </c>
      <c r="D1620" t="inlineStr">
        <is>
          <t>VÄSTERNORRLANDS LÄN</t>
        </is>
      </c>
      <c r="E1620" t="inlineStr">
        <is>
          <t>SOLLEFTEÅ</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43469-2022</t>
        </is>
      </c>
      <c r="B1621" s="1" t="n">
        <v>44836.80145833334</v>
      </c>
      <c r="C1621" s="1" t="n">
        <v>46048</v>
      </c>
      <c r="D1621" t="inlineStr">
        <is>
          <t>VÄSTERNORRLANDS LÄN</t>
        </is>
      </c>
      <c r="E1621" t="inlineStr">
        <is>
          <t>SOLLEFTEÅ</t>
        </is>
      </c>
      <c r="G1621" t="n">
        <v>2.8</v>
      </c>
      <c r="H1621" t="n">
        <v>0</v>
      </c>
      <c r="I1621" t="n">
        <v>0</v>
      </c>
      <c r="J1621" t="n">
        <v>0</v>
      </c>
      <c r="K1621" t="n">
        <v>0</v>
      </c>
      <c r="L1621" t="n">
        <v>0</v>
      </c>
      <c r="M1621" t="n">
        <v>0</v>
      </c>
      <c r="N1621" t="n">
        <v>0</v>
      </c>
      <c r="O1621" t="n">
        <v>0</v>
      </c>
      <c r="P1621" t="n">
        <v>0</v>
      </c>
      <c r="Q1621" t="n">
        <v>0</v>
      </c>
      <c r="R1621" s="2" t="inlineStr"/>
    </row>
    <row r="1622" ht="15" customHeight="1">
      <c r="A1622" t="inlineStr">
        <is>
          <t>A 16238-2024</t>
        </is>
      </c>
      <c r="B1622" s="1" t="n">
        <v>45407.05692129629</v>
      </c>
      <c r="C1622" s="1" t="n">
        <v>46048</v>
      </c>
      <c r="D1622" t="inlineStr">
        <is>
          <t>VÄSTERNORRLANDS LÄN</t>
        </is>
      </c>
      <c r="E1622" t="inlineStr">
        <is>
          <t>SOLLEFTEÅ</t>
        </is>
      </c>
      <c r="F1622" t="inlineStr">
        <is>
          <t>SCA</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14554-2024</t>
        </is>
      </c>
      <c r="B1623" s="1" t="n">
        <v>45394</v>
      </c>
      <c r="C1623" s="1" t="n">
        <v>46048</v>
      </c>
      <c r="D1623" t="inlineStr">
        <is>
          <t>VÄSTERNORRLANDS LÄN</t>
        </is>
      </c>
      <c r="E1623" t="inlineStr">
        <is>
          <t>SOLLEFTEÅ</t>
        </is>
      </c>
      <c r="G1623" t="n">
        <v>3.8</v>
      </c>
      <c r="H1623" t="n">
        <v>0</v>
      </c>
      <c r="I1623" t="n">
        <v>0</v>
      </c>
      <c r="J1623" t="n">
        <v>0</v>
      </c>
      <c r="K1623" t="n">
        <v>0</v>
      </c>
      <c r="L1623" t="n">
        <v>0</v>
      </c>
      <c r="M1623" t="n">
        <v>0</v>
      </c>
      <c r="N1623" t="n">
        <v>0</v>
      </c>
      <c r="O1623" t="n">
        <v>0</v>
      </c>
      <c r="P1623" t="n">
        <v>0</v>
      </c>
      <c r="Q1623" t="n">
        <v>0</v>
      </c>
      <c r="R1623" s="2" t="inlineStr"/>
    </row>
    <row r="1624" ht="15" customHeight="1">
      <c r="A1624" t="inlineStr">
        <is>
          <t>A 37691-2023</t>
        </is>
      </c>
      <c r="B1624" s="1" t="n">
        <v>45156</v>
      </c>
      <c r="C1624" s="1" t="n">
        <v>46048</v>
      </c>
      <c r="D1624" t="inlineStr">
        <is>
          <t>VÄSTERNORRLANDS LÄN</t>
        </is>
      </c>
      <c r="E1624" t="inlineStr">
        <is>
          <t>SOLLEFTEÅ</t>
        </is>
      </c>
      <c r="G1624" t="n">
        <v>0.2</v>
      </c>
      <c r="H1624" t="n">
        <v>0</v>
      </c>
      <c r="I1624" t="n">
        <v>0</v>
      </c>
      <c r="J1624" t="n">
        <v>0</v>
      </c>
      <c r="K1624" t="n">
        <v>0</v>
      </c>
      <c r="L1624" t="n">
        <v>0</v>
      </c>
      <c r="M1624" t="n">
        <v>0</v>
      </c>
      <c r="N1624" t="n">
        <v>0</v>
      </c>
      <c r="O1624" t="n">
        <v>0</v>
      </c>
      <c r="P1624" t="n">
        <v>0</v>
      </c>
      <c r="Q1624" t="n">
        <v>0</v>
      </c>
      <c r="R1624" s="2" t="inlineStr"/>
    </row>
    <row r="1625" ht="15" customHeight="1">
      <c r="A1625" t="inlineStr">
        <is>
          <t>A 1840-2024</t>
        </is>
      </c>
      <c r="B1625" s="1" t="n">
        <v>45307</v>
      </c>
      <c r="C1625" s="1" t="n">
        <v>46048</v>
      </c>
      <c r="D1625" t="inlineStr">
        <is>
          <t>VÄSTERNORRLANDS LÄN</t>
        </is>
      </c>
      <c r="E1625" t="inlineStr">
        <is>
          <t>SOLLEFTEÅ</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1844-2024</t>
        </is>
      </c>
      <c r="B1626" s="1" t="n">
        <v>45307</v>
      </c>
      <c r="C1626" s="1" t="n">
        <v>46048</v>
      </c>
      <c r="D1626" t="inlineStr">
        <is>
          <t>VÄSTERNORRLANDS LÄN</t>
        </is>
      </c>
      <c r="E1626" t="inlineStr">
        <is>
          <t>SOLLEFTEÅ</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39177-2024</t>
        </is>
      </c>
      <c r="B1627" s="1" t="n">
        <v>45548.65681712963</v>
      </c>
      <c r="C1627" s="1" t="n">
        <v>46048</v>
      </c>
      <c r="D1627" t="inlineStr">
        <is>
          <t>VÄSTERNORRLANDS LÄN</t>
        </is>
      </c>
      <c r="E1627" t="inlineStr">
        <is>
          <t>SOLLEFTEÅ</t>
        </is>
      </c>
      <c r="F1627" t="inlineStr">
        <is>
          <t>SCA</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19205-2025</t>
        </is>
      </c>
      <c r="B1628" s="1" t="n">
        <v>45769.42861111111</v>
      </c>
      <c r="C1628" s="1" t="n">
        <v>46048</v>
      </c>
      <c r="D1628" t="inlineStr">
        <is>
          <t>VÄSTERNORRLANDS LÄN</t>
        </is>
      </c>
      <c r="E1628" t="inlineStr">
        <is>
          <t>SOLLEFTEÅ</t>
        </is>
      </c>
      <c r="F1628" t="inlineStr">
        <is>
          <t>SCA</t>
        </is>
      </c>
      <c r="G1628" t="n">
        <v>8.699999999999999</v>
      </c>
      <c r="H1628" t="n">
        <v>0</v>
      </c>
      <c r="I1628" t="n">
        <v>0</v>
      </c>
      <c r="J1628" t="n">
        <v>0</v>
      </c>
      <c r="K1628" t="n">
        <v>0</v>
      </c>
      <c r="L1628" t="n">
        <v>0</v>
      </c>
      <c r="M1628" t="n">
        <v>0</v>
      </c>
      <c r="N1628" t="n">
        <v>0</v>
      </c>
      <c r="O1628" t="n">
        <v>0</v>
      </c>
      <c r="P1628" t="n">
        <v>0</v>
      </c>
      <c r="Q1628" t="n">
        <v>0</v>
      </c>
      <c r="R1628" s="2" t="inlineStr"/>
    </row>
    <row r="1629" ht="15" customHeight="1">
      <c r="A1629" t="inlineStr">
        <is>
          <t>A 19207-2025</t>
        </is>
      </c>
      <c r="B1629" s="1" t="n">
        <v>45769</v>
      </c>
      <c r="C1629" s="1" t="n">
        <v>46048</v>
      </c>
      <c r="D1629" t="inlineStr">
        <is>
          <t>VÄSTERNORRLANDS LÄN</t>
        </is>
      </c>
      <c r="E1629" t="inlineStr">
        <is>
          <t>SOLLEFTEÅ</t>
        </is>
      </c>
      <c r="F1629" t="inlineStr">
        <is>
          <t>SCA</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25945-2025</t>
        </is>
      </c>
      <c r="B1630" s="1" t="n">
        <v>45804</v>
      </c>
      <c r="C1630" s="1" t="n">
        <v>46048</v>
      </c>
      <c r="D1630" t="inlineStr">
        <is>
          <t>VÄSTERNORRLANDS LÄN</t>
        </is>
      </c>
      <c r="E1630" t="inlineStr">
        <is>
          <t>SOLLEFTEÅ</t>
        </is>
      </c>
      <c r="F1630" t="inlineStr">
        <is>
          <t>SCA</t>
        </is>
      </c>
      <c r="G1630" t="n">
        <v>9</v>
      </c>
      <c r="H1630" t="n">
        <v>0</v>
      </c>
      <c r="I1630" t="n">
        <v>0</v>
      </c>
      <c r="J1630" t="n">
        <v>0</v>
      </c>
      <c r="K1630" t="n">
        <v>0</v>
      </c>
      <c r="L1630" t="n">
        <v>0</v>
      </c>
      <c r="M1630" t="n">
        <v>0</v>
      </c>
      <c r="N1630" t="n">
        <v>0</v>
      </c>
      <c r="O1630" t="n">
        <v>0</v>
      </c>
      <c r="P1630" t="n">
        <v>0</v>
      </c>
      <c r="Q1630" t="n">
        <v>0</v>
      </c>
      <c r="R1630" s="2" t="inlineStr"/>
    </row>
    <row r="1631" ht="15" customHeight="1">
      <c r="A1631" t="inlineStr">
        <is>
          <t>A 35041-2025</t>
        </is>
      </c>
      <c r="B1631" s="1" t="n">
        <v>45852.3443287037</v>
      </c>
      <c r="C1631" s="1" t="n">
        <v>46048</v>
      </c>
      <c r="D1631" t="inlineStr">
        <is>
          <t>VÄSTERNORRLANDS LÄN</t>
        </is>
      </c>
      <c r="E1631" t="inlineStr">
        <is>
          <t>SOLLEFTEÅ</t>
        </is>
      </c>
      <c r="F1631" t="inlineStr">
        <is>
          <t>SCA</t>
        </is>
      </c>
      <c r="G1631" t="n">
        <v>3.4</v>
      </c>
      <c r="H1631" t="n">
        <v>0</v>
      </c>
      <c r="I1631" t="n">
        <v>0</v>
      </c>
      <c r="J1631" t="n">
        <v>0</v>
      </c>
      <c r="K1631" t="n">
        <v>0</v>
      </c>
      <c r="L1631" t="n">
        <v>0</v>
      </c>
      <c r="M1631" t="n">
        <v>0</v>
      </c>
      <c r="N1631" t="n">
        <v>0</v>
      </c>
      <c r="O1631" t="n">
        <v>0</v>
      </c>
      <c r="P1631" t="n">
        <v>0</v>
      </c>
      <c r="Q1631" t="n">
        <v>0</v>
      </c>
      <c r="R1631" s="2" t="inlineStr"/>
    </row>
    <row r="1632" ht="15" customHeight="1">
      <c r="A1632" t="inlineStr">
        <is>
          <t>A 15080-2023</t>
        </is>
      </c>
      <c r="B1632" s="1" t="n">
        <v>45016.07525462963</v>
      </c>
      <c r="C1632" s="1" t="n">
        <v>46048</v>
      </c>
      <c r="D1632" t="inlineStr">
        <is>
          <t>VÄSTERNORRLANDS LÄN</t>
        </is>
      </c>
      <c r="E1632" t="inlineStr">
        <is>
          <t>SOLLEFTEÅ</t>
        </is>
      </c>
      <c r="F1632" t="inlineStr">
        <is>
          <t>SCA</t>
        </is>
      </c>
      <c r="G1632" t="n">
        <v>33.6</v>
      </c>
      <c r="H1632" t="n">
        <v>0</v>
      </c>
      <c r="I1632" t="n">
        <v>0</v>
      </c>
      <c r="J1632" t="n">
        <v>0</v>
      </c>
      <c r="K1632" t="n">
        <v>0</v>
      </c>
      <c r="L1632" t="n">
        <v>0</v>
      </c>
      <c r="M1632" t="n">
        <v>0</v>
      </c>
      <c r="N1632" t="n">
        <v>0</v>
      </c>
      <c r="O1632" t="n">
        <v>0</v>
      </c>
      <c r="P1632" t="n">
        <v>0</v>
      </c>
      <c r="Q1632" t="n">
        <v>0</v>
      </c>
      <c r="R1632" s="2" t="inlineStr"/>
    </row>
    <row r="1633" ht="15" customHeight="1">
      <c r="A1633" t="inlineStr">
        <is>
          <t>A 18364-2024</t>
        </is>
      </c>
      <c r="B1633" s="1" t="n">
        <v>45422</v>
      </c>
      <c r="C1633" s="1" t="n">
        <v>46048</v>
      </c>
      <c r="D1633" t="inlineStr">
        <is>
          <t>VÄSTERNORRLANDS LÄN</t>
        </is>
      </c>
      <c r="E1633" t="inlineStr">
        <is>
          <t>SOLLEFTEÅ</t>
        </is>
      </c>
      <c r="G1633" t="n">
        <v>4.9</v>
      </c>
      <c r="H1633" t="n">
        <v>0</v>
      </c>
      <c r="I1633" t="n">
        <v>0</v>
      </c>
      <c r="J1633" t="n">
        <v>0</v>
      </c>
      <c r="K1633" t="n">
        <v>0</v>
      </c>
      <c r="L1633" t="n">
        <v>0</v>
      </c>
      <c r="M1633" t="n">
        <v>0</v>
      </c>
      <c r="N1633" t="n">
        <v>0</v>
      </c>
      <c r="O1633" t="n">
        <v>0</v>
      </c>
      <c r="P1633" t="n">
        <v>0</v>
      </c>
      <c r="Q1633" t="n">
        <v>0</v>
      </c>
      <c r="R1633" s="2" t="inlineStr"/>
    </row>
    <row r="1634" ht="15" customHeight="1">
      <c r="A1634" t="inlineStr">
        <is>
          <t>A 57394-2023</t>
        </is>
      </c>
      <c r="B1634" s="1" t="n">
        <v>45245.96774305555</v>
      </c>
      <c r="C1634" s="1" t="n">
        <v>46048</v>
      </c>
      <c r="D1634" t="inlineStr">
        <is>
          <t>VÄSTERNORRLANDS LÄN</t>
        </is>
      </c>
      <c r="E1634" t="inlineStr">
        <is>
          <t>SOLLEFTEÅ</t>
        </is>
      </c>
      <c r="F1634" t="inlineStr">
        <is>
          <t>SCA</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47181-2023</t>
        </is>
      </c>
      <c r="B1635" s="1" t="n">
        <v>45201.94876157407</v>
      </c>
      <c r="C1635" s="1" t="n">
        <v>46048</v>
      </c>
      <c r="D1635" t="inlineStr">
        <is>
          <t>VÄSTERNORRLANDS LÄN</t>
        </is>
      </c>
      <c r="E1635" t="inlineStr">
        <is>
          <t>SOLLEFTEÅ</t>
        </is>
      </c>
      <c r="F1635" t="inlineStr">
        <is>
          <t>SCA</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35086-2025</t>
        </is>
      </c>
      <c r="B1636" s="1" t="n">
        <v>45852.51719907407</v>
      </c>
      <c r="C1636" s="1" t="n">
        <v>46048</v>
      </c>
      <c r="D1636" t="inlineStr">
        <is>
          <t>VÄSTERNORRLANDS LÄN</t>
        </is>
      </c>
      <c r="E1636" t="inlineStr">
        <is>
          <t>SOLLEFTEÅ</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16633-2025</t>
        </is>
      </c>
      <c r="B1637" s="1" t="n">
        <v>45754.36517361111</v>
      </c>
      <c r="C1637" s="1" t="n">
        <v>46048</v>
      </c>
      <c r="D1637" t="inlineStr">
        <is>
          <t>VÄSTERNORRLANDS LÄN</t>
        </is>
      </c>
      <c r="E1637" t="inlineStr">
        <is>
          <t>SOLLEFTEÅ</t>
        </is>
      </c>
      <c r="F1637" t="inlineStr">
        <is>
          <t>SCA</t>
        </is>
      </c>
      <c r="G1637" t="n">
        <v>6.9</v>
      </c>
      <c r="H1637" t="n">
        <v>0</v>
      </c>
      <c r="I1637" t="n">
        <v>0</v>
      </c>
      <c r="J1637" t="n">
        <v>0</v>
      </c>
      <c r="K1637" t="n">
        <v>0</v>
      </c>
      <c r="L1637" t="n">
        <v>0</v>
      </c>
      <c r="M1637" t="n">
        <v>0</v>
      </c>
      <c r="N1637" t="n">
        <v>0</v>
      </c>
      <c r="O1637" t="n">
        <v>0</v>
      </c>
      <c r="P1637" t="n">
        <v>0</v>
      </c>
      <c r="Q1637" t="n">
        <v>0</v>
      </c>
      <c r="R1637" s="2" t="inlineStr"/>
    </row>
    <row r="1638" ht="15" customHeight="1">
      <c r="A1638" t="inlineStr">
        <is>
          <t>A 35066-2025</t>
        </is>
      </c>
      <c r="B1638" s="1" t="n">
        <v>45852.45013888889</v>
      </c>
      <c r="C1638" s="1" t="n">
        <v>46048</v>
      </c>
      <c r="D1638" t="inlineStr">
        <is>
          <t>VÄSTERNORRLANDS LÄN</t>
        </is>
      </c>
      <c r="E1638" t="inlineStr">
        <is>
          <t>SOLLEFTEÅ</t>
        </is>
      </c>
      <c r="G1638" t="n">
        <v>3.4</v>
      </c>
      <c r="H1638" t="n">
        <v>0</v>
      </c>
      <c r="I1638" t="n">
        <v>0</v>
      </c>
      <c r="J1638" t="n">
        <v>0</v>
      </c>
      <c r="K1638" t="n">
        <v>0</v>
      </c>
      <c r="L1638" t="n">
        <v>0</v>
      </c>
      <c r="M1638" t="n">
        <v>0</v>
      </c>
      <c r="N1638" t="n">
        <v>0</v>
      </c>
      <c r="O1638" t="n">
        <v>0</v>
      </c>
      <c r="P1638" t="n">
        <v>0</v>
      </c>
      <c r="Q1638" t="n">
        <v>0</v>
      </c>
      <c r="R1638" s="2" t="inlineStr"/>
    </row>
    <row r="1639" ht="15" customHeight="1">
      <c r="A1639" t="inlineStr">
        <is>
          <t>A 12834-2025</t>
        </is>
      </c>
      <c r="B1639" s="1" t="n">
        <v>45733.63612268519</v>
      </c>
      <c r="C1639" s="1" t="n">
        <v>46048</v>
      </c>
      <c r="D1639" t="inlineStr">
        <is>
          <t>VÄSTERNORRLANDS LÄN</t>
        </is>
      </c>
      <c r="E1639" t="inlineStr">
        <is>
          <t>SOLLEFTEÅ</t>
        </is>
      </c>
      <c r="F1639" t="inlineStr">
        <is>
          <t>SCA</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12941-2025</t>
        </is>
      </c>
      <c r="B1640" s="1" t="n">
        <v>45734.36525462963</v>
      </c>
      <c r="C1640" s="1" t="n">
        <v>46048</v>
      </c>
      <c r="D1640" t="inlineStr">
        <is>
          <t>VÄSTERNORRLANDS LÄN</t>
        </is>
      </c>
      <c r="E1640" t="inlineStr">
        <is>
          <t>SOLLEFTEÅ</t>
        </is>
      </c>
      <c r="G1640" t="n">
        <v>5.8</v>
      </c>
      <c r="H1640" t="n">
        <v>0</v>
      </c>
      <c r="I1640" t="n">
        <v>0</v>
      </c>
      <c r="J1640" t="n">
        <v>0</v>
      </c>
      <c r="K1640" t="n">
        <v>0</v>
      </c>
      <c r="L1640" t="n">
        <v>0</v>
      </c>
      <c r="M1640" t="n">
        <v>0</v>
      </c>
      <c r="N1640" t="n">
        <v>0</v>
      </c>
      <c r="O1640" t="n">
        <v>0</v>
      </c>
      <c r="P1640" t="n">
        <v>0</v>
      </c>
      <c r="Q1640" t="n">
        <v>0</v>
      </c>
      <c r="R1640" s="2" t="inlineStr"/>
    </row>
    <row r="1641" ht="15" customHeight="1">
      <c r="A1641" t="inlineStr">
        <is>
          <t>A 36078-2022</t>
        </is>
      </c>
      <c r="B1641" s="1" t="n">
        <v>44802.9459375</v>
      </c>
      <c r="C1641" s="1" t="n">
        <v>46048</v>
      </c>
      <c r="D1641" t="inlineStr">
        <is>
          <t>VÄSTERNORRLANDS LÄN</t>
        </is>
      </c>
      <c r="E1641" t="inlineStr">
        <is>
          <t>SOLLEFTEÅ</t>
        </is>
      </c>
      <c r="F1641" t="inlineStr">
        <is>
          <t>SCA</t>
        </is>
      </c>
      <c r="G1641" t="n">
        <v>12.5</v>
      </c>
      <c r="H1641" t="n">
        <v>0</v>
      </c>
      <c r="I1641" t="n">
        <v>0</v>
      </c>
      <c r="J1641" t="n">
        <v>0</v>
      </c>
      <c r="K1641" t="n">
        <v>0</v>
      </c>
      <c r="L1641" t="n">
        <v>0</v>
      </c>
      <c r="M1641" t="n">
        <v>0</v>
      </c>
      <c r="N1641" t="n">
        <v>0</v>
      </c>
      <c r="O1641" t="n">
        <v>0</v>
      </c>
      <c r="P1641" t="n">
        <v>0</v>
      </c>
      <c r="Q1641" t="n">
        <v>0</v>
      </c>
      <c r="R1641" s="2" t="inlineStr"/>
    </row>
    <row r="1642" ht="15" customHeight="1">
      <c r="A1642" t="inlineStr">
        <is>
          <t>A 60856-2022</t>
        </is>
      </c>
      <c r="B1642" s="1" t="n">
        <v>44907</v>
      </c>
      <c r="C1642" s="1" t="n">
        <v>46048</v>
      </c>
      <c r="D1642" t="inlineStr">
        <is>
          <t>VÄSTERNORRLANDS LÄN</t>
        </is>
      </c>
      <c r="E1642" t="inlineStr">
        <is>
          <t>SOLLEFTEÅ</t>
        </is>
      </c>
      <c r="G1642" t="n">
        <v>3.1</v>
      </c>
      <c r="H1642" t="n">
        <v>0</v>
      </c>
      <c r="I1642" t="n">
        <v>0</v>
      </c>
      <c r="J1642" t="n">
        <v>0</v>
      </c>
      <c r="K1642" t="n">
        <v>0</v>
      </c>
      <c r="L1642" t="n">
        <v>0</v>
      </c>
      <c r="M1642" t="n">
        <v>0</v>
      </c>
      <c r="N1642" t="n">
        <v>0</v>
      </c>
      <c r="O1642" t="n">
        <v>0</v>
      </c>
      <c r="P1642" t="n">
        <v>0</v>
      </c>
      <c r="Q1642" t="n">
        <v>0</v>
      </c>
      <c r="R1642" s="2" t="inlineStr"/>
    </row>
    <row r="1643" ht="15" customHeight="1">
      <c r="A1643" t="inlineStr">
        <is>
          <t>A 2536-2022</t>
        </is>
      </c>
      <c r="B1643" s="1" t="n">
        <v>44579</v>
      </c>
      <c r="C1643" s="1" t="n">
        <v>46048</v>
      </c>
      <c r="D1643" t="inlineStr">
        <is>
          <t>VÄSTERNORRLANDS LÄN</t>
        </is>
      </c>
      <c r="E1643" t="inlineStr">
        <is>
          <t>SOLLEFTEÅ</t>
        </is>
      </c>
      <c r="F1643" t="inlineStr">
        <is>
          <t>Övriga Aktiebolag</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2582-2025</t>
        </is>
      </c>
      <c r="B1644" s="1" t="n">
        <v>45674.67787037037</v>
      </c>
      <c r="C1644" s="1" t="n">
        <v>46048</v>
      </c>
      <c r="D1644" t="inlineStr">
        <is>
          <t>VÄSTERNORRLANDS LÄN</t>
        </is>
      </c>
      <c r="E1644" t="inlineStr">
        <is>
          <t>SOLLEFTEÅ</t>
        </is>
      </c>
      <c r="F1644" t="inlineStr">
        <is>
          <t>SCA</t>
        </is>
      </c>
      <c r="G1644" t="n">
        <v>8</v>
      </c>
      <c r="H1644" t="n">
        <v>0</v>
      </c>
      <c r="I1644" t="n">
        <v>0</v>
      </c>
      <c r="J1644" t="n">
        <v>0</v>
      </c>
      <c r="K1644" t="n">
        <v>0</v>
      </c>
      <c r="L1644" t="n">
        <v>0</v>
      </c>
      <c r="M1644" t="n">
        <v>0</v>
      </c>
      <c r="N1644" t="n">
        <v>0</v>
      </c>
      <c r="O1644" t="n">
        <v>0</v>
      </c>
      <c r="P1644" t="n">
        <v>0</v>
      </c>
      <c r="Q1644" t="n">
        <v>0</v>
      </c>
      <c r="R1644" s="2" t="inlineStr"/>
    </row>
    <row r="1645" ht="15" customHeight="1">
      <c r="A1645" t="inlineStr">
        <is>
          <t>A 35132-2025</t>
        </is>
      </c>
      <c r="B1645" s="1" t="n">
        <v>45852.63618055556</v>
      </c>
      <c r="C1645" s="1" t="n">
        <v>46048</v>
      </c>
      <c r="D1645" t="inlineStr">
        <is>
          <t>VÄSTERNORRLANDS LÄN</t>
        </is>
      </c>
      <c r="E1645" t="inlineStr">
        <is>
          <t>SOLLEFTEÅ</t>
        </is>
      </c>
      <c r="F1645" t="inlineStr">
        <is>
          <t>SCA</t>
        </is>
      </c>
      <c r="G1645" t="n">
        <v>5.9</v>
      </c>
      <c r="H1645" t="n">
        <v>0</v>
      </c>
      <c r="I1645" t="n">
        <v>0</v>
      </c>
      <c r="J1645" t="n">
        <v>0</v>
      </c>
      <c r="K1645" t="n">
        <v>0</v>
      </c>
      <c r="L1645" t="n">
        <v>0</v>
      </c>
      <c r="M1645" t="n">
        <v>0</v>
      </c>
      <c r="N1645" t="n">
        <v>0</v>
      </c>
      <c r="O1645" t="n">
        <v>0</v>
      </c>
      <c r="P1645" t="n">
        <v>0</v>
      </c>
      <c r="Q1645" t="n">
        <v>0</v>
      </c>
      <c r="R1645" s="2" t="inlineStr"/>
    </row>
    <row r="1646" ht="15" customHeight="1">
      <c r="A1646" t="inlineStr">
        <is>
          <t>A 3414-2025</t>
        </is>
      </c>
      <c r="B1646" s="1" t="n">
        <v>45680</v>
      </c>
      <c r="C1646" s="1" t="n">
        <v>46048</v>
      </c>
      <c r="D1646" t="inlineStr">
        <is>
          <t>VÄSTERNORRLANDS LÄN</t>
        </is>
      </c>
      <c r="E1646" t="inlineStr">
        <is>
          <t>SOLLEFTEÅ</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22235-2024</t>
        </is>
      </c>
      <c r="B1647" s="1" t="n">
        <v>45446</v>
      </c>
      <c r="C1647" s="1" t="n">
        <v>46048</v>
      </c>
      <c r="D1647" t="inlineStr">
        <is>
          <t>VÄSTERNORRLANDS LÄN</t>
        </is>
      </c>
      <c r="E1647" t="inlineStr">
        <is>
          <t>SOLLEFTEÅ</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46804-2023</t>
        </is>
      </c>
      <c r="B1648" s="1" t="n">
        <v>45198</v>
      </c>
      <c r="C1648" s="1" t="n">
        <v>46048</v>
      </c>
      <c r="D1648" t="inlineStr">
        <is>
          <t>VÄSTERNORRLANDS LÄN</t>
        </is>
      </c>
      <c r="E1648" t="inlineStr">
        <is>
          <t>SOLLEFTEÅ</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5867-2024</t>
        </is>
      </c>
      <c r="B1649" s="1" t="n">
        <v>45335.64733796296</v>
      </c>
      <c r="C1649" s="1" t="n">
        <v>46048</v>
      </c>
      <c r="D1649" t="inlineStr">
        <is>
          <t>VÄSTERNORRLANDS LÄN</t>
        </is>
      </c>
      <c r="E1649" t="inlineStr">
        <is>
          <t>SOLLEFTEÅ</t>
        </is>
      </c>
      <c r="F1649" t="inlineStr">
        <is>
          <t>Övriga Aktiebolag</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35286-2025</t>
        </is>
      </c>
      <c r="B1650" s="1" t="n">
        <v>45854.36512731481</v>
      </c>
      <c r="C1650" s="1" t="n">
        <v>46048</v>
      </c>
      <c r="D1650" t="inlineStr">
        <is>
          <t>VÄSTERNORRLANDS LÄN</t>
        </is>
      </c>
      <c r="E1650" t="inlineStr">
        <is>
          <t>SOLLEFTEÅ</t>
        </is>
      </c>
      <c r="F1650" t="inlineStr">
        <is>
          <t>SCA</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4501-2023</t>
        </is>
      </c>
      <c r="B1651" s="1" t="n">
        <v>44952</v>
      </c>
      <c r="C1651" s="1" t="n">
        <v>46048</v>
      </c>
      <c r="D1651" t="inlineStr">
        <is>
          <t>VÄSTERNORRLANDS LÄN</t>
        </is>
      </c>
      <c r="E1651" t="inlineStr">
        <is>
          <t>SOLLEFTEÅ</t>
        </is>
      </c>
      <c r="F1651" t="inlineStr">
        <is>
          <t>Övriga Aktiebolag</t>
        </is>
      </c>
      <c r="G1651" t="n">
        <v>5.4</v>
      </c>
      <c r="H1651" t="n">
        <v>0</v>
      </c>
      <c r="I1651" t="n">
        <v>0</v>
      </c>
      <c r="J1651" t="n">
        <v>0</v>
      </c>
      <c r="K1651" t="n">
        <v>0</v>
      </c>
      <c r="L1651" t="n">
        <v>0</v>
      </c>
      <c r="M1651" t="n">
        <v>0</v>
      </c>
      <c r="N1651" t="n">
        <v>0</v>
      </c>
      <c r="O1651" t="n">
        <v>0</v>
      </c>
      <c r="P1651" t="n">
        <v>0</v>
      </c>
      <c r="Q1651" t="n">
        <v>0</v>
      </c>
      <c r="R1651" s="2" t="inlineStr"/>
    </row>
    <row r="1652" ht="15" customHeight="1">
      <c r="A1652" t="inlineStr">
        <is>
          <t>A 12064-2025</t>
        </is>
      </c>
      <c r="B1652" s="1" t="n">
        <v>45728.69861111111</v>
      </c>
      <c r="C1652" s="1" t="n">
        <v>46048</v>
      </c>
      <c r="D1652" t="inlineStr">
        <is>
          <t>VÄSTERNORRLANDS LÄN</t>
        </is>
      </c>
      <c r="E1652" t="inlineStr">
        <is>
          <t>SOLLEFTEÅ</t>
        </is>
      </c>
      <c r="F1652" t="inlineStr">
        <is>
          <t>SCA</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35448-2025</t>
        </is>
      </c>
      <c r="B1653" s="1" t="n">
        <v>45855.55247685185</v>
      </c>
      <c r="C1653" s="1" t="n">
        <v>46048</v>
      </c>
      <c r="D1653" t="inlineStr">
        <is>
          <t>VÄSTERNORRLANDS LÄN</t>
        </is>
      </c>
      <c r="E1653" t="inlineStr">
        <is>
          <t>SOLLEFTEÅ</t>
        </is>
      </c>
      <c r="F1653" t="inlineStr">
        <is>
          <t>SCA</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43585-2024</t>
        </is>
      </c>
      <c r="B1654" s="1" t="n">
        <v>45569.42770833334</v>
      </c>
      <c r="C1654" s="1" t="n">
        <v>46048</v>
      </c>
      <c r="D1654" t="inlineStr">
        <is>
          <t>VÄSTERNORRLANDS LÄN</t>
        </is>
      </c>
      <c r="E1654" t="inlineStr">
        <is>
          <t>SOLLEFTEÅ</t>
        </is>
      </c>
      <c r="G1654" t="n">
        <v>0.1</v>
      </c>
      <c r="H1654" t="n">
        <v>0</v>
      </c>
      <c r="I1654" t="n">
        <v>0</v>
      </c>
      <c r="J1654" t="n">
        <v>0</v>
      </c>
      <c r="K1654" t="n">
        <v>0</v>
      </c>
      <c r="L1654" t="n">
        <v>0</v>
      </c>
      <c r="M1654" t="n">
        <v>0</v>
      </c>
      <c r="N1654" t="n">
        <v>0</v>
      </c>
      <c r="O1654" t="n">
        <v>0</v>
      </c>
      <c r="P1654" t="n">
        <v>0</v>
      </c>
      <c r="Q1654" t="n">
        <v>0</v>
      </c>
      <c r="R1654" s="2" t="inlineStr"/>
    </row>
    <row r="1655" ht="15" customHeight="1">
      <c r="A1655" t="inlineStr">
        <is>
          <t>A 51681-2023</t>
        </is>
      </c>
      <c r="B1655" s="1" t="n">
        <v>45215</v>
      </c>
      <c r="C1655" s="1" t="n">
        <v>46048</v>
      </c>
      <c r="D1655" t="inlineStr">
        <is>
          <t>VÄSTERNORRLANDS LÄN</t>
        </is>
      </c>
      <c r="E1655" t="inlineStr">
        <is>
          <t>SOLLEFTEÅ</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12379-2025</t>
        </is>
      </c>
      <c r="B1656" s="1" t="n">
        <v>45730</v>
      </c>
      <c r="C1656" s="1" t="n">
        <v>46048</v>
      </c>
      <c r="D1656" t="inlineStr">
        <is>
          <t>VÄSTERNORRLANDS LÄN</t>
        </is>
      </c>
      <c r="E1656" t="inlineStr">
        <is>
          <t>SOLLEFTEÅ</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54238-2024</t>
        </is>
      </c>
      <c r="B1657" s="1" t="n">
        <v>45616.67844907408</v>
      </c>
      <c r="C1657" s="1" t="n">
        <v>46048</v>
      </c>
      <c r="D1657" t="inlineStr">
        <is>
          <t>VÄSTERNORRLANDS LÄN</t>
        </is>
      </c>
      <c r="E1657" t="inlineStr">
        <is>
          <t>SOLLEFTEÅ</t>
        </is>
      </c>
      <c r="F1657" t="inlineStr">
        <is>
          <t>SCA</t>
        </is>
      </c>
      <c r="G1657" t="n">
        <v>0.4</v>
      </c>
      <c r="H1657" t="n">
        <v>0</v>
      </c>
      <c r="I1657" t="n">
        <v>0</v>
      </c>
      <c r="J1657" t="n">
        <v>0</v>
      </c>
      <c r="K1657" t="n">
        <v>0</v>
      </c>
      <c r="L1657" t="n">
        <v>0</v>
      </c>
      <c r="M1657" t="n">
        <v>0</v>
      </c>
      <c r="N1657" t="n">
        <v>0</v>
      </c>
      <c r="O1657" t="n">
        <v>0</v>
      </c>
      <c r="P1657" t="n">
        <v>0</v>
      </c>
      <c r="Q1657" t="n">
        <v>0</v>
      </c>
      <c r="R1657" s="2" t="inlineStr"/>
    </row>
    <row r="1658" ht="15" customHeight="1">
      <c r="A1658" t="inlineStr">
        <is>
          <t>A 59038-2022</t>
        </is>
      </c>
      <c r="B1658" s="1" t="n">
        <v>44903.9496412037</v>
      </c>
      <c r="C1658" s="1" t="n">
        <v>46048</v>
      </c>
      <c r="D1658" t="inlineStr">
        <is>
          <t>VÄSTERNORRLANDS LÄN</t>
        </is>
      </c>
      <c r="E1658" t="inlineStr">
        <is>
          <t>SOLLEFTEÅ</t>
        </is>
      </c>
      <c r="F1658" t="inlineStr">
        <is>
          <t>SCA</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6063-2024</t>
        </is>
      </c>
      <c r="B1659" s="1" t="n">
        <v>45336.86584490741</v>
      </c>
      <c r="C1659" s="1" t="n">
        <v>46048</v>
      </c>
      <c r="D1659" t="inlineStr">
        <is>
          <t>VÄSTERNORRLANDS LÄN</t>
        </is>
      </c>
      <c r="E1659" t="inlineStr">
        <is>
          <t>SOLLEFTEÅ</t>
        </is>
      </c>
      <c r="F1659" t="inlineStr">
        <is>
          <t>Övriga Aktiebolag</t>
        </is>
      </c>
      <c r="G1659" t="n">
        <v>4.3</v>
      </c>
      <c r="H1659" t="n">
        <v>0</v>
      </c>
      <c r="I1659" t="n">
        <v>0</v>
      </c>
      <c r="J1659" t="n">
        <v>0</v>
      </c>
      <c r="K1659" t="n">
        <v>0</v>
      </c>
      <c r="L1659" t="n">
        <v>0</v>
      </c>
      <c r="M1659" t="n">
        <v>0</v>
      </c>
      <c r="N1659" t="n">
        <v>0</v>
      </c>
      <c r="O1659" t="n">
        <v>0</v>
      </c>
      <c r="P1659" t="n">
        <v>0</v>
      </c>
      <c r="Q1659" t="n">
        <v>0</v>
      </c>
      <c r="R1659" s="2" t="inlineStr"/>
    </row>
    <row r="1660" ht="15" customHeight="1">
      <c r="A1660" t="inlineStr">
        <is>
          <t>A 48296-2022</t>
        </is>
      </c>
      <c r="B1660" s="1" t="n">
        <v>44858.51815972223</v>
      </c>
      <c r="C1660" s="1" t="n">
        <v>46048</v>
      </c>
      <c r="D1660" t="inlineStr">
        <is>
          <t>VÄSTERNORRLANDS LÄN</t>
        </is>
      </c>
      <c r="E1660" t="inlineStr">
        <is>
          <t>SOLLEFTEÅ</t>
        </is>
      </c>
      <c r="G1660" t="n">
        <v>3.1</v>
      </c>
      <c r="H1660" t="n">
        <v>0</v>
      </c>
      <c r="I1660" t="n">
        <v>0</v>
      </c>
      <c r="J1660" t="n">
        <v>0</v>
      </c>
      <c r="K1660" t="n">
        <v>0</v>
      </c>
      <c r="L1660" t="n">
        <v>0</v>
      </c>
      <c r="M1660" t="n">
        <v>0</v>
      </c>
      <c r="N1660" t="n">
        <v>0</v>
      </c>
      <c r="O1660" t="n">
        <v>0</v>
      </c>
      <c r="P1660" t="n">
        <v>0</v>
      </c>
      <c r="Q1660" t="n">
        <v>0</v>
      </c>
      <c r="R1660" s="2" t="inlineStr"/>
    </row>
    <row r="1661" ht="15" customHeight="1">
      <c r="A1661" t="inlineStr">
        <is>
          <t>A 11318-2022</t>
        </is>
      </c>
      <c r="B1661" s="1" t="n">
        <v>44629.94743055556</v>
      </c>
      <c r="C1661" s="1" t="n">
        <v>46048</v>
      </c>
      <c r="D1661" t="inlineStr">
        <is>
          <t>VÄSTERNORRLANDS LÄN</t>
        </is>
      </c>
      <c r="E1661" t="inlineStr">
        <is>
          <t>SOLLEFTEÅ</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35572-2025</t>
        </is>
      </c>
      <c r="B1662" s="1" t="n">
        <v>45856.59423611111</v>
      </c>
      <c r="C1662" s="1" t="n">
        <v>46048</v>
      </c>
      <c r="D1662" t="inlineStr">
        <is>
          <t>VÄSTERNORRLANDS LÄN</t>
        </is>
      </c>
      <c r="E1662" t="inlineStr">
        <is>
          <t>SOLLEFTEÅ</t>
        </is>
      </c>
      <c r="F1662" t="inlineStr">
        <is>
          <t>SCA</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8105-2025</t>
        </is>
      </c>
      <c r="B1663" s="1" t="n">
        <v>45707.6990625</v>
      </c>
      <c r="C1663" s="1" t="n">
        <v>46048</v>
      </c>
      <c r="D1663" t="inlineStr">
        <is>
          <t>VÄSTERNORRLANDS LÄN</t>
        </is>
      </c>
      <c r="E1663" t="inlineStr">
        <is>
          <t>SOLLEFTEÅ</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6376-2025</t>
        </is>
      </c>
      <c r="B1664" s="1" t="n">
        <v>45699</v>
      </c>
      <c r="C1664" s="1" t="n">
        <v>46048</v>
      </c>
      <c r="D1664" t="inlineStr">
        <is>
          <t>VÄSTERNORRLANDS LÄN</t>
        </is>
      </c>
      <c r="E1664" t="inlineStr">
        <is>
          <t>SOLLEFTEÅ</t>
        </is>
      </c>
      <c r="F1664" t="inlineStr">
        <is>
          <t>SCA</t>
        </is>
      </c>
      <c r="G1664" t="n">
        <v>3.3</v>
      </c>
      <c r="H1664" t="n">
        <v>0</v>
      </c>
      <c r="I1664" t="n">
        <v>0</v>
      </c>
      <c r="J1664" t="n">
        <v>0</v>
      </c>
      <c r="K1664" t="n">
        <v>0</v>
      </c>
      <c r="L1664" t="n">
        <v>0</v>
      </c>
      <c r="M1664" t="n">
        <v>0</v>
      </c>
      <c r="N1664" t="n">
        <v>0</v>
      </c>
      <c r="O1664" t="n">
        <v>0</v>
      </c>
      <c r="P1664" t="n">
        <v>0</v>
      </c>
      <c r="Q1664" t="n">
        <v>0</v>
      </c>
      <c r="R1664" s="2" t="inlineStr"/>
    </row>
    <row r="1665" ht="15" customHeight="1">
      <c r="A1665" t="inlineStr">
        <is>
          <t>A 35513-2025</t>
        </is>
      </c>
      <c r="B1665" s="1" t="n">
        <v>45856.36520833334</v>
      </c>
      <c r="C1665" s="1" t="n">
        <v>46048</v>
      </c>
      <c r="D1665" t="inlineStr">
        <is>
          <t>VÄSTERNORRLANDS LÄN</t>
        </is>
      </c>
      <c r="E1665" t="inlineStr">
        <is>
          <t>SOLLEFTEÅ</t>
        </is>
      </c>
      <c r="F1665" t="inlineStr">
        <is>
          <t>SCA</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35506-2025</t>
        </is>
      </c>
      <c r="B1666" s="1" t="n">
        <v>45856</v>
      </c>
      <c r="C1666" s="1" t="n">
        <v>46048</v>
      </c>
      <c r="D1666" t="inlineStr">
        <is>
          <t>VÄSTERNORRLANDS LÄN</t>
        </is>
      </c>
      <c r="E1666" t="inlineStr">
        <is>
          <t>SOLLEFTEÅ</t>
        </is>
      </c>
      <c r="F1666" t="inlineStr">
        <is>
          <t>SCA</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1880-2024</t>
        </is>
      </c>
      <c r="B1667" s="1" t="n">
        <v>45307</v>
      </c>
      <c r="C1667" s="1" t="n">
        <v>46048</v>
      </c>
      <c r="D1667" t="inlineStr">
        <is>
          <t>VÄSTERNORRLANDS LÄN</t>
        </is>
      </c>
      <c r="E1667" t="inlineStr">
        <is>
          <t>SOLLEFTEÅ</t>
        </is>
      </c>
      <c r="F1667" t="inlineStr">
        <is>
          <t>SCA</t>
        </is>
      </c>
      <c r="G1667" t="n">
        <v>2.5</v>
      </c>
      <c r="H1667" t="n">
        <v>0</v>
      </c>
      <c r="I1667" t="n">
        <v>0</v>
      </c>
      <c r="J1667" t="n">
        <v>0</v>
      </c>
      <c r="K1667" t="n">
        <v>0</v>
      </c>
      <c r="L1667" t="n">
        <v>0</v>
      </c>
      <c r="M1667" t="n">
        <v>0</v>
      </c>
      <c r="N1667" t="n">
        <v>0</v>
      </c>
      <c r="O1667" t="n">
        <v>0</v>
      </c>
      <c r="P1667" t="n">
        <v>0</v>
      </c>
      <c r="Q1667" t="n">
        <v>0</v>
      </c>
      <c r="R1667" s="2" t="inlineStr"/>
    </row>
    <row r="1668" ht="15" customHeight="1">
      <c r="A1668" t="inlineStr">
        <is>
          <t>A 34376-2024</t>
        </is>
      </c>
      <c r="B1668" s="1" t="n">
        <v>45525</v>
      </c>
      <c r="C1668" s="1" t="n">
        <v>46048</v>
      </c>
      <c r="D1668" t="inlineStr">
        <is>
          <t>VÄSTERNORRLANDS LÄN</t>
        </is>
      </c>
      <c r="E1668" t="inlineStr">
        <is>
          <t>SOLLEFTEÅ</t>
        </is>
      </c>
      <c r="F1668" t="inlineStr">
        <is>
          <t>Övriga statliga verk och myndigheter</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50557-2024</t>
        </is>
      </c>
      <c r="B1669" s="1" t="n">
        <v>45601</v>
      </c>
      <c r="C1669" s="1" t="n">
        <v>46048</v>
      </c>
      <c r="D1669" t="inlineStr">
        <is>
          <t>VÄSTERNORRLANDS LÄN</t>
        </is>
      </c>
      <c r="E1669" t="inlineStr">
        <is>
          <t>SOLLEFTEÅ</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14094-2025</t>
        </is>
      </c>
      <c r="B1670" s="1" t="n">
        <v>45740.44827546296</v>
      </c>
      <c r="C1670" s="1" t="n">
        <v>46048</v>
      </c>
      <c r="D1670" t="inlineStr">
        <is>
          <t>VÄSTERNORRLANDS LÄN</t>
        </is>
      </c>
      <c r="E1670" t="inlineStr">
        <is>
          <t>SOLLEFTEÅ</t>
        </is>
      </c>
      <c r="F1670" t="inlineStr">
        <is>
          <t>SCA</t>
        </is>
      </c>
      <c r="G1670" t="n">
        <v>2.2</v>
      </c>
      <c r="H1670" t="n">
        <v>0</v>
      </c>
      <c r="I1670" t="n">
        <v>0</v>
      </c>
      <c r="J1670" t="n">
        <v>0</v>
      </c>
      <c r="K1670" t="n">
        <v>0</v>
      </c>
      <c r="L1670" t="n">
        <v>0</v>
      </c>
      <c r="M1670" t="n">
        <v>0</v>
      </c>
      <c r="N1670" t="n">
        <v>0</v>
      </c>
      <c r="O1670" t="n">
        <v>0</v>
      </c>
      <c r="P1670" t="n">
        <v>0</v>
      </c>
      <c r="Q1670" t="n">
        <v>0</v>
      </c>
      <c r="R1670" s="2" t="inlineStr"/>
    </row>
    <row r="1671" ht="15" customHeight="1">
      <c r="A1671" t="inlineStr">
        <is>
          <t>A 14096-2025</t>
        </is>
      </c>
      <c r="B1671" s="1" t="n">
        <v>45740.44858796296</v>
      </c>
      <c r="C1671" s="1" t="n">
        <v>46048</v>
      </c>
      <c r="D1671" t="inlineStr">
        <is>
          <t>VÄSTERNORRLANDS LÄN</t>
        </is>
      </c>
      <c r="E1671" t="inlineStr">
        <is>
          <t>SOLLEFTEÅ</t>
        </is>
      </c>
      <c r="F1671" t="inlineStr">
        <is>
          <t>SCA</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14097-2025</t>
        </is>
      </c>
      <c r="B1672" s="1" t="n">
        <v>45740.44875</v>
      </c>
      <c r="C1672" s="1" t="n">
        <v>46048</v>
      </c>
      <c r="D1672" t="inlineStr">
        <is>
          <t>VÄSTERNORRLANDS LÄN</t>
        </is>
      </c>
      <c r="E1672" t="inlineStr">
        <is>
          <t>SOLLEFTEÅ</t>
        </is>
      </c>
      <c r="F1672" t="inlineStr">
        <is>
          <t>SCA</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53452-2023</t>
        </is>
      </c>
      <c r="B1673" s="1" t="n">
        <v>45229</v>
      </c>
      <c r="C1673" s="1" t="n">
        <v>46048</v>
      </c>
      <c r="D1673" t="inlineStr">
        <is>
          <t>VÄSTERNORRLANDS LÄN</t>
        </is>
      </c>
      <c r="E1673" t="inlineStr">
        <is>
          <t>SOLLEFTEÅ</t>
        </is>
      </c>
      <c r="F1673" t="inlineStr">
        <is>
          <t>SCA</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53453-2023</t>
        </is>
      </c>
      <c r="B1674" s="1" t="n">
        <v>45229.96586805556</v>
      </c>
      <c r="C1674" s="1" t="n">
        <v>46048</v>
      </c>
      <c r="D1674" t="inlineStr">
        <is>
          <t>VÄSTERNORRLANDS LÄN</t>
        </is>
      </c>
      <c r="E1674" t="inlineStr">
        <is>
          <t>SOLLEFTEÅ</t>
        </is>
      </c>
      <c r="F1674" t="inlineStr">
        <is>
          <t>SCA</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35703-2025</t>
        </is>
      </c>
      <c r="B1675" s="1" t="n">
        <v>45860.36497685185</v>
      </c>
      <c r="C1675" s="1" t="n">
        <v>46048</v>
      </c>
      <c r="D1675" t="inlineStr">
        <is>
          <t>VÄSTERNORRLANDS LÄN</t>
        </is>
      </c>
      <c r="E1675" t="inlineStr">
        <is>
          <t>SOLLEFTEÅ</t>
        </is>
      </c>
      <c r="F1675" t="inlineStr">
        <is>
          <t>SCA</t>
        </is>
      </c>
      <c r="G1675" t="n">
        <v>16.5</v>
      </c>
      <c r="H1675" t="n">
        <v>0</v>
      </c>
      <c r="I1675" t="n">
        <v>0</v>
      </c>
      <c r="J1675" t="n">
        <v>0</v>
      </c>
      <c r="K1675" t="n">
        <v>0</v>
      </c>
      <c r="L1675" t="n">
        <v>0</v>
      </c>
      <c r="M1675" t="n">
        <v>0</v>
      </c>
      <c r="N1675" t="n">
        <v>0</v>
      </c>
      <c r="O1675" t="n">
        <v>0</v>
      </c>
      <c r="P1675" t="n">
        <v>0</v>
      </c>
      <c r="Q1675" t="n">
        <v>0</v>
      </c>
      <c r="R1675" s="2" t="inlineStr"/>
    </row>
    <row r="1676" ht="15" customHeight="1">
      <c r="A1676" t="inlineStr">
        <is>
          <t>A 35704-2025</t>
        </is>
      </c>
      <c r="B1676" s="1" t="n">
        <v>45860.36518518518</v>
      </c>
      <c r="C1676" s="1" t="n">
        <v>46048</v>
      </c>
      <c r="D1676" t="inlineStr">
        <is>
          <t>VÄSTERNORRLANDS LÄN</t>
        </is>
      </c>
      <c r="E1676" t="inlineStr">
        <is>
          <t>SOLLEFTEÅ</t>
        </is>
      </c>
      <c r="F1676" t="inlineStr">
        <is>
          <t>SCA</t>
        </is>
      </c>
      <c r="G1676" t="n">
        <v>8</v>
      </c>
      <c r="H1676" t="n">
        <v>0</v>
      </c>
      <c r="I1676" t="n">
        <v>0</v>
      </c>
      <c r="J1676" t="n">
        <v>0</v>
      </c>
      <c r="K1676" t="n">
        <v>0</v>
      </c>
      <c r="L1676" t="n">
        <v>0</v>
      </c>
      <c r="M1676" t="n">
        <v>0</v>
      </c>
      <c r="N1676" t="n">
        <v>0</v>
      </c>
      <c r="O1676" t="n">
        <v>0</v>
      </c>
      <c r="P1676" t="n">
        <v>0</v>
      </c>
      <c r="Q1676" t="n">
        <v>0</v>
      </c>
      <c r="R1676" s="2" t="inlineStr"/>
    </row>
    <row r="1677" ht="15" customHeight="1">
      <c r="A1677" t="inlineStr">
        <is>
          <t>A 4129-2025</t>
        </is>
      </c>
      <c r="B1677" s="1" t="n">
        <v>45685.34425925926</v>
      </c>
      <c r="C1677" s="1" t="n">
        <v>46048</v>
      </c>
      <c r="D1677" t="inlineStr">
        <is>
          <t>VÄSTERNORRLANDS LÄN</t>
        </is>
      </c>
      <c r="E1677" t="inlineStr">
        <is>
          <t>SOLLEFTEÅ</t>
        </is>
      </c>
      <c r="G1677" t="n">
        <v>2.8</v>
      </c>
      <c r="H1677" t="n">
        <v>0</v>
      </c>
      <c r="I1677" t="n">
        <v>0</v>
      </c>
      <c r="J1677" t="n">
        <v>0</v>
      </c>
      <c r="K1677" t="n">
        <v>0</v>
      </c>
      <c r="L1677" t="n">
        <v>0</v>
      </c>
      <c r="M1677" t="n">
        <v>0</v>
      </c>
      <c r="N1677" t="n">
        <v>0</v>
      </c>
      <c r="O1677" t="n">
        <v>0</v>
      </c>
      <c r="P1677" t="n">
        <v>0</v>
      </c>
      <c r="Q1677" t="n">
        <v>0</v>
      </c>
      <c r="R1677" s="2" t="inlineStr"/>
    </row>
    <row r="1678" ht="15" customHeight="1">
      <c r="A1678" t="inlineStr">
        <is>
          <t>A 4133-2025</t>
        </is>
      </c>
      <c r="B1678" s="1" t="n">
        <v>45685.34559027778</v>
      </c>
      <c r="C1678" s="1" t="n">
        <v>46048</v>
      </c>
      <c r="D1678" t="inlineStr">
        <is>
          <t>VÄSTERNORRLANDS LÄN</t>
        </is>
      </c>
      <c r="E1678" t="inlineStr">
        <is>
          <t>SOLLEFTEÅ</t>
        </is>
      </c>
      <c r="F1678" t="inlineStr">
        <is>
          <t>SCA</t>
        </is>
      </c>
      <c r="G1678" t="n">
        <v>37.2</v>
      </c>
      <c r="H1678" t="n">
        <v>0</v>
      </c>
      <c r="I1678" t="n">
        <v>0</v>
      </c>
      <c r="J1678" t="n">
        <v>0</v>
      </c>
      <c r="K1678" t="n">
        <v>0</v>
      </c>
      <c r="L1678" t="n">
        <v>0</v>
      </c>
      <c r="M1678" t="n">
        <v>0</v>
      </c>
      <c r="N1678" t="n">
        <v>0</v>
      </c>
      <c r="O1678" t="n">
        <v>0</v>
      </c>
      <c r="P1678" t="n">
        <v>0</v>
      </c>
      <c r="Q1678" t="n">
        <v>0</v>
      </c>
      <c r="R1678" s="2" t="inlineStr"/>
    </row>
    <row r="1679" ht="15" customHeight="1">
      <c r="A1679" t="inlineStr">
        <is>
          <t>A 61391-2022</t>
        </is>
      </c>
      <c r="B1679" s="1" t="n">
        <v>44915.94334490741</v>
      </c>
      <c r="C1679" s="1" t="n">
        <v>46048</v>
      </c>
      <c r="D1679" t="inlineStr">
        <is>
          <t>VÄSTERNORRLANDS LÄN</t>
        </is>
      </c>
      <c r="E1679" t="inlineStr">
        <is>
          <t>SOLLEFTEÅ</t>
        </is>
      </c>
      <c r="F1679" t="inlineStr">
        <is>
          <t>SCA</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8652-2024</t>
        </is>
      </c>
      <c r="B1680" s="1" t="n">
        <v>45356</v>
      </c>
      <c r="C1680" s="1" t="n">
        <v>46048</v>
      </c>
      <c r="D1680" t="inlineStr">
        <is>
          <t>VÄSTERNORRLANDS LÄN</t>
        </is>
      </c>
      <c r="E1680" t="inlineStr">
        <is>
          <t>SOLLEFTEÅ</t>
        </is>
      </c>
      <c r="F1680" t="inlineStr">
        <is>
          <t>SCA</t>
        </is>
      </c>
      <c r="G1680" t="n">
        <v>38.6</v>
      </c>
      <c r="H1680" t="n">
        <v>0</v>
      </c>
      <c r="I1680" t="n">
        <v>0</v>
      </c>
      <c r="J1680" t="n">
        <v>0</v>
      </c>
      <c r="K1680" t="n">
        <v>0</v>
      </c>
      <c r="L1680" t="n">
        <v>0</v>
      </c>
      <c r="M1680" t="n">
        <v>0</v>
      </c>
      <c r="N1680" t="n">
        <v>0</v>
      </c>
      <c r="O1680" t="n">
        <v>0</v>
      </c>
      <c r="P1680" t="n">
        <v>0</v>
      </c>
      <c r="Q1680" t="n">
        <v>0</v>
      </c>
      <c r="R1680" s="2" t="inlineStr"/>
    </row>
    <row r="1681" ht="15" customHeight="1">
      <c r="A1681" t="inlineStr">
        <is>
          <t>A 18188-2022</t>
        </is>
      </c>
      <c r="B1681" s="1" t="n">
        <v>44684.94004629629</v>
      </c>
      <c r="C1681" s="1" t="n">
        <v>46048</v>
      </c>
      <c r="D1681" t="inlineStr">
        <is>
          <t>VÄSTERNORRLANDS LÄN</t>
        </is>
      </c>
      <c r="E1681" t="inlineStr">
        <is>
          <t>SOLLEFTEÅ</t>
        </is>
      </c>
      <c r="F1681" t="inlineStr">
        <is>
          <t>SCA</t>
        </is>
      </c>
      <c r="G1681" t="n">
        <v>3.8</v>
      </c>
      <c r="H1681" t="n">
        <v>0</v>
      </c>
      <c r="I1681" t="n">
        <v>0</v>
      </c>
      <c r="J1681" t="n">
        <v>0</v>
      </c>
      <c r="K1681" t="n">
        <v>0</v>
      </c>
      <c r="L1681" t="n">
        <v>0</v>
      </c>
      <c r="M1681" t="n">
        <v>0</v>
      </c>
      <c r="N1681" t="n">
        <v>0</v>
      </c>
      <c r="O1681" t="n">
        <v>0</v>
      </c>
      <c r="P1681" t="n">
        <v>0</v>
      </c>
      <c r="Q1681" t="n">
        <v>0</v>
      </c>
      <c r="R1681" s="2" t="inlineStr"/>
    </row>
    <row r="1682" ht="15" customHeight="1">
      <c r="A1682" t="inlineStr">
        <is>
          <t>A 46032-2022</t>
        </is>
      </c>
      <c r="B1682" s="1" t="n">
        <v>44846</v>
      </c>
      <c r="C1682" s="1" t="n">
        <v>46048</v>
      </c>
      <c r="D1682" t="inlineStr">
        <is>
          <t>VÄSTERNORRLANDS LÄN</t>
        </is>
      </c>
      <c r="E1682" t="inlineStr">
        <is>
          <t>SOLLEFTEÅ</t>
        </is>
      </c>
      <c r="F1682" t="inlineStr">
        <is>
          <t>SCA</t>
        </is>
      </c>
      <c r="G1682" t="n">
        <v>5.9</v>
      </c>
      <c r="H1682" t="n">
        <v>0</v>
      </c>
      <c r="I1682" t="n">
        <v>0</v>
      </c>
      <c r="J1682" t="n">
        <v>0</v>
      </c>
      <c r="K1682" t="n">
        <v>0</v>
      </c>
      <c r="L1682" t="n">
        <v>0</v>
      </c>
      <c r="M1682" t="n">
        <v>0</v>
      </c>
      <c r="N1682" t="n">
        <v>0</v>
      </c>
      <c r="O1682" t="n">
        <v>0</v>
      </c>
      <c r="P1682" t="n">
        <v>0</v>
      </c>
      <c r="Q1682" t="n">
        <v>0</v>
      </c>
      <c r="R1682" s="2" t="inlineStr"/>
    </row>
    <row r="1683" ht="15" customHeight="1">
      <c r="A1683" t="inlineStr">
        <is>
          <t>A 31451-2025</t>
        </is>
      </c>
      <c r="B1683" s="1" t="n">
        <v>45833.53167824074</v>
      </c>
      <c r="C1683" s="1" t="n">
        <v>46048</v>
      </c>
      <c r="D1683" t="inlineStr">
        <is>
          <t>VÄSTERNORRLANDS LÄN</t>
        </is>
      </c>
      <c r="E1683" t="inlineStr">
        <is>
          <t>SOLLEFTEÅ</t>
        </is>
      </c>
      <c r="G1683" t="n">
        <v>4.8</v>
      </c>
      <c r="H1683" t="n">
        <v>0</v>
      </c>
      <c r="I1683" t="n">
        <v>0</v>
      </c>
      <c r="J1683" t="n">
        <v>0</v>
      </c>
      <c r="K1683" t="n">
        <v>0</v>
      </c>
      <c r="L1683" t="n">
        <v>0</v>
      </c>
      <c r="M1683" t="n">
        <v>0</v>
      </c>
      <c r="N1683" t="n">
        <v>0</v>
      </c>
      <c r="O1683" t="n">
        <v>0</v>
      </c>
      <c r="P1683" t="n">
        <v>0</v>
      </c>
      <c r="Q1683" t="n">
        <v>0</v>
      </c>
      <c r="R1683" s="2" t="inlineStr"/>
    </row>
    <row r="1684" ht="15" customHeight="1">
      <c r="A1684" t="inlineStr">
        <is>
          <t>A 22446-2025</t>
        </is>
      </c>
      <c r="B1684" s="1" t="n">
        <v>45786.59439814815</v>
      </c>
      <c r="C1684" s="1" t="n">
        <v>46048</v>
      </c>
      <c r="D1684" t="inlineStr">
        <is>
          <t>VÄSTERNORRLANDS LÄN</t>
        </is>
      </c>
      <c r="E1684" t="inlineStr">
        <is>
          <t>SOLLEFTEÅ</t>
        </is>
      </c>
      <c r="G1684" t="n">
        <v>5.1</v>
      </c>
      <c r="H1684" t="n">
        <v>0</v>
      </c>
      <c r="I1684" t="n">
        <v>0</v>
      </c>
      <c r="J1684" t="n">
        <v>0</v>
      </c>
      <c r="K1684" t="n">
        <v>0</v>
      </c>
      <c r="L1684" t="n">
        <v>0</v>
      </c>
      <c r="M1684" t="n">
        <v>0</v>
      </c>
      <c r="N1684" t="n">
        <v>0</v>
      </c>
      <c r="O1684" t="n">
        <v>0</v>
      </c>
      <c r="P1684" t="n">
        <v>0</v>
      </c>
      <c r="Q1684" t="n">
        <v>0</v>
      </c>
      <c r="R1684" s="2" t="inlineStr"/>
    </row>
    <row r="1685" ht="15" customHeight="1">
      <c r="A1685" t="inlineStr">
        <is>
          <t>A 35807-2025</t>
        </is>
      </c>
      <c r="B1685" s="1" t="n">
        <v>45861.40663194445</v>
      </c>
      <c r="C1685" s="1" t="n">
        <v>46048</v>
      </c>
      <c r="D1685" t="inlineStr">
        <is>
          <t>VÄSTERNORRLANDS LÄN</t>
        </is>
      </c>
      <c r="E1685" t="inlineStr">
        <is>
          <t>SOLLEFTEÅ</t>
        </is>
      </c>
      <c r="F1685" t="inlineStr">
        <is>
          <t>SCA</t>
        </is>
      </c>
      <c r="G1685" t="n">
        <v>16.7</v>
      </c>
      <c r="H1685" t="n">
        <v>0</v>
      </c>
      <c r="I1685" t="n">
        <v>0</v>
      </c>
      <c r="J1685" t="n">
        <v>0</v>
      </c>
      <c r="K1685" t="n">
        <v>0</v>
      </c>
      <c r="L1685" t="n">
        <v>0</v>
      </c>
      <c r="M1685" t="n">
        <v>0</v>
      </c>
      <c r="N1685" t="n">
        <v>0</v>
      </c>
      <c r="O1685" t="n">
        <v>0</v>
      </c>
      <c r="P1685" t="n">
        <v>0</v>
      </c>
      <c r="Q1685" t="n">
        <v>0</v>
      </c>
      <c r="R1685" s="2" t="inlineStr"/>
    </row>
    <row r="1686" ht="15" customHeight="1">
      <c r="A1686" t="inlineStr">
        <is>
          <t>A 23160-2025</t>
        </is>
      </c>
      <c r="B1686" s="1" t="n">
        <v>45791.40760416666</v>
      </c>
      <c r="C1686" s="1" t="n">
        <v>46048</v>
      </c>
      <c r="D1686" t="inlineStr">
        <is>
          <t>VÄSTERNORRLANDS LÄN</t>
        </is>
      </c>
      <c r="E1686" t="inlineStr">
        <is>
          <t>SOLLEFTEÅ</t>
        </is>
      </c>
      <c r="F1686" t="inlineStr">
        <is>
          <t>SCA</t>
        </is>
      </c>
      <c r="G1686" t="n">
        <v>4.9</v>
      </c>
      <c r="H1686" t="n">
        <v>0</v>
      </c>
      <c r="I1686" t="n">
        <v>0</v>
      </c>
      <c r="J1686" t="n">
        <v>0</v>
      </c>
      <c r="K1686" t="n">
        <v>0</v>
      </c>
      <c r="L1686" t="n">
        <v>0</v>
      </c>
      <c r="M1686" t="n">
        <v>0</v>
      </c>
      <c r="N1686" t="n">
        <v>0</v>
      </c>
      <c r="O1686" t="n">
        <v>0</v>
      </c>
      <c r="P1686" t="n">
        <v>0</v>
      </c>
      <c r="Q1686" t="n">
        <v>0</v>
      </c>
      <c r="R1686" s="2" t="inlineStr"/>
    </row>
    <row r="1687" ht="15" customHeight="1">
      <c r="A1687" t="inlineStr">
        <is>
          <t>A 35276-2023</t>
        </is>
      </c>
      <c r="B1687" s="1" t="n">
        <v>45145.95409722222</v>
      </c>
      <c r="C1687" s="1" t="n">
        <v>46048</v>
      </c>
      <c r="D1687" t="inlineStr">
        <is>
          <t>VÄSTERNORRLANDS LÄN</t>
        </is>
      </c>
      <c r="E1687" t="inlineStr">
        <is>
          <t>SOLLEFTEÅ</t>
        </is>
      </c>
      <c r="F1687" t="inlineStr">
        <is>
          <t>SCA</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41532-2024</t>
        </is>
      </c>
      <c r="B1688" s="1" t="n">
        <v>45560.49050925926</v>
      </c>
      <c r="C1688" s="1" t="n">
        <v>46048</v>
      </c>
      <c r="D1688" t="inlineStr">
        <is>
          <t>VÄSTERNORRLANDS LÄN</t>
        </is>
      </c>
      <c r="E1688" t="inlineStr">
        <is>
          <t>SOLLEFTEÅ</t>
        </is>
      </c>
      <c r="F1688" t="inlineStr">
        <is>
          <t>SCA</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56249-2023</t>
        </is>
      </c>
      <c r="B1689" s="1" t="n">
        <v>45240.9468287037</v>
      </c>
      <c r="C1689" s="1" t="n">
        <v>46048</v>
      </c>
      <c r="D1689" t="inlineStr">
        <is>
          <t>VÄSTERNORRLANDS LÄN</t>
        </is>
      </c>
      <c r="E1689" t="inlineStr">
        <is>
          <t>SOLLEFTEÅ</t>
        </is>
      </c>
      <c r="F1689" t="inlineStr">
        <is>
          <t>SCA</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35924-2025</t>
        </is>
      </c>
      <c r="B1690" s="1" t="n">
        <v>45862.57326388889</v>
      </c>
      <c r="C1690" s="1" t="n">
        <v>46048</v>
      </c>
      <c r="D1690" t="inlineStr">
        <is>
          <t>VÄSTERNORRLANDS LÄN</t>
        </is>
      </c>
      <c r="E1690" t="inlineStr">
        <is>
          <t>SOLLEFTEÅ</t>
        </is>
      </c>
      <c r="F1690" t="inlineStr">
        <is>
          <t>SCA</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47272-2022</t>
        </is>
      </c>
      <c r="B1691" s="1" t="n">
        <v>44852.95016203704</v>
      </c>
      <c r="C1691" s="1" t="n">
        <v>46048</v>
      </c>
      <c r="D1691" t="inlineStr">
        <is>
          <t>VÄSTERNORRLANDS LÄN</t>
        </is>
      </c>
      <c r="E1691" t="inlineStr">
        <is>
          <t>SOLLEFTEÅ</t>
        </is>
      </c>
      <c r="G1691" t="n">
        <v>12.2</v>
      </c>
      <c r="H1691" t="n">
        <v>0</v>
      </c>
      <c r="I1691" t="n">
        <v>0</v>
      </c>
      <c r="J1691" t="n">
        <v>0</v>
      </c>
      <c r="K1691" t="n">
        <v>0</v>
      </c>
      <c r="L1691" t="n">
        <v>0</v>
      </c>
      <c r="M1691" t="n">
        <v>0</v>
      </c>
      <c r="N1691" t="n">
        <v>0</v>
      </c>
      <c r="O1691" t="n">
        <v>0</v>
      </c>
      <c r="P1691" t="n">
        <v>0</v>
      </c>
      <c r="Q1691" t="n">
        <v>0</v>
      </c>
      <c r="R1691" s="2" t="inlineStr"/>
    </row>
    <row r="1692" ht="15" customHeight="1">
      <c r="A1692" t="inlineStr">
        <is>
          <t>A 1465-2025</t>
        </is>
      </c>
      <c r="B1692" s="1" t="n">
        <v>45670.36513888889</v>
      </c>
      <c r="C1692" s="1" t="n">
        <v>46048</v>
      </c>
      <c r="D1692" t="inlineStr">
        <is>
          <t>VÄSTERNORRLANDS LÄN</t>
        </is>
      </c>
      <c r="E1692" t="inlineStr">
        <is>
          <t>SOLLEFTEÅ</t>
        </is>
      </c>
      <c r="F1692" t="inlineStr">
        <is>
          <t>SCA</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33713-2023</t>
        </is>
      </c>
      <c r="B1693" s="1" t="n">
        <v>45132.94952546297</v>
      </c>
      <c r="C1693" s="1" t="n">
        <v>46048</v>
      </c>
      <c r="D1693" t="inlineStr">
        <is>
          <t>VÄSTERNORRLANDS LÄN</t>
        </is>
      </c>
      <c r="E1693" t="inlineStr">
        <is>
          <t>SOLLEFTEÅ</t>
        </is>
      </c>
      <c r="F1693" t="inlineStr">
        <is>
          <t>SCA</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54617-2023</t>
        </is>
      </c>
      <c r="B1694" s="1" t="n">
        <v>45233.95835648148</v>
      </c>
      <c r="C1694" s="1" t="n">
        <v>46048</v>
      </c>
      <c r="D1694" t="inlineStr">
        <is>
          <t>VÄSTERNORRLANDS LÄN</t>
        </is>
      </c>
      <c r="E1694" t="inlineStr">
        <is>
          <t>SOLLEFTEÅ</t>
        </is>
      </c>
      <c r="F1694" t="inlineStr">
        <is>
          <t>SCA</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23030-2021</t>
        </is>
      </c>
      <c r="B1695" s="1" t="n">
        <v>44328.94091435185</v>
      </c>
      <c r="C1695" s="1" t="n">
        <v>46048</v>
      </c>
      <c r="D1695" t="inlineStr">
        <is>
          <t>VÄSTERNORRLANDS LÄN</t>
        </is>
      </c>
      <c r="E1695" t="inlineStr">
        <is>
          <t>SOLLEFTEÅ</t>
        </is>
      </c>
      <c r="F1695" t="inlineStr">
        <is>
          <t>SCA</t>
        </is>
      </c>
      <c r="G1695" t="n">
        <v>3.1</v>
      </c>
      <c r="H1695" t="n">
        <v>0</v>
      </c>
      <c r="I1695" t="n">
        <v>0</v>
      </c>
      <c r="J1695" t="n">
        <v>0</v>
      </c>
      <c r="K1695" t="n">
        <v>0</v>
      </c>
      <c r="L1695" t="n">
        <v>0</v>
      </c>
      <c r="M1695" t="n">
        <v>0</v>
      </c>
      <c r="N1695" t="n">
        <v>0</v>
      </c>
      <c r="O1695" t="n">
        <v>0</v>
      </c>
      <c r="P1695" t="n">
        <v>0</v>
      </c>
      <c r="Q1695" t="n">
        <v>0</v>
      </c>
      <c r="R1695" s="2" t="inlineStr"/>
    </row>
    <row r="1696" ht="15" customHeight="1">
      <c r="A1696" t="inlineStr">
        <is>
          <t>A 49171-2022</t>
        </is>
      </c>
      <c r="B1696" s="1" t="n">
        <v>44860.9269212963</v>
      </c>
      <c r="C1696" s="1" t="n">
        <v>46048</v>
      </c>
      <c r="D1696" t="inlineStr">
        <is>
          <t>VÄSTERNORRLANDS LÄN</t>
        </is>
      </c>
      <c r="E1696" t="inlineStr">
        <is>
          <t>SOLLEFTEÅ</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52455-2024</t>
        </is>
      </c>
      <c r="B1697" s="1" t="n">
        <v>45609.50984953704</v>
      </c>
      <c r="C1697" s="1" t="n">
        <v>46048</v>
      </c>
      <c r="D1697" t="inlineStr">
        <is>
          <t>VÄSTERNORRLANDS LÄN</t>
        </is>
      </c>
      <c r="E1697" t="inlineStr">
        <is>
          <t>SOLLEFTEÅ</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31918-2023</t>
        </is>
      </c>
      <c r="B1698" s="1" t="n">
        <v>45118</v>
      </c>
      <c r="C1698" s="1" t="n">
        <v>46048</v>
      </c>
      <c r="D1698" t="inlineStr">
        <is>
          <t>VÄSTERNORRLANDS LÄN</t>
        </is>
      </c>
      <c r="E1698" t="inlineStr">
        <is>
          <t>SOLLEFTEÅ</t>
        </is>
      </c>
      <c r="F1698" t="inlineStr">
        <is>
          <t>SCA</t>
        </is>
      </c>
      <c r="G1698" t="n">
        <v>5.7</v>
      </c>
      <c r="H1698" t="n">
        <v>0</v>
      </c>
      <c r="I1698" t="n">
        <v>0</v>
      </c>
      <c r="J1698" t="n">
        <v>0</v>
      </c>
      <c r="K1698" t="n">
        <v>0</v>
      </c>
      <c r="L1698" t="n">
        <v>0</v>
      </c>
      <c r="M1698" t="n">
        <v>0</v>
      </c>
      <c r="N1698" t="n">
        <v>0</v>
      </c>
      <c r="O1698" t="n">
        <v>0</v>
      </c>
      <c r="P1698" t="n">
        <v>0</v>
      </c>
      <c r="Q1698" t="n">
        <v>0</v>
      </c>
      <c r="R1698" s="2" t="inlineStr"/>
    </row>
    <row r="1699" ht="15" customHeight="1">
      <c r="A1699" t="inlineStr">
        <is>
          <t>A 31922-2023</t>
        </is>
      </c>
      <c r="B1699" s="1" t="n">
        <v>45118.94021990741</v>
      </c>
      <c r="C1699" s="1" t="n">
        <v>46048</v>
      </c>
      <c r="D1699" t="inlineStr">
        <is>
          <t>VÄSTERNORRLANDS LÄN</t>
        </is>
      </c>
      <c r="E1699" t="inlineStr">
        <is>
          <t>SOLLEFTEÅ</t>
        </is>
      </c>
      <c r="F1699" t="inlineStr">
        <is>
          <t>SCA</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29125-2025</t>
        </is>
      </c>
      <c r="B1700" s="1" t="n">
        <v>45821.59459490741</v>
      </c>
      <c r="C1700" s="1" t="n">
        <v>46048</v>
      </c>
      <c r="D1700" t="inlineStr">
        <is>
          <t>VÄSTERNORRLANDS LÄN</t>
        </is>
      </c>
      <c r="E1700" t="inlineStr">
        <is>
          <t>SOLLEFTEÅ</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36135-2025</t>
        </is>
      </c>
      <c r="B1701" s="1" t="n">
        <v>45866.63594907407</v>
      </c>
      <c r="C1701" s="1" t="n">
        <v>46048</v>
      </c>
      <c r="D1701" t="inlineStr">
        <is>
          <t>VÄSTERNORRLANDS LÄN</t>
        </is>
      </c>
      <c r="E1701" t="inlineStr">
        <is>
          <t>SOLLEFTEÅ</t>
        </is>
      </c>
      <c r="F1701" t="inlineStr">
        <is>
          <t>SCA</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2408-2023</t>
        </is>
      </c>
      <c r="B1702" s="1" t="n">
        <v>44942</v>
      </c>
      <c r="C1702" s="1" t="n">
        <v>46048</v>
      </c>
      <c r="D1702" t="inlineStr">
        <is>
          <t>VÄSTERNORRLANDS LÄN</t>
        </is>
      </c>
      <c r="E1702" t="inlineStr">
        <is>
          <t>SOLLEFTEÅ</t>
        </is>
      </c>
      <c r="F1702" t="inlineStr">
        <is>
          <t>SCA</t>
        </is>
      </c>
      <c r="G1702" t="n">
        <v>3.3</v>
      </c>
      <c r="H1702" t="n">
        <v>0</v>
      </c>
      <c r="I1702" t="n">
        <v>0</v>
      </c>
      <c r="J1702" t="n">
        <v>0</v>
      </c>
      <c r="K1702" t="n">
        <v>0</v>
      </c>
      <c r="L1702" t="n">
        <v>0</v>
      </c>
      <c r="M1702" t="n">
        <v>0</v>
      </c>
      <c r="N1702" t="n">
        <v>0</v>
      </c>
      <c r="O1702" t="n">
        <v>0</v>
      </c>
      <c r="P1702" t="n">
        <v>0</v>
      </c>
      <c r="Q1702" t="n">
        <v>0</v>
      </c>
      <c r="R1702" s="2" t="inlineStr"/>
    </row>
    <row r="1703" ht="15" customHeight="1">
      <c r="A1703" t="inlineStr">
        <is>
          <t>A 36068-2025</t>
        </is>
      </c>
      <c r="B1703" s="1" t="n">
        <v>45866.42752314815</v>
      </c>
      <c r="C1703" s="1" t="n">
        <v>46048</v>
      </c>
      <c r="D1703" t="inlineStr">
        <is>
          <t>VÄSTERNORRLANDS LÄN</t>
        </is>
      </c>
      <c r="E1703" t="inlineStr">
        <is>
          <t>SOLLEFTEÅ</t>
        </is>
      </c>
      <c r="F1703" t="inlineStr">
        <is>
          <t>SCA</t>
        </is>
      </c>
      <c r="G1703" t="n">
        <v>5.7</v>
      </c>
      <c r="H1703" t="n">
        <v>0</v>
      </c>
      <c r="I1703" t="n">
        <v>0</v>
      </c>
      <c r="J1703" t="n">
        <v>0</v>
      </c>
      <c r="K1703" t="n">
        <v>0</v>
      </c>
      <c r="L1703" t="n">
        <v>0</v>
      </c>
      <c r="M1703" t="n">
        <v>0</v>
      </c>
      <c r="N1703" t="n">
        <v>0</v>
      </c>
      <c r="O1703" t="n">
        <v>0</v>
      </c>
      <c r="P1703" t="n">
        <v>0</v>
      </c>
      <c r="Q1703" t="n">
        <v>0</v>
      </c>
      <c r="R1703" s="2" t="inlineStr"/>
    </row>
    <row r="1704" ht="15" customHeight="1">
      <c r="A1704" t="inlineStr">
        <is>
          <t>A 36095-2025</t>
        </is>
      </c>
      <c r="B1704" s="1" t="n">
        <v>45866.49006944444</v>
      </c>
      <c r="C1704" s="1" t="n">
        <v>46048</v>
      </c>
      <c r="D1704" t="inlineStr">
        <is>
          <t>VÄSTERNORRLANDS LÄN</t>
        </is>
      </c>
      <c r="E1704" t="inlineStr">
        <is>
          <t>SOLLEFTEÅ</t>
        </is>
      </c>
      <c r="G1704" t="n">
        <v>5</v>
      </c>
      <c r="H1704" t="n">
        <v>0</v>
      </c>
      <c r="I1704" t="n">
        <v>0</v>
      </c>
      <c r="J1704" t="n">
        <v>0</v>
      </c>
      <c r="K1704" t="n">
        <v>0</v>
      </c>
      <c r="L1704" t="n">
        <v>0</v>
      </c>
      <c r="M1704" t="n">
        <v>0</v>
      </c>
      <c r="N1704" t="n">
        <v>0</v>
      </c>
      <c r="O1704" t="n">
        <v>0</v>
      </c>
      <c r="P1704" t="n">
        <v>0</v>
      </c>
      <c r="Q1704" t="n">
        <v>0</v>
      </c>
      <c r="R1704" s="2" t="inlineStr"/>
    </row>
    <row r="1705" ht="15" customHeight="1">
      <c r="A1705" t="inlineStr">
        <is>
          <t>A 33496-2025</t>
        </is>
      </c>
      <c r="B1705" s="1" t="n">
        <v>45841</v>
      </c>
      <c r="C1705" s="1" t="n">
        <v>46048</v>
      </c>
      <c r="D1705" t="inlineStr">
        <is>
          <t>VÄSTERNORRLANDS LÄN</t>
        </is>
      </c>
      <c r="E1705" t="inlineStr">
        <is>
          <t>SOLLEFTEÅ</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36064-2025</t>
        </is>
      </c>
      <c r="B1706" s="1" t="n">
        <v>45866</v>
      </c>
      <c r="C1706" s="1" t="n">
        <v>46048</v>
      </c>
      <c r="D1706" t="inlineStr">
        <is>
          <t>VÄSTERNORRLANDS LÄN</t>
        </is>
      </c>
      <c r="E1706" t="inlineStr">
        <is>
          <t>SOLLEFTEÅ</t>
        </is>
      </c>
      <c r="F1706" t="inlineStr">
        <is>
          <t>SCA</t>
        </is>
      </c>
      <c r="G1706" t="n">
        <v>0.3</v>
      </c>
      <c r="H1706" t="n">
        <v>0</v>
      </c>
      <c r="I1706" t="n">
        <v>0</v>
      </c>
      <c r="J1706" t="n">
        <v>0</v>
      </c>
      <c r="K1706" t="n">
        <v>0</v>
      </c>
      <c r="L1706" t="n">
        <v>0</v>
      </c>
      <c r="M1706" t="n">
        <v>0</v>
      </c>
      <c r="N1706" t="n">
        <v>0</v>
      </c>
      <c r="O1706" t="n">
        <v>0</v>
      </c>
      <c r="P1706" t="n">
        <v>0</v>
      </c>
      <c r="Q1706" t="n">
        <v>0</v>
      </c>
      <c r="R1706" s="2" t="inlineStr"/>
    </row>
    <row r="1707" ht="15" customHeight="1">
      <c r="A1707" t="inlineStr">
        <is>
          <t>A 13300-2022</t>
        </is>
      </c>
      <c r="B1707" s="1" t="n">
        <v>44644</v>
      </c>
      <c r="C1707" s="1" t="n">
        <v>46048</v>
      </c>
      <c r="D1707" t="inlineStr">
        <is>
          <t>VÄSTERNORRLANDS LÄN</t>
        </is>
      </c>
      <c r="E1707" t="inlineStr">
        <is>
          <t>SOLLEFTEÅ</t>
        </is>
      </c>
      <c r="F1707" t="inlineStr">
        <is>
          <t>SCA</t>
        </is>
      </c>
      <c r="G1707" t="n">
        <v>9.9</v>
      </c>
      <c r="H1707" t="n">
        <v>0</v>
      </c>
      <c r="I1707" t="n">
        <v>0</v>
      </c>
      <c r="J1707" t="n">
        <v>0</v>
      </c>
      <c r="K1707" t="n">
        <v>0</v>
      </c>
      <c r="L1707" t="n">
        <v>0</v>
      </c>
      <c r="M1707" t="n">
        <v>0</v>
      </c>
      <c r="N1707" t="n">
        <v>0</v>
      </c>
      <c r="O1707" t="n">
        <v>0</v>
      </c>
      <c r="P1707" t="n">
        <v>0</v>
      </c>
      <c r="Q1707" t="n">
        <v>0</v>
      </c>
      <c r="R1707" s="2" t="inlineStr"/>
    </row>
    <row r="1708" ht="15" customHeight="1">
      <c r="A1708" t="inlineStr">
        <is>
          <t>A 14730-2025</t>
        </is>
      </c>
      <c r="B1708" s="1" t="n">
        <v>45742.63587962963</v>
      </c>
      <c r="C1708" s="1" t="n">
        <v>46048</v>
      </c>
      <c r="D1708" t="inlineStr">
        <is>
          <t>VÄSTERNORRLANDS LÄN</t>
        </is>
      </c>
      <c r="E1708" t="inlineStr">
        <is>
          <t>SOLLEFTEÅ</t>
        </is>
      </c>
      <c r="F1708" t="inlineStr">
        <is>
          <t>SCA</t>
        </is>
      </c>
      <c r="G1708" t="n">
        <v>3.1</v>
      </c>
      <c r="H1708" t="n">
        <v>0</v>
      </c>
      <c r="I1708" t="n">
        <v>0</v>
      </c>
      <c r="J1708" t="n">
        <v>0</v>
      </c>
      <c r="K1708" t="n">
        <v>0</v>
      </c>
      <c r="L1708" t="n">
        <v>0</v>
      </c>
      <c r="M1708" t="n">
        <v>0</v>
      </c>
      <c r="N1708" t="n">
        <v>0</v>
      </c>
      <c r="O1708" t="n">
        <v>0</v>
      </c>
      <c r="P1708" t="n">
        <v>0</v>
      </c>
      <c r="Q1708" t="n">
        <v>0</v>
      </c>
      <c r="R1708" s="2" t="inlineStr"/>
    </row>
    <row r="1709" ht="15" customHeight="1">
      <c r="A1709" t="inlineStr">
        <is>
          <t>A 35469-2024</t>
        </is>
      </c>
      <c r="B1709" s="1" t="n">
        <v>45531</v>
      </c>
      <c r="C1709" s="1" t="n">
        <v>46048</v>
      </c>
      <c r="D1709" t="inlineStr">
        <is>
          <t>VÄSTERNORRLANDS LÄN</t>
        </is>
      </c>
      <c r="E1709" t="inlineStr">
        <is>
          <t>SOLLEFTEÅ</t>
        </is>
      </c>
      <c r="G1709" t="n">
        <v>3</v>
      </c>
      <c r="H1709" t="n">
        <v>0</v>
      </c>
      <c r="I1709" t="n">
        <v>0</v>
      </c>
      <c r="J1709" t="n">
        <v>0</v>
      </c>
      <c r="K1709" t="n">
        <v>0</v>
      </c>
      <c r="L1709" t="n">
        <v>0</v>
      </c>
      <c r="M1709" t="n">
        <v>0</v>
      </c>
      <c r="N1709" t="n">
        <v>0</v>
      </c>
      <c r="O1709" t="n">
        <v>0</v>
      </c>
      <c r="P1709" t="n">
        <v>0</v>
      </c>
      <c r="Q1709" t="n">
        <v>0</v>
      </c>
      <c r="R1709" s="2" t="inlineStr"/>
    </row>
    <row r="1710" ht="15" customHeight="1">
      <c r="A1710" t="inlineStr">
        <is>
          <t>A 40355-2024</t>
        </is>
      </c>
      <c r="B1710" s="1" t="n">
        <v>45555.36541666667</v>
      </c>
      <c r="C1710" s="1" t="n">
        <v>46048</v>
      </c>
      <c r="D1710" t="inlineStr">
        <is>
          <t>VÄSTERNORRLANDS LÄN</t>
        </is>
      </c>
      <c r="E1710" t="inlineStr">
        <is>
          <t>SOLLEFTEÅ</t>
        </is>
      </c>
      <c r="F1710" t="inlineStr">
        <is>
          <t>SCA</t>
        </is>
      </c>
      <c r="G1710" t="n">
        <v>2.7</v>
      </c>
      <c r="H1710" t="n">
        <v>0</v>
      </c>
      <c r="I1710" t="n">
        <v>0</v>
      </c>
      <c r="J1710" t="n">
        <v>0</v>
      </c>
      <c r="K1710" t="n">
        <v>0</v>
      </c>
      <c r="L1710" t="n">
        <v>0</v>
      </c>
      <c r="M1710" t="n">
        <v>0</v>
      </c>
      <c r="N1710" t="n">
        <v>0</v>
      </c>
      <c r="O1710" t="n">
        <v>0</v>
      </c>
      <c r="P1710" t="n">
        <v>0</v>
      </c>
      <c r="Q1710" t="n">
        <v>0</v>
      </c>
      <c r="R1710" s="2" t="inlineStr"/>
    </row>
    <row r="1711" ht="15" customHeight="1">
      <c r="A1711" t="inlineStr">
        <is>
          <t>A 27908-2024</t>
        </is>
      </c>
      <c r="B1711" s="1" t="n">
        <v>45475.94615740741</v>
      </c>
      <c r="C1711" s="1" t="n">
        <v>46048</v>
      </c>
      <c r="D1711" t="inlineStr">
        <is>
          <t>VÄSTERNORRLANDS LÄN</t>
        </is>
      </c>
      <c r="E1711" t="inlineStr">
        <is>
          <t>SOLLEFTEÅ</t>
        </is>
      </c>
      <c r="F1711" t="inlineStr">
        <is>
          <t>SCA</t>
        </is>
      </c>
      <c r="G1711" t="n">
        <v>6.8</v>
      </c>
      <c r="H1711" t="n">
        <v>0</v>
      </c>
      <c r="I1711" t="n">
        <v>0</v>
      </c>
      <c r="J1711" t="n">
        <v>0</v>
      </c>
      <c r="K1711" t="n">
        <v>0</v>
      </c>
      <c r="L1711" t="n">
        <v>0</v>
      </c>
      <c r="M1711" t="n">
        <v>0</v>
      </c>
      <c r="N1711" t="n">
        <v>0</v>
      </c>
      <c r="O1711" t="n">
        <v>0</v>
      </c>
      <c r="P1711" t="n">
        <v>0</v>
      </c>
      <c r="Q1711" t="n">
        <v>0</v>
      </c>
      <c r="R1711" s="2" t="inlineStr"/>
    </row>
    <row r="1712" ht="15" customHeight="1">
      <c r="A1712" t="inlineStr">
        <is>
          <t>A 27916-2024</t>
        </is>
      </c>
      <c r="B1712" s="1" t="n">
        <v>45475.94834490741</v>
      </c>
      <c r="C1712" s="1" t="n">
        <v>46048</v>
      </c>
      <c r="D1712" t="inlineStr">
        <is>
          <t>VÄSTERNORRLANDS LÄN</t>
        </is>
      </c>
      <c r="E1712" t="inlineStr">
        <is>
          <t>SOLLEFTEÅ</t>
        </is>
      </c>
      <c r="F1712" t="inlineStr">
        <is>
          <t>SCA</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37671-2023</t>
        </is>
      </c>
      <c r="B1713" s="1" t="n">
        <v>45156</v>
      </c>
      <c r="C1713" s="1" t="n">
        <v>46048</v>
      </c>
      <c r="D1713" t="inlineStr">
        <is>
          <t>VÄSTERNORRLANDS LÄN</t>
        </is>
      </c>
      <c r="E1713" t="inlineStr">
        <is>
          <t>SOLLEFTEÅ</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54559-2022</t>
        </is>
      </c>
      <c r="B1714" s="1" t="n">
        <v>44882</v>
      </c>
      <c r="C1714" s="1" t="n">
        <v>46048</v>
      </c>
      <c r="D1714" t="inlineStr">
        <is>
          <t>VÄSTERNORRLANDS LÄN</t>
        </is>
      </c>
      <c r="E1714" t="inlineStr">
        <is>
          <t>SOLLEFTEÅ</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7585-2024</t>
        </is>
      </c>
      <c r="B1715" s="1" t="n">
        <v>45348</v>
      </c>
      <c r="C1715" s="1" t="n">
        <v>46048</v>
      </c>
      <c r="D1715" t="inlineStr">
        <is>
          <t>VÄSTERNORRLANDS LÄN</t>
        </is>
      </c>
      <c r="E1715" t="inlineStr">
        <is>
          <t>SOLLEFTEÅ</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36274-2025</t>
        </is>
      </c>
      <c r="B1716" s="1" t="n">
        <v>45867.63579861111</v>
      </c>
      <c r="C1716" s="1" t="n">
        <v>46048</v>
      </c>
      <c r="D1716" t="inlineStr">
        <is>
          <t>VÄSTERNORRLANDS LÄN</t>
        </is>
      </c>
      <c r="E1716" t="inlineStr">
        <is>
          <t>SOLLEFTEÅ</t>
        </is>
      </c>
      <c r="F1716" t="inlineStr">
        <is>
          <t>SCA</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33495-2025</t>
        </is>
      </c>
      <c r="B1717" s="1" t="n">
        <v>45841</v>
      </c>
      <c r="C1717" s="1" t="n">
        <v>46048</v>
      </c>
      <c r="D1717" t="inlineStr">
        <is>
          <t>VÄSTERNORRLANDS LÄN</t>
        </is>
      </c>
      <c r="E1717" t="inlineStr">
        <is>
          <t>SOLLEFTEÅ</t>
        </is>
      </c>
      <c r="F1717" t="inlineStr">
        <is>
          <t>SCA</t>
        </is>
      </c>
      <c r="G1717" t="n">
        <v>2.5</v>
      </c>
      <c r="H1717" t="n">
        <v>0</v>
      </c>
      <c r="I1717" t="n">
        <v>0</v>
      </c>
      <c r="J1717" t="n">
        <v>0</v>
      </c>
      <c r="K1717" t="n">
        <v>0</v>
      </c>
      <c r="L1717" t="n">
        <v>0</v>
      </c>
      <c r="M1717" t="n">
        <v>0</v>
      </c>
      <c r="N1717" t="n">
        <v>0</v>
      </c>
      <c r="O1717" t="n">
        <v>0</v>
      </c>
      <c r="P1717" t="n">
        <v>0</v>
      </c>
      <c r="Q1717" t="n">
        <v>0</v>
      </c>
      <c r="R1717" s="2" t="inlineStr"/>
    </row>
    <row r="1718" ht="15" customHeight="1">
      <c r="A1718" t="inlineStr">
        <is>
          <t>A 29210-2023</t>
        </is>
      </c>
      <c r="B1718" s="1" t="n">
        <v>45097</v>
      </c>
      <c r="C1718" s="1" t="n">
        <v>46048</v>
      </c>
      <c r="D1718" t="inlineStr">
        <is>
          <t>VÄSTERNORRLANDS LÄN</t>
        </is>
      </c>
      <c r="E1718" t="inlineStr">
        <is>
          <t>SOLLEFTEÅ</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29336-2023</t>
        </is>
      </c>
      <c r="B1719" s="1" t="n">
        <v>45105</v>
      </c>
      <c r="C1719" s="1" t="n">
        <v>46048</v>
      </c>
      <c r="D1719" t="inlineStr">
        <is>
          <t>VÄSTERNORRLANDS LÄN</t>
        </is>
      </c>
      <c r="E1719" t="inlineStr">
        <is>
          <t>SOLLEFTEÅ</t>
        </is>
      </c>
      <c r="F1719" t="inlineStr">
        <is>
          <t>SCA</t>
        </is>
      </c>
      <c r="G1719" t="n">
        <v>2.7</v>
      </c>
      <c r="H1719" t="n">
        <v>0</v>
      </c>
      <c r="I1719" t="n">
        <v>0</v>
      </c>
      <c r="J1719" t="n">
        <v>0</v>
      </c>
      <c r="K1719" t="n">
        <v>0</v>
      </c>
      <c r="L1719" t="n">
        <v>0</v>
      </c>
      <c r="M1719" t="n">
        <v>0</v>
      </c>
      <c r="N1719" t="n">
        <v>0</v>
      </c>
      <c r="O1719" t="n">
        <v>0</v>
      </c>
      <c r="P1719" t="n">
        <v>0</v>
      </c>
      <c r="Q1719" t="n">
        <v>0</v>
      </c>
      <c r="R1719" s="2" t="inlineStr"/>
    </row>
    <row r="1720" ht="15" customHeight="1">
      <c r="A1720" t="inlineStr">
        <is>
          <t>A 36224-2025</t>
        </is>
      </c>
      <c r="B1720" s="1" t="n">
        <v>45867.51116898148</v>
      </c>
      <c r="C1720" s="1" t="n">
        <v>46048</v>
      </c>
      <c r="D1720" t="inlineStr">
        <is>
          <t>VÄSTERNORRLANDS LÄN</t>
        </is>
      </c>
      <c r="E1720" t="inlineStr">
        <is>
          <t>SOLLEFTEÅ</t>
        </is>
      </c>
      <c r="F1720" t="inlineStr">
        <is>
          <t>SCA</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27633-2024</t>
        </is>
      </c>
      <c r="B1721" s="1" t="n">
        <v>45474.94590277778</v>
      </c>
      <c r="C1721" s="1" t="n">
        <v>46048</v>
      </c>
      <c r="D1721" t="inlineStr">
        <is>
          <t>VÄSTERNORRLANDS LÄN</t>
        </is>
      </c>
      <c r="E1721" t="inlineStr">
        <is>
          <t>SOLLEFTEÅ</t>
        </is>
      </c>
      <c r="F1721" t="inlineStr">
        <is>
          <t>SCA</t>
        </is>
      </c>
      <c r="G1721" t="n">
        <v>3.2</v>
      </c>
      <c r="H1721" t="n">
        <v>0</v>
      </c>
      <c r="I1721" t="n">
        <v>0</v>
      </c>
      <c r="J1721" t="n">
        <v>0</v>
      </c>
      <c r="K1721" t="n">
        <v>0</v>
      </c>
      <c r="L1721" t="n">
        <v>0</v>
      </c>
      <c r="M1721" t="n">
        <v>0</v>
      </c>
      <c r="N1721" t="n">
        <v>0</v>
      </c>
      <c r="O1721" t="n">
        <v>0</v>
      </c>
      <c r="P1721" t="n">
        <v>0</v>
      </c>
      <c r="Q1721" t="n">
        <v>0</v>
      </c>
      <c r="R1721" s="2" t="inlineStr"/>
    </row>
    <row r="1722" ht="15" customHeight="1">
      <c r="A1722" t="inlineStr">
        <is>
          <t>A 27634-2024</t>
        </is>
      </c>
      <c r="B1722" s="1" t="n">
        <v>45474.94599537037</v>
      </c>
      <c r="C1722" s="1" t="n">
        <v>46048</v>
      </c>
      <c r="D1722" t="inlineStr">
        <is>
          <t>VÄSTERNORRLANDS LÄN</t>
        </is>
      </c>
      <c r="E1722" t="inlineStr">
        <is>
          <t>SOLLEFTEÅ</t>
        </is>
      </c>
      <c r="F1722" t="inlineStr">
        <is>
          <t>SCA</t>
        </is>
      </c>
      <c r="G1722" t="n">
        <v>4.2</v>
      </c>
      <c r="H1722" t="n">
        <v>0</v>
      </c>
      <c r="I1722" t="n">
        <v>0</v>
      </c>
      <c r="J1722" t="n">
        <v>0</v>
      </c>
      <c r="K1722" t="n">
        <v>0</v>
      </c>
      <c r="L1722" t="n">
        <v>0</v>
      </c>
      <c r="M1722" t="n">
        <v>0</v>
      </c>
      <c r="N1722" t="n">
        <v>0</v>
      </c>
      <c r="O1722" t="n">
        <v>0</v>
      </c>
      <c r="P1722" t="n">
        <v>0</v>
      </c>
      <c r="Q1722" t="n">
        <v>0</v>
      </c>
      <c r="R1722" s="2" t="inlineStr"/>
    </row>
    <row r="1723" ht="15" customHeight="1">
      <c r="A1723" t="inlineStr">
        <is>
          <t>A 29860-2025</t>
        </is>
      </c>
      <c r="B1723" s="1" t="n">
        <v>45826.34638888889</v>
      </c>
      <c r="C1723" s="1" t="n">
        <v>46048</v>
      </c>
      <c r="D1723" t="inlineStr">
        <is>
          <t>VÄSTERNORRLANDS LÄN</t>
        </is>
      </c>
      <c r="E1723" t="inlineStr">
        <is>
          <t>SOLLEFTEÅ</t>
        </is>
      </c>
      <c r="G1723" t="n">
        <v>4.6</v>
      </c>
      <c r="H1723" t="n">
        <v>0</v>
      </c>
      <c r="I1723" t="n">
        <v>0</v>
      </c>
      <c r="J1723" t="n">
        <v>0</v>
      </c>
      <c r="K1723" t="n">
        <v>0</v>
      </c>
      <c r="L1723" t="n">
        <v>0</v>
      </c>
      <c r="M1723" t="n">
        <v>0</v>
      </c>
      <c r="N1723" t="n">
        <v>0</v>
      </c>
      <c r="O1723" t="n">
        <v>0</v>
      </c>
      <c r="P1723" t="n">
        <v>0</v>
      </c>
      <c r="Q1723" t="n">
        <v>0</v>
      </c>
      <c r="R1723" s="2" t="inlineStr"/>
    </row>
    <row r="1724" ht="15" customHeight="1">
      <c r="A1724" t="inlineStr">
        <is>
          <t>A 36300-2025</t>
        </is>
      </c>
      <c r="B1724" s="1" t="n">
        <v>45867.6984375</v>
      </c>
      <c r="C1724" s="1" t="n">
        <v>46048</v>
      </c>
      <c r="D1724" t="inlineStr">
        <is>
          <t>VÄSTERNORRLANDS LÄN</t>
        </is>
      </c>
      <c r="E1724" t="inlineStr">
        <is>
          <t>SOLLEFTEÅ</t>
        </is>
      </c>
      <c r="F1724" t="inlineStr">
        <is>
          <t>SCA</t>
        </is>
      </c>
      <c r="G1724" t="n">
        <v>6</v>
      </c>
      <c r="H1724" t="n">
        <v>0</v>
      </c>
      <c r="I1724" t="n">
        <v>0</v>
      </c>
      <c r="J1724" t="n">
        <v>0</v>
      </c>
      <c r="K1724" t="n">
        <v>0</v>
      </c>
      <c r="L1724" t="n">
        <v>0</v>
      </c>
      <c r="M1724" t="n">
        <v>0</v>
      </c>
      <c r="N1724" t="n">
        <v>0</v>
      </c>
      <c r="O1724" t="n">
        <v>0</v>
      </c>
      <c r="P1724" t="n">
        <v>0</v>
      </c>
      <c r="Q1724" t="n">
        <v>0</v>
      </c>
      <c r="R1724" s="2" t="inlineStr"/>
    </row>
    <row r="1725" ht="15" customHeight="1">
      <c r="A1725" t="inlineStr">
        <is>
          <t>A 36063-2025</t>
        </is>
      </c>
      <c r="B1725" s="1" t="n">
        <v>45866</v>
      </c>
      <c r="C1725" s="1" t="n">
        <v>46048</v>
      </c>
      <c r="D1725" t="inlineStr">
        <is>
          <t>VÄSTERNORRLANDS LÄN</t>
        </is>
      </c>
      <c r="E1725" t="inlineStr">
        <is>
          <t>SOLLEFTEÅ</t>
        </is>
      </c>
      <c r="F1725" t="inlineStr">
        <is>
          <t>SCA</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46261-2024</t>
        </is>
      </c>
      <c r="B1726" s="1" t="n">
        <v>45581.61048611111</v>
      </c>
      <c r="C1726" s="1" t="n">
        <v>46048</v>
      </c>
      <c r="D1726" t="inlineStr">
        <is>
          <t>VÄSTERNORRLANDS LÄN</t>
        </is>
      </c>
      <c r="E1726" t="inlineStr">
        <is>
          <t>SOLLEFTEÅ</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36373-2025</t>
        </is>
      </c>
      <c r="B1727" s="1" t="n">
        <v>45868.55256944444</v>
      </c>
      <c r="C1727" s="1" t="n">
        <v>46048</v>
      </c>
      <c r="D1727" t="inlineStr">
        <is>
          <t>VÄSTERNORRLANDS LÄN</t>
        </is>
      </c>
      <c r="E1727" t="inlineStr">
        <is>
          <t>SOLLEFTEÅ</t>
        </is>
      </c>
      <c r="F1727" t="inlineStr">
        <is>
          <t>SCA</t>
        </is>
      </c>
      <c r="G1727" t="n">
        <v>4.8</v>
      </c>
      <c r="H1727" t="n">
        <v>0</v>
      </c>
      <c r="I1727" t="n">
        <v>0</v>
      </c>
      <c r="J1727" t="n">
        <v>0</v>
      </c>
      <c r="K1727" t="n">
        <v>0</v>
      </c>
      <c r="L1727" t="n">
        <v>0</v>
      </c>
      <c r="M1727" t="n">
        <v>0</v>
      </c>
      <c r="N1727" t="n">
        <v>0</v>
      </c>
      <c r="O1727" t="n">
        <v>0</v>
      </c>
      <c r="P1727" t="n">
        <v>0</v>
      </c>
      <c r="Q1727" t="n">
        <v>0</v>
      </c>
      <c r="R1727" s="2" t="inlineStr"/>
    </row>
    <row r="1728" ht="15" customHeight="1">
      <c r="A1728" t="inlineStr">
        <is>
          <t>A 36432-2025</t>
        </is>
      </c>
      <c r="B1728" s="1" t="n">
        <v>45869.36505787037</v>
      </c>
      <c r="C1728" s="1" t="n">
        <v>46048</v>
      </c>
      <c r="D1728" t="inlineStr">
        <is>
          <t>VÄSTERNORRLANDS LÄN</t>
        </is>
      </c>
      <c r="E1728" t="inlineStr">
        <is>
          <t>SOLLEFTEÅ</t>
        </is>
      </c>
      <c r="F1728" t="inlineStr">
        <is>
          <t>SCA</t>
        </is>
      </c>
      <c r="G1728" t="n">
        <v>4.1</v>
      </c>
      <c r="H1728" t="n">
        <v>0</v>
      </c>
      <c r="I1728" t="n">
        <v>0</v>
      </c>
      <c r="J1728" t="n">
        <v>0</v>
      </c>
      <c r="K1728" t="n">
        <v>0</v>
      </c>
      <c r="L1728" t="n">
        <v>0</v>
      </c>
      <c r="M1728" t="n">
        <v>0</v>
      </c>
      <c r="N1728" t="n">
        <v>0</v>
      </c>
      <c r="O1728" t="n">
        <v>0</v>
      </c>
      <c r="P1728" t="n">
        <v>0</v>
      </c>
      <c r="Q1728" t="n">
        <v>0</v>
      </c>
      <c r="R1728" s="2" t="inlineStr"/>
    </row>
    <row r="1729" ht="15" customHeight="1">
      <c r="A1729" t="inlineStr">
        <is>
          <t>A 25702-2024</t>
        </is>
      </c>
      <c r="B1729" s="1" t="n">
        <v>45463</v>
      </c>
      <c r="C1729" s="1" t="n">
        <v>46048</v>
      </c>
      <c r="D1729" t="inlineStr">
        <is>
          <t>VÄSTERNORRLANDS LÄN</t>
        </is>
      </c>
      <c r="E1729" t="inlineStr">
        <is>
          <t>SOLLEFTEÅ</t>
        </is>
      </c>
      <c r="F1729" t="inlineStr">
        <is>
          <t>SCA</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25711-2024</t>
        </is>
      </c>
      <c r="B1730" s="1" t="n">
        <v>45463</v>
      </c>
      <c r="C1730" s="1" t="n">
        <v>46048</v>
      </c>
      <c r="D1730" t="inlineStr">
        <is>
          <t>VÄSTERNORRLANDS LÄN</t>
        </is>
      </c>
      <c r="E1730" t="inlineStr">
        <is>
          <t>SOLLEFTEÅ</t>
        </is>
      </c>
      <c r="F1730" t="inlineStr">
        <is>
          <t>SCA</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59491-2024</t>
        </is>
      </c>
      <c r="B1731" s="1" t="n">
        <v>45637</v>
      </c>
      <c r="C1731" s="1" t="n">
        <v>46048</v>
      </c>
      <c r="D1731" t="inlineStr">
        <is>
          <t>VÄSTERNORRLANDS LÄN</t>
        </is>
      </c>
      <c r="E1731" t="inlineStr">
        <is>
          <t>SOLLEFTEÅ</t>
        </is>
      </c>
      <c r="G1731" t="n">
        <v>4.9</v>
      </c>
      <c r="H1731" t="n">
        <v>0</v>
      </c>
      <c r="I1731" t="n">
        <v>0</v>
      </c>
      <c r="J1731" t="n">
        <v>0</v>
      </c>
      <c r="K1731" t="n">
        <v>0</v>
      </c>
      <c r="L1731" t="n">
        <v>0</v>
      </c>
      <c r="M1731" t="n">
        <v>0</v>
      </c>
      <c r="N1731" t="n">
        <v>0</v>
      </c>
      <c r="O1731" t="n">
        <v>0</v>
      </c>
      <c r="P1731" t="n">
        <v>0</v>
      </c>
      <c r="Q1731" t="n">
        <v>0</v>
      </c>
      <c r="R1731" s="2" t="inlineStr"/>
    </row>
    <row r="1732" ht="15" customHeight="1">
      <c r="A1732" t="inlineStr">
        <is>
          <t>A 12561-2022</t>
        </is>
      </c>
      <c r="B1732" s="1" t="n">
        <v>44638</v>
      </c>
      <c r="C1732" s="1" t="n">
        <v>46048</v>
      </c>
      <c r="D1732" t="inlineStr">
        <is>
          <t>VÄSTERNORRLANDS LÄN</t>
        </is>
      </c>
      <c r="E1732" t="inlineStr">
        <is>
          <t>SOLLEFTEÅ</t>
        </is>
      </c>
      <c r="F1732" t="inlineStr">
        <is>
          <t>SCA</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12820-2023</t>
        </is>
      </c>
      <c r="B1733" s="1" t="n">
        <v>45000</v>
      </c>
      <c r="C1733" s="1" t="n">
        <v>46048</v>
      </c>
      <c r="D1733" t="inlineStr">
        <is>
          <t>VÄSTERNORRLANDS LÄN</t>
        </is>
      </c>
      <c r="E1733" t="inlineStr">
        <is>
          <t>SOLLEFTEÅ</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36545-2025</t>
        </is>
      </c>
      <c r="B1734" s="1" t="n">
        <v>45869.67761574074</v>
      </c>
      <c r="C1734" s="1" t="n">
        <v>46048</v>
      </c>
      <c r="D1734" t="inlineStr">
        <is>
          <t>VÄSTERNORRLANDS LÄN</t>
        </is>
      </c>
      <c r="E1734" t="inlineStr">
        <is>
          <t>SOLLEFTEÅ</t>
        </is>
      </c>
      <c r="F1734" t="inlineStr">
        <is>
          <t>SCA</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25356-2024</t>
        </is>
      </c>
      <c r="B1735" s="1" t="n">
        <v>45462.9565162037</v>
      </c>
      <c r="C1735" s="1" t="n">
        <v>46048</v>
      </c>
      <c r="D1735" t="inlineStr">
        <is>
          <t>VÄSTERNORRLANDS LÄN</t>
        </is>
      </c>
      <c r="E1735" t="inlineStr">
        <is>
          <t>SOLLEFTEÅ</t>
        </is>
      </c>
      <c r="F1735" t="inlineStr">
        <is>
          <t>SCA</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6067-2024</t>
        </is>
      </c>
      <c r="B1736" s="1" t="n">
        <v>45336.89018518518</v>
      </c>
      <c r="C1736" s="1" t="n">
        <v>46048</v>
      </c>
      <c r="D1736" t="inlineStr">
        <is>
          <t>VÄSTERNORRLANDS LÄN</t>
        </is>
      </c>
      <c r="E1736" t="inlineStr">
        <is>
          <t>SOLLEFTEÅ</t>
        </is>
      </c>
      <c r="F1736" t="inlineStr">
        <is>
          <t>Övriga Aktiebolag</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62662-2022</t>
        </is>
      </c>
      <c r="B1737" s="1" t="n">
        <v>44917</v>
      </c>
      <c r="C1737" s="1" t="n">
        <v>46048</v>
      </c>
      <c r="D1737" t="inlineStr">
        <is>
          <t>VÄSTERNORRLANDS LÄN</t>
        </is>
      </c>
      <c r="E1737" t="inlineStr">
        <is>
          <t>SOLLEFTEÅ</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36324-2025</t>
        </is>
      </c>
      <c r="B1738" s="1" t="n">
        <v>45868.40707175926</v>
      </c>
      <c r="C1738" s="1" t="n">
        <v>46048</v>
      </c>
      <c r="D1738" t="inlineStr">
        <is>
          <t>VÄSTERNORRLANDS LÄN</t>
        </is>
      </c>
      <c r="E1738" t="inlineStr">
        <is>
          <t>SOLLEFTEÅ</t>
        </is>
      </c>
      <c r="F1738" t="inlineStr">
        <is>
          <t>SCA</t>
        </is>
      </c>
      <c r="G1738" t="n">
        <v>5.3</v>
      </c>
      <c r="H1738" t="n">
        <v>0</v>
      </c>
      <c r="I1738" t="n">
        <v>0</v>
      </c>
      <c r="J1738" t="n">
        <v>0</v>
      </c>
      <c r="K1738" t="n">
        <v>0</v>
      </c>
      <c r="L1738" t="n">
        <v>0</v>
      </c>
      <c r="M1738" t="n">
        <v>0</v>
      </c>
      <c r="N1738" t="n">
        <v>0</v>
      </c>
      <c r="O1738" t="n">
        <v>0</v>
      </c>
      <c r="P1738" t="n">
        <v>0</v>
      </c>
      <c r="Q1738" t="n">
        <v>0</v>
      </c>
      <c r="R1738" s="2" t="inlineStr"/>
    </row>
    <row r="1739" ht="15" customHeight="1">
      <c r="A1739" t="inlineStr">
        <is>
          <t>A 19416-2022</t>
        </is>
      </c>
      <c r="B1739" s="1" t="n">
        <v>44693</v>
      </c>
      <c r="C1739" s="1" t="n">
        <v>46048</v>
      </c>
      <c r="D1739" t="inlineStr">
        <is>
          <t>VÄSTERNORRLANDS LÄN</t>
        </is>
      </c>
      <c r="E1739" t="inlineStr">
        <is>
          <t>SOLLEFTEÅ</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36312-2025</t>
        </is>
      </c>
      <c r="B1740" s="1" t="n">
        <v>45868.34444444445</v>
      </c>
      <c r="C1740" s="1" t="n">
        <v>46048</v>
      </c>
      <c r="D1740" t="inlineStr">
        <is>
          <t>VÄSTERNORRLANDS LÄN</t>
        </is>
      </c>
      <c r="E1740" t="inlineStr">
        <is>
          <t>SOLLEFTEÅ</t>
        </is>
      </c>
      <c r="G1740" t="n">
        <v>4.2</v>
      </c>
      <c r="H1740" t="n">
        <v>0</v>
      </c>
      <c r="I1740" t="n">
        <v>0</v>
      </c>
      <c r="J1740" t="n">
        <v>0</v>
      </c>
      <c r="K1740" t="n">
        <v>0</v>
      </c>
      <c r="L1740" t="n">
        <v>0</v>
      </c>
      <c r="M1740" t="n">
        <v>0</v>
      </c>
      <c r="N1740" t="n">
        <v>0</v>
      </c>
      <c r="O1740" t="n">
        <v>0</v>
      </c>
      <c r="P1740" t="n">
        <v>0</v>
      </c>
      <c r="Q1740" t="n">
        <v>0</v>
      </c>
      <c r="R1740" s="2" t="inlineStr"/>
    </row>
    <row r="1741" ht="15" customHeight="1">
      <c r="A1741" t="inlineStr">
        <is>
          <t>A 63413-2023</t>
        </is>
      </c>
      <c r="B1741" s="1" t="n">
        <v>45274</v>
      </c>
      <c r="C1741" s="1" t="n">
        <v>46048</v>
      </c>
      <c r="D1741" t="inlineStr">
        <is>
          <t>VÄSTERNORRLANDS LÄN</t>
        </is>
      </c>
      <c r="E1741" t="inlineStr">
        <is>
          <t>SOLLEFTEÅ</t>
        </is>
      </c>
      <c r="G1741" t="n">
        <v>3.4</v>
      </c>
      <c r="H1741" t="n">
        <v>0</v>
      </c>
      <c r="I1741" t="n">
        <v>0</v>
      </c>
      <c r="J1741" t="n">
        <v>0</v>
      </c>
      <c r="K1741" t="n">
        <v>0</v>
      </c>
      <c r="L1741" t="n">
        <v>0</v>
      </c>
      <c r="M1741" t="n">
        <v>0</v>
      </c>
      <c r="N1741" t="n">
        <v>0</v>
      </c>
      <c r="O1741" t="n">
        <v>0</v>
      </c>
      <c r="P1741" t="n">
        <v>0</v>
      </c>
      <c r="Q1741" t="n">
        <v>0</v>
      </c>
      <c r="R1741" s="2" t="inlineStr"/>
    </row>
    <row r="1742" ht="15" customHeight="1">
      <c r="A1742" t="inlineStr">
        <is>
          <t>A 63422-2023</t>
        </is>
      </c>
      <c r="B1742" s="1" t="n">
        <v>45274</v>
      </c>
      <c r="C1742" s="1" t="n">
        <v>46048</v>
      </c>
      <c r="D1742" t="inlineStr">
        <is>
          <t>VÄSTERNORRLANDS LÄN</t>
        </is>
      </c>
      <c r="E1742" t="inlineStr">
        <is>
          <t>SOLLEFTEÅ</t>
        </is>
      </c>
      <c r="G1742" t="n">
        <v>3</v>
      </c>
      <c r="H1742" t="n">
        <v>0</v>
      </c>
      <c r="I1742" t="n">
        <v>0</v>
      </c>
      <c r="J1742" t="n">
        <v>0</v>
      </c>
      <c r="K1742" t="n">
        <v>0</v>
      </c>
      <c r="L1742" t="n">
        <v>0</v>
      </c>
      <c r="M1742" t="n">
        <v>0</v>
      </c>
      <c r="N1742" t="n">
        <v>0</v>
      </c>
      <c r="O1742" t="n">
        <v>0</v>
      </c>
      <c r="P1742" t="n">
        <v>0</v>
      </c>
      <c r="Q1742" t="n">
        <v>0</v>
      </c>
      <c r="R1742" s="2" t="inlineStr"/>
    </row>
    <row r="1743" ht="15" customHeight="1">
      <c r="A1743" t="inlineStr">
        <is>
          <t>A 11026-2025</t>
        </is>
      </c>
      <c r="B1743" s="1" t="n">
        <v>45723.46961805555</v>
      </c>
      <c r="C1743" s="1" t="n">
        <v>46048</v>
      </c>
      <c r="D1743" t="inlineStr">
        <is>
          <t>VÄSTERNORRLANDS LÄN</t>
        </is>
      </c>
      <c r="E1743" t="inlineStr">
        <is>
          <t>SOLLEFTEÅ</t>
        </is>
      </c>
      <c r="F1743" t="inlineStr">
        <is>
          <t>SCA</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3096-2025</t>
        </is>
      </c>
      <c r="B1744" s="1" t="n">
        <v>45678.66643518519</v>
      </c>
      <c r="C1744" s="1" t="n">
        <v>46048</v>
      </c>
      <c r="D1744" t="inlineStr">
        <is>
          <t>VÄSTERNORRLANDS LÄN</t>
        </is>
      </c>
      <c r="E1744" t="inlineStr">
        <is>
          <t>SOLLEFTEÅ</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36313-2025</t>
        </is>
      </c>
      <c r="B1745" s="1" t="n">
        <v>45868.34456018519</v>
      </c>
      <c r="C1745" s="1" t="n">
        <v>46048</v>
      </c>
      <c r="D1745" t="inlineStr">
        <is>
          <t>VÄSTERNORRLANDS LÄN</t>
        </is>
      </c>
      <c r="E1745" t="inlineStr">
        <is>
          <t>SOLLEFTEÅ</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43049-2024</t>
        </is>
      </c>
      <c r="B1746" s="1" t="n">
        <v>45567</v>
      </c>
      <c r="C1746" s="1" t="n">
        <v>46048</v>
      </c>
      <c r="D1746" t="inlineStr">
        <is>
          <t>VÄSTERNORRLANDS LÄN</t>
        </is>
      </c>
      <c r="E1746" t="inlineStr">
        <is>
          <t>SOLLEFTEÅ</t>
        </is>
      </c>
      <c r="F1746" t="inlineStr">
        <is>
          <t>SCA</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49711-2021</t>
        </is>
      </c>
      <c r="B1747" s="1" t="n">
        <v>44455</v>
      </c>
      <c r="C1747" s="1" t="n">
        <v>46048</v>
      </c>
      <c r="D1747" t="inlineStr">
        <is>
          <t>VÄSTERNORRLANDS LÄN</t>
        </is>
      </c>
      <c r="E1747" t="inlineStr">
        <is>
          <t>SOLLEFTEÅ</t>
        </is>
      </c>
      <c r="G1747" t="n">
        <v>3.7</v>
      </c>
      <c r="H1747" t="n">
        <v>0</v>
      </c>
      <c r="I1747" t="n">
        <v>0</v>
      </c>
      <c r="J1747" t="n">
        <v>0</v>
      </c>
      <c r="K1747" t="n">
        <v>0</v>
      </c>
      <c r="L1747" t="n">
        <v>0</v>
      </c>
      <c r="M1747" t="n">
        <v>0</v>
      </c>
      <c r="N1747" t="n">
        <v>0</v>
      </c>
      <c r="O1747" t="n">
        <v>0</v>
      </c>
      <c r="P1747" t="n">
        <v>0</v>
      </c>
      <c r="Q1747" t="n">
        <v>0</v>
      </c>
      <c r="R1747" s="2" t="inlineStr"/>
    </row>
    <row r="1748" ht="15" customHeight="1">
      <c r="A1748" t="inlineStr">
        <is>
          <t>A 47185-2023</t>
        </is>
      </c>
      <c r="B1748" s="1" t="n">
        <v>45201</v>
      </c>
      <c r="C1748" s="1" t="n">
        <v>46048</v>
      </c>
      <c r="D1748" t="inlineStr">
        <is>
          <t>VÄSTERNORRLANDS LÄN</t>
        </is>
      </c>
      <c r="E1748" t="inlineStr">
        <is>
          <t>SOLLEFTEÅ</t>
        </is>
      </c>
      <c r="F1748" t="inlineStr">
        <is>
          <t>SCA</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36558-2025</t>
        </is>
      </c>
      <c r="B1749" s="1" t="n">
        <v>45870.35769675926</v>
      </c>
      <c r="C1749" s="1" t="n">
        <v>46048</v>
      </c>
      <c r="D1749" t="inlineStr">
        <is>
          <t>VÄSTERNORRLANDS LÄN</t>
        </is>
      </c>
      <c r="E1749" t="inlineStr">
        <is>
          <t>SOLLEFTEÅ</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36561-2025</t>
        </is>
      </c>
      <c r="B1750" s="1" t="n">
        <v>45870.36722222222</v>
      </c>
      <c r="C1750" s="1" t="n">
        <v>46048</v>
      </c>
      <c r="D1750" t="inlineStr">
        <is>
          <t>VÄSTERNORRLANDS LÄN</t>
        </is>
      </c>
      <c r="E1750" t="inlineStr">
        <is>
          <t>SOLLEFTEÅ</t>
        </is>
      </c>
      <c r="G1750" t="n">
        <v>2.9</v>
      </c>
      <c r="H1750" t="n">
        <v>0</v>
      </c>
      <c r="I1750" t="n">
        <v>0</v>
      </c>
      <c r="J1750" t="n">
        <v>0</v>
      </c>
      <c r="K1750" t="n">
        <v>0</v>
      </c>
      <c r="L1750" t="n">
        <v>0</v>
      </c>
      <c r="M1750" t="n">
        <v>0</v>
      </c>
      <c r="N1750" t="n">
        <v>0</v>
      </c>
      <c r="O1750" t="n">
        <v>0</v>
      </c>
      <c r="P1750" t="n">
        <v>0</v>
      </c>
      <c r="Q1750" t="n">
        <v>0</v>
      </c>
      <c r="R1750" s="2" t="inlineStr"/>
    </row>
    <row r="1751" ht="15" customHeight="1">
      <c r="A1751" t="inlineStr">
        <is>
          <t>A 36571-2025</t>
        </is>
      </c>
      <c r="B1751" s="1" t="n">
        <v>45870.38778935185</v>
      </c>
      <c r="C1751" s="1" t="n">
        <v>46048</v>
      </c>
      <c r="D1751" t="inlineStr">
        <is>
          <t>VÄSTERNORRLANDS LÄN</t>
        </is>
      </c>
      <c r="E1751" t="inlineStr">
        <is>
          <t>SOLLEFTEÅ</t>
        </is>
      </c>
      <c r="G1751" t="n">
        <v>2.9</v>
      </c>
      <c r="H1751" t="n">
        <v>0</v>
      </c>
      <c r="I1751" t="n">
        <v>0</v>
      </c>
      <c r="J1751" t="n">
        <v>0</v>
      </c>
      <c r="K1751" t="n">
        <v>0</v>
      </c>
      <c r="L1751" t="n">
        <v>0</v>
      </c>
      <c r="M1751" t="n">
        <v>0</v>
      </c>
      <c r="N1751" t="n">
        <v>0</v>
      </c>
      <c r="O1751" t="n">
        <v>0</v>
      </c>
      <c r="P1751" t="n">
        <v>0</v>
      </c>
      <c r="Q1751" t="n">
        <v>0</v>
      </c>
      <c r="R1751" s="2" t="inlineStr"/>
    </row>
    <row r="1752" ht="15" customHeight="1">
      <c r="A1752" t="inlineStr">
        <is>
          <t>A 64638-2021</t>
        </is>
      </c>
      <c r="B1752" s="1" t="n">
        <v>44511</v>
      </c>
      <c r="C1752" s="1" t="n">
        <v>46048</v>
      </c>
      <c r="D1752" t="inlineStr">
        <is>
          <t>VÄSTERNORRLANDS LÄN</t>
        </is>
      </c>
      <c r="E1752" t="inlineStr">
        <is>
          <t>SOLLEFTEÅ</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36065-2025</t>
        </is>
      </c>
      <c r="B1753" s="1" t="n">
        <v>45866</v>
      </c>
      <c r="C1753" s="1" t="n">
        <v>46048</v>
      </c>
      <c r="D1753" t="inlineStr">
        <is>
          <t>VÄSTERNORRLANDS LÄN</t>
        </is>
      </c>
      <c r="E1753" t="inlineStr">
        <is>
          <t>SOLLEFTEÅ</t>
        </is>
      </c>
      <c r="F1753" t="inlineStr">
        <is>
          <t>SCA</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31670-2024</t>
        </is>
      </c>
      <c r="B1754" s="1" t="n">
        <v>45506.94805555556</v>
      </c>
      <c r="C1754" s="1" t="n">
        <v>46048</v>
      </c>
      <c r="D1754" t="inlineStr">
        <is>
          <t>VÄSTERNORRLANDS LÄN</t>
        </is>
      </c>
      <c r="E1754" t="inlineStr">
        <is>
          <t>SOLLEFTEÅ</t>
        </is>
      </c>
      <c r="F1754" t="inlineStr">
        <is>
          <t>SCA</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32157-2024</t>
        </is>
      </c>
      <c r="B1755" s="1" t="n">
        <v>45511.57340277778</v>
      </c>
      <c r="C1755" s="1" t="n">
        <v>46048</v>
      </c>
      <c r="D1755" t="inlineStr">
        <is>
          <t>VÄSTERNORRLANDS LÄN</t>
        </is>
      </c>
      <c r="E1755" t="inlineStr">
        <is>
          <t>SOLLEFTEÅ</t>
        </is>
      </c>
      <c r="F1755" t="inlineStr">
        <is>
          <t>Holmen skog AB</t>
        </is>
      </c>
      <c r="G1755" t="n">
        <v>3.7</v>
      </c>
      <c r="H1755" t="n">
        <v>0</v>
      </c>
      <c r="I1755" t="n">
        <v>0</v>
      </c>
      <c r="J1755" t="n">
        <v>0</v>
      </c>
      <c r="K1755" t="n">
        <v>0</v>
      </c>
      <c r="L1755" t="n">
        <v>0</v>
      </c>
      <c r="M1755" t="n">
        <v>0</v>
      </c>
      <c r="N1755" t="n">
        <v>0</v>
      </c>
      <c r="O1755" t="n">
        <v>0</v>
      </c>
      <c r="P1755" t="n">
        <v>0</v>
      </c>
      <c r="Q1755" t="n">
        <v>0</v>
      </c>
      <c r="R1755" s="2" t="inlineStr"/>
    </row>
    <row r="1756" ht="15" customHeight="1">
      <c r="A1756" t="inlineStr">
        <is>
          <t>A 40421-2023</t>
        </is>
      </c>
      <c r="B1756" s="1" t="n">
        <v>45169.93973379629</v>
      </c>
      <c r="C1756" s="1" t="n">
        <v>46048</v>
      </c>
      <c r="D1756" t="inlineStr">
        <is>
          <t>VÄSTERNORRLANDS LÄN</t>
        </is>
      </c>
      <c r="E1756" t="inlineStr">
        <is>
          <t>SOLLEFTEÅ</t>
        </is>
      </c>
      <c r="F1756" t="inlineStr">
        <is>
          <t>SCA</t>
        </is>
      </c>
      <c r="G1756" t="n">
        <v>10.2</v>
      </c>
      <c r="H1756" t="n">
        <v>0</v>
      </c>
      <c r="I1756" t="n">
        <v>0</v>
      </c>
      <c r="J1756" t="n">
        <v>0</v>
      </c>
      <c r="K1756" t="n">
        <v>0</v>
      </c>
      <c r="L1756" t="n">
        <v>0</v>
      </c>
      <c r="M1756" t="n">
        <v>0</v>
      </c>
      <c r="N1756" t="n">
        <v>0</v>
      </c>
      <c r="O1756" t="n">
        <v>0</v>
      </c>
      <c r="P1756" t="n">
        <v>0</v>
      </c>
      <c r="Q1756" t="n">
        <v>0</v>
      </c>
      <c r="R1756" s="2" t="inlineStr"/>
    </row>
    <row r="1757" ht="15" customHeight="1">
      <c r="A1757" t="inlineStr">
        <is>
          <t>A 36567-2025</t>
        </is>
      </c>
      <c r="B1757" s="1" t="n">
        <v>45870.38320601852</v>
      </c>
      <c r="C1757" s="1" t="n">
        <v>46048</v>
      </c>
      <c r="D1757" t="inlineStr">
        <is>
          <t>VÄSTERNORRLANDS LÄN</t>
        </is>
      </c>
      <c r="E1757" t="inlineStr">
        <is>
          <t>SOLLEFTEÅ</t>
        </is>
      </c>
      <c r="G1757" t="n">
        <v>7.2</v>
      </c>
      <c r="H1757" t="n">
        <v>0</v>
      </c>
      <c r="I1757" t="n">
        <v>0</v>
      </c>
      <c r="J1757" t="n">
        <v>0</v>
      </c>
      <c r="K1757" t="n">
        <v>0</v>
      </c>
      <c r="L1757" t="n">
        <v>0</v>
      </c>
      <c r="M1757" t="n">
        <v>0</v>
      </c>
      <c r="N1757" t="n">
        <v>0</v>
      </c>
      <c r="O1757" t="n">
        <v>0</v>
      </c>
      <c r="P1757" t="n">
        <v>0</v>
      </c>
      <c r="Q1757" t="n">
        <v>0</v>
      </c>
      <c r="R1757" s="2" t="inlineStr"/>
    </row>
    <row r="1758" ht="15" customHeight="1">
      <c r="A1758" t="inlineStr">
        <is>
          <t>A 31395-2025</t>
        </is>
      </c>
      <c r="B1758" s="1" t="n">
        <v>45833.46438657407</v>
      </c>
      <c r="C1758" s="1" t="n">
        <v>46048</v>
      </c>
      <c r="D1758" t="inlineStr">
        <is>
          <t>VÄSTERNORRLANDS LÄN</t>
        </is>
      </c>
      <c r="E1758" t="inlineStr">
        <is>
          <t>SOLLEFTEÅ</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4931-2025</t>
        </is>
      </c>
      <c r="B1759" s="1" t="n">
        <v>45688.68476851852</v>
      </c>
      <c r="C1759" s="1" t="n">
        <v>46048</v>
      </c>
      <c r="D1759" t="inlineStr">
        <is>
          <t>VÄSTERNORRLANDS LÄN</t>
        </is>
      </c>
      <c r="E1759" t="inlineStr">
        <is>
          <t>SOLLEFTEÅ</t>
        </is>
      </c>
      <c r="G1759" t="n">
        <v>3.1</v>
      </c>
      <c r="H1759" t="n">
        <v>0</v>
      </c>
      <c r="I1759" t="n">
        <v>0</v>
      </c>
      <c r="J1759" t="n">
        <v>0</v>
      </c>
      <c r="K1759" t="n">
        <v>0</v>
      </c>
      <c r="L1759" t="n">
        <v>0</v>
      </c>
      <c r="M1759" t="n">
        <v>0</v>
      </c>
      <c r="N1759" t="n">
        <v>0</v>
      </c>
      <c r="O1759" t="n">
        <v>0</v>
      </c>
      <c r="P1759" t="n">
        <v>0</v>
      </c>
      <c r="Q1759" t="n">
        <v>0</v>
      </c>
      <c r="R1759" s="2" t="inlineStr"/>
    </row>
    <row r="1760" ht="15" customHeight="1">
      <c r="A1760" t="inlineStr">
        <is>
          <t>A 63144-2023</t>
        </is>
      </c>
      <c r="B1760" s="1" t="n">
        <v>45272</v>
      </c>
      <c r="C1760" s="1" t="n">
        <v>46048</v>
      </c>
      <c r="D1760" t="inlineStr">
        <is>
          <t>VÄSTERNORRLANDS LÄN</t>
        </is>
      </c>
      <c r="E1760" t="inlineStr">
        <is>
          <t>SOLLEFTEÅ</t>
        </is>
      </c>
      <c r="G1760" t="n">
        <v>2.8</v>
      </c>
      <c r="H1760" t="n">
        <v>0</v>
      </c>
      <c r="I1760" t="n">
        <v>0</v>
      </c>
      <c r="J1760" t="n">
        <v>0</v>
      </c>
      <c r="K1760" t="n">
        <v>0</v>
      </c>
      <c r="L1760" t="n">
        <v>0</v>
      </c>
      <c r="M1760" t="n">
        <v>0</v>
      </c>
      <c r="N1760" t="n">
        <v>0</v>
      </c>
      <c r="O1760" t="n">
        <v>0</v>
      </c>
      <c r="P1760" t="n">
        <v>0</v>
      </c>
      <c r="Q1760" t="n">
        <v>0</v>
      </c>
      <c r="R1760" s="2" t="inlineStr"/>
    </row>
    <row r="1761" ht="15" customHeight="1">
      <c r="A1761" t="inlineStr">
        <is>
          <t>A 15872-2024</t>
        </is>
      </c>
      <c r="B1761" s="1" t="n">
        <v>45405</v>
      </c>
      <c r="C1761" s="1" t="n">
        <v>46048</v>
      </c>
      <c r="D1761" t="inlineStr">
        <is>
          <t>VÄSTERNORRLANDS LÄN</t>
        </is>
      </c>
      <c r="E1761" t="inlineStr">
        <is>
          <t>SOLLEFTEÅ</t>
        </is>
      </c>
      <c r="G1761" t="n">
        <v>7.1</v>
      </c>
      <c r="H1761" t="n">
        <v>0</v>
      </c>
      <c r="I1761" t="n">
        <v>0</v>
      </c>
      <c r="J1761" t="n">
        <v>0</v>
      </c>
      <c r="K1761" t="n">
        <v>0</v>
      </c>
      <c r="L1761" t="n">
        <v>0</v>
      </c>
      <c r="M1761" t="n">
        <v>0</v>
      </c>
      <c r="N1761" t="n">
        <v>0</v>
      </c>
      <c r="O1761" t="n">
        <v>0</v>
      </c>
      <c r="P1761" t="n">
        <v>0</v>
      </c>
      <c r="Q1761" t="n">
        <v>0</v>
      </c>
      <c r="R1761" s="2" t="inlineStr"/>
    </row>
    <row r="1762" ht="15" customHeight="1">
      <c r="A1762" t="inlineStr">
        <is>
          <t>A 56408-2024</t>
        </is>
      </c>
      <c r="B1762" s="1" t="n">
        <v>45625</v>
      </c>
      <c r="C1762" s="1" t="n">
        <v>46048</v>
      </c>
      <c r="D1762" t="inlineStr">
        <is>
          <t>VÄSTERNORRLANDS LÄN</t>
        </is>
      </c>
      <c r="E1762" t="inlineStr">
        <is>
          <t>SOLLEFTEÅ</t>
        </is>
      </c>
      <c r="F1762" t="inlineStr">
        <is>
          <t>SCA</t>
        </is>
      </c>
      <c r="G1762" t="n">
        <v>4.6</v>
      </c>
      <c r="H1762" t="n">
        <v>0</v>
      </c>
      <c r="I1762" t="n">
        <v>0</v>
      </c>
      <c r="J1762" t="n">
        <v>0</v>
      </c>
      <c r="K1762" t="n">
        <v>0</v>
      </c>
      <c r="L1762" t="n">
        <v>0</v>
      </c>
      <c r="M1762" t="n">
        <v>0</v>
      </c>
      <c r="N1762" t="n">
        <v>0</v>
      </c>
      <c r="O1762" t="n">
        <v>0</v>
      </c>
      <c r="P1762" t="n">
        <v>0</v>
      </c>
      <c r="Q1762" t="n">
        <v>0</v>
      </c>
      <c r="R1762" s="2" t="inlineStr"/>
    </row>
    <row r="1763" ht="15" customHeight="1">
      <c r="A1763" t="inlineStr">
        <is>
          <t>A 62260-2022</t>
        </is>
      </c>
      <c r="B1763" s="1" t="n">
        <v>44922.94366898148</v>
      </c>
      <c r="C1763" s="1" t="n">
        <v>46048</v>
      </c>
      <c r="D1763" t="inlineStr">
        <is>
          <t>VÄSTERNORRLANDS LÄN</t>
        </is>
      </c>
      <c r="E1763" t="inlineStr">
        <is>
          <t>SOLLEFTEÅ</t>
        </is>
      </c>
      <c r="F1763" t="inlineStr">
        <is>
          <t>SCA</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25989-2021</t>
        </is>
      </c>
      <c r="B1764" s="1" t="n">
        <v>44344</v>
      </c>
      <c r="C1764" s="1" t="n">
        <v>46048</v>
      </c>
      <c r="D1764" t="inlineStr">
        <is>
          <t>VÄSTERNORRLANDS LÄN</t>
        </is>
      </c>
      <c r="E1764" t="inlineStr">
        <is>
          <t>SOLLEFTEÅ</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12006-2022</t>
        </is>
      </c>
      <c r="B1765" s="1" t="n">
        <v>44635.92496527778</v>
      </c>
      <c r="C1765" s="1" t="n">
        <v>46048</v>
      </c>
      <c r="D1765" t="inlineStr">
        <is>
          <t>VÄSTERNORRLANDS LÄN</t>
        </is>
      </c>
      <c r="E1765" t="inlineStr">
        <is>
          <t>SOLLEFTEÅ</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45120-2022</t>
        </is>
      </c>
      <c r="B1766" s="1" t="n">
        <v>44843</v>
      </c>
      <c r="C1766" s="1" t="n">
        <v>46048</v>
      </c>
      <c r="D1766" t="inlineStr">
        <is>
          <t>VÄSTERNORRLANDS LÄN</t>
        </is>
      </c>
      <c r="E1766" t="inlineStr">
        <is>
          <t>SOLLEFTEÅ</t>
        </is>
      </c>
      <c r="F1766" t="inlineStr">
        <is>
          <t>SCA</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3082-2025</t>
        </is>
      </c>
      <c r="B1767" s="1" t="n">
        <v>45678.64443287037</v>
      </c>
      <c r="C1767" s="1" t="n">
        <v>46048</v>
      </c>
      <c r="D1767" t="inlineStr">
        <is>
          <t>VÄSTERNORRLANDS LÄN</t>
        </is>
      </c>
      <c r="E1767" t="inlineStr">
        <is>
          <t>SOLLEFTEÅ</t>
        </is>
      </c>
      <c r="G1767" t="n">
        <v>3.7</v>
      </c>
      <c r="H1767" t="n">
        <v>0</v>
      </c>
      <c r="I1767" t="n">
        <v>0</v>
      </c>
      <c r="J1767" t="n">
        <v>0</v>
      </c>
      <c r="K1767" t="n">
        <v>0</v>
      </c>
      <c r="L1767" t="n">
        <v>0</v>
      </c>
      <c r="M1767" t="n">
        <v>0</v>
      </c>
      <c r="N1767" t="n">
        <v>0</v>
      </c>
      <c r="O1767" t="n">
        <v>0</v>
      </c>
      <c r="P1767" t="n">
        <v>0</v>
      </c>
      <c r="Q1767" t="n">
        <v>0</v>
      </c>
      <c r="R1767" s="2" t="inlineStr"/>
    </row>
    <row r="1768" ht="15" customHeight="1">
      <c r="A1768" t="inlineStr">
        <is>
          <t>A 5874-2024</t>
        </is>
      </c>
      <c r="B1768" s="1" t="n">
        <v>45335.6615625</v>
      </c>
      <c r="C1768" s="1" t="n">
        <v>46048</v>
      </c>
      <c r="D1768" t="inlineStr">
        <is>
          <t>VÄSTERNORRLANDS LÄN</t>
        </is>
      </c>
      <c r="E1768" t="inlineStr">
        <is>
          <t>SOLLEFTEÅ</t>
        </is>
      </c>
      <c r="F1768" t="inlineStr">
        <is>
          <t>Övriga Aktiebolag</t>
        </is>
      </c>
      <c r="G1768" t="n">
        <v>5.3</v>
      </c>
      <c r="H1768" t="n">
        <v>0</v>
      </c>
      <c r="I1768" t="n">
        <v>0</v>
      </c>
      <c r="J1768" t="n">
        <v>0</v>
      </c>
      <c r="K1768" t="n">
        <v>0</v>
      </c>
      <c r="L1768" t="n">
        <v>0</v>
      </c>
      <c r="M1768" t="n">
        <v>0</v>
      </c>
      <c r="N1768" t="n">
        <v>0</v>
      </c>
      <c r="O1768" t="n">
        <v>0</v>
      </c>
      <c r="P1768" t="n">
        <v>0</v>
      </c>
      <c r="Q1768" t="n">
        <v>0</v>
      </c>
      <c r="R1768" s="2" t="inlineStr"/>
    </row>
    <row r="1769" ht="15" customHeight="1">
      <c r="A1769" t="inlineStr">
        <is>
          <t>A 8084-2025</t>
        </is>
      </c>
      <c r="B1769" s="1" t="n">
        <v>45707</v>
      </c>
      <c r="C1769" s="1" t="n">
        <v>46048</v>
      </c>
      <c r="D1769" t="inlineStr">
        <is>
          <t>VÄSTERNORRLANDS LÄN</t>
        </is>
      </c>
      <c r="E1769" t="inlineStr">
        <is>
          <t>SOLLEFTEÅ</t>
        </is>
      </c>
      <c r="G1769" t="n">
        <v>9.199999999999999</v>
      </c>
      <c r="H1769" t="n">
        <v>0</v>
      </c>
      <c r="I1769" t="n">
        <v>0</v>
      </c>
      <c r="J1769" t="n">
        <v>0</v>
      </c>
      <c r="K1769" t="n">
        <v>0</v>
      </c>
      <c r="L1769" t="n">
        <v>0</v>
      </c>
      <c r="M1769" t="n">
        <v>0</v>
      </c>
      <c r="N1769" t="n">
        <v>0</v>
      </c>
      <c r="O1769" t="n">
        <v>0</v>
      </c>
      <c r="P1769" t="n">
        <v>0</v>
      </c>
      <c r="Q1769" t="n">
        <v>0</v>
      </c>
      <c r="R1769" s="2" t="inlineStr"/>
    </row>
    <row r="1770" ht="15" customHeight="1">
      <c r="A1770" t="inlineStr">
        <is>
          <t>A 34473-2021</t>
        </is>
      </c>
      <c r="B1770" s="1" t="n">
        <v>44381.93096064815</v>
      </c>
      <c r="C1770" s="1" t="n">
        <v>46048</v>
      </c>
      <c r="D1770" t="inlineStr">
        <is>
          <t>VÄSTERNORRLANDS LÄN</t>
        </is>
      </c>
      <c r="E1770" t="inlineStr">
        <is>
          <t>SOLLEFTEÅ</t>
        </is>
      </c>
      <c r="F1770" t="inlineStr">
        <is>
          <t>SCA</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58427-2023</t>
        </is>
      </c>
      <c r="B1771" s="1" t="n">
        <v>45250</v>
      </c>
      <c r="C1771" s="1" t="n">
        <v>46048</v>
      </c>
      <c r="D1771" t="inlineStr">
        <is>
          <t>VÄSTERNORRLANDS LÄN</t>
        </is>
      </c>
      <c r="E1771" t="inlineStr">
        <is>
          <t>SOLLEFTEÅ</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22205-2025</t>
        </is>
      </c>
      <c r="B1772" s="1" t="n">
        <v>45785.65686342592</v>
      </c>
      <c r="C1772" s="1" t="n">
        <v>46048</v>
      </c>
      <c r="D1772" t="inlineStr">
        <is>
          <t>VÄSTERNORRLANDS LÄN</t>
        </is>
      </c>
      <c r="E1772" t="inlineStr">
        <is>
          <t>SOLLEFTEÅ</t>
        </is>
      </c>
      <c r="F1772" t="inlineStr">
        <is>
          <t>SCA</t>
        </is>
      </c>
      <c r="G1772" t="n">
        <v>4.1</v>
      </c>
      <c r="H1772" t="n">
        <v>0</v>
      </c>
      <c r="I1772" t="n">
        <v>0</v>
      </c>
      <c r="J1772" t="n">
        <v>0</v>
      </c>
      <c r="K1772" t="n">
        <v>0</v>
      </c>
      <c r="L1772" t="n">
        <v>0</v>
      </c>
      <c r="M1772" t="n">
        <v>0</v>
      </c>
      <c r="N1772" t="n">
        <v>0</v>
      </c>
      <c r="O1772" t="n">
        <v>0</v>
      </c>
      <c r="P1772" t="n">
        <v>0</v>
      </c>
      <c r="Q1772" t="n">
        <v>0</v>
      </c>
      <c r="R1772" s="2" t="inlineStr"/>
    </row>
    <row r="1773" ht="15" customHeight="1">
      <c r="A1773" t="inlineStr">
        <is>
          <t>A 22390-2025</t>
        </is>
      </c>
      <c r="B1773" s="1" t="n">
        <v>45786.51107638889</v>
      </c>
      <c r="C1773" s="1" t="n">
        <v>46048</v>
      </c>
      <c r="D1773" t="inlineStr">
        <is>
          <t>VÄSTERNORRLANDS LÄN</t>
        </is>
      </c>
      <c r="E1773" t="inlineStr">
        <is>
          <t>SOLLEFTEÅ</t>
        </is>
      </c>
      <c r="G1773" t="n">
        <v>8.6</v>
      </c>
      <c r="H1773" t="n">
        <v>0</v>
      </c>
      <c r="I1773" t="n">
        <v>0</v>
      </c>
      <c r="J1773" t="n">
        <v>0</v>
      </c>
      <c r="K1773" t="n">
        <v>0</v>
      </c>
      <c r="L1773" t="n">
        <v>0</v>
      </c>
      <c r="M1773" t="n">
        <v>0</v>
      </c>
      <c r="N1773" t="n">
        <v>0</v>
      </c>
      <c r="O1773" t="n">
        <v>0</v>
      </c>
      <c r="P1773" t="n">
        <v>0</v>
      </c>
      <c r="Q1773" t="n">
        <v>0</v>
      </c>
      <c r="R1773" s="2" t="inlineStr"/>
    </row>
    <row r="1774" ht="15" customHeight="1">
      <c r="A1774" t="inlineStr">
        <is>
          <t>A 57094-2024</t>
        </is>
      </c>
      <c r="B1774" s="1" t="n">
        <v>45629.35780092593</v>
      </c>
      <c r="C1774" s="1" t="n">
        <v>46048</v>
      </c>
      <c r="D1774" t="inlineStr">
        <is>
          <t>VÄSTERNORRLANDS LÄN</t>
        </is>
      </c>
      <c r="E1774" t="inlineStr">
        <is>
          <t>SOLLEFTEÅ</t>
        </is>
      </c>
      <c r="F1774" t="inlineStr">
        <is>
          <t>SCA</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36967-2025</t>
        </is>
      </c>
      <c r="B1775" s="1" t="n">
        <v>45874.63642361111</v>
      </c>
      <c r="C1775" s="1" t="n">
        <v>46048</v>
      </c>
      <c r="D1775" t="inlineStr">
        <is>
          <t>VÄSTERNORRLANDS LÄN</t>
        </is>
      </c>
      <c r="E1775" t="inlineStr">
        <is>
          <t>SOLLEFTEÅ</t>
        </is>
      </c>
      <c r="F1775" t="inlineStr">
        <is>
          <t>SCA</t>
        </is>
      </c>
      <c r="G1775" t="n">
        <v>2.3</v>
      </c>
      <c r="H1775" t="n">
        <v>0</v>
      </c>
      <c r="I1775" t="n">
        <v>0</v>
      </c>
      <c r="J1775" t="n">
        <v>0</v>
      </c>
      <c r="K1775" t="n">
        <v>0</v>
      </c>
      <c r="L1775" t="n">
        <v>0</v>
      </c>
      <c r="M1775" t="n">
        <v>0</v>
      </c>
      <c r="N1775" t="n">
        <v>0</v>
      </c>
      <c r="O1775" t="n">
        <v>0</v>
      </c>
      <c r="P1775" t="n">
        <v>0</v>
      </c>
      <c r="Q1775" t="n">
        <v>0</v>
      </c>
      <c r="R1775" s="2" t="inlineStr"/>
    </row>
    <row r="1776" ht="15" customHeight="1">
      <c r="A1776" t="inlineStr">
        <is>
          <t>A 37018-2025</t>
        </is>
      </c>
      <c r="B1776" s="1" t="n">
        <v>45874</v>
      </c>
      <c r="C1776" s="1" t="n">
        <v>46048</v>
      </c>
      <c r="D1776" t="inlineStr">
        <is>
          <t>VÄSTERNORRLANDS LÄN</t>
        </is>
      </c>
      <c r="E1776" t="inlineStr">
        <is>
          <t>SOLLEFTEÅ</t>
        </is>
      </c>
      <c r="G1776" t="n">
        <v>3.6</v>
      </c>
      <c r="H1776" t="n">
        <v>0</v>
      </c>
      <c r="I1776" t="n">
        <v>0</v>
      </c>
      <c r="J1776" t="n">
        <v>0</v>
      </c>
      <c r="K1776" t="n">
        <v>0</v>
      </c>
      <c r="L1776" t="n">
        <v>0</v>
      </c>
      <c r="M1776" t="n">
        <v>0</v>
      </c>
      <c r="N1776" t="n">
        <v>0</v>
      </c>
      <c r="O1776" t="n">
        <v>0</v>
      </c>
      <c r="P1776" t="n">
        <v>0</v>
      </c>
      <c r="Q1776" t="n">
        <v>0</v>
      </c>
      <c r="R1776" s="2" t="inlineStr"/>
    </row>
    <row r="1777" ht="15" customHeight="1">
      <c r="A1777" t="inlineStr">
        <is>
          <t>A 37053-2025</t>
        </is>
      </c>
      <c r="B1777" s="1" t="n">
        <v>45875.36493055556</v>
      </c>
      <c r="C1777" s="1" t="n">
        <v>46048</v>
      </c>
      <c r="D1777" t="inlineStr">
        <is>
          <t>VÄSTERNORRLANDS LÄN</t>
        </is>
      </c>
      <c r="E1777" t="inlineStr">
        <is>
          <t>SOLLEFTEÅ</t>
        </is>
      </c>
      <c r="F1777" t="inlineStr">
        <is>
          <t>SCA</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34804-2022</t>
        </is>
      </c>
      <c r="B1778" s="1" t="n">
        <v>44795.94761574074</v>
      </c>
      <c r="C1778" s="1" t="n">
        <v>46048</v>
      </c>
      <c r="D1778" t="inlineStr">
        <is>
          <t>VÄSTERNORRLANDS LÄN</t>
        </is>
      </c>
      <c r="E1778" t="inlineStr">
        <is>
          <t>SOLLEFTEÅ</t>
        </is>
      </c>
      <c r="F1778" t="inlineStr">
        <is>
          <t>SCA</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36850-2025</t>
        </is>
      </c>
      <c r="B1779" s="1" t="n">
        <v>45874.39098379629</v>
      </c>
      <c r="C1779" s="1" t="n">
        <v>46048</v>
      </c>
      <c r="D1779" t="inlineStr">
        <is>
          <t>VÄSTERNORRLANDS LÄN</t>
        </is>
      </c>
      <c r="E1779" t="inlineStr">
        <is>
          <t>SOLLEFTEÅ</t>
        </is>
      </c>
      <c r="G1779" t="n">
        <v>8.9</v>
      </c>
      <c r="H1779" t="n">
        <v>0</v>
      </c>
      <c r="I1779" t="n">
        <v>0</v>
      </c>
      <c r="J1779" t="n">
        <v>0</v>
      </c>
      <c r="K1779" t="n">
        <v>0</v>
      </c>
      <c r="L1779" t="n">
        <v>0</v>
      </c>
      <c r="M1779" t="n">
        <v>0</v>
      </c>
      <c r="N1779" t="n">
        <v>0</v>
      </c>
      <c r="O1779" t="n">
        <v>0</v>
      </c>
      <c r="P1779" t="n">
        <v>0</v>
      </c>
      <c r="Q1779" t="n">
        <v>0</v>
      </c>
      <c r="R1779" s="2" t="inlineStr"/>
    </row>
    <row r="1780" ht="15" customHeight="1">
      <c r="A1780" t="inlineStr">
        <is>
          <t>A 3556-2022</t>
        </is>
      </c>
      <c r="B1780" s="1" t="n">
        <v>44585</v>
      </c>
      <c r="C1780" s="1" t="n">
        <v>46048</v>
      </c>
      <c r="D1780" t="inlineStr">
        <is>
          <t>VÄSTERNORRLANDS LÄN</t>
        </is>
      </c>
      <c r="E1780" t="inlineStr">
        <is>
          <t>SOLLEFTEÅ</t>
        </is>
      </c>
      <c r="F1780" t="inlineStr">
        <is>
          <t>SCA</t>
        </is>
      </c>
      <c r="G1780" t="n">
        <v>18.2</v>
      </c>
      <c r="H1780" t="n">
        <v>0</v>
      </c>
      <c r="I1780" t="n">
        <v>0</v>
      </c>
      <c r="J1780" t="n">
        <v>0</v>
      </c>
      <c r="K1780" t="n">
        <v>0</v>
      </c>
      <c r="L1780" t="n">
        <v>0</v>
      </c>
      <c r="M1780" t="n">
        <v>0</v>
      </c>
      <c r="N1780" t="n">
        <v>0</v>
      </c>
      <c r="O1780" t="n">
        <v>0</v>
      </c>
      <c r="P1780" t="n">
        <v>0</v>
      </c>
      <c r="Q1780" t="n">
        <v>0</v>
      </c>
      <c r="R1780" s="2" t="inlineStr"/>
    </row>
    <row r="1781" ht="15" customHeight="1">
      <c r="A1781" t="inlineStr">
        <is>
          <t>A 5258-2025</t>
        </is>
      </c>
      <c r="B1781" s="1" t="n">
        <v>45692</v>
      </c>
      <c r="C1781" s="1" t="n">
        <v>46048</v>
      </c>
      <c r="D1781" t="inlineStr">
        <is>
          <t>VÄSTERNORRLANDS LÄN</t>
        </is>
      </c>
      <c r="E1781" t="inlineStr">
        <is>
          <t>SOLLEFTEÅ</t>
        </is>
      </c>
      <c r="F1781" t="inlineStr">
        <is>
          <t>SCA</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37065-2025</t>
        </is>
      </c>
      <c r="B1782" s="1" t="n">
        <v>45875.38619212963</v>
      </c>
      <c r="C1782" s="1" t="n">
        <v>46048</v>
      </c>
      <c r="D1782" t="inlineStr">
        <is>
          <t>VÄSTERNORRLANDS LÄN</t>
        </is>
      </c>
      <c r="E1782" t="inlineStr">
        <is>
          <t>SOLLEFTEÅ</t>
        </is>
      </c>
      <c r="F1782" t="inlineStr">
        <is>
          <t>SCA</t>
        </is>
      </c>
      <c r="G1782" t="n">
        <v>3.2</v>
      </c>
      <c r="H1782" t="n">
        <v>0</v>
      </c>
      <c r="I1782" t="n">
        <v>0</v>
      </c>
      <c r="J1782" t="n">
        <v>0</v>
      </c>
      <c r="K1782" t="n">
        <v>0</v>
      </c>
      <c r="L1782" t="n">
        <v>0</v>
      </c>
      <c r="M1782" t="n">
        <v>0</v>
      </c>
      <c r="N1782" t="n">
        <v>0</v>
      </c>
      <c r="O1782" t="n">
        <v>0</v>
      </c>
      <c r="P1782" t="n">
        <v>0</v>
      </c>
      <c r="Q1782" t="n">
        <v>0</v>
      </c>
      <c r="R1782" s="2" t="inlineStr"/>
    </row>
    <row r="1783" ht="15" customHeight="1">
      <c r="A1783" t="inlineStr">
        <is>
          <t>A 4859-2025</t>
        </is>
      </c>
      <c r="B1783" s="1" t="n">
        <v>45688.67451388889</v>
      </c>
      <c r="C1783" s="1" t="n">
        <v>46048</v>
      </c>
      <c r="D1783" t="inlineStr">
        <is>
          <t>VÄSTERNORRLANDS LÄN</t>
        </is>
      </c>
      <c r="E1783" t="inlineStr">
        <is>
          <t>SOLLEFTEÅ</t>
        </is>
      </c>
      <c r="F1783" t="inlineStr">
        <is>
          <t>SCA</t>
        </is>
      </c>
      <c r="G1783" t="n">
        <v>11.8</v>
      </c>
      <c r="H1783" t="n">
        <v>0</v>
      </c>
      <c r="I1783" t="n">
        <v>0</v>
      </c>
      <c r="J1783" t="n">
        <v>0</v>
      </c>
      <c r="K1783" t="n">
        <v>0</v>
      </c>
      <c r="L1783" t="n">
        <v>0</v>
      </c>
      <c r="M1783" t="n">
        <v>0</v>
      </c>
      <c r="N1783" t="n">
        <v>0</v>
      </c>
      <c r="O1783" t="n">
        <v>0</v>
      </c>
      <c r="P1783" t="n">
        <v>0</v>
      </c>
      <c r="Q1783" t="n">
        <v>0</v>
      </c>
      <c r="R1783" s="2" t="inlineStr"/>
    </row>
    <row r="1784" ht="15" customHeight="1">
      <c r="A1784" t="inlineStr">
        <is>
          <t>A 4894-2025</t>
        </is>
      </c>
      <c r="B1784" s="1" t="n">
        <v>45688.67888888889</v>
      </c>
      <c r="C1784" s="1" t="n">
        <v>46048</v>
      </c>
      <c r="D1784" t="inlineStr">
        <is>
          <t>VÄSTERNORRLANDS LÄN</t>
        </is>
      </c>
      <c r="E1784" t="inlineStr">
        <is>
          <t>SOLLEFTEÅ</t>
        </is>
      </c>
      <c r="F1784" t="inlineStr">
        <is>
          <t>SCA</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36968-2025</t>
        </is>
      </c>
      <c r="B1785" s="1" t="n">
        <v>45874.63667824074</v>
      </c>
      <c r="C1785" s="1" t="n">
        <v>46048</v>
      </c>
      <c r="D1785" t="inlineStr">
        <is>
          <t>VÄSTERNORRLANDS LÄN</t>
        </is>
      </c>
      <c r="E1785" t="inlineStr">
        <is>
          <t>SOLLEFTEÅ</t>
        </is>
      </c>
      <c r="G1785" t="n">
        <v>7.1</v>
      </c>
      <c r="H1785" t="n">
        <v>0</v>
      </c>
      <c r="I1785" t="n">
        <v>0</v>
      </c>
      <c r="J1785" t="n">
        <v>0</v>
      </c>
      <c r="K1785" t="n">
        <v>0</v>
      </c>
      <c r="L1785" t="n">
        <v>0</v>
      </c>
      <c r="M1785" t="n">
        <v>0</v>
      </c>
      <c r="N1785" t="n">
        <v>0</v>
      </c>
      <c r="O1785" t="n">
        <v>0</v>
      </c>
      <c r="P1785" t="n">
        <v>0</v>
      </c>
      <c r="Q1785" t="n">
        <v>0</v>
      </c>
      <c r="R1785" s="2" t="inlineStr"/>
    </row>
    <row r="1786" ht="15" customHeight="1">
      <c r="A1786" t="inlineStr">
        <is>
          <t>A 37084-2025</t>
        </is>
      </c>
      <c r="B1786" s="1" t="n">
        <v>45875.44826388889</v>
      </c>
      <c r="C1786" s="1" t="n">
        <v>46048</v>
      </c>
      <c r="D1786" t="inlineStr">
        <is>
          <t>VÄSTERNORRLANDS LÄN</t>
        </is>
      </c>
      <c r="E1786" t="inlineStr">
        <is>
          <t>SOLLEFTEÅ</t>
        </is>
      </c>
      <c r="F1786" t="inlineStr">
        <is>
          <t>SCA</t>
        </is>
      </c>
      <c r="G1786" t="n">
        <v>3.5</v>
      </c>
      <c r="H1786" t="n">
        <v>0</v>
      </c>
      <c r="I1786" t="n">
        <v>0</v>
      </c>
      <c r="J1786" t="n">
        <v>0</v>
      </c>
      <c r="K1786" t="n">
        <v>0</v>
      </c>
      <c r="L1786" t="n">
        <v>0</v>
      </c>
      <c r="M1786" t="n">
        <v>0</v>
      </c>
      <c r="N1786" t="n">
        <v>0</v>
      </c>
      <c r="O1786" t="n">
        <v>0</v>
      </c>
      <c r="P1786" t="n">
        <v>0</v>
      </c>
      <c r="Q1786" t="n">
        <v>0</v>
      </c>
      <c r="R1786" s="2" t="inlineStr"/>
    </row>
    <row r="1787" ht="15" customHeight="1">
      <c r="A1787" t="inlineStr">
        <is>
          <t>A 35975-2023</t>
        </is>
      </c>
      <c r="B1787" s="1" t="n">
        <v>45148</v>
      </c>
      <c r="C1787" s="1" t="n">
        <v>46048</v>
      </c>
      <c r="D1787" t="inlineStr">
        <is>
          <t>VÄSTERNORRLANDS LÄN</t>
        </is>
      </c>
      <c r="E1787" t="inlineStr">
        <is>
          <t>SOLLEFTEÅ</t>
        </is>
      </c>
      <c r="F1787" t="inlineStr">
        <is>
          <t>SCA</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4031-2025</t>
        </is>
      </c>
      <c r="B1788" s="1" t="n">
        <v>45684.5978125</v>
      </c>
      <c r="C1788" s="1" t="n">
        <v>46048</v>
      </c>
      <c r="D1788" t="inlineStr">
        <is>
          <t>VÄSTERNORRLANDS LÄN</t>
        </is>
      </c>
      <c r="E1788" t="inlineStr">
        <is>
          <t>SOLLEFTEÅ</t>
        </is>
      </c>
      <c r="F1788" t="inlineStr">
        <is>
          <t>SCA</t>
        </is>
      </c>
      <c r="G1788" t="n">
        <v>3</v>
      </c>
      <c r="H1788" t="n">
        <v>0</v>
      </c>
      <c r="I1788" t="n">
        <v>0</v>
      </c>
      <c r="J1788" t="n">
        <v>0</v>
      </c>
      <c r="K1788" t="n">
        <v>0</v>
      </c>
      <c r="L1788" t="n">
        <v>0</v>
      </c>
      <c r="M1788" t="n">
        <v>0</v>
      </c>
      <c r="N1788" t="n">
        <v>0</v>
      </c>
      <c r="O1788" t="n">
        <v>0</v>
      </c>
      <c r="P1788" t="n">
        <v>0</v>
      </c>
      <c r="Q1788" t="n">
        <v>0</v>
      </c>
      <c r="R1788" s="2" t="inlineStr"/>
    </row>
    <row r="1789" ht="15" customHeight="1">
      <c r="A1789" t="inlineStr">
        <is>
          <t>A 56684-2023</t>
        </is>
      </c>
      <c r="B1789" s="1" t="n">
        <v>45243.96592592593</v>
      </c>
      <c r="C1789" s="1" t="n">
        <v>46048</v>
      </c>
      <c r="D1789" t="inlineStr">
        <is>
          <t>VÄSTERNORRLANDS LÄN</t>
        </is>
      </c>
      <c r="E1789" t="inlineStr">
        <is>
          <t>SOLLEFTEÅ</t>
        </is>
      </c>
      <c r="F1789" t="inlineStr">
        <is>
          <t>SCA</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46212-2023</t>
        </is>
      </c>
      <c r="B1790" s="1" t="n">
        <v>45190</v>
      </c>
      <c r="C1790" s="1" t="n">
        <v>46048</v>
      </c>
      <c r="D1790" t="inlineStr">
        <is>
          <t>VÄSTERNORRLANDS LÄN</t>
        </is>
      </c>
      <c r="E1790" t="inlineStr">
        <is>
          <t>SOLLEFTEÅ</t>
        </is>
      </c>
      <c r="G1790" t="n">
        <v>2.2</v>
      </c>
      <c r="H1790" t="n">
        <v>0</v>
      </c>
      <c r="I1790" t="n">
        <v>0</v>
      </c>
      <c r="J1790" t="n">
        <v>0</v>
      </c>
      <c r="K1790" t="n">
        <v>0</v>
      </c>
      <c r="L1790" t="n">
        <v>0</v>
      </c>
      <c r="M1790" t="n">
        <v>0</v>
      </c>
      <c r="N1790" t="n">
        <v>0</v>
      </c>
      <c r="O1790" t="n">
        <v>0</v>
      </c>
      <c r="P1790" t="n">
        <v>0</v>
      </c>
      <c r="Q1790" t="n">
        <v>0</v>
      </c>
      <c r="R1790" s="2" t="inlineStr"/>
    </row>
    <row r="1791" ht="15" customHeight="1">
      <c r="A1791" t="inlineStr">
        <is>
          <t>A 39399-2023</t>
        </is>
      </c>
      <c r="B1791" s="1" t="n">
        <v>45163</v>
      </c>
      <c r="C1791" s="1" t="n">
        <v>46048</v>
      </c>
      <c r="D1791" t="inlineStr">
        <is>
          <t>VÄSTERNORRLANDS LÄN</t>
        </is>
      </c>
      <c r="E1791" t="inlineStr">
        <is>
          <t>SOLLEFTEÅ</t>
        </is>
      </c>
      <c r="F1791" t="inlineStr">
        <is>
          <t>SCA</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36928-2025</t>
        </is>
      </c>
      <c r="B1792" s="1" t="n">
        <v>45874.55299768518</v>
      </c>
      <c r="C1792" s="1" t="n">
        <v>46048</v>
      </c>
      <c r="D1792" t="inlineStr">
        <is>
          <t>VÄSTERNORRLANDS LÄN</t>
        </is>
      </c>
      <c r="E1792" t="inlineStr">
        <is>
          <t>SOLLEFTEÅ</t>
        </is>
      </c>
      <c r="G1792" t="n">
        <v>6.3</v>
      </c>
      <c r="H1792" t="n">
        <v>0</v>
      </c>
      <c r="I1792" t="n">
        <v>0</v>
      </c>
      <c r="J1792" t="n">
        <v>0</v>
      </c>
      <c r="K1792" t="n">
        <v>0</v>
      </c>
      <c r="L1792" t="n">
        <v>0</v>
      </c>
      <c r="M1792" t="n">
        <v>0</v>
      </c>
      <c r="N1792" t="n">
        <v>0</v>
      </c>
      <c r="O1792" t="n">
        <v>0</v>
      </c>
      <c r="P1792" t="n">
        <v>0</v>
      </c>
      <c r="Q1792" t="n">
        <v>0</v>
      </c>
      <c r="R1792" s="2" t="inlineStr"/>
    </row>
    <row r="1793" ht="15" customHeight="1">
      <c r="A1793" t="inlineStr">
        <is>
          <t>A 36966-2025</t>
        </is>
      </c>
      <c r="B1793" s="1" t="n">
        <v>45874.63614583333</v>
      </c>
      <c r="C1793" s="1" t="n">
        <v>46048</v>
      </c>
      <c r="D1793" t="inlineStr">
        <is>
          <t>VÄSTERNORRLANDS LÄN</t>
        </is>
      </c>
      <c r="E1793" t="inlineStr">
        <is>
          <t>SOLLEFTEÅ</t>
        </is>
      </c>
      <c r="F1793" t="inlineStr">
        <is>
          <t>SCA</t>
        </is>
      </c>
      <c r="G1793" t="n">
        <v>5.6</v>
      </c>
      <c r="H1793" t="n">
        <v>0</v>
      </c>
      <c r="I1793" t="n">
        <v>0</v>
      </c>
      <c r="J1793" t="n">
        <v>0</v>
      </c>
      <c r="K1793" t="n">
        <v>0</v>
      </c>
      <c r="L1793" t="n">
        <v>0</v>
      </c>
      <c r="M1793" t="n">
        <v>0</v>
      </c>
      <c r="N1793" t="n">
        <v>0</v>
      </c>
      <c r="O1793" t="n">
        <v>0</v>
      </c>
      <c r="P1793" t="n">
        <v>0</v>
      </c>
      <c r="Q1793" t="n">
        <v>0</v>
      </c>
      <c r="R1793" s="2" t="inlineStr"/>
    </row>
    <row r="1794" ht="15" customHeight="1">
      <c r="A1794" t="inlineStr">
        <is>
          <t>A 15147-2024</t>
        </is>
      </c>
      <c r="B1794" s="1" t="n">
        <v>45399.94372685185</v>
      </c>
      <c r="C1794" s="1" t="n">
        <v>46048</v>
      </c>
      <c r="D1794" t="inlineStr">
        <is>
          <t>VÄSTERNORRLANDS LÄN</t>
        </is>
      </c>
      <c r="E1794" t="inlineStr">
        <is>
          <t>SOLLEFTEÅ</t>
        </is>
      </c>
      <c r="F1794" t="inlineStr">
        <is>
          <t>SCA</t>
        </is>
      </c>
      <c r="G1794" t="n">
        <v>7.7</v>
      </c>
      <c r="H1794" t="n">
        <v>0</v>
      </c>
      <c r="I1794" t="n">
        <v>0</v>
      </c>
      <c r="J1794" t="n">
        <v>0</v>
      </c>
      <c r="K1794" t="n">
        <v>0</v>
      </c>
      <c r="L1794" t="n">
        <v>0</v>
      </c>
      <c r="M1794" t="n">
        <v>0</v>
      </c>
      <c r="N1794" t="n">
        <v>0</v>
      </c>
      <c r="O1794" t="n">
        <v>0</v>
      </c>
      <c r="P1794" t="n">
        <v>0</v>
      </c>
      <c r="Q1794" t="n">
        <v>0</v>
      </c>
      <c r="R1794" s="2" t="inlineStr"/>
    </row>
    <row r="1795" ht="15" customHeight="1">
      <c r="A1795" t="inlineStr">
        <is>
          <t>A 1269-2024</t>
        </is>
      </c>
      <c r="B1795" s="1" t="n">
        <v>45302</v>
      </c>
      <c r="C1795" s="1" t="n">
        <v>46048</v>
      </c>
      <c r="D1795" t="inlineStr">
        <is>
          <t>VÄSTERNORRLANDS LÄN</t>
        </is>
      </c>
      <c r="E1795" t="inlineStr">
        <is>
          <t>SOLLEFTEÅ</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37019-2025</t>
        </is>
      </c>
      <c r="B1796" s="1" t="n">
        <v>45874</v>
      </c>
      <c r="C1796" s="1" t="n">
        <v>46048</v>
      </c>
      <c r="D1796" t="inlineStr">
        <is>
          <t>VÄSTERNORRLANDS LÄN</t>
        </is>
      </c>
      <c r="E1796" t="inlineStr">
        <is>
          <t>SOLLEFTEÅ</t>
        </is>
      </c>
      <c r="G1796" t="n">
        <v>3.6</v>
      </c>
      <c r="H1796" t="n">
        <v>0</v>
      </c>
      <c r="I1796" t="n">
        <v>0</v>
      </c>
      <c r="J1796" t="n">
        <v>0</v>
      </c>
      <c r="K1796" t="n">
        <v>0</v>
      </c>
      <c r="L1796" t="n">
        <v>0</v>
      </c>
      <c r="M1796" t="n">
        <v>0</v>
      </c>
      <c r="N1796" t="n">
        <v>0</v>
      </c>
      <c r="O1796" t="n">
        <v>0</v>
      </c>
      <c r="P1796" t="n">
        <v>0</v>
      </c>
      <c r="Q1796" t="n">
        <v>0</v>
      </c>
      <c r="R1796" s="2" t="inlineStr"/>
    </row>
    <row r="1797" ht="15" customHeight="1">
      <c r="A1797" t="inlineStr">
        <is>
          <t>A 37073-2025</t>
        </is>
      </c>
      <c r="B1797" s="1" t="n">
        <v>45875.40703703704</v>
      </c>
      <c r="C1797" s="1" t="n">
        <v>46048</v>
      </c>
      <c r="D1797" t="inlineStr">
        <is>
          <t>VÄSTERNORRLANDS LÄN</t>
        </is>
      </c>
      <c r="E1797" t="inlineStr">
        <is>
          <t>SOLLEFTEÅ</t>
        </is>
      </c>
      <c r="F1797" t="inlineStr">
        <is>
          <t>SCA</t>
        </is>
      </c>
      <c r="G1797" t="n">
        <v>2.9</v>
      </c>
      <c r="H1797" t="n">
        <v>0</v>
      </c>
      <c r="I1797" t="n">
        <v>0</v>
      </c>
      <c r="J1797" t="n">
        <v>0</v>
      </c>
      <c r="K1797" t="n">
        <v>0</v>
      </c>
      <c r="L1797" t="n">
        <v>0</v>
      </c>
      <c r="M1797" t="n">
        <v>0</v>
      </c>
      <c r="N1797" t="n">
        <v>0</v>
      </c>
      <c r="O1797" t="n">
        <v>0</v>
      </c>
      <c r="P1797" t="n">
        <v>0</v>
      </c>
      <c r="Q1797" t="n">
        <v>0</v>
      </c>
      <c r="R1797" s="2" t="inlineStr"/>
    </row>
    <row r="1798" ht="15" customHeight="1">
      <c r="A1798" t="inlineStr">
        <is>
          <t>A 12706-2025</t>
        </is>
      </c>
      <c r="B1798" s="1" t="n">
        <v>45733.46958333333</v>
      </c>
      <c r="C1798" s="1" t="n">
        <v>46048</v>
      </c>
      <c r="D1798" t="inlineStr">
        <is>
          <t>VÄSTERNORRLANDS LÄN</t>
        </is>
      </c>
      <c r="E1798" t="inlineStr">
        <is>
          <t>SOLLEFTEÅ</t>
        </is>
      </c>
      <c r="F1798" t="inlineStr">
        <is>
          <t>SCA</t>
        </is>
      </c>
      <c r="G1798" t="n">
        <v>21.7</v>
      </c>
      <c r="H1798" t="n">
        <v>0</v>
      </c>
      <c r="I1798" t="n">
        <v>0</v>
      </c>
      <c r="J1798" t="n">
        <v>0</v>
      </c>
      <c r="K1798" t="n">
        <v>0</v>
      </c>
      <c r="L1798" t="n">
        <v>0</v>
      </c>
      <c r="M1798" t="n">
        <v>0</v>
      </c>
      <c r="N1798" t="n">
        <v>0</v>
      </c>
      <c r="O1798" t="n">
        <v>0</v>
      </c>
      <c r="P1798" t="n">
        <v>0</v>
      </c>
      <c r="Q1798" t="n">
        <v>0</v>
      </c>
      <c r="R1798" s="2" t="inlineStr"/>
    </row>
    <row r="1799" ht="15" customHeight="1">
      <c r="A1799" t="inlineStr">
        <is>
          <t>A 38493-2025</t>
        </is>
      </c>
      <c r="B1799" s="1" t="n">
        <v>45884.36516203704</v>
      </c>
      <c r="C1799" s="1" t="n">
        <v>46048</v>
      </c>
      <c r="D1799" t="inlineStr">
        <is>
          <t>VÄSTERNORRLANDS LÄN</t>
        </is>
      </c>
      <c r="E1799" t="inlineStr">
        <is>
          <t>SOLLEFTEÅ</t>
        </is>
      </c>
      <c r="F1799" t="inlineStr">
        <is>
          <t>SCA</t>
        </is>
      </c>
      <c r="G1799" t="n">
        <v>3.4</v>
      </c>
      <c r="H1799" t="n">
        <v>0</v>
      </c>
      <c r="I1799" t="n">
        <v>0</v>
      </c>
      <c r="J1799" t="n">
        <v>0</v>
      </c>
      <c r="K1799" t="n">
        <v>0</v>
      </c>
      <c r="L1799" t="n">
        <v>0</v>
      </c>
      <c r="M1799" t="n">
        <v>0</v>
      </c>
      <c r="N1799" t="n">
        <v>0</v>
      </c>
      <c r="O1799" t="n">
        <v>0</v>
      </c>
      <c r="P1799" t="n">
        <v>0</v>
      </c>
      <c r="Q1799" t="n">
        <v>0</v>
      </c>
      <c r="R1799" s="2" t="inlineStr"/>
    </row>
    <row r="1800" ht="15" customHeight="1">
      <c r="A1800" t="inlineStr">
        <is>
          <t>A 29869-2024</t>
        </is>
      </c>
      <c r="B1800" s="1" t="n">
        <v>45485.94493055555</v>
      </c>
      <c r="C1800" s="1" t="n">
        <v>46048</v>
      </c>
      <c r="D1800" t="inlineStr">
        <is>
          <t>VÄSTERNORRLANDS LÄN</t>
        </is>
      </c>
      <c r="E1800" t="inlineStr">
        <is>
          <t>SOLLEFTEÅ</t>
        </is>
      </c>
      <c r="F1800" t="inlineStr">
        <is>
          <t>SCA</t>
        </is>
      </c>
      <c r="G1800" t="n">
        <v>6.4</v>
      </c>
      <c r="H1800" t="n">
        <v>0</v>
      </c>
      <c r="I1800" t="n">
        <v>0</v>
      </c>
      <c r="J1800" t="n">
        <v>0</v>
      </c>
      <c r="K1800" t="n">
        <v>0</v>
      </c>
      <c r="L1800" t="n">
        <v>0</v>
      </c>
      <c r="M1800" t="n">
        <v>0</v>
      </c>
      <c r="N1800" t="n">
        <v>0</v>
      </c>
      <c r="O1800" t="n">
        <v>0</v>
      </c>
      <c r="P1800" t="n">
        <v>0</v>
      </c>
      <c r="Q1800" t="n">
        <v>0</v>
      </c>
      <c r="R1800" s="2" t="inlineStr"/>
    </row>
    <row r="1801" ht="15" customHeight="1">
      <c r="A1801" t="inlineStr">
        <is>
          <t>A 36927-2025</t>
        </is>
      </c>
      <c r="B1801" s="1" t="n">
        <v>45874.55273148148</v>
      </c>
      <c r="C1801" s="1" t="n">
        <v>46048</v>
      </c>
      <c r="D1801" t="inlineStr">
        <is>
          <t>VÄSTERNORRLANDS LÄN</t>
        </is>
      </c>
      <c r="E1801" t="inlineStr">
        <is>
          <t>SOLLEFTEÅ</t>
        </is>
      </c>
      <c r="F1801" t="inlineStr">
        <is>
          <t>SCA</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31179-2023</t>
        </is>
      </c>
      <c r="B1802" s="1" t="n">
        <v>45113.92564814815</v>
      </c>
      <c r="C1802" s="1" t="n">
        <v>46048</v>
      </c>
      <c r="D1802" t="inlineStr">
        <is>
          <t>VÄSTERNORRLANDS LÄN</t>
        </is>
      </c>
      <c r="E1802" t="inlineStr">
        <is>
          <t>SOLLEFTEÅ</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14274-2025</t>
        </is>
      </c>
      <c r="B1803" s="1" t="n">
        <v>45740.64412037037</v>
      </c>
      <c r="C1803" s="1" t="n">
        <v>46048</v>
      </c>
      <c r="D1803" t="inlineStr">
        <is>
          <t>VÄSTERNORRLANDS LÄN</t>
        </is>
      </c>
      <c r="E1803" t="inlineStr">
        <is>
          <t>SOLLEFTEÅ</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37278-2025</t>
        </is>
      </c>
      <c r="B1804" s="1" t="n">
        <v>45876.490625</v>
      </c>
      <c r="C1804" s="1" t="n">
        <v>46048</v>
      </c>
      <c r="D1804" t="inlineStr">
        <is>
          <t>VÄSTERNORRLANDS LÄN</t>
        </is>
      </c>
      <c r="E1804" t="inlineStr">
        <is>
          <t>SOLLEFTEÅ</t>
        </is>
      </c>
      <c r="F1804" t="inlineStr">
        <is>
          <t>SCA</t>
        </is>
      </c>
      <c r="G1804" t="n">
        <v>10.7</v>
      </c>
      <c r="H1804" t="n">
        <v>0</v>
      </c>
      <c r="I1804" t="n">
        <v>0</v>
      </c>
      <c r="J1804" t="n">
        <v>0</v>
      </c>
      <c r="K1804" t="n">
        <v>0</v>
      </c>
      <c r="L1804" t="n">
        <v>0</v>
      </c>
      <c r="M1804" t="n">
        <v>0</v>
      </c>
      <c r="N1804" t="n">
        <v>0</v>
      </c>
      <c r="O1804" t="n">
        <v>0</v>
      </c>
      <c r="P1804" t="n">
        <v>0</v>
      </c>
      <c r="Q1804" t="n">
        <v>0</v>
      </c>
      <c r="R1804" s="2" t="inlineStr"/>
    </row>
    <row r="1805" ht="15" customHeight="1">
      <c r="A1805" t="inlineStr">
        <is>
          <t>A 29957-2023</t>
        </is>
      </c>
      <c r="B1805" s="1" t="n">
        <v>45107</v>
      </c>
      <c r="C1805" s="1" t="n">
        <v>46048</v>
      </c>
      <c r="D1805" t="inlineStr">
        <is>
          <t>VÄSTERNORRLANDS LÄN</t>
        </is>
      </c>
      <c r="E1805" t="inlineStr">
        <is>
          <t>SOLLEFTEÅ</t>
        </is>
      </c>
      <c r="F1805" t="inlineStr">
        <is>
          <t>SCA</t>
        </is>
      </c>
      <c r="G1805" t="n">
        <v>3.5</v>
      </c>
      <c r="H1805" t="n">
        <v>0</v>
      </c>
      <c r="I1805" t="n">
        <v>0</v>
      </c>
      <c r="J1805" t="n">
        <v>0</v>
      </c>
      <c r="K1805" t="n">
        <v>0</v>
      </c>
      <c r="L1805" t="n">
        <v>0</v>
      </c>
      <c r="M1805" t="n">
        <v>0</v>
      </c>
      <c r="N1805" t="n">
        <v>0</v>
      </c>
      <c r="O1805" t="n">
        <v>0</v>
      </c>
      <c r="P1805" t="n">
        <v>0</v>
      </c>
      <c r="Q1805" t="n">
        <v>0</v>
      </c>
      <c r="R1805" s="2" t="inlineStr"/>
    </row>
    <row r="1806" ht="15" customHeight="1">
      <c r="A1806" t="inlineStr">
        <is>
          <t>A 42771-2022</t>
        </is>
      </c>
      <c r="B1806" s="1" t="n">
        <v>44832</v>
      </c>
      <c r="C1806" s="1" t="n">
        <v>46048</v>
      </c>
      <c r="D1806" t="inlineStr">
        <is>
          <t>VÄSTERNORRLANDS LÄN</t>
        </is>
      </c>
      <c r="E1806" t="inlineStr">
        <is>
          <t>SOLLEFTEÅ</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45644-2023</t>
        </is>
      </c>
      <c r="B1807" s="1" t="n">
        <v>45188</v>
      </c>
      <c r="C1807" s="1" t="n">
        <v>46048</v>
      </c>
      <c r="D1807" t="inlineStr">
        <is>
          <t>VÄSTERNORRLANDS LÄN</t>
        </is>
      </c>
      <c r="E1807" t="inlineStr">
        <is>
          <t>SOLLEFTEÅ</t>
        </is>
      </c>
      <c r="F1807" t="inlineStr">
        <is>
          <t>SCA</t>
        </is>
      </c>
      <c r="G1807" t="n">
        <v>1</v>
      </c>
      <c r="H1807" t="n">
        <v>0</v>
      </c>
      <c r="I1807" t="n">
        <v>0</v>
      </c>
      <c r="J1807" t="n">
        <v>0</v>
      </c>
      <c r="K1807" t="n">
        <v>0</v>
      </c>
      <c r="L1807" t="n">
        <v>0</v>
      </c>
      <c r="M1807" t="n">
        <v>0</v>
      </c>
      <c r="N1807" t="n">
        <v>0</v>
      </c>
      <c r="O1807" t="n">
        <v>0</v>
      </c>
      <c r="P1807" t="n">
        <v>0</v>
      </c>
      <c r="Q1807" t="n">
        <v>0</v>
      </c>
      <c r="R1807" s="2" t="inlineStr"/>
      <c r="U1807">
        <f>HYPERLINK("https://klasma.github.io/Logging_2283/knärot/A 45644-2023 karta knärot.png", "A 45644-2023")</f>
        <v/>
      </c>
      <c r="V1807">
        <f>HYPERLINK("https://klasma.github.io/Logging_2283/klagomål/A 45644-2023 FSC-klagomål.docx", "A 45644-2023")</f>
        <v/>
      </c>
      <c r="W1807">
        <f>HYPERLINK("https://klasma.github.io/Logging_2283/klagomålsmail/A 45644-2023 FSC-klagomål mail.docx", "A 45644-2023")</f>
        <v/>
      </c>
      <c r="X1807">
        <f>HYPERLINK("https://klasma.github.io/Logging_2283/tillsyn/A 45644-2023 tillsynsbegäran.docx", "A 45644-2023")</f>
        <v/>
      </c>
      <c r="Y1807">
        <f>HYPERLINK("https://klasma.github.io/Logging_2283/tillsynsmail/A 45644-2023 tillsynsbegäran mail.docx", "A 45644-2023")</f>
        <v/>
      </c>
    </row>
    <row r="1808" ht="15" customHeight="1">
      <c r="A1808" t="inlineStr">
        <is>
          <t>A 59593-2023</t>
        </is>
      </c>
      <c r="B1808" s="1" t="n">
        <v>45254.61885416666</v>
      </c>
      <c r="C1808" s="1" t="n">
        <v>46048</v>
      </c>
      <c r="D1808" t="inlineStr">
        <is>
          <t>VÄSTERNORRLANDS LÄN</t>
        </is>
      </c>
      <c r="E1808" t="inlineStr">
        <is>
          <t>SOLLEFTEÅ</t>
        </is>
      </c>
      <c r="F1808" t="inlineStr">
        <is>
          <t>Holmen skog AB</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34765-2024</t>
        </is>
      </c>
      <c r="B1809" s="1" t="n">
        <v>45526</v>
      </c>
      <c r="C1809" s="1" t="n">
        <v>46048</v>
      </c>
      <c r="D1809" t="inlineStr">
        <is>
          <t>VÄSTERNORRLANDS LÄN</t>
        </is>
      </c>
      <c r="E1809" t="inlineStr">
        <is>
          <t>SOLLEFTEÅ</t>
        </is>
      </c>
      <c r="F1809" t="inlineStr">
        <is>
          <t>SCA</t>
        </is>
      </c>
      <c r="G1809" t="n">
        <v>2.4</v>
      </c>
      <c r="H1809" t="n">
        <v>0</v>
      </c>
      <c r="I1809" t="n">
        <v>0</v>
      </c>
      <c r="J1809" t="n">
        <v>0</v>
      </c>
      <c r="K1809" t="n">
        <v>0</v>
      </c>
      <c r="L1809" t="n">
        <v>0</v>
      </c>
      <c r="M1809" t="n">
        <v>0</v>
      </c>
      <c r="N1809" t="n">
        <v>0</v>
      </c>
      <c r="O1809" t="n">
        <v>0</v>
      </c>
      <c r="P1809" t="n">
        <v>0</v>
      </c>
      <c r="Q1809" t="n">
        <v>0</v>
      </c>
      <c r="R1809" s="2" t="inlineStr"/>
    </row>
    <row r="1810" ht="15" customHeight="1">
      <c r="A1810" t="inlineStr">
        <is>
          <t>A 5359-2025</t>
        </is>
      </c>
      <c r="B1810" s="1" t="n">
        <v>45692</v>
      </c>
      <c r="C1810" s="1" t="n">
        <v>46048</v>
      </c>
      <c r="D1810" t="inlineStr">
        <is>
          <t>VÄSTERNORRLANDS LÄN</t>
        </is>
      </c>
      <c r="E1810" t="inlineStr">
        <is>
          <t>SOLLEFTEÅ</t>
        </is>
      </c>
      <c r="F1810" t="inlineStr">
        <is>
          <t>Övriga statliga verk och myndigheter</t>
        </is>
      </c>
      <c r="G1810" t="n">
        <v>3.3</v>
      </c>
      <c r="H1810" t="n">
        <v>0</v>
      </c>
      <c r="I1810" t="n">
        <v>0</v>
      </c>
      <c r="J1810" t="n">
        <v>0</v>
      </c>
      <c r="K1810" t="n">
        <v>0</v>
      </c>
      <c r="L1810" t="n">
        <v>0</v>
      </c>
      <c r="M1810" t="n">
        <v>0</v>
      </c>
      <c r="N1810" t="n">
        <v>0</v>
      </c>
      <c r="O1810" t="n">
        <v>0</v>
      </c>
      <c r="P1810" t="n">
        <v>0</v>
      </c>
      <c r="Q1810" t="n">
        <v>0</v>
      </c>
      <c r="R1810" s="2" t="inlineStr"/>
    </row>
    <row r="1811" ht="15" customHeight="1">
      <c r="A1811" t="inlineStr">
        <is>
          <t>A 38507-2025</t>
        </is>
      </c>
      <c r="B1811" s="1" t="n">
        <v>45884.38591435185</v>
      </c>
      <c r="C1811" s="1" t="n">
        <v>46048</v>
      </c>
      <c r="D1811" t="inlineStr">
        <is>
          <t>VÄSTERNORRLANDS LÄN</t>
        </is>
      </c>
      <c r="E1811" t="inlineStr">
        <is>
          <t>SOLLEFTEÅ</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33743-2025</t>
        </is>
      </c>
      <c r="B1812" s="1" t="n">
        <v>45842.34496527778</v>
      </c>
      <c r="C1812" s="1" t="n">
        <v>46048</v>
      </c>
      <c r="D1812" t="inlineStr">
        <is>
          <t>VÄSTERNORRLANDS LÄN</t>
        </is>
      </c>
      <c r="E1812" t="inlineStr">
        <is>
          <t>SOLLEFTEÅ</t>
        </is>
      </c>
      <c r="F1812" t="inlineStr">
        <is>
          <t>SCA</t>
        </is>
      </c>
      <c r="G1812" t="n">
        <v>5</v>
      </c>
      <c r="H1812" t="n">
        <v>0</v>
      </c>
      <c r="I1812" t="n">
        <v>0</v>
      </c>
      <c r="J1812" t="n">
        <v>0</v>
      </c>
      <c r="K1812" t="n">
        <v>0</v>
      </c>
      <c r="L1812" t="n">
        <v>0</v>
      </c>
      <c r="M1812" t="n">
        <v>0</v>
      </c>
      <c r="N1812" t="n">
        <v>0</v>
      </c>
      <c r="O1812" t="n">
        <v>0</v>
      </c>
      <c r="P1812" t="n">
        <v>0</v>
      </c>
      <c r="Q1812" t="n">
        <v>0</v>
      </c>
      <c r="R1812" s="2" t="inlineStr"/>
    </row>
    <row r="1813" ht="15" customHeight="1">
      <c r="A1813" t="inlineStr">
        <is>
          <t>A 52718-2022</t>
        </is>
      </c>
      <c r="B1813" s="1" t="n">
        <v>44874</v>
      </c>
      <c r="C1813" s="1" t="n">
        <v>46048</v>
      </c>
      <c r="D1813" t="inlineStr">
        <is>
          <t>VÄSTERNORRLANDS LÄN</t>
        </is>
      </c>
      <c r="E1813" t="inlineStr">
        <is>
          <t>SOLLEFTEÅ</t>
        </is>
      </c>
      <c r="G1813" t="n">
        <v>3</v>
      </c>
      <c r="H1813" t="n">
        <v>0</v>
      </c>
      <c r="I1813" t="n">
        <v>0</v>
      </c>
      <c r="J1813" t="n">
        <v>0</v>
      </c>
      <c r="K1813" t="n">
        <v>0</v>
      </c>
      <c r="L1813" t="n">
        <v>0</v>
      </c>
      <c r="M1813" t="n">
        <v>0</v>
      </c>
      <c r="N1813" t="n">
        <v>0</v>
      </c>
      <c r="O1813" t="n">
        <v>0</v>
      </c>
      <c r="P1813" t="n">
        <v>0</v>
      </c>
      <c r="Q1813" t="n">
        <v>0</v>
      </c>
      <c r="R1813" s="2" t="inlineStr"/>
    </row>
    <row r="1814" ht="15" customHeight="1">
      <c r="A1814" t="inlineStr">
        <is>
          <t>A 37304-2025</t>
        </is>
      </c>
      <c r="B1814" s="1" t="n">
        <v>45876.59458333333</v>
      </c>
      <c r="C1814" s="1" t="n">
        <v>46048</v>
      </c>
      <c r="D1814" t="inlineStr">
        <is>
          <t>VÄSTERNORRLANDS LÄN</t>
        </is>
      </c>
      <c r="E1814" t="inlineStr">
        <is>
          <t>SOLLEFTEÅ</t>
        </is>
      </c>
      <c r="F1814" t="inlineStr">
        <is>
          <t>SCA</t>
        </is>
      </c>
      <c r="G1814" t="n">
        <v>9.199999999999999</v>
      </c>
      <c r="H1814" t="n">
        <v>0</v>
      </c>
      <c r="I1814" t="n">
        <v>0</v>
      </c>
      <c r="J1814" t="n">
        <v>0</v>
      </c>
      <c r="K1814" t="n">
        <v>0</v>
      </c>
      <c r="L1814" t="n">
        <v>0</v>
      </c>
      <c r="M1814" t="n">
        <v>0</v>
      </c>
      <c r="N1814" t="n">
        <v>0</v>
      </c>
      <c r="O1814" t="n">
        <v>0</v>
      </c>
      <c r="P1814" t="n">
        <v>0</v>
      </c>
      <c r="Q1814" t="n">
        <v>0</v>
      </c>
      <c r="R1814" s="2" t="inlineStr"/>
    </row>
    <row r="1815" ht="15" customHeight="1">
      <c r="A1815" t="inlineStr">
        <is>
          <t>A 38959-2025</t>
        </is>
      </c>
      <c r="B1815" s="1" t="n">
        <v>45887.67769675926</v>
      </c>
      <c r="C1815" s="1" t="n">
        <v>46048</v>
      </c>
      <c r="D1815" t="inlineStr">
        <is>
          <t>VÄSTERNORRLANDS LÄN</t>
        </is>
      </c>
      <c r="E1815" t="inlineStr">
        <is>
          <t>SOLLEFTEÅ</t>
        </is>
      </c>
      <c r="F1815" t="inlineStr">
        <is>
          <t>SCA</t>
        </is>
      </c>
      <c r="G1815" t="n">
        <v>8.699999999999999</v>
      </c>
      <c r="H1815" t="n">
        <v>0</v>
      </c>
      <c r="I1815" t="n">
        <v>0</v>
      </c>
      <c r="J1815" t="n">
        <v>0</v>
      </c>
      <c r="K1815" t="n">
        <v>0</v>
      </c>
      <c r="L1815" t="n">
        <v>0</v>
      </c>
      <c r="M1815" t="n">
        <v>0</v>
      </c>
      <c r="N1815" t="n">
        <v>0</v>
      </c>
      <c r="O1815" t="n">
        <v>0</v>
      </c>
      <c r="P1815" t="n">
        <v>0</v>
      </c>
      <c r="Q1815" t="n">
        <v>0</v>
      </c>
      <c r="R1815" s="2" t="inlineStr"/>
    </row>
    <row r="1816" ht="15" customHeight="1">
      <c r="A1816" t="inlineStr">
        <is>
          <t>A 38910-2025</t>
        </is>
      </c>
      <c r="B1816" s="1" t="n">
        <v>45887.61509259259</v>
      </c>
      <c r="C1816" s="1" t="n">
        <v>46048</v>
      </c>
      <c r="D1816" t="inlineStr">
        <is>
          <t>VÄSTERNORRLANDS LÄN</t>
        </is>
      </c>
      <c r="E1816" t="inlineStr">
        <is>
          <t>SOLLEFTEÅ</t>
        </is>
      </c>
      <c r="G1816" t="n">
        <v>3.2</v>
      </c>
      <c r="H1816" t="n">
        <v>0</v>
      </c>
      <c r="I1816" t="n">
        <v>0</v>
      </c>
      <c r="J1816" t="n">
        <v>0</v>
      </c>
      <c r="K1816" t="n">
        <v>0</v>
      </c>
      <c r="L1816" t="n">
        <v>0</v>
      </c>
      <c r="M1816" t="n">
        <v>0</v>
      </c>
      <c r="N1816" t="n">
        <v>0</v>
      </c>
      <c r="O1816" t="n">
        <v>0</v>
      </c>
      <c r="P1816" t="n">
        <v>0</v>
      </c>
      <c r="Q1816" t="n">
        <v>0</v>
      </c>
      <c r="R1816" s="2" t="inlineStr"/>
    </row>
    <row r="1817" ht="15" customHeight="1">
      <c r="A1817" t="inlineStr">
        <is>
          <t>A 37242-2025</t>
        </is>
      </c>
      <c r="B1817" s="1" t="n">
        <v>45876.38614583333</v>
      </c>
      <c r="C1817" s="1" t="n">
        <v>46048</v>
      </c>
      <c r="D1817" t="inlineStr">
        <is>
          <t>VÄSTERNORRLANDS LÄN</t>
        </is>
      </c>
      <c r="E1817" t="inlineStr">
        <is>
          <t>SOLLEFTEÅ</t>
        </is>
      </c>
      <c r="F1817" t="inlineStr">
        <is>
          <t>SCA</t>
        </is>
      </c>
      <c r="G1817" t="n">
        <v>3.8</v>
      </c>
      <c r="H1817" t="n">
        <v>0</v>
      </c>
      <c r="I1817" t="n">
        <v>0</v>
      </c>
      <c r="J1817" t="n">
        <v>0</v>
      </c>
      <c r="K1817" t="n">
        <v>0</v>
      </c>
      <c r="L1817" t="n">
        <v>0</v>
      </c>
      <c r="M1817" t="n">
        <v>0</v>
      </c>
      <c r="N1817" t="n">
        <v>0</v>
      </c>
      <c r="O1817" t="n">
        <v>0</v>
      </c>
      <c r="P1817" t="n">
        <v>0</v>
      </c>
      <c r="Q1817" t="n">
        <v>0</v>
      </c>
      <c r="R1817" s="2" t="inlineStr"/>
    </row>
    <row r="1818" ht="15" customHeight="1">
      <c r="A1818" t="inlineStr">
        <is>
          <t>A 37325-2025</t>
        </is>
      </c>
      <c r="B1818" s="1" t="n">
        <v>45876.63581018519</v>
      </c>
      <c r="C1818" s="1" t="n">
        <v>46048</v>
      </c>
      <c r="D1818" t="inlineStr">
        <is>
          <t>VÄSTERNORRLANDS LÄN</t>
        </is>
      </c>
      <c r="E1818" t="inlineStr">
        <is>
          <t>SOLLEFTEÅ</t>
        </is>
      </c>
      <c r="F1818" t="inlineStr">
        <is>
          <t>SCA</t>
        </is>
      </c>
      <c r="G1818" t="n">
        <v>3.1</v>
      </c>
      <c r="H1818" t="n">
        <v>0</v>
      </c>
      <c r="I1818" t="n">
        <v>0</v>
      </c>
      <c r="J1818" t="n">
        <v>0</v>
      </c>
      <c r="K1818" t="n">
        <v>0</v>
      </c>
      <c r="L1818" t="n">
        <v>0</v>
      </c>
      <c r="M1818" t="n">
        <v>0</v>
      </c>
      <c r="N1818" t="n">
        <v>0</v>
      </c>
      <c r="O1818" t="n">
        <v>0</v>
      </c>
      <c r="P1818" t="n">
        <v>0</v>
      </c>
      <c r="Q1818" t="n">
        <v>0</v>
      </c>
      <c r="R1818" s="2" t="inlineStr"/>
    </row>
    <row r="1819" ht="15" customHeight="1">
      <c r="A1819" t="inlineStr">
        <is>
          <t>A 37581-2025</t>
        </is>
      </c>
      <c r="B1819" s="1" t="n">
        <v>45880.38623842593</v>
      </c>
      <c r="C1819" s="1" t="n">
        <v>46048</v>
      </c>
      <c r="D1819" t="inlineStr">
        <is>
          <t>VÄSTERNORRLANDS LÄN</t>
        </is>
      </c>
      <c r="E1819" t="inlineStr">
        <is>
          <t>SOLLEFTEÅ</t>
        </is>
      </c>
      <c r="G1819" t="n">
        <v>9.5</v>
      </c>
      <c r="H1819" t="n">
        <v>0</v>
      </c>
      <c r="I1819" t="n">
        <v>0</v>
      </c>
      <c r="J1819" t="n">
        <v>0</v>
      </c>
      <c r="K1819" t="n">
        <v>0</v>
      </c>
      <c r="L1819" t="n">
        <v>0</v>
      </c>
      <c r="M1819" t="n">
        <v>0</v>
      </c>
      <c r="N1819" t="n">
        <v>0</v>
      </c>
      <c r="O1819" t="n">
        <v>0</v>
      </c>
      <c r="P1819" t="n">
        <v>0</v>
      </c>
      <c r="Q1819" t="n">
        <v>0</v>
      </c>
      <c r="R1819" s="2" t="inlineStr"/>
    </row>
    <row r="1820" ht="15" customHeight="1">
      <c r="A1820" t="inlineStr">
        <is>
          <t>A 38234-2024</t>
        </is>
      </c>
      <c r="B1820" s="1" t="n">
        <v>45545.56025462963</v>
      </c>
      <c r="C1820" s="1" t="n">
        <v>46048</v>
      </c>
      <c r="D1820" t="inlineStr">
        <is>
          <t>VÄSTERNORRLANDS LÄN</t>
        </is>
      </c>
      <c r="E1820" t="inlineStr">
        <is>
          <t>SOLLEFTEÅ</t>
        </is>
      </c>
      <c r="F1820" t="inlineStr">
        <is>
          <t>Holmen skog AB</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37607-2025</t>
        </is>
      </c>
      <c r="B1821" s="1" t="n">
        <v>45880</v>
      </c>
      <c r="C1821" s="1" t="n">
        <v>46048</v>
      </c>
      <c r="D1821" t="inlineStr">
        <is>
          <t>VÄSTERNORRLANDS LÄN</t>
        </is>
      </c>
      <c r="E1821" t="inlineStr">
        <is>
          <t>SOLLEFTEÅ</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38581-2025</t>
        </is>
      </c>
      <c r="B1822" s="1" t="n">
        <v>45884.46965277778</v>
      </c>
      <c r="C1822" s="1" t="n">
        <v>46048</v>
      </c>
      <c r="D1822" t="inlineStr">
        <is>
          <t>VÄSTERNORRLANDS LÄN</t>
        </is>
      </c>
      <c r="E1822" t="inlineStr">
        <is>
          <t>SOLLEFTEÅ</t>
        </is>
      </c>
      <c r="F1822" t="inlineStr">
        <is>
          <t>SCA</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72244-2021</t>
        </is>
      </c>
      <c r="B1823" s="1" t="n">
        <v>44544.9390162037</v>
      </c>
      <c r="C1823" s="1" t="n">
        <v>46048</v>
      </c>
      <c r="D1823" t="inlineStr">
        <is>
          <t>VÄSTERNORRLANDS LÄN</t>
        </is>
      </c>
      <c r="E1823" t="inlineStr">
        <is>
          <t>SOLLEFTEÅ</t>
        </is>
      </c>
      <c r="F1823" t="inlineStr">
        <is>
          <t>SCA</t>
        </is>
      </c>
      <c r="G1823" t="n">
        <v>6.8</v>
      </c>
      <c r="H1823" t="n">
        <v>0</v>
      </c>
      <c r="I1823" t="n">
        <v>0</v>
      </c>
      <c r="J1823" t="n">
        <v>0</v>
      </c>
      <c r="K1823" t="n">
        <v>0</v>
      </c>
      <c r="L1823" t="n">
        <v>0</v>
      </c>
      <c r="M1823" t="n">
        <v>0</v>
      </c>
      <c r="N1823" t="n">
        <v>0</v>
      </c>
      <c r="O1823" t="n">
        <v>0</v>
      </c>
      <c r="P1823" t="n">
        <v>0</v>
      </c>
      <c r="Q1823" t="n">
        <v>0</v>
      </c>
      <c r="R1823" s="2" t="inlineStr"/>
    </row>
    <row r="1824" ht="15" customHeight="1">
      <c r="A1824" t="inlineStr">
        <is>
          <t>A 18304-2022</t>
        </is>
      </c>
      <c r="B1824" s="1" t="n">
        <v>44685</v>
      </c>
      <c r="C1824" s="1" t="n">
        <v>46048</v>
      </c>
      <c r="D1824" t="inlineStr">
        <is>
          <t>VÄSTERNORRLANDS LÄN</t>
        </is>
      </c>
      <c r="E1824" t="inlineStr">
        <is>
          <t>SOLLEFTEÅ</t>
        </is>
      </c>
      <c r="G1824" t="n">
        <v>3.4</v>
      </c>
      <c r="H1824" t="n">
        <v>0</v>
      </c>
      <c r="I1824" t="n">
        <v>0</v>
      </c>
      <c r="J1824" t="n">
        <v>0</v>
      </c>
      <c r="K1824" t="n">
        <v>0</v>
      </c>
      <c r="L1824" t="n">
        <v>0</v>
      </c>
      <c r="M1824" t="n">
        <v>0</v>
      </c>
      <c r="N1824" t="n">
        <v>0</v>
      </c>
      <c r="O1824" t="n">
        <v>0</v>
      </c>
      <c r="P1824" t="n">
        <v>0</v>
      </c>
      <c r="Q1824" t="n">
        <v>0</v>
      </c>
      <c r="R1824" s="2" t="inlineStr"/>
    </row>
    <row r="1825" ht="15" customHeight="1">
      <c r="A1825" t="inlineStr">
        <is>
          <t>A 37921-2025</t>
        </is>
      </c>
      <c r="B1825" s="1" t="n">
        <v>45881.57491898148</v>
      </c>
      <c r="C1825" s="1" t="n">
        <v>46048</v>
      </c>
      <c r="D1825" t="inlineStr">
        <is>
          <t>VÄSTERNORRLANDS LÄN</t>
        </is>
      </c>
      <c r="E1825" t="inlineStr">
        <is>
          <t>SOLLEFTEÅ</t>
        </is>
      </c>
      <c r="F1825" t="inlineStr">
        <is>
          <t>SCA</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37880-2025</t>
        </is>
      </c>
      <c r="B1826" s="1" t="n">
        <v>45881.48998842593</v>
      </c>
      <c r="C1826" s="1" t="n">
        <v>46048</v>
      </c>
      <c r="D1826" t="inlineStr">
        <is>
          <t>VÄSTERNORRLANDS LÄN</t>
        </is>
      </c>
      <c r="E1826" t="inlineStr">
        <is>
          <t>SOLLEFTEÅ</t>
        </is>
      </c>
      <c r="F1826" t="inlineStr">
        <is>
          <t>SCA</t>
        </is>
      </c>
      <c r="G1826" t="n">
        <v>26.1</v>
      </c>
      <c r="H1826" t="n">
        <v>0</v>
      </c>
      <c r="I1826" t="n">
        <v>0</v>
      </c>
      <c r="J1826" t="n">
        <v>0</v>
      </c>
      <c r="K1826" t="n">
        <v>0</v>
      </c>
      <c r="L1826" t="n">
        <v>0</v>
      </c>
      <c r="M1826" t="n">
        <v>0</v>
      </c>
      <c r="N1826" t="n">
        <v>0</v>
      </c>
      <c r="O1826" t="n">
        <v>0</v>
      </c>
      <c r="P1826" t="n">
        <v>0</v>
      </c>
      <c r="Q1826" t="n">
        <v>0</v>
      </c>
      <c r="R1826" s="2" t="inlineStr"/>
    </row>
    <row r="1827" ht="15" customHeight="1">
      <c r="A1827" t="inlineStr">
        <is>
          <t>A 11727-2025</t>
        </is>
      </c>
      <c r="B1827" s="1" t="n">
        <v>45727.61512731481</v>
      </c>
      <c r="C1827" s="1" t="n">
        <v>46048</v>
      </c>
      <c r="D1827" t="inlineStr">
        <is>
          <t>VÄSTERNORRLANDS LÄN</t>
        </is>
      </c>
      <c r="E1827" t="inlineStr">
        <is>
          <t>SOLLEFTEÅ</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61384-2022</t>
        </is>
      </c>
      <c r="B1828" s="1" t="n">
        <v>44915</v>
      </c>
      <c r="C1828" s="1" t="n">
        <v>46048</v>
      </c>
      <c r="D1828" t="inlineStr">
        <is>
          <t>VÄSTERNORRLANDS LÄN</t>
        </is>
      </c>
      <c r="E1828" t="inlineStr">
        <is>
          <t>SOLLEFTEÅ</t>
        </is>
      </c>
      <c r="G1828" t="n">
        <v>2.3</v>
      </c>
      <c r="H1828" t="n">
        <v>0</v>
      </c>
      <c r="I1828" t="n">
        <v>0</v>
      </c>
      <c r="J1828" t="n">
        <v>0</v>
      </c>
      <c r="K1828" t="n">
        <v>0</v>
      </c>
      <c r="L1828" t="n">
        <v>0</v>
      </c>
      <c r="M1828" t="n">
        <v>0</v>
      </c>
      <c r="N1828" t="n">
        <v>0</v>
      </c>
      <c r="O1828" t="n">
        <v>0</v>
      </c>
      <c r="P1828" t="n">
        <v>0</v>
      </c>
      <c r="Q1828" t="n">
        <v>0</v>
      </c>
      <c r="R1828" s="2" t="inlineStr"/>
    </row>
    <row r="1829" ht="15" customHeight="1">
      <c r="A1829" t="inlineStr">
        <is>
          <t>A 62363-2023</t>
        </is>
      </c>
      <c r="B1829" s="1" t="n">
        <v>45267</v>
      </c>
      <c r="C1829" s="1" t="n">
        <v>46048</v>
      </c>
      <c r="D1829" t="inlineStr">
        <is>
          <t>VÄSTERNORRLANDS LÄN</t>
        </is>
      </c>
      <c r="E1829" t="inlineStr">
        <is>
          <t>SOLLEFTEÅ</t>
        </is>
      </c>
      <c r="F1829" t="inlineStr">
        <is>
          <t>SCA</t>
        </is>
      </c>
      <c r="G1829" t="n">
        <v>0.4</v>
      </c>
      <c r="H1829" t="n">
        <v>0</v>
      </c>
      <c r="I1829" t="n">
        <v>0</v>
      </c>
      <c r="J1829" t="n">
        <v>0</v>
      </c>
      <c r="K1829" t="n">
        <v>0</v>
      </c>
      <c r="L1829" t="n">
        <v>0</v>
      </c>
      <c r="M1829" t="n">
        <v>0</v>
      </c>
      <c r="N1829" t="n">
        <v>0</v>
      </c>
      <c r="O1829" t="n">
        <v>0</v>
      </c>
      <c r="P1829" t="n">
        <v>0</v>
      </c>
      <c r="Q1829" t="n">
        <v>0</v>
      </c>
      <c r="R1829" s="2" t="inlineStr"/>
    </row>
    <row r="1830" ht="15" customHeight="1">
      <c r="A1830" t="inlineStr">
        <is>
          <t>A 38562-2025</t>
        </is>
      </c>
      <c r="B1830" s="1" t="n">
        <v>45884.44865740741</v>
      </c>
      <c r="C1830" s="1" t="n">
        <v>46048</v>
      </c>
      <c r="D1830" t="inlineStr">
        <is>
          <t>VÄSTERNORRLANDS LÄN</t>
        </is>
      </c>
      <c r="E1830" t="inlineStr">
        <is>
          <t>SOLLEFTEÅ</t>
        </is>
      </c>
      <c r="G1830" t="n">
        <v>7.1</v>
      </c>
      <c r="H1830" t="n">
        <v>0</v>
      </c>
      <c r="I1830" t="n">
        <v>0</v>
      </c>
      <c r="J1830" t="n">
        <v>0</v>
      </c>
      <c r="K1830" t="n">
        <v>0</v>
      </c>
      <c r="L1830" t="n">
        <v>0</v>
      </c>
      <c r="M1830" t="n">
        <v>0</v>
      </c>
      <c r="N1830" t="n">
        <v>0</v>
      </c>
      <c r="O1830" t="n">
        <v>0</v>
      </c>
      <c r="P1830" t="n">
        <v>0</v>
      </c>
      <c r="Q1830" t="n">
        <v>0</v>
      </c>
      <c r="R1830" s="2" t="inlineStr"/>
    </row>
    <row r="1831" ht="15" customHeight="1">
      <c r="A1831" t="inlineStr">
        <is>
          <t>A 38749-2024</t>
        </is>
      </c>
      <c r="B1831" s="1" t="n">
        <v>45547</v>
      </c>
      <c r="C1831" s="1" t="n">
        <v>46048</v>
      </c>
      <c r="D1831" t="inlineStr">
        <is>
          <t>VÄSTERNORRLANDS LÄN</t>
        </is>
      </c>
      <c r="E1831" t="inlineStr">
        <is>
          <t>SOLLEFTEÅ</t>
        </is>
      </c>
      <c r="F1831" t="inlineStr">
        <is>
          <t>SCA</t>
        </is>
      </c>
      <c r="G1831" t="n">
        <v>3.4</v>
      </c>
      <c r="H1831" t="n">
        <v>0</v>
      </c>
      <c r="I1831" t="n">
        <v>0</v>
      </c>
      <c r="J1831" t="n">
        <v>0</v>
      </c>
      <c r="K1831" t="n">
        <v>0</v>
      </c>
      <c r="L1831" t="n">
        <v>0</v>
      </c>
      <c r="M1831" t="n">
        <v>0</v>
      </c>
      <c r="N1831" t="n">
        <v>0</v>
      </c>
      <c r="O1831" t="n">
        <v>0</v>
      </c>
      <c r="P1831" t="n">
        <v>0</v>
      </c>
      <c r="Q1831" t="n">
        <v>0</v>
      </c>
      <c r="R1831" s="2" t="inlineStr"/>
    </row>
    <row r="1832" ht="15" customHeight="1">
      <c r="A1832" t="inlineStr">
        <is>
          <t>A 60583-2024</t>
        </is>
      </c>
      <c r="B1832" s="1" t="n">
        <v>45644</v>
      </c>
      <c r="C1832" s="1" t="n">
        <v>46048</v>
      </c>
      <c r="D1832" t="inlineStr">
        <is>
          <t>VÄSTERNORRLANDS LÄN</t>
        </is>
      </c>
      <c r="E1832" t="inlineStr">
        <is>
          <t>SOLLEFTEÅ</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38271-2025</t>
        </is>
      </c>
      <c r="B1833" s="1" t="n">
        <v>45883.4071412037</v>
      </c>
      <c r="C1833" s="1" t="n">
        <v>46048</v>
      </c>
      <c r="D1833" t="inlineStr">
        <is>
          <t>VÄSTERNORRLANDS LÄN</t>
        </is>
      </c>
      <c r="E1833" t="inlineStr">
        <is>
          <t>SOLLEFTEÅ</t>
        </is>
      </c>
      <c r="F1833" t="inlineStr">
        <is>
          <t>SCA</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22207-2025</t>
        </is>
      </c>
      <c r="B1834" s="1" t="n">
        <v>45785.65710648148</v>
      </c>
      <c r="C1834" s="1" t="n">
        <v>46048</v>
      </c>
      <c r="D1834" t="inlineStr">
        <is>
          <t>VÄSTERNORRLANDS LÄN</t>
        </is>
      </c>
      <c r="E1834" t="inlineStr">
        <is>
          <t>SOLLEFTEÅ</t>
        </is>
      </c>
      <c r="F1834" t="inlineStr">
        <is>
          <t>SCA</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7721-2023</t>
        </is>
      </c>
      <c r="B1835" s="1" t="n">
        <v>44972.94123842593</v>
      </c>
      <c r="C1835" s="1" t="n">
        <v>46048</v>
      </c>
      <c r="D1835" t="inlineStr">
        <is>
          <t>VÄSTERNORRLANDS LÄN</t>
        </is>
      </c>
      <c r="E1835" t="inlineStr">
        <is>
          <t>SOLLEFTEÅ</t>
        </is>
      </c>
      <c r="F1835" t="inlineStr">
        <is>
          <t>SCA</t>
        </is>
      </c>
      <c r="G1835" t="n">
        <v>3.7</v>
      </c>
      <c r="H1835" t="n">
        <v>0</v>
      </c>
      <c r="I1835" t="n">
        <v>0</v>
      </c>
      <c r="J1835" t="n">
        <v>0</v>
      </c>
      <c r="K1835" t="n">
        <v>0</v>
      </c>
      <c r="L1835" t="n">
        <v>0</v>
      </c>
      <c r="M1835" t="n">
        <v>0</v>
      </c>
      <c r="N1835" t="n">
        <v>0</v>
      </c>
      <c r="O1835" t="n">
        <v>0</v>
      </c>
      <c r="P1835" t="n">
        <v>0</v>
      </c>
      <c r="Q1835" t="n">
        <v>0</v>
      </c>
      <c r="R1835" s="2" t="inlineStr"/>
    </row>
    <row r="1836" ht="15" customHeight="1">
      <c r="A1836" t="inlineStr">
        <is>
          <t>A 21195-2023</t>
        </is>
      </c>
      <c r="B1836" s="1" t="n">
        <v>45057</v>
      </c>
      <c r="C1836" s="1" t="n">
        <v>46048</v>
      </c>
      <c r="D1836" t="inlineStr">
        <is>
          <t>VÄSTERNORRLANDS LÄN</t>
        </is>
      </c>
      <c r="E1836" t="inlineStr">
        <is>
          <t>SOLLEFTEÅ</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38330-2025</t>
        </is>
      </c>
      <c r="B1837" s="1" t="n">
        <v>45883.49123842592</v>
      </c>
      <c r="C1837" s="1" t="n">
        <v>46048</v>
      </c>
      <c r="D1837" t="inlineStr">
        <is>
          <t>VÄSTERNORRLANDS LÄN</t>
        </is>
      </c>
      <c r="E1837" t="inlineStr">
        <is>
          <t>SOLLEFTEÅ</t>
        </is>
      </c>
      <c r="F1837" t="inlineStr">
        <is>
          <t>SCA</t>
        </is>
      </c>
      <c r="G1837" t="n">
        <v>2.3</v>
      </c>
      <c r="H1837" t="n">
        <v>0</v>
      </c>
      <c r="I1837" t="n">
        <v>0</v>
      </c>
      <c r="J1837" t="n">
        <v>0</v>
      </c>
      <c r="K1837" t="n">
        <v>0</v>
      </c>
      <c r="L1837" t="n">
        <v>0</v>
      </c>
      <c r="M1837" t="n">
        <v>0</v>
      </c>
      <c r="N1837" t="n">
        <v>0</v>
      </c>
      <c r="O1837" t="n">
        <v>0</v>
      </c>
      <c r="P1837" t="n">
        <v>0</v>
      </c>
      <c r="Q1837" t="n">
        <v>0</v>
      </c>
      <c r="R1837" s="2" t="inlineStr"/>
    </row>
    <row r="1838" ht="15" customHeight="1">
      <c r="A1838" t="inlineStr">
        <is>
          <t>A 38156-2025</t>
        </is>
      </c>
      <c r="B1838" s="1" t="n">
        <v>45882.61491898148</v>
      </c>
      <c r="C1838" s="1" t="n">
        <v>46048</v>
      </c>
      <c r="D1838" t="inlineStr">
        <is>
          <t>VÄSTERNORRLANDS LÄN</t>
        </is>
      </c>
      <c r="E1838" t="inlineStr">
        <is>
          <t>SOLLEFTEÅ</t>
        </is>
      </c>
      <c r="F1838" t="inlineStr">
        <is>
          <t>SCA</t>
        </is>
      </c>
      <c r="G1838" t="n">
        <v>13.5</v>
      </c>
      <c r="H1838" t="n">
        <v>0</v>
      </c>
      <c r="I1838" t="n">
        <v>0</v>
      </c>
      <c r="J1838" t="n">
        <v>0</v>
      </c>
      <c r="K1838" t="n">
        <v>0</v>
      </c>
      <c r="L1838" t="n">
        <v>0</v>
      </c>
      <c r="M1838" t="n">
        <v>0</v>
      </c>
      <c r="N1838" t="n">
        <v>0</v>
      </c>
      <c r="O1838" t="n">
        <v>0</v>
      </c>
      <c r="P1838" t="n">
        <v>0</v>
      </c>
      <c r="Q1838" t="n">
        <v>0</v>
      </c>
      <c r="R1838" s="2" t="inlineStr"/>
    </row>
    <row r="1839" ht="15" customHeight="1">
      <c r="A1839" t="inlineStr">
        <is>
          <t>A 21230-2023</t>
        </is>
      </c>
      <c r="B1839" s="1" t="n">
        <v>45057</v>
      </c>
      <c r="C1839" s="1" t="n">
        <v>46048</v>
      </c>
      <c r="D1839" t="inlineStr">
        <is>
          <t>VÄSTERNORRLANDS LÄN</t>
        </is>
      </c>
      <c r="E1839" t="inlineStr">
        <is>
          <t>SOLLEFTEÅ</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10925-2022</t>
        </is>
      </c>
      <c r="B1840" s="1" t="n">
        <v>44627.9444212963</v>
      </c>
      <c r="C1840" s="1" t="n">
        <v>46048</v>
      </c>
      <c r="D1840" t="inlineStr">
        <is>
          <t>VÄSTERNORRLANDS LÄN</t>
        </is>
      </c>
      <c r="E1840" t="inlineStr">
        <is>
          <t>SOLLEFTEÅ</t>
        </is>
      </c>
      <c r="F1840" t="inlineStr">
        <is>
          <t>SCA</t>
        </is>
      </c>
      <c r="G1840" t="n">
        <v>10.2</v>
      </c>
      <c r="H1840" t="n">
        <v>0</v>
      </c>
      <c r="I1840" t="n">
        <v>0</v>
      </c>
      <c r="J1840" t="n">
        <v>0</v>
      </c>
      <c r="K1840" t="n">
        <v>0</v>
      </c>
      <c r="L1840" t="n">
        <v>0</v>
      </c>
      <c r="M1840" t="n">
        <v>0</v>
      </c>
      <c r="N1840" t="n">
        <v>0</v>
      </c>
      <c r="O1840" t="n">
        <v>0</v>
      </c>
      <c r="P1840" t="n">
        <v>0</v>
      </c>
      <c r="Q1840" t="n">
        <v>0</v>
      </c>
      <c r="R1840" s="2" t="inlineStr"/>
    </row>
    <row r="1841" ht="15" customHeight="1">
      <c r="A1841" t="inlineStr">
        <is>
          <t>A 38958-2025</t>
        </is>
      </c>
      <c r="B1841" s="1" t="n">
        <v>45887.67751157407</v>
      </c>
      <c r="C1841" s="1" t="n">
        <v>46048</v>
      </c>
      <c r="D1841" t="inlineStr">
        <is>
          <t>VÄSTERNORRLANDS LÄN</t>
        </is>
      </c>
      <c r="E1841" t="inlineStr">
        <is>
          <t>SOLLEFTEÅ</t>
        </is>
      </c>
      <c r="F1841" t="inlineStr">
        <is>
          <t>SCA</t>
        </is>
      </c>
      <c r="G1841" t="n">
        <v>9.1</v>
      </c>
      <c r="H1841" t="n">
        <v>0</v>
      </c>
      <c r="I1841" t="n">
        <v>0</v>
      </c>
      <c r="J1841" t="n">
        <v>0</v>
      </c>
      <c r="K1841" t="n">
        <v>0</v>
      </c>
      <c r="L1841" t="n">
        <v>0</v>
      </c>
      <c r="M1841" t="n">
        <v>0</v>
      </c>
      <c r="N1841" t="n">
        <v>0</v>
      </c>
      <c r="O1841" t="n">
        <v>0</v>
      </c>
      <c r="P1841" t="n">
        <v>0</v>
      </c>
      <c r="Q1841" t="n">
        <v>0</v>
      </c>
      <c r="R1841" s="2" t="inlineStr"/>
    </row>
    <row r="1842" ht="15" customHeight="1">
      <c r="A1842" t="inlineStr">
        <is>
          <t>A 37801-2025</t>
        </is>
      </c>
      <c r="B1842" s="1" t="n">
        <v>45881.34436342592</v>
      </c>
      <c r="C1842" s="1" t="n">
        <v>46048</v>
      </c>
      <c r="D1842" t="inlineStr">
        <is>
          <t>VÄSTERNORRLANDS LÄN</t>
        </is>
      </c>
      <c r="E1842" t="inlineStr">
        <is>
          <t>SOLLEFTEÅ</t>
        </is>
      </c>
      <c r="F1842" t="inlineStr">
        <is>
          <t>SCA</t>
        </is>
      </c>
      <c r="G1842" t="n">
        <v>3.1</v>
      </c>
      <c r="H1842" t="n">
        <v>0</v>
      </c>
      <c r="I1842" t="n">
        <v>0</v>
      </c>
      <c r="J1842" t="n">
        <v>0</v>
      </c>
      <c r="K1842" t="n">
        <v>0</v>
      </c>
      <c r="L1842" t="n">
        <v>0</v>
      </c>
      <c r="M1842" t="n">
        <v>0</v>
      </c>
      <c r="N1842" t="n">
        <v>0</v>
      </c>
      <c r="O1842" t="n">
        <v>0</v>
      </c>
      <c r="P1842" t="n">
        <v>0</v>
      </c>
      <c r="Q1842" t="n">
        <v>0</v>
      </c>
      <c r="R1842" s="2" t="inlineStr"/>
    </row>
    <row r="1843" ht="15" customHeight="1">
      <c r="A1843" t="inlineStr">
        <is>
          <t>A 31916-2023</t>
        </is>
      </c>
      <c r="B1843" s="1" t="n">
        <v>45118.93978009259</v>
      </c>
      <c r="C1843" s="1" t="n">
        <v>46048</v>
      </c>
      <c r="D1843" t="inlineStr">
        <is>
          <t>VÄSTERNORRLANDS LÄN</t>
        </is>
      </c>
      <c r="E1843" t="inlineStr">
        <is>
          <t>SOLLEFTEÅ</t>
        </is>
      </c>
      <c r="F1843" t="inlineStr">
        <is>
          <t>SCA</t>
        </is>
      </c>
      <c r="G1843" t="n">
        <v>3.6</v>
      </c>
      <c r="H1843" t="n">
        <v>0</v>
      </c>
      <c r="I1843" t="n">
        <v>0</v>
      </c>
      <c r="J1843" t="n">
        <v>0</v>
      </c>
      <c r="K1843" t="n">
        <v>0</v>
      </c>
      <c r="L1843" t="n">
        <v>0</v>
      </c>
      <c r="M1843" t="n">
        <v>0</v>
      </c>
      <c r="N1843" t="n">
        <v>0</v>
      </c>
      <c r="O1843" t="n">
        <v>0</v>
      </c>
      <c r="P1843" t="n">
        <v>0</v>
      </c>
      <c r="Q1843" t="n">
        <v>0</v>
      </c>
      <c r="R1843" s="2" t="inlineStr"/>
    </row>
    <row r="1844" ht="15" customHeight="1">
      <c r="A1844" t="inlineStr">
        <is>
          <t>A 31919-2023</t>
        </is>
      </c>
      <c r="B1844" s="1" t="n">
        <v>45118</v>
      </c>
      <c r="C1844" s="1" t="n">
        <v>46048</v>
      </c>
      <c r="D1844" t="inlineStr">
        <is>
          <t>VÄSTERNORRLANDS LÄN</t>
        </is>
      </c>
      <c r="E1844" t="inlineStr">
        <is>
          <t>SOLLEFTEÅ</t>
        </is>
      </c>
      <c r="F1844" t="inlineStr">
        <is>
          <t>SCA</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58085-2023</t>
        </is>
      </c>
      <c r="B1845" s="1" t="n">
        <v>45247</v>
      </c>
      <c r="C1845" s="1" t="n">
        <v>46048</v>
      </c>
      <c r="D1845" t="inlineStr">
        <is>
          <t>VÄSTERNORRLANDS LÄN</t>
        </is>
      </c>
      <c r="E1845" t="inlineStr">
        <is>
          <t>SOLLEFTEÅ</t>
        </is>
      </c>
      <c r="F1845" t="inlineStr">
        <is>
          <t>SCA</t>
        </is>
      </c>
      <c r="G1845" t="n">
        <v>2.8</v>
      </c>
      <c r="H1845" t="n">
        <v>0</v>
      </c>
      <c r="I1845" t="n">
        <v>0</v>
      </c>
      <c r="J1845" t="n">
        <v>0</v>
      </c>
      <c r="K1845" t="n">
        <v>0</v>
      </c>
      <c r="L1845" t="n">
        <v>0</v>
      </c>
      <c r="M1845" t="n">
        <v>0</v>
      </c>
      <c r="N1845" t="n">
        <v>0</v>
      </c>
      <c r="O1845" t="n">
        <v>0</v>
      </c>
      <c r="P1845" t="n">
        <v>0</v>
      </c>
      <c r="Q1845" t="n">
        <v>0</v>
      </c>
      <c r="R1845" s="2" t="inlineStr"/>
    </row>
    <row r="1846" ht="15" customHeight="1">
      <c r="A1846" t="inlineStr">
        <is>
          <t>A 38092-2025</t>
        </is>
      </c>
      <c r="B1846" s="1" t="n">
        <v>45882.49005787037</v>
      </c>
      <c r="C1846" s="1" t="n">
        <v>46048</v>
      </c>
      <c r="D1846" t="inlineStr">
        <is>
          <t>VÄSTERNORRLANDS LÄN</t>
        </is>
      </c>
      <c r="E1846" t="inlineStr">
        <is>
          <t>SOLLEFTEÅ</t>
        </is>
      </c>
      <c r="F1846" t="inlineStr">
        <is>
          <t>SCA</t>
        </is>
      </c>
      <c r="G1846" t="n">
        <v>4.4</v>
      </c>
      <c r="H1846" t="n">
        <v>0</v>
      </c>
      <c r="I1846" t="n">
        <v>0</v>
      </c>
      <c r="J1846" t="n">
        <v>0</v>
      </c>
      <c r="K1846" t="n">
        <v>0</v>
      </c>
      <c r="L1846" t="n">
        <v>0</v>
      </c>
      <c r="M1846" t="n">
        <v>0</v>
      </c>
      <c r="N1846" t="n">
        <v>0</v>
      </c>
      <c r="O1846" t="n">
        <v>0</v>
      </c>
      <c r="P1846" t="n">
        <v>0</v>
      </c>
      <c r="Q1846" t="n">
        <v>0</v>
      </c>
      <c r="R1846" s="2" t="inlineStr"/>
    </row>
    <row r="1847" ht="15" customHeight="1">
      <c r="A1847" t="inlineStr">
        <is>
          <t>A 38190-2025</t>
        </is>
      </c>
      <c r="B1847" s="1" t="n">
        <v>45882.65680555555</v>
      </c>
      <c r="C1847" s="1" t="n">
        <v>46048</v>
      </c>
      <c r="D1847" t="inlineStr">
        <is>
          <t>VÄSTERNORRLANDS LÄN</t>
        </is>
      </c>
      <c r="E1847" t="inlineStr">
        <is>
          <t>SOLLEFTEÅ</t>
        </is>
      </c>
      <c r="F1847" t="inlineStr">
        <is>
          <t>SCA</t>
        </is>
      </c>
      <c r="G1847" t="n">
        <v>6.5</v>
      </c>
      <c r="H1847" t="n">
        <v>0</v>
      </c>
      <c r="I1847" t="n">
        <v>0</v>
      </c>
      <c r="J1847" t="n">
        <v>0</v>
      </c>
      <c r="K1847" t="n">
        <v>0</v>
      </c>
      <c r="L1847" t="n">
        <v>0</v>
      </c>
      <c r="M1847" t="n">
        <v>0</v>
      </c>
      <c r="N1847" t="n">
        <v>0</v>
      </c>
      <c r="O1847" t="n">
        <v>0</v>
      </c>
      <c r="P1847" t="n">
        <v>0</v>
      </c>
      <c r="Q1847" t="n">
        <v>0</v>
      </c>
      <c r="R1847" s="2" t="inlineStr"/>
    </row>
    <row r="1848" ht="15" customHeight="1">
      <c r="A1848" t="inlineStr">
        <is>
          <t>A 38220-2025</t>
        </is>
      </c>
      <c r="B1848" s="1" t="n">
        <v>45883.34418981482</v>
      </c>
      <c r="C1848" s="1" t="n">
        <v>46048</v>
      </c>
      <c r="D1848" t="inlineStr">
        <is>
          <t>VÄSTERNORRLANDS LÄN</t>
        </is>
      </c>
      <c r="E1848" t="inlineStr">
        <is>
          <t>SOLLEFTEÅ</t>
        </is>
      </c>
      <c r="F1848" t="inlineStr">
        <is>
          <t>SCA</t>
        </is>
      </c>
      <c r="G1848" t="n">
        <v>3.7</v>
      </c>
      <c r="H1848" t="n">
        <v>0</v>
      </c>
      <c r="I1848" t="n">
        <v>0</v>
      </c>
      <c r="J1848" t="n">
        <v>0</v>
      </c>
      <c r="K1848" t="n">
        <v>0</v>
      </c>
      <c r="L1848" t="n">
        <v>0</v>
      </c>
      <c r="M1848" t="n">
        <v>0</v>
      </c>
      <c r="N1848" t="n">
        <v>0</v>
      </c>
      <c r="O1848" t="n">
        <v>0</v>
      </c>
      <c r="P1848" t="n">
        <v>0</v>
      </c>
      <c r="Q1848" t="n">
        <v>0</v>
      </c>
      <c r="R1848" s="2" t="inlineStr"/>
    </row>
    <row r="1849" ht="15" customHeight="1">
      <c r="A1849" t="inlineStr">
        <is>
          <t>A 38240-2025</t>
        </is>
      </c>
      <c r="B1849" s="1" t="n">
        <v>45883.36532407408</v>
      </c>
      <c r="C1849" s="1" t="n">
        <v>46048</v>
      </c>
      <c r="D1849" t="inlineStr">
        <is>
          <t>VÄSTERNORRLANDS LÄN</t>
        </is>
      </c>
      <c r="E1849" t="inlineStr">
        <is>
          <t>SOLLEFTEÅ</t>
        </is>
      </c>
      <c r="F1849" t="inlineStr">
        <is>
          <t>SCA</t>
        </is>
      </c>
      <c r="G1849" t="n">
        <v>3.2</v>
      </c>
      <c r="H1849" t="n">
        <v>0</v>
      </c>
      <c r="I1849" t="n">
        <v>0</v>
      </c>
      <c r="J1849" t="n">
        <v>0</v>
      </c>
      <c r="K1849" t="n">
        <v>0</v>
      </c>
      <c r="L1849" t="n">
        <v>0</v>
      </c>
      <c r="M1849" t="n">
        <v>0</v>
      </c>
      <c r="N1849" t="n">
        <v>0</v>
      </c>
      <c r="O1849" t="n">
        <v>0</v>
      </c>
      <c r="P1849" t="n">
        <v>0</v>
      </c>
      <c r="Q1849" t="n">
        <v>0</v>
      </c>
      <c r="R1849" s="2" t="inlineStr"/>
    </row>
    <row r="1850" ht="15" customHeight="1">
      <c r="A1850" t="inlineStr">
        <is>
          <t>A 7569-2025</t>
        </is>
      </c>
      <c r="B1850" s="1" t="n">
        <v>45705.59442129629</v>
      </c>
      <c r="C1850" s="1" t="n">
        <v>46048</v>
      </c>
      <c r="D1850" t="inlineStr">
        <is>
          <t>VÄSTERNORRLANDS LÄN</t>
        </is>
      </c>
      <c r="E1850" t="inlineStr">
        <is>
          <t>SOLLEFTEÅ</t>
        </is>
      </c>
      <c r="F1850" t="inlineStr">
        <is>
          <t>SCA</t>
        </is>
      </c>
      <c r="G1850" t="n">
        <v>2.7</v>
      </c>
      <c r="H1850" t="n">
        <v>0</v>
      </c>
      <c r="I1850" t="n">
        <v>0</v>
      </c>
      <c r="J1850" t="n">
        <v>0</v>
      </c>
      <c r="K1850" t="n">
        <v>0</v>
      </c>
      <c r="L1850" t="n">
        <v>0</v>
      </c>
      <c r="M1850" t="n">
        <v>0</v>
      </c>
      <c r="N1850" t="n">
        <v>0</v>
      </c>
      <c r="O1850" t="n">
        <v>0</v>
      </c>
      <c r="P1850" t="n">
        <v>0</v>
      </c>
      <c r="Q1850" t="n">
        <v>0</v>
      </c>
      <c r="R1850" s="2" t="inlineStr"/>
    </row>
    <row r="1851" ht="15" customHeight="1">
      <c r="A1851" t="inlineStr">
        <is>
          <t>A 38560-2025</t>
        </is>
      </c>
      <c r="B1851" s="1" t="n">
        <v>45884.44844907407</v>
      </c>
      <c r="C1851" s="1" t="n">
        <v>46048</v>
      </c>
      <c r="D1851" t="inlineStr">
        <is>
          <t>VÄSTERNORRLANDS LÄN</t>
        </is>
      </c>
      <c r="E1851" t="inlineStr">
        <is>
          <t>SOLLEFTEÅ</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38561-2025</t>
        </is>
      </c>
      <c r="B1852" s="1" t="n">
        <v>45884.44849537037</v>
      </c>
      <c r="C1852" s="1" t="n">
        <v>46048</v>
      </c>
      <c r="D1852" t="inlineStr">
        <is>
          <t>VÄSTERNORRLANDS LÄN</t>
        </is>
      </c>
      <c r="E1852" t="inlineStr">
        <is>
          <t>SOLLEFTEÅ</t>
        </is>
      </c>
      <c r="G1852" t="n">
        <v>2.3</v>
      </c>
      <c r="H1852" t="n">
        <v>0</v>
      </c>
      <c r="I1852" t="n">
        <v>0</v>
      </c>
      <c r="J1852" t="n">
        <v>0</v>
      </c>
      <c r="K1852" t="n">
        <v>0</v>
      </c>
      <c r="L1852" t="n">
        <v>0</v>
      </c>
      <c r="M1852" t="n">
        <v>0</v>
      </c>
      <c r="N1852" t="n">
        <v>0</v>
      </c>
      <c r="O1852" t="n">
        <v>0</v>
      </c>
      <c r="P1852" t="n">
        <v>0</v>
      </c>
      <c r="Q1852" t="n">
        <v>0</v>
      </c>
      <c r="R1852" s="2" t="inlineStr"/>
    </row>
    <row r="1853" ht="15" customHeight="1">
      <c r="A1853" t="inlineStr">
        <is>
          <t>A 19145-2025</t>
        </is>
      </c>
      <c r="B1853" s="1" t="n">
        <v>45769.34452546296</v>
      </c>
      <c r="C1853" s="1" t="n">
        <v>46048</v>
      </c>
      <c r="D1853" t="inlineStr">
        <is>
          <t>VÄSTERNORRLANDS LÄN</t>
        </is>
      </c>
      <c r="E1853" t="inlineStr">
        <is>
          <t>SOLLEFTEÅ</t>
        </is>
      </c>
      <c r="F1853" t="inlineStr">
        <is>
          <t>SCA</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38931-2025</t>
        </is>
      </c>
      <c r="B1854" s="1" t="n">
        <v>45887.63664351852</v>
      </c>
      <c r="C1854" s="1" t="n">
        <v>46048</v>
      </c>
      <c r="D1854" t="inlineStr">
        <is>
          <t>VÄSTERNORRLANDS LÄN</t>
        </is>
      </c>
      <c r="E1854" t="inlineStr">
        <is>
          <t>SOLLEFTEÅ</t>
        </is>
      </c>
      <c r="F1854" t="inlineStr">
        <is>
          <t>SCA</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54255-2022</t>
        </is>
      </c>
      <c r="B1855" s="1" t="n">
        <v>44881.95225694445</v>
      </c>
      <c r="C1855" s="1" t="n">
        <v>46048</v>
      </c>
      <c r="D1855" t="inlineStr">
        <is>
          <t>VÄSTERNORRLANDS LÄN</t>
        </is>
      </c>
      <c r="E1855" t="inlineStr">
        <is>
          <t>SOLLEFTEÅ</t>
        </is>
      </c>
      <c r="F1855" t="inlineStr">
        <is>
          <t>SCA</t>
        </is>
      </c>
      <c r="G1855" t="n">
        <v>3.9</v>
      </c>
      <c r="H1855" t="n">
        <v>0</v>
      </c>
      <c r="I1855" t="n">
        <v>0</v>
      </c>
      <c r="J1855" t="n">
        <v>0</v>
      </c>
      <c r="K1855" t="n">
        <v>0</v>
      </c>
      <c r="L1855" t="n">
        <v>0</v>
      </c>
      <c r="M1855" t="n">
        <v>0</v>
      </c>
      <c r="N1855" t="n">
        <v>0</v>
      </c>
      <c r="O1855" t="n">
        <v>0</v>
      </c>
      <c r="P1855" t="n">
        <v>0</v>
      </c>
      <c r="Q1855" t="n">
        <v>0</v>
      </c>
      <c r="R1855" s="2" t="inlineStr"/>
    </row>
    <row r="1856" ht="15" customHeight="1">
      <c r="A1856" t="inlineStr">
        <is>
          <t>A 4061-2024</t>
        </is>
      </c>
      <c r="B1856" s="1" t="n">
        <v>45323</v>
      </c>
      <c r="C1856" s="1" t="n">
        <v>46048</v>
      </c>
      <c r="D1856" t="inlineStr">
        <is>
          <t>VÄSTERNORRLANDS LÄN</t>
        </is>
      </c>
      <c r="E1856" t="inlineStr">
        <is>
          <t>SOLLEFTEÅ</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5034-2024</t>
        </is>
      </c>
      <c r="B1857" s="1" t="n">
        <v>45329.86893518519</v>
      </c>
      <c r="C1857" s="1" t="n">
        <v>46048</v>
      </c>
      <c r="D1857" t="inlineStr">
        <is>
          <t>VÄSTERNORRLANDS LÄN</t>
        </is>
      </c>
      <c r="E1857" t="inlineStr">
        <is>
          <t>SOLLEFTEÅ</t>
        </is>
      </c>
      <c r="F1857" t="inlineStr">
        <is>
          <t>Övriga Aktiebolag</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38596-2025</t>
        </is>
      </c>
      <c r="B1858" s="1" t="n">
        <v>45884.49040509259</v>
      </c>
      <c r="C1858" s="1" t="n">
        <v>46048</v>
      </c>
      <c r="D1858" t="inlineStr">
        <is>
          <t>VÄSTERNORRLANDS LÄN</t>
        </is>
      </c>
      <c r="E1858" t="inlineStr">
        <is>
          <t>SOLLEFTEÅ</t>
        </is>
      </c>
      <c r="F1858" t="inlineStr">
        <is>
          <t>SCA</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38598-2025</t>
        </is>
      </c>
      <c r="B1859" s="1" t="n">
        <v>45884.49074074074</v>
      </c>
      <c r="C1859" s="1" t="n">
        <v>46048</v>
      </c>
      <c r="D1859" t="inlineStr">
        <is>
          <t>VÄSTERNORRLANDS LÄN</t>
        </is>
      </c>
      <c r="E1859" t="inlineStr">
        <is>
          <t>SOLLEFTEÅ</t>
        </is>
      </c>
      <c r="F1859" t="inlineStr">
        <is>
          <t>SCA</t>
        </is>
      </c>
      <c r="G1859" t="n">
        <v>2.7</v>
      </c>
      <c r="H1859" t="n">
        <v>0</v>
      </c>
      <c r="I1859" t="n">
        <v>0</v>
      </c>
      <c r="J1859" t="n">
        <v>0</v>
      </c>
      <c r="K1859" t="n">
        <v>0</v>
      </c>
      <c r="L1859" t="n">
        <v>0</v>
      </c>
      <c r="M1859" t="n">
        <v>0</v>
      </c>
      <c r="N1859" t="n">
        <v>0</v>
      </c>
      <c r="O1859" t="n">
        <v>0</v>
      </c>
      <c r="P1859" t="n">
        <v>0</v>
      </c>
      <c r="Q1859" t="n">
        <v>0</v>
      </c>
      <c r="R1859" s="2" t="inlineStr"/>
    </row>
    <row r="1860" ht="15" customHeight="1">
      <c r="A1860" t="inlineStr">
        <is>
          <t>A 35417-2024</t>
        </is>
      </c>
      <c r="B1860" s="1" t="n">
        <v>45531.40851851852</v>
      </c>
      <c r="C1860" s="1" t="n">
        <v>46048</v>
      </c>
      <c r="D1860" t="inlineStr">
        <is>
          <t>VÄSTERNORRLANDS LÄN</t>
        </is>
      </c>
      <c r="E1860" t="inlineStr">
        <is>
          <t>SOLLEFTEÅ</t>
        </is>
      </c>
      <c r="F1860" t="inlineStr">
        <is>
          <t>SCA</t>
        </is>
      </c>
      <c r="G1860" t="n">
        <v>4.1</v>
      </c>
      <c r="H1860" t="n">
        <v>0</v>
      </c>
      <c r="I1860" t="n">
        <v>0</v>
      </c>
      <c r="J1860" t="n">
        <v>0</v>
      </c>
      <c r="K1860" t="n">
        <v>0</v>
      </c>
      <c r="L1860" t="n">
        <v>0</v>
      </c>
      <c r="M1860" t="n">
        <v>0</v>
      </c>
      <c r="N1860" t="n">
        <v>0</v>
      </c>
      <c r="O1860" t="n">
        <v>0</v>
      </c>
      <c r="P1860" t="n">
        <v>0</v>
      </c>
      <c r="Q1860" t="n">
        <v>0</v>
      </c>
      <c r="R1860" s="2" t="inlineStr"/>
    </row>
    <row r="1861" ht="15" customHeight="1">
      <c r="A1861" t="inlineStr">
        <is>
          <t>A 48999-2023</t>
        </is>
      </c>
      <c r="B1861" s="1" t="n">
        <v>45209.66075231481</v>
      </c>
      <c r="C1861" s="1" t="n">
        <v>46048</v>
      </c>
      <c r="D1861" t="inlineStr">
        <is>
          <t>VÄSTERNORRLANDS LÄN</t>
        </is>
      </c>
      <c r="E1861" t="inlineStr">
        <is>
          <t>SOLLEFTEÅ</t>
        </is>
      </c>
      <c r="G1861" t="n">
        <v>2.7</v>
      </c>
      <c r="H1861" t="n">
        <v>0</v>
      </c>
      <c r="I1861" t="n">
        <v>0</v>
      </c>
      <c r="J1861" t="n">
        <v>0</v>
      </c>
      <c r="K1861" t="n">
        <v>0</v>
      </c>
      <c r="L1861" t="n">
        <v>0</v>
      </c>
      <c r="M1861" t="n">
        <v>0</v>
      </c>
      <c r="N1861" t="n">
        <v>0</v>
      </c>
      <c r="O1861" t="n">
        <v>0</v>
      </c>
      <c r="P1861" t="n">
        <v>0</v>
      </c>
      <c r="Q1861" t="n">
        <v>0</v>
      </c>
      <c r="R1861" s="2" t="inlineStr"/>
    </row>
    <row r="1862" ht="15" customHeight="1">
      <c r="A1862" t="inlineStr">
        <is>
          <t>A 38492-2025</t>
        </is>
      </c>
      <c r="B1862" s="1" t="n">
        <v>45884.36496527777</v>
      </c>
      <c r="C1862" s="1" t="n">
        <v>46048</v>
      </c>
      <c r="D1862" t="inlineStr">
        <is>
          <t>VÄSTERNORRLANDS LÄN</t>
        </is>
      </c>
      <c r="E1862" t="inlineStr">
        <is>
          <t>SOLLEFTEÅ</t>
        </is>
      </c>
      <c r="F1862" t="inlineStr">
        <is>
          <t>SCA</t>
        </is>
      </c>
      <c r="G1862" t="n">
        <v>2.9</v>
      </c>
      <c r="H1862" t="n">
        <v>0</v>
      </c>
      <c r="I1862" t="n">
        <v>0</v>
      </c>
      <c r="J1862" t="n">
        <v>0</v>
      </c>
      <c r="K1862" t="n">
        <v>0</v>
      </c>
      <c r="L1862" t="n">
        <v>0</v>
      </c>
      <c r="M1862" t="n">
        <v>0</v>
      </c>
      <c r="N1862" t="n">
        <v>0</v>
      </c>
      <c r="O1862" t="n">
        <v>0</v>
      </c>
      <c r="P1862" t="n">
        <v>0</v>
      </c>
      <c r="Q1862" t="n">
        <v>0</v>
      </c>
      <c r="R1862" s="2" t="inlineStr"/>
    </row>
    <row r="1863" ht="15" customHeight="1">
      <c r="A1863" t="inlineStr">
        <is>
          <t>A 14448-2022</t>
        </is>
      </c>
      <c r="B1863" s="1" t="n">
        <v>44652</v>
      </c>
      <c r="C1863" s="1" t="n">
        <v>46048</v>
      </c>
      <c r="D1863" t="inlineStr">
        <is>
          <t>VÄSTERNORRLANDS LÄN</t>
        </is>
      </c>
      <c r="E1863" t="inlineStr">
        <is>
          <t>SOLLEFTEÅ</t>
        </is>
      </c>
      <c r="F1863" t="inlineStr">
        <is>
          <t>SCA</t>
        </is>
      </c>
      <c r="G1863" t="n">
        <v>4</v>
      </c>
      <c r="H1863" t="n">
        <v>0</v>
      </c>
      <c r="I1863" t="n">
        <v>0</v>
      </c>
      <c r="J1863" t="n">
        <v>0</v>
      </c>
      <c r="K1863" t="n">
        <v>0</v>
      </c>
      <c r="L1863" t="n">
        <v>0</v>
      </c>
      <c r="M1863" t="n">
        <v>0</v>
      </c>
      <c r="N1863" t="n">
        <v>0</v>
      </c>
      <c r="O1863" t="n">
        <v>0</v>
      </c>
      <c r="P1863" t="n">
        <v>0</v>
      </c>
      <c r="Q1863" t="n">
        <v>0</v>
      </c>
      <c r="R1863" s="2" t="inlineStr"/>
    </row>
    <row r="1864" ht="15" customHeight="1">
      <c r="A1864" t="inlineStr">
        <is>
          <t>A 26500-2024</t>
        </is>
      </c>
      <c r="B1864" s="1" t="n">
        <v>45469.57174768519</v>
      </c>
      <c r="C1864" s="1" t="n">
        <v>46048</v>
      </c>
      <c r="D1864" t="inlineStr">
        <is>
          <t>VÄSTERNORRLANDS LÄN</t>
        </is>
      </c>
      <c r="E1864" t="inlineStr">
        <is>
          <t>SOLLEFTEÅ</t>
        </is>
      </c>
      <c r="F1864" t="inlineStr">
        <is>
          <t>Holmen skog AB</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38432-2022</t>
        </is>
      </c>
      <c r="B1865" s="1" t="n">
        <v>44812</v>
      </c>
      <c r="C1865" s="1" t="n">
        <v>46048</v>
      </c>
      <c r="D1865" t="inlineStr">
        <is>
          <t>VÄSTERNORRLANDS LÄN</t>
        </is>
      </c>
      <c r="E1865" t="inlineStr">
        <is>
          <t>SOLLEFTEÅ</t>
        </is>
      </c>
      <c r="G1865" t="n">
        <v>2.9</v>
      </c>
      <c r="H1865" t="n">
        <v>0</v>
      </c>
      <c r="I1865" t="n">
        <v>0</v>
      </c>
      <c r="J1865" t="n">
        <v>0</v>
      </c>
      <c r="K1865" t="n">
        <v>0</v>
      </c>
      <c r="L1865" t="n">
        <v>0</v>
      </c>
      <c r="M1865" t="n">
        <v>0</v>
      </c>
      <c r="N1865" t="n">
        <v>0</v>
      </c>
      <c r="O1865" t="n">
        <v>0</v>
      </c>
      <c r="P1865" t="n">
        <v>0</v>
      </c>
      <c r="Q1865" t="n">
        <v>0</v>
      </c>
      <c r="R1865" s="2" t="inlineStr"/>
    </row>
    <row r="1866" ht="15" customHeight="1">
      <c r="A1866" t="inlineStr">
        <is>
          <t>A 14169-2024</t>
        </is>
      </c>
      <c r="B1866" s="1" t="n">
        <v>45392.95831018518</v>
      </c>
      <c r="C1866" s="1" t="n">
        <v>46048</v>
      </c>
      <c r="D1866" t="inlineStr">
        <is>
          <t>VÄSTERNORRLANDS LÄN</t>
        </is>
      </c>
      <c r="E1866" t="inlineStr">
        <is>
          <t>SOLLEFTEÅ</t>
        </is>
      </c>
      <c r="F1866" t="inlineStr">
        <is>
          <t>SCA</t>
        </is>
      </c>
      <c r="G1866" t="n">
        <v>5.2</v>
      </c>
      <c r="H1866" t="n">
        <v>0</v>
      </c>
      <c r="I1866" t="n">
        <v>0</v>
      </c>
      <c r="J1866" t="n">
        <v>0</v>
      </c>
      <c r="K1866" t="n">
        <v>0</v>
      </c>
      <c r="L1866" t="n">
        <v>0</v>
      </c>
      <c r="M1866" t="n">
        <v>0</v>
      </c>
      <c r="N1866" t="n">
        <v>0</v>
      </c>
      <c r="O1866" t="n">
        <v>0</v>
      </c>
      <c r="P1866" t="n">
        <v>0</v>
      </c>
      <c r="Q1866" t="n">
        <v>0</v>
      </c>
      <c r="R1866" s="2" t="inlineStr"/>
    </row>
    <row r="1867" ht="15" customHeight="1">
      <c r="A1867" t="inlineStr">
        <is>
          <t>A 48767-2023</t>
        </is>
      </c>
      <c r="B1867" s="1" t="n">
        <v>45208</v>
      </c>
      <c r="C1867" s="1" t="n">
        <v>46048</v>
      </c>
      <c r="D1867" t="inlineStr">
        <is>
          <t>VÄSTERNORRLANDS LÄN</t>
        </is>
      </c>
      <c r="E1867" t="inlineStr">
        <is>
          <t>SOLLEFTEÅ</t>
        </is>
      </c>
      <c r="F1867" t="inlineStr">
        <is>
          <t>SCA</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5035-2024</t>
        </is>
      </c>
      <c r="B1868" s="1" t="n">
        <v>45329.86893518519</v>
      </c>
      <c r="C1868" s="1" t="n">
        <v>46048</v>
      </c>
      <c r="D1868" t="inlineStr">
        <is>
          <t>VÄSTERNORRLANDS LÄN</t>
        </is>
      </c>
      <c r="E1868" t="inlineStr">
        <is>
          <t>SOLLEFTEÅ</t>
        </is>
      </c>
      <c r="F1868" t="inlineStr">
        <is>
          <t>Övriga Aktiebolag</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5040-2024</t>
        </is>
      </c>
      <c r="B1869" s="1" t="n">
        <v>45329.88962962963</v>
      </c>
      <c r="C1869" s="1" t="n">
        <v>46048</v>
      </c>
      <c r="D1869" t="inlineStr">
        <is>
          <t>VÄSTERNORRLANDS LÄN</t>
        </is>
      </c>
      <c r="E1869" t="inlineStr">
        <is>
          <t>SOLLEFTEÅ</t>
        </is>
      </c>
      <c r="F1869" t="inlineStr">
        <is>
          <t>Övriga Aktiebolag</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3537-2025</t>
        </is>
      </c>
      <c r="B1870" s="1" t="n">
        <v>45680</v>
      </c>
      <c r="C1870" s="1" t="n">
        <v>46048</v>
      </c>
      <c r="D1870" t="inlineStr">
        <is>
          <t>VÄSTERNORRLANDS LÄN</t>
        </is>
      </c>
      <c r="E1870" t="inlineStr">
        <is>
          <t>SOLLEFTEÅ</t>
        </is>
      </c>
      <c r="F1870" t="inlineStr">
        <is>
          <t>SCA</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16237-2024</t>
        </is>
      </c>
      <c r="B1871" s="1" t="n">
        <v>45407.05681712963</v>
      </c>
      <c r="C1871" s="1" t="n">
        <v>46048</v>
      </c>
      <c r="D1871" t="inlineStr">
        <is>
          <t>VÄSTERNORRLANDS LÄN</t>
        </is>
      </c>
      <c r="E1871" t="inlineStr">
        <is>
          <t>SOLLEFTEÅ</t>
        </is>
      </c>
      <c r="F1871" t="inlineStr">
        <is>
          <t>SCA</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44662-2024</t>
        </is>
      </c>
      <c r="B1872" s="1" t="n">
        <v>45574.53189814815</v>
      </c>
      <c r="C1872" s="1" t="n">
        <v>46048</v>
      </c>
      <c r="D1872" t="inlineStr">
        <is>
          <t>VÄSTERNORRLANDS LÄN</t>
        </is>
      </c>
      <c r="E1872" t="inlineStr">
        <is>
          <t>SOLLEFTEÅ</t>
        </is>
      </c>
      <c r="F1872" t="inlineStr">
        <is>
          <t>SCA</t>
        </is>
      </c>
      <c r="G1872" t="n">
        <v>6.7</v>
      </c>
      <c r="H1872" t="n">
        <v>0</v>
      </c>
      <c r="I1872" t="n">
        <v>0</v>
      </c>
      <c r="J1872" t="n">
        <v>0</v>
      </c>
      <c r="K1872" t="n">
        <v>0</v>
      </c>
      <c r="L1872" t="n">
        <v>0</v>
      </c>
      <c r="M1872" t="n">
        <v>0</v>
      </c>
      <c r="N1872" t="n">
        <v>0</v>
      </c>
      <c r="O1872" t="n">
        <v>0</v>
      </c>
      <c r="P1872" t="n">
        <v>0</v>
      </c>
      <c r="Q1872" t="n">
        <v>0</v>
      </c>
      <c r="R1872" s="2" t="inlineStr"/>
    </row>
    <row r="1873" ht="15" customHeight="1">
      <c r="A1873" t="inlineStr">
        <is>
          <t>A 38768-2024</t>
        </is>
      </c>
      <c r="B1873" s="1" t="n">
        <v>45547.44892361111</v>
      </c>
      <c r="C1873" s="1" t="n">
        <v>46048</v>
      </c>
      <c r="D1873" t="inlineStr">
        <is>
          <t>VÄSTERNORRLANDS LÄN</t>
        </is>
      </c>
      <c r="E1873" t="inlineStr">
        <is>
          <t>SOLLEFTEÅ</t>
        </is>
      </c>
      <c r="F1873" t="inlineStr">
        <is>
          <t>SCA</t>
        </is>
      </c>
      <c r="G1873" t="n">
        <v>3.2</v>
      </c>
      <c r="H1873" t="n">
        <v>0</v>
      </c>
      <c r="I1873" t="n">
        <v>0</v>
      </c>
      <c r="J1873" t="n">
        <v>0</v>
      </c>
      <c r="K1873" t="n">
        <v>0</v>
      </c>
      <c r="L1873" t="n">
        <v>0</v>
      </c>
      <c r="M1873" t="n">
        <v>0</v>
      </c>
      <c r="N1873" t="n">
        <v>0</v>
      </c>
      <c r="O1873" t="n">
        <v>0</v>
      </c>
      <c r="P1873" t="n">
        <v>0</v>
      </c>
      <c r="Q1873" t="n">
        <v>0</v>
      </c>
      <c r="R1873" s="2" t="inlineStr"/>
    </row>
    <row r="1874" ht="15" customHeight="1">
      <c r="A1874" t="inlineStr">
        <is>
          <t>A 27943-2022</t>
        </is>
      </c>
      <c r="B1874" s="1" t="n">
        <v>44743</v>
      </c>
      <c r="C1874" s="1" t="n">
        <v>46048</v>
      </c>
      <c r="D1874" t="inlineStr">
        <is>
          <t>VÄSTERNORRLANDS LÄN</t>
        </is>
      </c>
      <c r="E1874" t="inlineStr">
        <is>
          <t>SOLLEFTEÅ</t>
        </is>
      </c>
      <c r="F1874" t="inlineStr">
        <is>
          <t>SCA</t>
        </is>
      </c>
      <c r="G1874" t="n">
        <v>10</v>
      </c>
      <c r="H1874" t="n">
        <v>0</v>
      </c>
      <c r="I1874" t="n">
        <v>0</v>
      </c>
      <c r="J1874" t="n">
        <v>0</v>
      </c>
      <c r="K1874" t="n">
        <v>0</v>
      </c>
      <c r="L1874" t="n">
        <v>0</v>
      </c>
      <c r="M1874" t="n">
        <v>0</v>
      </c>
      <c r="N1874" t="n">
        <v>0</v>
      </c>
      <c r="O1874" t="n">
        <v>0</v>
      </c>
      <c r="P1874" t="n">
        <v>0</v>
      </c>
      <c r="Q1874" t="n">
        <v>0</v>
      </c>
      <c r="R1874" s="2" t="inlineStr"/>
    </row>
    <row r="1875" ht="15" customHeight="1">
      <c r="A1875" t="inlineStr">
        <is>
          <t>A 52034-2022</t>
        </is>
      </c>
      <c r="B1875" s="1" t="n">
        <v>44872</v>
      </c>
      <c r="C1875" s="1" t="n">
        <v>46048</v>
      </c>
      <c r="D1875" t="inlineStr">
        <is>
          <t>VÄSTERNORRLANDS LÄN</t>
        </is>
      </c>
      <c r="E1875" t="inlineStr">
        <is>
          <t>SOLLEFTEÅ</t>
        </is>
      </c>
      <c r="F1875" t="inlineStr">
        <is>
          <t>SCA</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35673-2024</t>
        </is>
      </c>
      <c r="B1876" s="1" t="n">
        <v>45532.39119212963</v>
      </c>
      <c r="C1876" s="1" t="n">
        <v>46048</v>
      </c>
      <c r="D1876" t="inlineStr">
        <is>
          <t>VÄSTERNORRLANDS LÄN</t>
        </is>
      </c>
      <c r="E1876" t="inlineStr">
        <is>
          <t>SOLLEFTEÅ</t>
        </is>
      </c>
      <c r="F1876" t="inlineStr">
        <is>
          <t>SCA</t>
        </is>
      </c>
      <c r="G1876" t="n">
        <v>2.8</v>
      </c>
      <c r="H1876" t="n">
        <v>0</v>
      </c>
      <c r="I1876" t="n">
        <v>0</v>
      </c>
      <c r="J1876" t="n">
        <v>0</v>
      </c>
      <c r="K1876" t="n">
        <v>0</v>
      </c>
      <c r="L1876" t="n">
        <v>0</v>
      </c>
      <c r="M1876" t="n">
        <v>0</v>
      </c>
      <c r="N1876" t="n">
        <v>0</v>
      </c>
      <c r="O1876" t="n">
        <v>0</v>
      </c>
      <c r="P1876" t="n">
        <v>0</v>
      </c>
      <c r="Q1876" t="n">
        <v>0</v>
      </c>
      <c r="R1876" s="2" t="inlineStr"/>
    </row>
    <row r="1877" ht="15" customHeight="1">
      <c r="A1877" t="inlineStr">
        <is>
          <t>A 13942-2024</t>
        </is>
      </c>
      <c r="B1877" s="1" t="n">
        <v>45391.9540162037</v>
      </c>
      <c r="C1877" s="1" t="n">
        <v>46048</v>
      </c>
      <c r="D1877" t="inlineStr">
        <is>
          <t>VÄSTERNORRLANDS LÄN</t>
        </is>
      </c>
      <c r="E1877" t="inlineStr">
        <is>
          <t>SOLLEFTEÅ</t>
        </is>
      </c>
      <c r="F1877" t="inlineStr">
        <is>
          <t>SCA</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27972-2021</t>
        </is>
      </c>
      <c r="B1878" s="1" t="n">
        <v>44354.93622685185</v>
      </c>
      <c r="C1878" s="1" t="n">
        <v>46048</v>
      </c>
      <c r="D1878" t="inlineStr">
        <is>
          <t>VÄSTERNORRLANDS LÄN</t>
        </is>
      </c>
      <c r="E1878" t="inlineStr">
        <is>
          <t>SOLLEFTEÅ</t>
        </is>
      </c>
      <c r="F1878" t="inlineStr">
        <is>
          <t>SCA</t>
        </is>
      </c>
      <c r="G1878" t="n">
        <v>3.8</v>
      </c>
      <c r="H1878" t="n">
        <v>0</v>
      </c>
      <c r="I1878" t="n">
        <v>0</v>
      </c>
      <c r="J1878" t="n">
        <v>0</v>
      </c>
      <c r="K1878" t="n">
        <v>0</v>
      </c>
      <c r="L1878" t="n">
        <v>0</v>
      </c>
      <c r="M1878" t="n">
        <v>0</v>
      </c>
      <c r="N1878" t="n">
        <v>0</v>
      </c>
      <c r="O1878" t="n">
        <v>0</v>
      </c>
      <c r="P1878" t="n">
        <v>0</v>
      </c>
      <c r="Q1878" t="n">
        <v>0</v>
      </c>
      <c r="R1878" s="2" t="inlineStr"/>
    </row>
    <row r="1879" ht="15" customHeight="1">
      <c r="A1879" t="inlineStr">
        <is>
          <t>A 9121-2024</t>
        </is>
      </c>
      <c r="B1879" s="1" t="n">
        <v>45358.04099537037</v>
      </c>
      <c r="C1879" s="1" t="n">
        <v>46048</v>
      </c>
      <c r="D1879" t="inlineStr">
        <is>
          <t>VÄSTERNORRLANDS LÄN</t>
        </is>
      </c>
      <c r="E1879" t="inlineStr">
        <is>
          <t>SOLLEFTEÅ</t>
        </is>
      </c>
      <c r="F1879" t="inlineStr">
        <is>
          <t>SCA</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57892-2024</t>
        </is>
      </c>
      <c r="B1880" s="1" t="n">
        <v>45631.46910879629</v>
      </c>
      <c r="C1880" s="1" t="n">
        <v>46048</v>
      </c>
      <c r="D1880" t="inlineStr">
        <is>
          <t>VÄSTERNORRLANDS LÄN</t>
        </is>
      </c>
      <c r="E1880" t="inlineStr">
        <is>
          <t>SOLLEFTEÅ</t>
        </is>
      </c>
      <c r="F1880" t="inlineStr">
        <is>
          <t>SCA</t>
        </is>
      </c>
      <c r="G1880" t="n">
        <v>13.8</v>
      </c>
      <c r="H1880" t="n">
        <v>0</v>
      </c>
      <c r="I1880" t="n">
        <v>0</v>
      </c>
      <c r="J1880" t="n">
        <v>0</v>
      </c>
      <c r="K1880" t="n">
        <v>0</v>
      </c>
      <c r="L1880" t="n">
        <v>0</v>
      </c>
      <c r="M1880" t="n">
        <v>0</v>
      </c>
      <c r="N1880" t="n">
        <v>0</v>
      </c>
      <c r="O1880" t="n">
        <v>0</v>
      </c>
      <c r="P1880" t="n">
        <v>0</v>
      </c>
      <c r="Q1880" t="n">
        <v>0</v>
      </c>
      <c r="R1880" s="2" t="inlineStr"/>
    </row>
    <row r="1881" ht="15" customHeight="1">
      <c r="A1881" t="inlineStr">
        <is>
          <t>A 39433-2025</t>
        </is>
      </c>
      <c r="B1881" s="1" t="n">
        <v>45889.67799768518</v>
      </c>
      <c r="C1881" s="1" t="n">
        <v>46048</v>
      </c>
      <c r="D1881" t="inlineStr">
        <is>
          <t>VÄSTERNORRLANDS LÄN</t>
        </is>
      </c>
      <c r="E1881" t="inlineStr">
        <is>
          <t>SOLLEFTEÅ</t>
        </is>
      </c>
      <c r="F1881" t="inlineStr">
        <is>
          <t>SCA</t>
        </is>
      </c>
      <c r="G1881" t="n">
        <v>2.7</v>
      </c>
      <c r="H1881" t="n">
        <v>0</v>
      </c>
      <c r="I1881" t="n">
        <v>0</v>
      </c>
      <c r="J1881" t="n">
        <v>0</v>
      </c>
      <c r="K1881" t="n">
        <v>0</v>
      </c>
      <c r="L1881" t="n">
        <v>0</v>
      </c>
      <c r="M1881" t="n">
        <v>0</v>
      </c>
      <c r="N1881" t="n">
        <v>0</v>
      </c>
      <c r="O1881" t="n">
        <v>0</v>
      </c>
      <c r="P1881" t="n">
        <v>0</v>
      </c>
      <c r="Q1881" t="n">
        <v>0</v>
      </c>
      <c r="R1881" s="2" t="inlineStr"/>
    </row>
    <row r="1882" ht="15" customHeight="1">
      <c r="A1882" t="inlineStr">
        <is>
          <t>A 39195-2025</t>
        </is>
      </c>
      <c r="B1882" s="1" t="n">
        <v>45888</v>
      </c>
      <c r="C1882" s="1" t="n">
        <v>46048</v>
      </c>
      <c r="D1882" t="inlineStr">
        <is>
          <t>VÄSTERNORRLANDS LÄN</t>
        </is>
      </c>
      <c r="E1882" t="inlineStr">
        <is>
          <t>SOLLEFTEÅ</t>
        </is>
      </c>
      <c r="G1882" t="n">
        <v>4.7</v>
      </c>
      <c r="H1882" t="n">
        <v>0</v>
      </c>
      <c r="I1882" t="n">
        <v>0</v>
      </c>
      <c r="J1882" t="n">
        <v>0</v>
      </c>
      <c r="K1882" t="n">
        <v>0</v>
      </c>
      <c r="L1882" t="n">
        <v>0</v>
      </c>
      <c r="M1882" t="n">
        <v>0</v>
      </c>
      <c r="N1882" t="n">
        <v>0</v>
      </c>
      <c r="O1882" t="n">
        <v>0</v>
      </c>
      <c r="P1882" t="n">
        <v>0</v>
      </c>
      <c r="Q1882" t="n">
        <v>0</v>
      </c>
      <c r="R1882" s="2" t="inlineStr"/>
    </row>
    <row r="1883" ht="15" customHeight="1">
      <c r="A1883" t="inlineStr">
        <is>
          <t>A 25243-2025</t>
        </is>
      </c>
      <c r="B1883" s="1" t="n">
        <v>45800.49063657408</v>
      </c>
      <c r="C1883" s="1" t="n">
        <v>46048</v>
      </c>
      <c r="D1883" t="inlineStr">
        <is>
          <t>VÄSTERNORRLANDS LÄN</t>
        </is>
      </c>
      <c r="E1883" t="inlineStr">
        <is>
          <t>SOLLEFTEÅ</t>
        </is>
      </c>
      <c r="G1883" t="n">
        <v>3.2</v>
      </c>
      <c r="H1883" t="n">
        <v>0</v>
      </c>
      <c r="I1883" t="n">
        <v>0</v>
      </c>
      <c r="J1883" t="n">
        <v>0</v>
      </c>
      <c r="K1883" t="n">
        <v>0</v>
      </c>
      <c r="L1883" t="n">
        <v>0</v>
      </c>
      <c r="M1883" t="n">
        <v>0</v>
      </c>
      <c r="N1883" t="n">
        <v>0</v>
      </c>
      <c r="O1883" t="n">
        <v>0</v>
      </c>
      <c r="P1883" t="n">
        <v>0</v>
      </c>
      <c r="Q1883" t="n">
        <v>0</v>
      </c>
      <c r="R1883" s="2" t="inlineStr"/>
    </row>
    <row r="1884" ht="15" customHeight="1">
      <c r="A1884" t="inlineStr">
        <is>
          <t>A 62406-2022</t>
        </is>
      </c>
      <c r="B1884" s="1" t="n">
        <v>44923</v>
      </c>
      <c r="C1884" s="1" t="n">
        <v>46048</v>
      </c>
      <c r="D1884" t="inlineStr">
        <is>
          <t>VÄSTERNORRLANDS LÄN</t>
        </is>
      </c>
      <c r="E1884" t="inlineStr">
        <is>
          <t>SOLLEFTEÅ</t>
        </is>
      </c>
      <c r="F1884" t="inlineStr">
        <is>
          <t>SCA</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60757-2021</t>
        </is>
      </c>
      <c r="B1885" s="1" t="n">
        <v>44496.92101851852</v>
      </c>
      <c r="C1885" s="1" t="n">
        <v>46048</v>
      </c>
      <c r="D1885" t="inlineStr">
        <is>
          <t>VÄSTERNORRLANDS LÄN</t>
        </is>
      </c>
      <c r="E1885" t="inlineStr">
        <is>
          <t>SOLLEFTEÅ</t>
        </is>
      </c>
      <c r="G1885" t="n">
        <v>4.4</v>
      </c>
      <c r="H1885" t="n">
        <v>0</v>
      </c>
      <c r="I1885" t="n">
        <v>0</v>
      </c>
      <c r="J1885" t="n">
        <v>0</v>
      </c>
      <c r="K1885" t="n">
        <v>0</v>
      </c>
      <c r="L1885" t="n">
        <v>0</v>
      </c>
      <c r="M1885" t="n">
        <v>0</v>
      </c>
      <c r="N1885" t="n">
        <v>0</v>
      </c>
      <c r="O1885" t="n">
        <v>0</v>
      </c>
      <c r="P1885" t="n">
        <v>0</v>
      </c>
      <c r="Q1885" t="n">
        <v>0</v>
      </c>
      <c r="R1885" s="2" t="inlineStr"/>
    </row>
    <row r="1886" ht="15" customHeight="1">
      <c r="A1886" t="inlineStr">
        <is>
          <t>A 14982-2024</t>
        </is>
      </c>
      <c r="B1886" s="1" t="n">
        <v>45398.94193287037</v>
      </c>
      <c r="C1886" s="1" t="n">
        <v>46048</v>
      </c>
      <c r="D1886" t="inlineStr">
        <is>
          <t>VÄSTERNORRLANDS LÄN</t>
        </is>
      </c>
      <c r="E1886" t="inlineStr">
        <is>
          <t>SOLLEFTEÅ</t>
        </is>
      </c>
      <c r="F1886" t="inlineStr">
        <is>
          <t>SCA</t>
        </is>
      </c>
      <c r="G1886" t="n">
        <v>5.4</v>
      </c>
      <c r="H1886" t="n">
        <v>0</v>
      </c>
      <c r="I1886" t="n">
        <v>0</v>
      </c>
      <c r="J1886" t="n">
        <v>0</v>
      </c>
      <c r="K1886" t="n">
        <v>0</v>
      </c>
      <c r="L1886" t="n">
        <v>0</v>
      </c>
      <c r="M1886" t="n">
        <v>0</v>
      </c>
      <c r="N1886" t="n">
        <v>0</v>
      </c>
      <c r="O1886" t="n">
        <v>0</v>
      </c>
      <c r="P1886" t="n">
        <v>0</v>
      </c>
      <c r="Q1886" t="n">
        <v>0</v>
      </c>
      <c r="R1886" s="2" t="inlineStr"/>
    </row>
    <row r="1887" ht="15" customHeight="1">
      <c r="A1887" t="inlineStr">
        <is>
          <t>A 40819-2024</t>
        </is>
      </c>
      <c r="B1887" s="1" t="n">
        <v>45558.55271990741</v>
      </c>
      <c r="C1887" s="1" t="n">
        <v>46048</v>
      </c>
      <c r="D1887" t="inlineStr">
        <is>
          <t>VÄSTERNORRLANDS LÄN</t>
        </is>
      </c>
      <c r="E1887" t="inlineStr">
        <is>
          <t>SOLLEFTEÅ</t>
        </is>
      </c>
      <c r="F1887" t="inlineStr">
        <is>
          <t>SCA</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25242-2025</t>
        </is>
      </c>
      <c r="B1888" s="1" t="n">
        <v>45800.49059027778</v>
      </c>
      <c r="C1888" s="1" t="n">
        <v>46048</v>
      </c>
      <c r="D1888" t="inlineStr">
        <is>
          <t>VÄSTERNORRLANDS LÄN</t>
        </is>
      </c>
      <c r="E1888" t="inlineStr">
        <is>
          <t>SOLLEFTEÅ</t>
        </is>
      </c>
      <c r="G1888" t="n">
        <v>4</v>
      </c>
      <c r="H1888" t="n">
        <v>0</v>
      </c>
      <c r="I1888" t="n">
        <v>0</v>
      </c>
      <c r="J1888" t="n">
        <v>0</v>
      </c>
      <c r="K1888" t="n">
        <v>0</v>
      </c>
      <c r="L1888" t="n">
        <v>0</v>
      </c>
      <c r="M1888" t="n">
        <v>0</v>
      </c>
      <c r="N1888" t="n">
        <v>0</v>
      </c>
      <c r="O1888" t="n">
        <v>0</v>
      </c>
      <c r="P1888" t="n">
        <v>0</v>
      </c>
      <c r="Q1888" t="n">
        <v>0</v>
      </c>
      <c r="R1888" s="2" t="inlineStr"/>
    </row>
    <row r="1889" ht="15" customHeight="1">
      <c r="A1889" t="inlineStr">
        <is>
          <t>A 64115-2023</t>
        </is>
      </c>
      <c r="B1889" s="1" t="n">
        <v>45279</v>
      </c>
      <c r="C1889" s="1" t="n">
        <v>46048</v>
      </c>
      <c r="D1889" t="inlineStr">
        <is>
          <t>VÄSTERNORRLANDS LÄN</t>
        </is>
      </c>
      <c r="E1889" t="inlineStr">
        <is>
          <t>SOLLEFTEÅ</t>
        </is>
      </c>
      <c r="G1889" t="n">
        <v>16.1</v>
      </c>
      <c r="H1889" t="n">
        <v>0</v>
      </c>
      <c r="I1889" t="n">
        <v>0</v>
      </c>
      <c r="J1889" t="n">
        <v>0</v>
      </c>
      <c r="K1889" t="n">
        <v>0</v>
      </c>
      <c r="L1889" t="n">
        <v>0</v>
      </c>
      <c r="M1889" t="n">
        <v>0</v>
      </c>
      <c r="N1889" t="n">
        <v>0</v>
      </c>
      <c r="O1889" t="n">
        <v>0</v>
      </c>
      <c r="P1889" t="n">
        <v>0</v>
      </c>
      <c r="Q1889" t="n">
        <v>0</v>
      </c>
      <c r="R1889" s="2" t="inlineStr"/>
    </row>
    <row r="1890" ht="15" customHeight="1">
      <c r="A1890" t="inlineStr">
        <is>
          <t>A 36144-2024</t>
        </is>
      </c>
      <c r="B1890" s="1" t="n">
        <v>45534.36309027778</v>
      </c>
      <c r="C1890" s="1" t="n">
        <v>46048</v>
      </c>
      <c r="D1890" t="inlineStr">
        <is>
          <t>VÄSTERNORRLANDS LÄN</t>
        </is>
      </c>
      <c r="E1890" t="inlineStr">
        <is>
          <t>SOLLEFTEÅ</t>
        </is>
      </c>
      <c r="G1890" t="n">
        <v>0.4</v>
      </c>
      <c r="H1890" t="n">
        <v>0</v>
      </c>
      <c r="I1890" t="n">
        <v>0</v>
      </c>
      <c r="J1890" t="n">
        <v>0</v>
      </c>
      <c r="K1890" t="n">
        <v>0</v>
      </c>
      <c r="L1890" t="n">
        <v>0</v>
      </c>
      <c r="M1890" t="n">
        <v>0</v>
      </c>
      <c r="N1890" t="n">
        <v>0</v>
      </c>
      <c r="O1890" t="n">
        <v>0</v>
      </c>
      <c r="P1890" t="n">
        <v>0</v>
      </c>
      <c r="Q1890" t="n">
        <v>0</v>
      </c>
      <c r="R1890" s="2" t="inlineStr"/>
    </row>
    <row r="1891" ht="15" customHeight="1">
      <c r="A1891" t="inlineStr">
        <is>
          <t>A 23288-2023</t>
        </is>
      </c>
      <c r="B1891" s="1" t="n">
        <v>45075</v>
      </c>
      <c r="C1891" s="1" t="n">
        <v>46048</v>
      </c>
      <c r="D1891" t="inlineStr">
        <is>
          <t>VÄSTERNORRLANDS LÄN</t>
        </is>
      </c>
      <c r="E1891" t="inlineStr">
        <is>
          <t>SOLLEFTEÅ</t>
        </is>
      </c>
      <c r="G1891" t="n">
        <v>0.4</v>
      </c>
      <c r="H1891" t="n">
        <v>0</v>
      </c>
      <c r="I1891" t="n">
        <v>0</v>
      </c>
      <c r="J1891" t="n">
        <v>0</v>
      </c>
      <c r="K1891" t="n">
        <v>0</v>
      </c>
      <c r="L1891" t="n">
        <v>0</v>
      </c>
      <c r="M1891" t="n">
        <v>0</v>
      </c>
      <c r="N1891" t="n">
        <v>0</v>
      </c>
      <c r="O1891" t="n">
        <v>0</v>
      </c>
      <c r="P1891" t="n">
        <v>0</v>
      </c>
      <c r="Q1891" t="n">
        <v>0</v>
      </c>
      <c r="R1891" s="2" t="inlineStr"/>
    </row>
    <row r="1892" ht="15" customHeight="1">
      <c r="A1892" t="inlineStr">
        <is>
          <t>A 23289-2023</t>
        </is>
      </c>
      <c r="B1892" s="1" t="n">
        <v>45075</v>
      </c>
      <c r="C1892" s="1" t="n">
        <v>46048</v>
      </c>
      <c r="D1892" t="inlineStr">
        <is>
          <t>VÄSTERNORRLANDS LÄN</t>
        </is>
      </c>
      <c r="E1892" t="inlineStr">
        <is>
          <t>SOLLEFTEÅ</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64133-2023</t>
        </is>
      </c>
      <c r="B1893" s="1" t="n">
        <v>45279</v>
      </c>
      <c r="C1893" s="1" t="n">
        <v>46048</v>
      </c>
      <c r="D1893" t="inlineStr">
        <is>
          <t>VÄSTERNORRLANDS LÄN</t>
        </is>
      </c>
      <c r="E1893" t="inlineStr">
        <is>
          <t>SOLLEFTEÅ</t>
        </is>
      </c>
      <c r="G1893" t="n">
        <v>3.7</v>
      </c>
      <c r="H1893" t="n">
        <v>0</v>
      </c>
      <c r="I1893" t="n">
        <v>0</v>
      </c>
      <c r="J1893" t="n">
        <v>0</v>
      </c>
      <c r="K1893" t="n">
        <v>0</v>
      </c>
      <c r="L1893" t="n">
        <v>0</v>
      </c>
      <c r="M1893" t="n">
        <v>0</v>
      </c>
      <c r="N1893" t="n">
        <v>0</v>
      </c>
      <c r="O1893" t="n">
        <v>0</v>
      </c>
      <c r="P1893" t="n">
        <v>0</v>
      </c>
      <c r="Q1893" t="n">
        <v>0</v>
      </c>
      <c r="R1893" s="2" t="inlineStr"/>
    </row>
    <row r="1894" ht="15" customHeight="1">
      <c r="A1894" t="inlineStr">
        <is>
          <t>A 59563-2024</t>
        </is>
      </c>
      <c r="B1894" s="1" t="n">
        <v>45638.63733796297</v>
      </c>
      <c r="C1894" s="1" t="n">
        <v>46048</v>
      </c>
      <c r="D1894" t="inlineStr">
        <is>
          <t>VÄSTERNORRLANDS LÄN</t>
        </is>
      </c>
      <c r="E1894" t="inlineStr">
        <is>
          <t>SOLLEFTEÅ</t>
        </is>
      </c>
      <c r="F1894" t="inlineStr">
        <is>
          <t>SCA</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39287-2025</t>
        </is>
      </c>
      <c r="B1895" s="1" t="n">
        <v>45889.40693287037</v>
      </c>
      <c r="C1895" s="1" t="n">
        <v>46048</v>
      </c>
      <c r="D1895" t="inlineStr">
        <is>
          <t>VÄSTERNORRLANDS LÄN</t>
        </is>
      </c>
      <c r="E1895" t="inlineStr">
        <is>
          <t>SOLLEFTEÅ</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39319-2025</t>
        </is>
      </c>
      <c r="B1896" s="1" t="n">
        <v>45889.46916666667</v>
      </c>
      <c r="C1896" s="1" t="n">
        <v>46048</v>
      </c>
      <c r="D1896" t="inlineStr">
        <is>
          <t>VÄSTERNORRLANDS LÄN</t>
        </is>
      </c>
      <c r="E1896" t="inlineStr">
        <is>
          <t>SOLLEFTEÅ</t>
        </is>
      </c>
      <c r="F1896" t="inlineStr">
        <is>
          <t>SCA</t>
        </is>
      </c>
      <c r="G1896" t="n">
        <v>3.9</v>
      </c>
      <c r="H1896" t="n">
        <v>0</v>
      </c>
      <c r="I1896" t="n">
        <v>0</v>
      </c>
      <c r="J1896" t="n">
        <v>0</v>
      </c>
      <c r="K1896" t="n">
        <v>0</v>
      </c>
      <c r="L1896" t="n">
        <v>0</v>
      </c>
      <c r="M1896" t="n">
        <v>0</v>
      </c>
      <c r="N1896" t="n">
        <v>0</v>
      </c>
      <c r="O1896" t="n">
        <v>0</v>
      </c>
      <c r="P1896" t="n">
        <v>0</v>
      </c>
      <c r="Q1896" t="n">
        <v>0</v>
      </c>
      <c r="R1896" s="2" t="inlineStr"/>
    </row>
    <row r="1897" ht="15" customHeight="1">
      <c r="A1897" t="inlineStr">
        <is>
          <t>A 47965-2024</t>
        </is>
      </c>
      <c r="B1897" s="1" t="n">
        <v>45589.38638888889</v>
      </c>
      <c r="C1897" s="1" t="n">
        <v>46048</v>
      </c>
      <c r="D1897" t="inlineStr">
        <is>
          <t>VÄSTERNORRLANDS LÄN</t>
        </is>
      </c>
      <c r="E1897" t="inlineStr">
        <is>
          <t>SOLLEFTEÅ</t>
        </is>
      </c>
      <c r="G1897" t="n">
        <v>3.4</v>
      </c>
      <c r="H1897" t="n">
        <v>0</v>
      </c>
      <c r="I1897" t="n">
        <v>0</v>
      </c>
      <c r="J1897" t="n">
        <v>0</v>
      </c>
      <c r="K1897" t="n">
        <v>0</v>
      </c>
      <c r="L1897" t="n">
        <v>0</v>
      </c>
      <c r="M1897" t="n">
        <v>0</v>
      </c>
      <c r="N1897" t="n">
        <v>0</v>
      </c>
      <c r="O1897" t="n">
        <v>0</v>
      </c>
      <c r="P1897" t="n">
        <v>0</v>
      </c>
      <c r="Q1897" t="n">
        <v>0</v>
      </c>
      <c r="R1897" s="2" t="inlineStr"/>
    </row>
    <row r="1898" ht="15" customHeight="1">
      <c r="A1898" t="inlineStr">
        <is>
          <t>A 17096-2025</t>
        </is>
      </c>
      <c r="B1898" s="1" t="n">
        <v>45755.65662037037</v>
      </c>
      <c r="C1898" s="1" t="n">
        <v>46048</v>
      </c>
      <c r="D1898" t="inlineStr">
        <is>
          <t>VÄSTERNORRLANDS LÄN</t>
        </is>
      </c>
      <c r="E1898" t="inlineStr">
        <is>
          <t>SOLLEFTEÅ</t>
        </is>
      </c>
      <c r="F1898" t="inlineStr">
        <is>
          <t>SCA</t>
        </is>
      </c>
      <c r="G1898" t="n">
        <v>3.9</v>
      </c>
      <c r="H1898" t="n">
        <v>0</v>
      </c>
      <c r="I1898" t="n">
        <v>0</v>
      </c>
      <c r="J1898" t="n">
        <v>0</v>
      </c>
      <c r="K1898" t="n">
        <v>0</v>
      </c>
      <c r="L1898" t="n">
        <v>0</v>
      </c>
      <c r="M1898" t="n">
        <v>0</v>
      </c>
      <c r="N1898" t="n">
        <v>0</v>
      </c>
      <c r="O1898" t="n">
        <v>0</v>
      </c>
      <c r="P1898" t="n">
        <v>0</v>
      </c>
      <c r="Q1898" t="n">
        <v>0</v>
      </c>
      <c r="R1898" s="2" t="inlineStr"/>
    </row>
    <row r="1899" ht="15" customHeight="1">
      <c r="A1899" t="inlineStr">
        <is>
          <t>A 39270-2025</t>
        </is>
      </c>
      <c r="B1899" s="1" t="n">
        <v>45889.38609953703</v>
      </c>
      <c r="C1899" s="1" t="n">
        <v>46048</v>
      </c>
      <c r="D1899" t="inlineStr">
        <is>
          <t>VÄSTERNORRLANDS LÄN</t>
        </is>
      </c>
      <c r="E1899" t="inlineStr">
        <is>
          <t>SOLLEFTEÅ</t>
        </is>
      </c>
      <c r="F1899" t="inlineStr">
        <is>
          <t>SCA</t>
        </is>
      </c>
      <c r="G1899" t="n">
        <v>2.6</v>
      </c>
      <c r="H1899" t="n">
        <v>0</v>
      </c>
      <c r="I1899" t="n">
        <v>0</v>
      </c>
      <c r="J1899" t="n">
        <v>0</v>
      </c>
      <c r="K1899" t="n">
        <v>0</v>
      </c>
      <c r="L1899" t="n">
        <v>0</v>
      </c>
      <c r="M1899" t="n">
        <v>0</v>
      </c>
      <c r="N1899" t="n">
        <v>0</v>
      </c>
      <c r="O1899" t="n">
        <v>0</v>
      </c>
      <c r="P1899" t="n">
        <v>0</v>
      </c>
      <c r="Q1899" t="n">
        <v>0</v>
      </c>
      <c r="R1899" s="2" t="inlineStr"/>
    </row>
    <row r="1900" ht="15" customHeight="1">
      <c r="A1900" t="inlineStr">
        <is>
          <t>A 39286-2025</t>
        </is>
      </c>
      <c r="B1900" s="1" t="n">
        <v>45889.40690972222</v>
      </c>
      <c r="C1900" s="1" t="n">
        <v>46048</v>
      </c>
      <c r="D1900" t="inlineStr">
        <is>
          <t>VÄSTERNORRLANDS LÄN</t>
        </is>
      </c>
      <c r="E1900" t="inlineStr">
        <is>
          <t>SOLLEFTEÅ</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21031-2024</t>
        </is>
      </c>
      <c r="B1901" s="1" t="n">
        <v>45439</v>
      </c>
      <c r="C1901" s="1" t="n">
        <v>46048</v>
      </c>
      <c r="D1901" t="inlineStr">
        <is>
          <t>VÄSTERNORRLANDS LÄN</t>
        </is>
      </c>
      <c r="E1901" t="inlineStr">
        <is>
          <t>SOLLEFTEÅ</t>
        </is>
      </c>
      <c r="F1901" t="inlineStr">
        <is>
          <t>Holmen skog AB</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2883-2025</t>
        </is>
      </c>
      <c r="B1902" s="1" t="n">
        <v>45677</v>
      </c>
      <c r="C1902" s="1" t="n">
        <v>46048</v>
      </c>
      <c r="D1902" t="inlineStr">
        <is>
          <t>VÄSTERNORRLANDS LÄN</t>
        </is>
      </c>
      <c r="E1902" t="inlineStr">
        <is>
          <t>SOLLEFTEÅ</t>
        </is>
      </c>
      <c r="F1902" t="inlineStr">
        <is>
          <t>SCA</t>
        </is>
      </c>
      <c r="G1902" t="n">
        <v>4.8</v>
      </c>
      <c r="H1902" t="n">
        <v>0</v>
      </c>
      <c r="I1902" t="n">
        <v>0</v>
      </c>
      <c r="J1902" t="n">
        <v>0</v>
      </c>
      <c r="K1902" t="n">
        <v>0</v>
      </c>
      <c r="L1902" t="n">
        <v>0</v>
      </c>
      <c r="M1902" t="n">
        <v>0</v>
      </c>
      <c r="N1902" t="n">
        <v>0</v>
      </c>
      <c r="O1902" t="n">
        <v>0</v>
      </c>
      <c r="P1902" t="n">
        <v>0</v>
      </c>
      <c r="Q1902" t="n">
        <v>0</v>
      </c>
      <c r="R1902" s="2" t="inlineStr"/>
    </row>
    <row r="1903" ht="15" customHeight="1">
      <c r="A1903" t="inlineStr">
        <is>
          <t>A 30329-2024</t>
        </is>
      </c>
      <c r="B1903" s="1" t="n">
        <v>45490.95304398148</v>
      </c>
      <c r="C1903" s="1" t="n">
        <v>46048</v>
      </c>
      <c r="D1903" t="inlineStr">
        <is>
          <t>VÄSTERNORRLANDS LÄN</t>
        </is>
      </c>
      <c r="E1903" t="inlineStr">
        <is>
          <t>SOLLEFTEÅ</t>
        </is>
      </c>
      <c r="F1903" t="inlineStr">
        <is>
          <t>SCA</t>
        </is>
      </c>
      <c r="G1903" t="n">
        <v>6.1</v>
      </c>
      <c r="H1903" t="n">
        <v>0</v>
      </c>
      <c r="I1903" t="n">
        <v>0</v>
      </c>
      <c r="J1903" t="n">
        <v>0</v>
      </c>
      <c r="K1903" t="n">
        <v>0</v>
      </c>
      <c r="L1903" t="n">
        <v>0</v>
      </c>
      <c r="M1903" t="n">
        <v>0</v>
      </c>
      <c r="N1903" t="n">
        <v>0</v>
      </c>
      <c r="O1903" t="n">
        <v>0</v>
      </c>
      <c r="P1903" t="n">
        <v>0</v>
      </c>
      <c r="Q1903" t="n">
        <v>0</v>
      </c>
      <c r="R1903" s="2" t="inlineStr"/>
    </row>
    <row r="1904" ht="15" customHeight="1">
      <c r="A1904" t="inlineStr">
        <is>
          <t>A 42963-2024</t>
        </is>
      </c>
      <c r="B1904" s="1" t="n">
        <v>45567.37240740741</v>
      </c>
      <c r="C1904" s="1" t="n">
        <v>46048</v>
      </c>
      <c r="D1904" t="inlineStr">
        <is>
          <t>VÄSTERNORRLANDS LÄN</t>
        </is>
      </c>
      <c r="E1904" t="inlineStr">
        <is>
          <t>SOLLEFTEÅ</t>
        </is>
      </c>
      <c r="F1904" t="inlineStr">
        <is>
          <t>SCA</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42979-2024</t>
        </is>
      </c>
      <c r="B1905" s="1" t="n">
        <v>45567.37438657408</v>
      </c>
      <c r="C1905" s="1" t="n">
        <v>46048</v>
      </c>
      <c r="D1905" t="inlineStr">
        <is>
          <t>VÄSTERNORRLANDS LÄN</t>
        </is>
      </c>
      <c r="E1905" t="inlineStr">
        <is>
          <t>SOLLEFTEÅ</t>
        </is>
      </c>
      <c r="F1905" t="inlineStr">
        <is>
          <t>SCA</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39656-2025</t>
        </is>
      </c>
      <c r="B1906" s="1" t="n">
        <v>45890</v>
      </c>
      <c r="C1906" s="1" t="n">
        <v>46048</v>
      </c>
      <c r="D1906" t="inlineStr">
        <is>
          <t>VÄSTERNORRLANDS LÄN</t>
        </is>
      </c>
      <c r="E1906" t="inlineStr">
        <is>
          <t>SOLLEFTEÅ</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39515-2025</t>
        </is>
      </c>
      <c r="B1907" s="1" t="n">
        <v>45890.42078703704</v>
      </c>
      <c r="C1907" s="1" t="n">
        <v>46048</v>
      </c>
      <c r="D1907" t="inlineStr">
        <is>
          <t>VÄSTERNORRLANDS LÄN</t>
        </is>
      </c>
      <c r="E1907" t="inlineStr">
        <is>
          <t>SOLLEFTEÅ</t>
        </is>
      </c>
      <c r="G1907" t="n">
        <v>5.3</v>
      </c>
      <c r="H1907" t="n">
        <v>0</v>
      </c>
      <c r="I1907" t="n">
        <v>0</v>
      </c>
      <c r="J1907" t="n">
        <v>0</v>
      </c>
      <c r="K1907" t="n">
        <v>0</v>
      </c>
      <c r="L1907" t="n">
        <v>0</v>
      </c>
      <c r="M1907" t="n">
        <v>0</v>
      </c>
      <c r="N1907" t="n">
        <v>0</v>
      </c>
      <c r="O1907" t="n">
        <v>0</v>
      </c>
      <c r="P1907" t="n">
        <v>0</v>
      </c>
      <c r="Q1907" t="n">
        <v>0</v>
      </c>
      <c r="R1907" s="2" t="inlineStr"/>
    </row>
    <row r="1908" ht="15" customHeight="1">
      <c r="A1908" t="inlineStr">
        <is>
          <t>A 31559-2024</t>
        </is>
      </c>
      <c r="B1908" s="1" t="n">
        <v>45505.96555555556</v>
      </c>
      <c r="C1908" s="1" t="n">
        <v>46048</v>
      </c>
      <c r="D1908" t="inlineStr">
        <is>
          <t>VÄSTERNORRLANDS LÄN</t>
        </is>
      </c>
      <c r="E1908" t="inlineStr">
        <is>
          <t>SOLLEFTEÅ</t>
        </is>
      </c>
      <c r="F1908" t="inlineStr">
        <is>
          <t>SCA</t>
        </is>
      </c>
      <c r="G1908" t="n">
        <v>2.6</v>
      </c>
      <c r="H1908" t="n">
        <v>0</v>
      </c>
      <c r="I1908" t="n">
        <v>0</v>
      </c>
      <c r="J1908" t="n">
        <v>0</v>
      </c>
      <c r="K1908" t="n">
        <v>0</v>
      </c>
      <c r="L1908" t="n">
        <v>0</v>
      </c>
      <c r="M1908" t="n">
        <v>0</v>
      </c>
      <c r="N1908" t="n">
        <v>0</v>
      </c>
      <c r="O1908" t="n">
        <v>0</v>
      </c>
      <c r="P1908" t="n">
        <v>0</v>
      </c>
      <c r="Q1908" t="n">
        <v>0</v>
      </c>
      <c r="R1908" s="2" t="inlineStr"/>
    </row>
    <row r="1909" ht="15" customHeight="1">
      <c r="A1909" t="inlineStr">
        <is>
          <t>A 45958-2023</t>
        </is>
      </c>
      <c r="B1909" s="1" t="n">
        <v>45195</v>
      </c>
      <c r="C1909" s="1" t="n">
        <v>46048</v>
      </c>
      <c r="D1909" t="inlineStr">
        <is>
          <t>VÄSTERNORRLANDS LÄN</t>
        </is>
      </c>
      <c r="E1909" t="inlineStr">
        <is>
          <t>SOLLEFTEÅ</t>
        </is>
      </c>
      <c r="F1909" t="inlineStr">
        <is>
          <t>SCA</t>
        </is>
      </c>
      <c r="G1909" t="n">
        <v>9.9</v>
      </c>
      <c r="H1909" t="n">
        <v>0</v>
      </c>
      <c r="I1909" t="n">
        <v>0</v>
      </c>
      <c r="J1909" t="n">
        <v>0</v>
      </c>
      <c r="K1909" t="n">
        <v>0</v>
      </c>
      <c r="L1909" t="n">
        <v>0</v>
      </c>
      <c r="M1909" t="n">
        <v>0</v>
      </c>
      <c r="N1909" t="n">
        <v>0</v>
      </c>
      <c r="O1909" t="n">
        <v>0</v>
      </c>
      <c r="P1909" t="n">
        <v>0</v>
      </c>
      <c r="Q1909" t="n">
        <v>0</v>
      </c>
      <c r="R1909" s="2" t="inlineStr"/>
    </row>
    <row r="1910" ht="15" customHeight="1">
      <c r="A1910" t="inlineStr">
        <is>
          <t>A 39568-2025</t>
        </is>
      </c>
      <c r="B1910" s="1" t="n">
        <v>45890.48993055556</v>
      </c>
      <c r="C1910" s="1" t="n">
        <v>46048</v>
      </c>
      <c r="D1910" t="inlineStr">
        <is>
          <t>VÄSTERNORRLANDS LÄN</t>
        </is>
      </c>
      <c r="E1910" t="inlineStr">
        <is>
          <t>SOLLEFTEÅ</t>
        </is>
      </c>
      <c r="F1910" t="inlineStr">
        <is>
          <t>SCA</t>
        </is>
      </c>
      <c r="G1910" t="n">
        <v>14.4</v>
      </c>
      <c r="H1910" t="n">
        <v>0</v>
      </c>
      <c r="I1910" t="n">
        <v>0</v>
      </c>
      <c r="J1910" t="n">
        <v>0</v>
      </c>
      <c r="K1910" t="n">
        <v>0</v>
      </c>
      <c r="L1910" t="n">
        <v>0</v>
      </c>
      <c r="M1910" t="n">
        <v>0</v>
      </c>
      <c r="N1910" t="n">
        <v>0</v>
      </c>
      <c r="O1910" t="n">
        <v>0</v>
      </c>
      <c r="P1910" t="n">
        <v>0</v>
      </c>
      <c r="Q1910" t="n">
        <v>0</v>
      </c>
      <c r="R1910" s="2" t="inlineStr"/>
    </row>
    <row r="1911" ht="15" customHeight="1">
      <c r="A1911" t="inlineStr">
        <is>
          <t>A 39935-2025</t>
        </is>
      </c>
      <c r="B1911" s="1" t="n">
        <v>45891</v>
      </c>
      <c r="C1911" s="1" t="n">
        <v>46048</v>
      </c>
      <c r="D1911" t="inlineStr">
        <is>
          <t>VÄSTERNORRLANDS LÄN</t>
        </is>
      </c>
      <c r="E1911" t="inlineStr">
        <is>
          <t>SOLLEFTEÅ</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39475-2025</t>
        </is>
      </c>
      <c r="B1912" s="1" t="n">
        <v>45890.34447916667</v>
      </c>
      <c r="C1912" s="1" t="n">
        <v>46048</v>
      </c>
      <c r="D1912" t="inlineStr">
        <is>
          <t>VÄSTERNORRLANDS LÄN</t>
        </is>
      </c>
      <c r="E1912" t="inlineStr">
        <is>
          <t>SOLLEFTEÅ</t>
        </is>
      </c>
      <c r="F1912" t="inlineStr">
        <is>
          <t>SCA</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9831-2024</t>
        </is>
      </c>
      <c r="B1913" s="1" t="n">
        <v>45363.04699074074</v>
      </c>
      <c r="C1913" s="1" t="n">
        <v>46048</v>
      </c>
      <c r="D1913" t="inlineStr">
        <is>
          <t>VÄSTERNORRLANDS LÄN</t>
        </is>
      </c>
      <c r="E1913" t="inlineStr">
        <is>
          <t>SOLLEFTEÅ</t>
        </is>
      </c>
      <c r="F1913" t="inlineStr">
        <is>
          <t>SCA</t>
        </is>
      </c>
      <c r="G1913" t="n">
        <v>3.5</v>
      </c>
      <c r="H1913" t="n">
        <v>0</v>
      </c>
      <c r="I1913" t="n">
        <v>0</v>
      </c>
      <c r="J1913" t="n">
        <v>0</v>
      </c>
      <c r="K1913" t="n">
        <v>0</v>
      </c>
      <c r="L1913" t="n">
        <v>0</v>
      </c>
      <c r="M1913" t="n">
        <v>0</v>
      </c>
      <c r="N1913" t="n">
        <v>0</v>
      </c>
      <c r="O1913" t="n">
        <v>0</v>
      </c>
      <c r="P1913" t="n">
        <v>0</v>
      </c>
      <c r="Q1913" t="n">
        <v>0</v>
      </c>
      <c r="R1913" s="2" t="inlineStr"/>
    </row>
    <row r="1914" ht="15" customHeight="1">
      <c r="A1914" t="inlineStr">
        <is>
          <t>A 583-2025</t>
        </is>
      </c>
      <c r="B1914" s="1" t="n">
        <v>45664</v>
      </c>
      <c r="C1914" s="1" t="n">
        <v>46048</v>
      </c>
      <c r="D1914" t="inlineStr">
        <is>
          <t>VÄSTERNORRLANDS LÄN</t>
        </is>
      </c>
      <c r="E1914" t="inlineStr">
        <is>
          <t>SOLLEFTEÅ</t>
        </is>
      </c>
      <c r="G1914" t="n">
        <v>47.2</v>
      </c>
      <c r="H1914" t="n">
        <v>0</v>
      </c>
      <c r="I1914" t="n">
        <v>0</v>
      </c>
      <c r="J1914" t="n">
        <v>0</v>
      </c>
      <c r="K1914" t="n">
        <v>0</v>
      </c>
      <c r="L1914" t="n">
        <v>0</v>
      </c>
      <c r="M1914" t="n">
        <v>0</v>
      </c>
      <c r="N1914" t="n">
        <v>0</v>
      </c>
      <c r="O1914" t="n">
        <v>0</v>
      </c>
      <c r="P1914" t="n">
        <v>0</v>
      </c>
      <c r="Q1914" t="n">
        <v>0</v>
      </c>
      <c r="R1914" s="2" t="inlineStr"/>
    </row>
    <row r="1915" ht="15" customHeight="1">
      <c r="A1915" t="inlineStr">
        <is>
          <t>A 39602-2025</t>
        </is>
      </c>
      <c r="B1915" s="1" t="n">
        <v>45890.55296296296</v>
      </c>
      <c r="C1915" s="1" t="n">
        <v>46048</v>
      </c>
      <c r="D1915" t="inlineStr">
        <is>
          <t>VÄSTERNORRLANDS LÄN</t>
        </is>
      </c>
      <c r="E1915" t="inlineStr">
        <is>
          <t>SOLLEFTEÅ</t>
        </is>
      </c>
      <c r="F1915" t="inlineStr">
        <is>
          <t>SCA</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39619-2025</t>
        </is>
      </c>
      <c r="B1916" s="1" t="n">
        <v>45890.57347222222</v>
      </c>
      <c r="C1916" s="1" t="n">
        <v>46048</v>
      </c>
      <c r="D1916" t="inlineStr">
        <is>
          <t>VÄSTERNORRLANDS LÄN</t>
        </is>
      </c>
      <c r="E1916" t="inlineStr">
        <is>
          <t>SOLLEFTEÅ</t>
        </is>
      </c>
      <c r="F1916" t="inlineStr">
        <is>
          <t>SCA</t>
        </is>
      </c>
      <c r="G1916" t="n">
        <v>6.6</v>
      </c>
      <c r="H1916" t="n">
        <v>0</v>
      </c>
      <c r="I1916" t="n">
        <v>0</v>
      </c>
      <c r="J1916" t="n">
        <v>0</v>
      </c>
      <c r="K1916" t="n">
        <v>0</v>
      </c>
      <c r="L1916" t="n">
        <v>0</v>
      </c>
      <c r="M1916" t="n">
        <v>0</v>
      </c>
      <c r="N1916" t="n">
        <v>0</v>
      </c>
      <c r="O1916" t="n">
        <v>0</v>
      </c>
      <c r="P1916" t="n">
        <v>0</v>
      </c>
      <c r="Q1916" t="n">
        <v>0</v>
      </c>
      <c r="R1916" s="2" t="inlineStr"/>
    </row>
    <row r="1917" ht="15" customHeight="1">
      <c r="A1917" t="inlineStr">
        <is>
          <t>A 35513-2024</t>
        </is>
      </c>
      <c r="B1917" s="1" t="n">
        <v>45531</v>
      </c>
      <c r="C1917" s="1" t="n">
        <v>46048</v>
      </c>
      <c r="D1917" t="inlineStr">
        <is>
          <t>VÄSTERNORRLANDS LÄN</t>
        </is>
      </c>
      <c r="E1917" t="inlineStr">
        <is>
          <t>SOLLEFTEÅ</t>
        </is>
      </c>
      <c r="G1917" t="n">
        <v>5.7</v>
      </c>
      <c r="H1917" t="n">
        <v>0</v>
      </c>
      <c r="I1917" t="n">
        <v>0</v>
      </c>
      <c r="J1917" t="n">
        <v>0</v>
      </c>
      <c r="K1917" t="n">
        <v>0</v>
      </c>
      <c r="L1917" t="n">
        <v>0</v>
      </c>
      <c r="M1917" t="n">
        <v>0</v>
      </c>
      <c r="N1917" t="n">
        <v>0</v>
      </c>
      <c r="O1917" t="n">
        <v>0</v>
      </c>
      <c r="P1917" t="n">
        <v>0</v>
      </c>
      <c r="Q1917" t="n">
        <v>0</v>
      </c>
      <c r="R1917" s="2" t="inlineStr"/>
    </row>
    <row r="1918" ht="15" customHeight="1">
      <c r="A1918" t="inlineStr">
        <is>
          <t>A 12764-2022</t>
        </is>
      </c>
      <c r="B1918" s="1" t="n">
        <v>44641.93445601852</v>
      </c>
      <c r="C1918" s="1" t="n">
        <v>46048</v>
      </c>
      <c r="D1918" t="inlineStr">
        <is>
          <t>VÄSTERNORRLANDS LÄN</t>
        </is>
      </c>
      <c r="E1918" t="inlineStr">
        <is>
          <t>SOLLEFTEÅ</t>
        </is>
      </c>
      <c r="F1918" t="inlineStr">
        <is>
          <t>SCA</t>
        </is>
      </c>
      <c r="G1918" t="n">
        <v>13.7</v>
      </c>
      <c r="H1918" t="n">
        <v>0</v>
      </c>
      <c r="I1918" t="n">
        <v>0</v>
      </c>
      <c r="J1918" t="n">
        <v>0</v>
      </c>
      <c r="K1918" t="n">
        <v>0</v>
      </c>
      <c r="L1918" t="n">
        <v>0</v>
      </c>
      <c r="M1918" t="n">
        <v>0</v>
      </c>
      <c r="N1918" t="n">
        <v>0</v>
      </c>
      <c r="O1918" t="n">
        <v>0</v>
      </c>
      <c r="P1918" t="n">
        <v>0</v>
      </c>
      <c r="Q1918" t="n">
        <v>0</v>
      </c>
      <c r="R1918" s="2" t="inlineStr"/>
    </row>
    <row r="1919" ht="15" customHeight="1">
      <c r="A1919" t="inlineStr">
        <is>
          <t>A 8195-2025</t>
        </is>
      </c>
      <c r="B1919" s="1" t="n">
        <v>45708</v>
      </c>
      <c r="C1919" s="1" t="n">
        <v>46048</v>
      </c>
      <c r="D1919" t="inlineStr">
        <is>
          <t>VÄSTERNORRLANDS LÄN</t>
        </is>
      </c>
      <c r="E1919" t="inlineStr">
        <is>
          <t>SOLLEFTEÅ</t>
        </is>
      </c>
      <c r="F1919" t="inlineStr">
        <is>
          <t>SCA</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39664-2025</t>
        </is>
      </c>
      <c r="B1920" s="1" t="n">
        <v>45890.63596064815</v>
      </c>
      <c r="C1920" s="1" t="n">
        <v>46048</v>
      </c>
      <c r="D1920" t="inlineStr">
        <is>
          <t>VÄSTERNORRLANDS LÄN</t>
        </is>
      </c>
      <c r="E1920" t="inlineStr">
        <is>
          <t>SOLLEFTEÅ</t>
        </is>
      </c>
      <c r="F1920" t="inlineStr">
        <is>
          <t>SCA</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39671-2025</t>
        </is>
      </c>
      <c r="B1921" s="1" t="n">
        <v>45890</v>
      </c>
      <c r="C1921" s="1" t="n">
        <v>46048</v>
      </c>
      <c r="D1921" t="inlineStr">
        <is>
          <t>VÄSTERNORRLANDS LÄN</t>
        </is>
      </c>
      <c r="E1921" t="inlineStr">
        <is>
          <t>SOLLEFTEÅ</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6271-2023</t>
        </is>
      </c>
      <c r="B1922" s="1" t="n">
        <v>44959</v>
      </c>
      <c r="C1922" s="1" t="n">
        <v>46048</v>
      </c>
      <c r="D1922" t="inlineStr">
        <is>
          <t>VÄSTERNORRLANDS LÄN</t>
        </is>
      </c>
      <c r="E1922" t="inlineStr">
        <is>
          <t>SOLLEFTEÅ</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38275-2024</t>
        </is>
      </c>
      <c r="B1923" s="1" t="n">
        <v>45545</v>
      </c>
      <c r="C1923" s="1" t="n">
        <v>46048</v>
      </c>
      <c r="D1923" t="inlineStr">
        <is>
          <t>VÄSTERNORRLANDS LÄN</t>
        </is>
      </c>
      <c r="E1923" t="inlineStr">
        <is>
          <t>SOLLEFTEÅ</t>
        </is>
      </c>
      <c r="G1923" t="n">
        <v>3.8</v>
      </c>
      <c r="H1923" t="n">
        <v>0</v>
      </c>
      <c r="I1923" t="n">
        <v>0</v>
      </c>
      <c r="J1923" t="n">
        <v>0</v>
      </c>
      <c r="K1923" t="n">
        <v>0</v>
      </c>
      <c r="L1923" t="n">
        <v>0</v>
      </c>
      <c r="M1923" t="n">
        <v>0</v>
      </c>
      <c r="N1923" t="n">
        <v>0</v>
      </c>
      <c r="O1923" t="n">
        <v>0</v>
      </c>
      <c r="P1923" t="n">
        <v>0</v>
      </c>
      <c r="Q1923" t="n">
        <v>0</v>
      </c>
      <c r="R1923" s="2" t="inlineStr"/>
    </row>
    <row r="1924" ht="15" customHeight="1">
      <c r="A1924" t="inlineStr">
        <is>
          <t>A 48265-2024</t>
        </is>
      </c>
      <c r="B1924" s="1" t="n">
        <v>45590.42751157407</v>
      </c>
      <c r="C1924" s="1" t="n">
        <v>46048</v>
      </c>
      <c r="D1924" t="inlineStr">
        <is>
          <t>VÄSTERNORRLANDS LÄN</t>
        </is>
      </c>
      <c r="E1924" t="inlineStr">
        <is>
          <t>SOLLEFTEÅ</t>
        </is>
      </c>
      <c r="F1924" t="inlineStr">
        <is>
          <t>SCA</t>
        </is>
      </c>
      <c r="G1924" t="n">
        <v>3.6</v>
      </c>
      <c r="H1924" t="n">
        <v>0</v>
      </c>
      <c r="I1924" t="n">
        <v>0</v>
      </c>
      <c r="J1924" t="n">
        <v>0</v>
      </c>
      <c r="K1924" t="n">
        <v>0</v>
      </c>
      <c r="L1924" t="n">
        <v>0</v>
      </c>
      <c r="M1924" t="n">
        <v>0</v>
      </c>
      <c r="N1924" t="n">
        <v>0</v>
      </c>
      <c r="O1924" t="n">
        <v>0</v>
      </c>
      <c r="P1924" t="n">
        <v>0</v>
      </c>
      <c r="Q1924" t="n">
        <v>0</v>
      </c>
      <c r="R1924" s="2" t="inlineStr"/>
    </row>
    <row r="1925" ht="15" customHeight="1">
      <c r="A1925" t="inlineStr">
        <is>
          <t>A 50226-2023</t>
        </is>
      </c>
      <c r="B1925" s="1" t="n">
        <v>45215.94767361111</v>
      </c>
      <c r="C1925" s="1" t="n">
        <v>46048</v>
      </c>
      <c r="D1925" t="inlineStr">
        <is>
          <t>VÄSTERNORRLANDS LÄN</t>
        </is>
      </c>
      <c r="E1925" t="inlineStr">
        <is>
          <t>SOLLEFTEÅ</t>
        </is>
      </c>
      <c r="F1925" t="inlineStr">
        <is>
          <t>SCA</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40174-2025</t>
        </is>
      </c>
      <c r="B1926" s="1" t="n">
        <v>45894.63587962963</v>
      </c>
      <c r="C1926" s="1" t="n">
        <v>46048</v>
      </c>
      <c r="D1926" t="inlineStr">
        <is>
          <t>VÄSTERNORRLANDS LÄN</t>
        </is>
      </c>
      <c r="E1926" t="inlineStr">
        <is>
          <t>SOLLEFTEÅ</t>
        </is>
      </c>
      <c r="F1926" t="inlineStr">
        <is>
          <t>SCA</t>
        </is>
      </c>
      <c r="G1926" t="n">
        <v>9.6</v>
      </c>
      <c r="H1926" t="n">
        <v>0</v>
      </c>
      <c r="I1926" t="n">
        <v>0</v>
      </c>
      <c r="J1926" t="n">
        <v>0</v>
      </c>
      <c r="K1926" t="n">
        <v>0</v>
      </c>
      <c r="L1926" t="n">
        <v>0</v>
      </c>
      <c r="M1926" t="n">
        <v>0</v>
      </c>
      <c r="N1926" t="n">
        <v>0</v>
      </c>
      <c r="O1926" t="n">
        <v>0</v>
      </c>
      <c r="P1926" t="n">
        <v>0</v>
      </c>
      <c r="Q1926" t="n">
        <v>0</v>
      </c>
      <c r="R1926" s="2" t="inlineStr"/>
    </row>
    <row r="1927" ht="15" customHeight="1">
      <c r="A1927" t="inlineStr">
        <is>
          <t>A 40450-2025</t>
        </is>
      </c>
      <c r="B1927" s="1" t="n">
        <v>45895.63584490741</v>
      </c>
      <c r="C1927" s="1" t="n">
        <v>46048</v>
      </c>
      <c r="D1927" t="inlineStr">
        <is>
          <t>VÄSTERNORRLANDS LÄN</t>
        </is>
      </c>
      <c r="E1927" t="inlineStr">
        <is>
          <t>SOLLEFTEÅ</t>
        </is>
      </c>
      <c r="F1927" t="inlineStr">
        <is>
          <t>SCA</t>
        </is>
      </c>
      <c r="G1927" t="n">
        <v>3.8</v>
      </c>
      <c r="H1927" t="n">
        <v>0</v>
      </c>
      <c r="I1927" t="n">
        <v>0</v>
      </c>
      <c r="J1927" t="n">
        <v>0</v>
      </c>
      <c r="K1927" t="n">
        <v>0</v>
      </c>
      <c r="L1927" t="n">
        <v>0</v>
      </c>
      <c r="M1927" t="n">
        <v>0</v>
      </c>
      <c r="N1927" t="n">
        <v>0</v>
      </c>
      <c r="O1927" t="n">
        <v>0</v>
      </c>
      <c r="P1927" t="n">
        <v>0</v>
      </c>
      <c r="Q1927" t="n">
        <v>0</v>
      </c>
      <c r="R1927" s="2" t="inlineStr"/>
    </row>
    <row r="1928" ht="15" customHeight="1">
      <c r="A1928" t="inlineStr">
        <is>
          <t>A 40048-2025</t>
        </is>
      </c>
      <c r="B1928" s="1" t="n">
        <v>45894.40679398148</v>
      </c>
      <c r="C1928" s="1" t="n">
        <v>46048</v>
      </c>
      <c r="D1928" t="inlineStr">
        <is>
          <t>VÄSTERNORRLANDS LÄN</t>
        </is>
      </c>
      <c r="E1928" t="inlineStr">
        <is>
          <t>SOLLEFTEÅ</t>
        </is>
      </c>
      <c r="F1928" t="inlineStr">
        <is>
          <t>SCA</t>
        </is>
      </c>
      <c r="G1928" t="n">
        <v>3.9</v>
      </c>
      <c r="H1928" t="n">
        <v>0</v>
      </c>
      <c r="I1928" t="n">
        <v>0</v>
      </c>
      <c r="J1928" t="n">
        <v>0</v>
      </c>
      <c r="K1928" t="n">
        <v>0</v>
      </c>
      <c r="L1928" t="n">
        <v>0</v>
      </c>
      <c r="M1928" t="n">
        <v>0</v>
      </c>
      <c r="N1928" t="n">
        <v>0</v>
      </c>
      <c r="O1928" t="n">
        <v>0</v>
      </c>
      <c r="P1928" t="n">
        <v>0</v>
      </c>
      <c r="Q1928" t="n">
        <v>0</v>
      </c>
      <c r="R1928" s="2" t="inlineStr"/>
    </row>
    <row r="1929" ht="15" customHeight="1">
      <c r="A1929" t="inlineStr">
        <is>
          <t>A 40050-2025</t>
        </is>
      </c>
      <c r="B1929" s="1" t="n">
        <v>45894.40717592592</v>
      </c>
      <c r="C1929" s="1" t="n">
        <v>46048</v>
      </c>
      <c r="D1929" t="inlineStr">
        <is>
          <t>VÄSTERNORRLANDS LÄN</t>
        </is>
      </c>
      <c r="E1929" t="inlineStr">
        <is>
          <t>SOLLEFTEÅ</t>
        </is>
      </c>
      <c r="F1929" t="inlineStr">
        <is>
          <t>SCA</t>
        </is>
      </c>
      <c r="G1929" t="n">
        <v>4.4</v>
      </c>
      <c r="H1929" t="n">
        <v>0</v>
      </c>
      <c r="I1929" t="n">
        <v>0</v>
      </c>
      <c r="J1929" t="n">
        <v>0</v>
      </c>
      <c r="K1929" t="n">
        <v>0</v>
      </c>
      <c r="L1929" t="n">
        <v>0</v>
      </c>
      <c r="M1929" t="n">
        <v>0</v>
      </c>
      <c r="N1929" t="n">
        <v>0</v>
      </c>
      <c r="O1929" t="n">
        <v>0</v>
      </c>
      <c r="P1929" t="n">
        <v>0</v>
      </c>
      <c r="Q1929" t="n">
        <v>0</v>
      </c>
      <c r="R1929" s="2" t="inlineStr"/>
    </row>
    <row r="1930" ht="15" customHeight="1">
      <c r="A1930" t="inlineStr">
        <is>
          <t>A 40008-2025</t>
        </is>
      </c>
      <c r="B1930" s="1" t="n">
        <v>45894.34431712963</v>
      </c>
      <c r="C1930" s="1" t="n">
        <v>46048</v>
      </c>
      <c r="D1930" t="inlineStr">
        <is>
          <t>VÄSTERNORRLANDS LÄN</t>
        </is>
      </c>
      <c r="E1930" t="inlineStr">
        <is>
          <t>SOLLEFTEÅ</t>
        </is>
      </c>
      <c r="F1930" t="inlineStr">
        <is>
          <t>SCA</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40302-2025</t>
        </is>
      </c>
      <c r="B1931" s="1" t="n">
        <v>45895.40662037037</v>
      </c>
      <c r="C1931" s="1" t="n">
        <v>46048</v>
      </c>
      <c r="D1931" t="inlineStr">
        <is>
          <t>VÄSTERNORRLANDS LÄN</t>
        </is>
      </c>
      <c r="E1931" t="inlineStr">
        <is>
          <t>SOLLEFTEÅ</t>
        </is>
      </c>
      <c r="F1931" t="inlineStr">
        <is>
          <t>SCA</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1459-2024</t>
        </is>
      </c>
      <c r="B1932" s="1" t="n">
        <v>45303.9331712963</v>
      </c>
      <c r="C1932" s="1" t="n">
        <v>46048</v>
      </c>
      <c r="D1932" t="inlineStr">
        <is>
          <t>VÄSTERNORRLANDS LÄN</t>
        </is>
      </c>
      <c r="E1932" t="inlineStr">
        <is>
          <t>SOLLEFTEÅ</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44393-2023</t>
        </is>
      </c>
      <c r="B1933" s="1" t="n">
        <v>45188.94534722222</v>
      </c>
      <c r="C1933" s="1" t="n">
        <v>46048</v>
      </c>
      <c r="D1933" t="inlineStr">
        <is>
          <t>VÄSTERNORRLANDS LÄN</t>
        </is>
      </c>
      <c r="E1933" t="inlineStr">
        <is>
          <t>SOLLEFTEÅ</t>
        </is>
      </c>
      <c r="F1933" t="inlineStr">
        <is>
          <t>SCA</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56176-2022</t>
        </is>
      </c>
      <c r="B1934" s="1" t="n">
        <v>44889.94862268519</v>
      </c>
      <c r="C1934" s="1" t="n">
        <v>46048</v>
      </c>
      <c r="D1934" t="inlineStr">
        <is>
          <t>VÄSTERNORRLANDS LÄN</t>
        </is>
      </c>
      <c r="E1934" t="inlineStr">
        <is>
          <t>SOLLEFTEÅ</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13584-2025</t>
        </is>
      </c>
      <c r="B1935" s="1" t="n">
        <v>45736.59193287037</v>
      </c>
      <c r="C1935" s="1" t="n">
        <v>46048</v>
      </c>
      <c r="D1935" t="inlineStr">
        <is>
          <t>VÄSTERNORRLANDS LÄN</t>
        </is>
      </c>
      <c r="E1935" t="inlineStr">
        <is>
          <t>SOLLEFTEÅ</t>
        </is>
      </c>
      <c r="G1935" t="n">
        <v>3.6</v>
      </c>
      <c r="H1935" t="n">
        <v>0</v>
      </c>
      <c r="I1935" t="n">
        <v>0</v>
      </c>
      <c r="J1935" t="n">
        <v>0</v>
      </c>
      <c r="K1935" t="n">
        <v>0</v>
      </c>
      <c r="L1935" t="n">
        <v>0</v>
      </c>
      <c r="M1935" t="n">
        <v>0</v>
      </c>
      <c r="N1935" t="n">
        <v>0</v>
      </c>
      <c r="O1935" t="n">
        <v>0</v>
      </c>
      <c r="P1935" t="n">
        <v>0</v>
      </c>
      <c r="Q1935" t="n">
        <v>0</v>
      </c>
      <c r="R1935" s="2" t="inlineStr"/>
    </row>
    <row r="1936" ht="15" customHeight="1">
      <c r="A1936" t="inlineStr">
        <is>
          <t>A 6816-2024</t>
        </is>
      </c>
      <c r="B1936" s="1" t="n">
        <v>45342</v>
      </c>
      <c r="C1936" s="1" t="n">
        <v>46048</v>
      </c>
      <c r="D1936" t="inlineStr">
        <is>
          <t>VÄSTERNORRLANDS LÄN</t>
        </is>
      </c>
      <c r="E1936" t="inlineStr">
        <is>
          <t>SOLLEFTEÅ</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40190-2025</t>
        </is>
      </c>
      <c r="B1937" s="1" t="n">
        <v>45894.65664351852</v>
      </c>
      <c r="C1937" s="1" t="n">
        <v>46048</v>
      </c>
      <c r="D1937" t="inlineStr">
        <is>
          <t>VÄSTERNORRLANDS LÄN</t>
        </is>
      </c>
      <c r="E1937" t="inlineStr">
        <is>
          <t>SOLLEFTEÅ</t>
        </is>
      </c>
      <c r="F1937" t="inlineStr">
        <is>
          <t>SCA</t>
        </is>
      </c>
      <c r="G1937" t="n">
        <v>6.5</v>
      </c>
      <c r="H1937" t="n">
        <v>0</v>
      </c>
      <c r="I1937" t="n">
        <v>0</v>
      </c>
      <c r="J1937" t="n">
        <v>0</v>
      </c>
      <c r="K1937" t="n">
        <v>0</v>
      </c>
      <c r="L1937" t="n">
        <v>0</v>
      </c>
      <c r="M1937" t="n">
        <v>0</v>
      </c>
      <c r="N1937" t="n">
        <v>0</v>
      </c>
      <c r="O1937" t="n">
        <v>0</v>
      </c>
      <c r="P1937" t="n">
        <v>0</v>
      </c>
      <c r="Q1937" t="n">
        <v>0</v>
      </c>
      <c r="R1937" s="2" t="inlineStr"/>
    </row>
    <row r="1938" ht="15" customHeight="1">
      <c r="A1938" t="inlineStr">
        <is>
          <t>A 16693-2024</t>
        </is>
      </c>
      <c r="B1938" s="1" t="n">
        <v>45408</v>
      </c>
      <c r="C1938" s="1" t="n">
        <v>46048</v>
      </c>
      <c r="D1938" t="inlineStr">
        <is>
          <t>VÄSTERNORRLANDS LÄN</t>
        </is>
      </c>
      <c r="E1938" t="inlineStr">
        <is>
          <t>SOLLEFTEÅ</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40468-2025</t>
        </is>
      </c>
      <c r="B1939" s="1" t="n">
        <v>45895.66416666667</v>
      </c>
      <c r="C1939" s="1" t="n">
        <v>46048</v>
      </c>
      <c r="D1939" t="inlineStr">
        <is>
          <t>VÄSTERNORRLANDS LÄN</t>
        </is>
      </c>
      <c r="E1939" t="inlineStr">
        <is>
          <t>SOLLEFTEÅ</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40049-2025</t>
        </is>
      </c>
      <c r="B1940" s="1" t="n">
        <v>45894</v>
      </c>
      <c r="C1940" s="1" t="n">
        <v>46048</v>
      </c>
      <c r="D1940" t="inlineStr">
        <is>
          <t>VÄSTERNORRLANDS LÄN</t>
        </is>
      </c>
      <c r="E1940" t="inlineStr">
        <is>
          <t>SOLLEFTEÅ</t>
        </is>
      </c>
      <c r="F1940" t="inlineStr">
        <is>
          <t>SCA</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40358-2025</t>
        </is>
      </c>
      <c r="B1941" s="1" t="n">
        <v>45895.48995370371</v>
      </c>
      <c r="C1941" s="1" t="n">
        <v>46048</v>
      </c>
      <c r="D1941" t="inlineStr">
        <is>
          <t>VÄSTERNORRLANDS LÄN</t>
        </is>
      </c>
      <c r="E1941" t="inlineStr">
        <is>
          <t>SOLLEFTEÅ</t>
        </is>
      </c>
      <c r="F1941" t="inlineStr">
        <is>
          <t>SCA</t>
        </is>
      </c>
      <c r="G1941" t="n">
        <v>3.6</v>
      </c>
      <c r="H1941" t="n">
        <v>0</v>
      </c>
      <c r="I1941" t="n">
        <v>0</v>
      </c>
      <c r="J1941" t="n">
        <v>0</v>
      </c>
      <c r="K1941" t="n">
        <v>0</v>
      </c>
      <c r="L1941" t="n">
        <v>0</v>
      </c>
      <c r="M1941" t="n">
        <v>0</v>
      </c>
      <c r="N1941" t="n">
        <v>0</v>
      </c>
      <c r="O1941" t="n">
        <v>0</v>
      </c>
      <c r="P1941" t="n">
        <v>0</v>
      </c>
      <c r="Q1941" t="n">
        <v>0</v>
      </c>
      <c r="R1941" s="2" t="inlineStr"/>
    </row>
    <row r="1942" ht="15" customHeight="1">
      <c r="A1942" t="inlineStr">
        <is>
          <t>A 38972-2025</t>
        </is>
      </c>
      <c r="B1942" s="1" t="n">
        <v>45887</v>
      </c>
      <c r="C1942" s="1" t="n">
        <v>46048</v>
      </c>
      <c r="D1942" t="inlineStr">
        <is>
          <t>VÄSTERNORRLANDS LÄN</t>
        </is>
      </c>
      <c r="E1942" t="inlineStr">
        <is>
          <t>SOLLEFTEÅ</t>
        </is>
      </c>
      <c r="F1942" t="inlineStr">
        <is>
          <t>SCA</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38973-2025</t>
        </is>
      </c>
      <c r="B1943" s="1" t="n">
        <v>45887</v>
      </c>
      <c r="C1943" s="1" t="n">
        <v>46048</v>
      </c>
      <c r="D1943" t="inlineStr">
        <is>
          <t>VÄSTERNORRLANDS LÄN</t>
        </is>
      </c>
      <c r="E1943" t="inlineStr">
        <is>
          <t>SOLLEFTEÅ</t>
        </is>
      </c>
      <c r="F1943" t="inlineStr">
        <is>
          <t>SCA</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40175-2025</t>
        </is>
      </c>
      <c r="B1944" s="1" t="n">
        <v>45894.63609953703</v>
      </c>
      <c r="C1944" s="1" t="n">
        <v>46048</v>
      </c>
      <c r="D1944" t="inlineStr">
        <is>
          <t>VÄSTERNORRLANDS LÄN</t>
        </is>
      </c>
      <c r="E1944" t="inlineStr">
        <is>
          <t>SOLLEFTEÅ</t>
        </is>
      </c>
      <c r="F1944" t="inlineStr">
        <is>
          <t>SCA</t>
        </is>
      </c>
      <c r="G1944" t="n">
        <v>21.2</v>
      </c>
      <c r="H1944" t="n">
        <v>0</v>
      </c>
      <c r="I1944" t="n">
        <v>0</v>
      </c>
      <c r="J1944" t="n">
        <v>0</v>
      </c>
      <c r="K1944" t="n">
        <v>0</v>
      </c>
      <c r="L1944" t="n">
        <v>0</v>
      </c>
      <c r="M1944" t="n">
        <v>0</v>
      </c>
      <c r="N1944" t="n">
        <v>0</v>
      </c>
      <c r="O1944" t="n">
        <v>0</v>
      </c>
      <c r="P1944" t="n">
        <v>0</v>
      </c>
      <c r="Q1944" t="n">
        <v>0</v>
      </c>
      <c r="R1944" s="2" t="inlineStr"/>
    </row>
    <row r="1945" ht="15" customHeight="1">
      <c r="A1945" t="inlineStr">
        <is>
          <t>A 18623-2024</t>
        </is>
      </c>
      <c r="B1945" s="1" t="n">
        <v>45425.96378472223</v>
      </c>
      <c r="C1945" s="1" t="n">
        <v>46048</v>
      </c>
      <c r="D1945" t="inlineStr">
        <is>
          <t>VÄSTERNORRLANDS LÄN</t>
        </is>
      </c>
      <c r="E1945" t="inlineStr">
        <is>
          <t>SOLLEFTEÅ</t>
        </is>
      </c>
      <c r="F1945" t="inlineStr">
        <is>
          <t>SCA</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41434-2024</t>
        </is>
      </c>
      <c r="B1946" s="1" t="n">
        <v>45560</v>
      </c>
      <c r="C1946" s="1" t="n">
        <v>46048</v>
      </c>
      <c r="D1946" t="inlineStr">
        <is>
          <t>VÄSTERNORRLANDS LÄN</t>
        </is>
      </c>
      <c r="E1946" t="inlineStr">
        <is>
          <t>SOLLEFTEÅ</t>
        </is>
      </c>
      <c r="G1946" t="n">
        <v>3.7</v>
      </c>
      <c r="H1946" t="n">
        <v>0</v>
      </c>
      <c r="I1946" t="n">
        <v>0</v>
      </c>
      <c r="J1946" t="n">
        <v>0</v>
      </c>
      <c r="K1946" t="n">
        <v>0</v>
      </c>
      <c r="L1946" t="n">
        <v>0</v>
      </c>
      <c r="M1946" t="n">
        <v>0</v>
      </c>
      <c r="N1946" t="n">
        <v>0</v>
      </c>
      <c r="O1946" t="n">
        <v>0</v>
      </c>
      <c r="P1946" t="n">
        <v>0</v>
      </c>
      <c r="Q1946" t="n">
        <v>0</v>
      </c>
      <c r="R1946" s="2" t="inlineStr"/>
    </row>
    <row r="1947" ht="15" customHeight="1">
      <c r="A1947" t="inlineStr">
        <is>
          <t>A 45334-2024</t>
        </is>
      </c>
      <c r="B1947" s="1" t="n">
        <v>45576</v>
      </c>
      <c r="C1947" s="1" t="n">
        <v>46048</v>
      </c>
      <c r="D1947" t="inlineStr">
        <is>
          <t>VÄSTERNORRLANDS LÄN</t>
        </is>
      </c>
      <c r="E1947" t="inlineStr">
        <is>
          <t>SOLLEFTEÅ</t>
        </is>
      </c>
      <c r="F1947" t="inlineStr">
        <is>
          <t>SCA</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40304-2025</t>
        </is>
      </c>
      <c r="B1948" s="1" t="n">
        <v>45895.40690972222</v>
      </c>
      <c r="C1948" s="1" t="n">
        <v>46048</v>
      </c>
      <c r="D1948" t="inlineStr">
        <is>
          <t>VÄSTERNORRLANDS LÄN</t>
        </is>
      </c>
      <c r="E1948" t="inlineStr">
        <is>
          <t>SOLLEFTEÅ</t>
        </is>
      </c>
      <c r="F1948" t="inlineStr">
        <is>
          <t>SCA</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40014-2025</t>
        </is>
      </c>
      <c r="B1949" s="1" t="n">
        <v>45894</v>
      </c>
      <c r="C1949" s="1" t="n">
        <v>46048</v>
      </c>
      <c r="D1949" t="inlineStr">
        <is>
          <t>VÄSTERNORRLANDS LÄN</t>
        </is>
      </c>
      <c r="E1949" t="inlineStr">
        <is>
          <t>SOLLEFTEÅ</t>
        </is>
      </c>
      <c r="F1949" t="inlineStr">
        <is>
          <t>SCA</t>
        </is>
      </c>
      <c r="G1949" t="n">
        <v>2.9</v>
      </c>
      <c r="H1949" t="n">
        <v>0</v>
      </c>
      <c r="I1949" t="n">
        <v>0</v>
      </c>
      <c r="J1949" t="n">
        <v>0</v>
      </c>
      <c r="K1949" t="n">
        <v>0</v>
      </c>
      <c r="L1949" t="n">
        <v>0</v>
      </c>
      <c r="M1949" t="n">
        <v>0</v>
      </c>
      <c r="N1949" t="n">
        <v>0</v>
      </c>
      <c r="O1949" t="n">
        <v>0</v>
      </c>
      <c r="P1949" t="n">
        <v>0</v>
      </c>
      <c r="Q1949" t="n">
        <v>0</v>
      </c>
      <c r="R1949" s="2" t="inlineStr"/>
    </row>
    <row r="1950" ht="15" customHeight="1">
      <c r="A1950" t="inlineStr">
        <is>
          <t>A 40136-2025</t>
        </is>
      </c>
      <c r="B1950" s="1" t="n">
        <v>45894.5588425926</v>
      </c>
      <c r="C1950" s="1" t="n">
        <v>46048</v>
      </c>
      <c r="D1950" t="inlineStr">
        <is>
          <t>VÄSTERNORRLANDS LÄN</t>
        </is>
      </c>
      <c r="E1950" t="inlineStr">
        <is>
          <t>SOLLEFTEÅ</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40009-2025</t>
        </is>
      </c>
      <c r="B1951" s="1" t="n">
        <v>45894.34446759259</v>
      </c>
      <c r="C1951" s="1" t="n">
        <v>46048</v>
      </c>
      <c r="D1951" t="inlineStr">
        <is>
          <t>VÄSTERNORRLANDS LÄN</t>
        </is>
      </c>
      <c r="E1951" t="inlineStr">
        <is>
          <t>SOLLEFTEÅ</t>
        </is>
      </c>
      <c r="F1951" t="inlineStr">
        <is>
          <t>SCA</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42229-2021</t>
        </is>
      </c>
      <c r="B1952" s="1" t="n">
        <v>44426.93474537037</v>
      </c>
      <c r="C1952" s="1" t="n">
        <v>46048</v>
      </c>
      <c r="D1952" t="inlineStr">
        <is>
          <t>VÄSTERNORRLANDS LÄN</t>
        </is>
      </c>
      <c r="E1952" t="inlineStr">
        <is>
          <t>SOLLEFTEÅ</t>
        </is>
      </c>
      <c r="F1952" t="inlineStr">
        <is>
          <t>SCA</t>
        </is>
      </c>
      <c r="G1952" t="n">
        <v>2.8</v>
      </c>
      <c r="H1952" t="n">
        <v>0</v>
      </c>
      <c r="I1952" t="n">
        <v>0</v>
      </c>
      <c r="J1952" t="n">
        <v>0</v>
      </c>
      <c r="K1952" t="n">
        <v>0</v>
      </c>
      <c r="L1952" t="n">
        <v>0</v>
      </c>
      <c r="M1952" t="n">
        <v>0</v>
      </c>
      <c r="N1952" t="n">
        <v>0</v>
      </c>
      <c r="O1952" t="n">
        <v>0</v>
      </c>
      <c r="P1952" t="n">
        <v>0</v>
      </c>
      <c r="Q1952" t="n">
        <v>0</v>
      </c>
      <c r="R1952" s="2" t="inlineStr"/>
    </row>
    <row r="1953" ht="15" customHeight="1">
      <c r="A1953" t="inlineStr">
        <is>
          <t>A 40962-2025</t>
        </is>
      </c>
      <c r="B1953" s="1" t="n">
        <v>45897.6983912037</v>
      </c>
      <c r="C1953" s="1" t="n">
        <v>46048</v>
      </c>
      <c r="D1953" t="inlineStr">
        <is>
          <t>VÄSTERNORRLANDS LÄN</t>
        </is>
      </c>
      <c r="E1953" t="inlineStr">
        <is>
          <t>SOLLEFTEÅ</t>
        </is>
      </c>
      <c r="F1953" t="inlineStr">
        <is>
          <t>SCA</t>
        </is>
      </c>
      <c r="G1953" t="n">
        <v>3.2</v>
      </c>
      <c r="H1953" t="n">
        <v>0</v>
      </c>
      <c r="I1953" t="n">
        <v>0</v>
      </c>
      <c r="J1953" t="n">
        <v>0</v>
      </c>
      <c r="K1953" t="n">
        <v>0</v>
      </c>
      <c r="L1953" t="n">
        <v>0</v>
      </c>
      <c r="M1953" t="n">
        <v>0</v>
      </c>
      <c r="N1953" t="n">
        <v>0</v>
      </c>
      <c r="O1953" t="n">
        <v>0</v>
      </c>
      <c r="P1953" t="n">
        <v>0</v>
      </c>
      <c r="Q1953" t="n">
        <v>0</v>
      </c>
      <c r="R1953" s="2" t="inlineStr"/>
    </row>
    <row r="1954" ht="15" customHeight="1">
      <c r="A1954" t="inlineStr">
        <is>
          <t>A 40492-2025</t>
        </is>
      </c>
      <c r="B1954" s="1" t="n">
        <v>45896</v>
      </c>
      <c r="C1954" s="1" t="n">
        <v>46048</v>
      </c>
      <c r="D1954" t="inlineStr">
        <is>
          <t>VÄSTERNORRLANDS LÄN</t>
        </is>
      </c>
      <c r="E1954" t="inlineStr">
        <is>
          <t>SOLLEFTEÅ</t>
        </is>
      </c>
      <c r="F1954" t="inlineStr">
        <is>
          <t>Holmen skog AB</t>
        </is>
      </c>
      <c r="G1954" t="n">
        <v>7.8</v>
      </c>
      <c r="H1954" t="n">
        <v>0</v>
      </c>
      <c r="I1954" t="n">
        <v>0</v>
      </c>
      <c r="J1954" t="n">
        <v>0</v>
      </c>
      <c r="K1954" t="n">
        <v>0</v>
      </c>
      <c r="L1954" t="n">
        <v>0</v>
      </c>
      <c r="M1954" t="n">
        <v>0</v>
      </c>
      <c r="N1954" t="n">
        <v>0</v>
      </c>
      <c r="O1954" t="n">
        <v>0</v>
      </c>
      <c r="P1954" t="n">
        <v>0</v>
      </c>
      <c r="Q1954" t="n">
        <v>0</v>
      </c>
      <c r="R1954" s="2" t="inlineStr"/>
    </row>
    <row r="1955" ht="15" customHeight="1">
      <c r="A1955" t="inlineStr">
        <is>
          <t>A 41025-2025</t>
        </is>
      </c>
      <c r="B1955" s="1" t="n">
        <v>45897</v>
      </c>
      <c r="C1955" s="1" t="n">
        <v>46048</v>
      </c>
      <c r="D1955" t="inlineStr">
        <is>
          <t>VÄSTERNORRLANDS LÄN</t>
        </is>
      </c>
      <c r="E1955" t="inlineStr">
        <is>
          <t>SOLLEFTEÅ</t>
        </is>
      </c>
      <c r="G1955" t="n">
        <v>9.1</v>
      </c>
      <c r="H1955" t="n">
        <v>0</v>
      </c>
      <c r="I1955" t="n">
        <v>0</v>
      </c>
      <c r="J1955" t="n">
        <v>0</v>
      </c>
      <c r="K1955" t="n">
        <v>0</v>
      </c>
      <c r="L1955" t="n">
        <v>0</v>
      </c>
      <c r="M1955" t="n">
        <v>0</v>
      </c>
      <c r="N1955" t="n">
        <v>0</v>
      </c>
      <c r="O1955" t="n">
        <v>0</v>
      </c>
      <c r="P1955" t="n">
        <v>0</v>
      </c>
      <c r="Q1955" t="n">
        <v>0</v>
      </c>
      <c r="R1955" s="2" t="inlineStr"/>
    </row>
    <row r="1956" ht="15" customHeight="1">
      <c r="A1956" t="inlineStr">
        <is>
          <t>A 35019-2022</t>
        </is>
      </c>
      <c r="B1956" s="1" t="n">
        <v>44796.94684027778</v>
      </c>
      <c r="C1956" s="1" t="n">
        <v>46048</v>
      </c>
      <c r="D1956" t="inlineStr">
        <is>
          <t>VÄSTERNORRLANDS LÄN</t>
        </is>
      </c>
      <c r="E1956" t="inlineStr">
        <is>
          <t>SOLLEFTEÅ</t>
        </is>
      </c>
      <c r="F1956" t="inlineStr">
        <is>
          <t>SCA</t>
        </is>
      </c>
      <c r="G1956" t="n">
        <v>2.7</v>
      </c>
      <c r="H1956" t="n">
        <v>0</v>
      </c>
      <c r="I1956" t="n">
        <v>0</v>
      </c>
      <c r="J1956" t="n">
        <v>0</v>
      </c>
      <c r="K1956" t="n">
        <v>0</v>
      </c>
      <c r="L1956" t="n">
        <v>0</v>
      </c>
      <c r="M1956" t="n">
        <v>0</v>
      </c>
      <c r="N1956" t="n">
        <v>0</v>
      </c>
      <c r="O1956" t="n">
        <v>0</v>
      </c>
      <c r="P1956" t="n">
        <v>0</v>
      </c>
      <c r="Q1956" t="n">
        <v>0</v>
      </c>
      <c r="R1956" s="2" t="inlineStr"/>
    </row>
    <row r="1957" ht="15" customHeight="1">
      <c r="A1957" t="inlineStr">
        <is>
          <t>A 56137-2023</t>
        </is>
      </c>
      <c r="B1957" s="1" t="n">
        <v>45240.59096064815</v>
      </c>
      <c r="C1957" s="1" t="n">
        <v>46048</v>
      </c>
      <c r="D1957" t="inlineStr">
        <is>
          <t>VÄSTERNORRLANDS LÄN</t>
        </is>
      </c>
      <c r="E1957" t="inlineStr">
        <is>
          <t>SOLLEFTEÅ</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62262-2022</t>
        </is>
      </c>
      <c r="B1958" s="1" t="n">
        <v>44922.94387731481</v>
      </c>
      <c r="C1958" s="1" t="n">
        <v>46048</v>
      </c>
      <c r="D1958" t="inlineStr">
        <is>
          <t>VÄSTERNORRLANDS LÄN</t>
        </is>
      </c>
      <c r="E1958" t="inlineStr">
        <is>
          <t>SOLLEFTEÅ</t>
        </is>
      </c>
      <c r="F1958" t="inlineStr">
        <is>
          <t>SCA</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10738-2025</t>
        </is>
      </c>
      <c r="B1959" s="1" t="n">
        <v>45722.40704861111</v>
      </c>
      <c r="C1959" s="1" t="n">
        <v>46048</v>
      </c>
      <c r="D1959" t="inlineStr">
        <is>
          <t>VÄSTERNORRLANDS LÄN</t>
        </is>
      </c>
      <c r="E1959" t="inlineStr">
        <is>
          <t>SOLLEFTEÅ</t>
        </is>
      </c>
      <c r="F1959" t="inlineStr">
        <is>
          <t>SCA</t>
        </is>
      </c>
      <c r="G1959" t="n">
        <v>10</v>
      </c>
      <c r="H1959" t="n">
        <v>0</v>
      </c>
      <c r="I1959" t="n">
        <v>0</v>
      </c>
      <c r="J1959" t="n">
        <v>0</v>
      </c>
      <c r="K1959" t="n">
        <v>0</v>
      </c>
      <c r="L1959" t="n">
        <v>0</v>
      </c>
      <c r="M1959" t="n">
        <v>0</v>
      </c>
      <c r="N1959" t="n">
        <v>0</v>
      </c>
      <c r="O1959" t="n">
        <v>0</v>
      </c>
      <c r="P1959" t="n">
        <v>0</v>
      </c>
      <c r="Q1959" t="n">
        <v>0</v>
      </c>
      <c r="R1959" s="2" t="inlineStr"/>
    </row>
    <row r="1960" ht="15" customHeight="1">
      <c r="A1960" t="inlineStr">
        <is>
          <t>A 40752-2025</t>
        </is>
      </c>
      <c r="B1960" s="1" t="n">
        <v>45897.38592592593</v>
      </c>
      <c r="C1960" s="1" t="n">
        <v>46048</v>
      </c>
      <c r="D1960" t="inlineStr">
        <is>
          <t>VÄSTERNORRLANDS LÄN</t>
        </is>
      </c>
      <c r="E1960" t="inlineStr">
        <is>
          <t>SOLLEFTEÅ</t>
        </is>
      </c>
      <c r="G1960" t="n">
        <v>3.9</v>
      </c>
      <c r="H1960" t="n">
        <v>0</v>
      </c>
      <c r="I1960" t="n">
        <v>0</v>
      </c>
      <c r="J1960" t="n">
        <v>0</v>
      </c>
      <c r="K1960" t="n">
        <v>0</v>
      </c>
      <c r="L1960" t="n">
        <v>0</v>
      </c>
      <c r="M1960" t="n">
        <v>0</v>
      </c>
      <c r="N1960" t="n">
        <v>0</v>
      </c>
      <c r="O1960" t="n">
        <v>0</v>
      </c>
      <c r="P1960" t="n">
        <v>0</v>
      </c>
      <c r="Q1960" t="n">
        <v>0</v>
      </c>
      <c r="R1960" s="2" t="inlineStr"/>
    </row>
    <row r="1961" ht="15" customHeight="1">
      <c r="A1961" t="inlineStr">
        <is>
          <t>A 40701-2025</t>
        </is>
      </c>
      <c r="B1961" s="1" t="n">
        <v>45897.32884259259</v>
      </c>
      <c r="C1961" s="1" t="n">
        <v>46048</v>
      </c>
      <c r="D1961" t="inlineStr">
        <is>
          <t>VÄSTERNORRLANDS LÄN</t>
        </is>
      </c>
      <c r="E1961" t="inlineStr">
        <is>
          <t>SOLLEFTEÅ</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40515-2025</t>
        </is>
      </c>
      <c r="B1962" s="1" t="n">
        <v>45896</v>
      </c>
      <c r="C1962" s="1" t="n">
        <v>46048</v>
      </c>
      <c r="D1962" t="inlineStr">
        <is>
          <t>VÄSTERNORRLANDS LÄN</t>
        </is>
      </c>
      <c r="E1962" t="inlineStr">
        <is>
          <t>SOLLEFTEÅ</t>
        </is>
      </c>
      <c r="G1962" t="n">
        <v>7.3</v>
      </c>
      <c r="H1962" t="n">
        <v>0</v>
      </c>
      <c r="I1962" t="n">
        <v>0</v>
      </c>
      <c r="J1962" t="n">
        <v>0</v>
      </c>
      <c r="K1962" t="n">
        <v>0</v>
      </c>
      <c r="L1962" t="n">
        <v>0</v>
      </c>
      <c r="M1962" t="n">
        <v>0</v>
      </c>
      <c r="N1962" t="n">
        <v>0</v>
      </c>
      <c r="O1962" t="n">
        <v>0</v>
      </c>
      <c r="P1962" t="n">
        <v>0</v>
      </c>
      <c r="Q1962" t="n">
        <v>0</v>
      </c>
      <c r="R1962" s="2" t="inlineStr"/>
    </row>
    <row r="1963" ht="15" customHeight="1">
      <c r="A1963" t="inlineStr">
        <is>
          <t>A 40754-2025</t>
        </is>
      </c>
      <c r="B1963" s="1" t="n">
        <v>45897.38653935185</v>
      </c>
      <c r="C1963" s="1" t="n">
        <v>46048</v>
      </c>
      <c r="D1963" t="inlineStr">
        <is>
          <t>VÄSTERNORRLANDS LÄN</t>
        </is>
      </c>
      <c r="E1963" t="inlineStr">
        <is>
          <t>SOLLEFTEÅ</t>
        </is>
      </c>
      <c r="F1963" t="inlineStr">
        <is>
          <t>SCA</t>
        </is>
      </c>
      <c r="G1963" t="n">
        <v>3.1</v>
      </c>
      <c r="H1963" t="n">
        <v>0</v>
      </c>
      <c r="I1963" t="n">
        <v>0</v>
      </c>
      <c r="J1963" t="n">
        <v>0</v>
      </c>
      <c r="K1963" t="n">
        <v>0</v>
      </c>
      <c r="L1963" t="n">
        <v>0</v>
      </c>
      <c r="M1963" t="n">
        <v>0</v>
      </c>
      <c r="N1963" t="n">
        <v>0</v>
      </c>
      <c r="O1963" t="n">
        <v>0</v>
      </c>
      <c r="P1963" t="n">
        <v>0</v>
      </c>
      <c r="Q1963" t="n">
        <v>0</v>
      </c>
      <c r="R1963" s="2" t="inlineStr"/>
    </row>
    <row r="1964" ht="15" customHeight="1">
      <c r="A1964" t="inlineStr">
        <is>
          <t>A 40651-2025</t>
        </is>
      </c>
      <c r="B1964" s="1" t="n">
        <v>45896.63585648148</v>
      </c>
      <c r="C1964" s="1" t="n">
        <v>46048</v>
      </c>
      <c r="D1964" t="inlineStr">
        <is>
          <t>VÄSTERNORRLANDS LÄN</t>
        </is>
      </c>
      <c r="E1964" t="inlineStr">
        <is>
          <t>SOLLEFTEÅ</t>
        </is>
      </c>
      <c r="F1964" t="inlineStr">
        <is>
          <t>SCA</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40662-2025</t>
        </is>
      </c>
      <c r="B1965" s="1" t="n">
        <v>45896.6487037037</v>
      </c>
      <c r="C1965" s="1" t="n">
        <v>46048</v>
      </c>
      <c r="D1965" t="inlineStr">
        <is>
          <t>VÄSTERNORRLANDS LÄN</t>
        </is>
      </c>
      <c r="E1965" t="inlineStr">
        <is>
          <t>SOLLEFTEÅ</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51193-2024</t>
        </is>
      </c>
      <c r="B1966" s="1" t="n">
        <v>45603.61511574074</v>
      </c>
      <c r="C1966" s="1" t="n">
        <v>46048</v>
      </c>
      <c r="D1966" t="inlineStr">
        <is>
          <t>VÄSTERNORRLANDS LÄN</t>
        </is>
      </c>
      <c r="E1966" t="inlineStr">
        <is>
          <t>SOLLEFTEÅ</t>
        </is>
      </c>
      <c r="F1966" t="inlineStr">
        <is>
          <t>SCA</t>
        </is>
      </c>
      <c r="G1966" t="n">
        <v>2.6</v>
      </c>
      <c r="H1966" t="n">
        <v>0</v>
      </c>
      <c r="I1966" t="n">
        <v>0</v>
      </c>
      <c r="J1966" t="n">
        <v>0</v>
      </c>
      <c r="K1966" t="n">
        <v>0</v>
      </c>
      <c r="L1966" t="n">
        <v>0</v>
      </c>
      <c r="M1966" t="n">
        <v>0</v>
      </c>
      <c r="N1966" t="n">
        <v>0</v>
      </c>
      <c r="O1966" t="n">
        <v>0</v>
      </c>
      <c r="P1966" t="n">
        <v>0</v>
      </c>
      <c r="Q1966" t="n">
        <v>0</v>
      </c>
      <c r="R1966" s="2" t="inlineStr"/>
    </row>
    <row r="1967" ht="15" customHeight="1">
      <c r="A1967" t="inlineStr">
        <is>
          <t>A 3689-2023</t>
        </is>
      </c>
      <c r="B1967" s="1" t="n">
        <v>44950</v>
      </c>
      <c r="C1967" s="1" t="n">
        <v>46048</v>
      </c>
      <c r="D1967" t="inlineStr">
        <is>
          <t>VÄSTERNORRLANDS LÄN</t>
        </is>
      </c>
      <c r="E1967" t="inlineStr">
        <is>
          <t>SOLLEFTEÅ</t>
        </is>
      </c>
      <c r="F1967" t="inlineStr">
        <is>
          <t>SCA</t>
        </is>
      </c>
      <c r="G1967" t="n">
        <v>4</v>
      </c>
      <c r="H1967" t="n">
        <v>0</v>
      </c>
      <c r="I1967" t="n">
        <v>0</v>
      </c>
      <c r="J1967" t="n">
        <v>0</v>
      </c>
      <c r="K1967" t="n">
        <v>0</v>
      </c>
      <c r="L1967" t="n">
        <v>0</v>
      </c>
      <c r="M1967" t="n">
        <v>0</v>
      </c>
      <c r="N1967" t="n">
        <v>0</v>
      </c>
      <c r="O1967" t="n">
        <v>0</v>
      </c>
      <c r="P1967" t="n">
        <v>0</v>
      </c>
      <c r="Q1967" t="n">
        <v>0</v>
      </c>
      <c r="R1967" s="2" t="inlineStr"/>
    </row>
    <row r="1968" ht="15" customHeight="1">
      <c r="A1968" t="inlineStr">
        <is>
          <t>A 41502-2025</t>
        </is>
      </c>
      <c r="B1968" s="1" t="n">
        <v>45901</v>
      </c>
      <c r="C1968" s="1" t="n">
        <v>46048</v>
      </c>
      <c r="D1968" t="inlineStr">
        <is>
          <t>VÄSTERNORRLANDS LÄN</t>
        </is>
      </c>
      <c r="E1968" t="inlineStr">
        <is>
          <t>SOLLEFTEÅ</t>
        </is>
      </c>
      <c r="F1968" t="inlineStr">
        <is>
          <t>Holmen skog AB</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41305-2025</t>
        </is>
      </c>
      <c r="B1969" s="1" t="n">
        <v>45898.69850694444</v>
      </c>
      <c r="C1969" s="1" t="n">
        <v>46048</v>
      </c>
      <c r="D1969" t="inlineStr">
        <is>
          <t>VÄSTERNORRLANDS LÄN</t>
        </is>
      </c>
      <c r="E1969" t="inlineStr">
        <is>
          <t>SOLLEFTEÅ</t>
        </is>
      </c>
      <c r="F1969" t="inlineStr">
        <is>
          <t>SCA</t>
        </is>
      </c>
      <c r="G1969" t="n">
        <v>6.3</v>
      </c>
      <c r="H1969" t="n">
        <v>0</v>
      </c>
      <c r="I1969" t="n">
        <v>0</v>
      </c>
      <c r="J1969" t="n">
        <v>0</v>
      </c>
      <c r="K1969" t="n">
        <v>0</v>
      </c>
      <c r="L1969" t="n">
        <v>0</v>
      </c>
      <c r="M1969" t="n">
        <v>0</v>
      </c>
      <c r="N1969" t="n">
        <v>0</v>
      </c>
      <c r="O1969" t="n">
        <v>0</v>
      </c>
      <c r="P1969" t="n">
        <v>0</v>
      </c>
      <c r="Q1969" t="n">
        <v>0</v>
      </c>
      <c r="R1969" s="2" t="inlineStr"/>
    </row>
    <row r="1970" ht="15" customHeight="1">
      <c r="A1970" t="inlineStr">
        <is>
          <t>A 29246-2025</t>
        </is>
      </c>
      <c r="B1970" s="1" t="n">
        <v>45824</v>
      </c>
      <c r="C1970" s="1" t="n">
        <v>46048</v>
      </c>
      <c r="D1970" t="inlineStr">
        <is>
          <t>VÄSTERNORRLANDS LÄN</t>
        </is>
      </c>
      <c r="E1970" t="inlineStr">
        <is>
          <t>SOLLEFTEÅ</t>
        </is>
      </c>
      <c r="G1970" t="n">
        <v>8.699999999999999</v>
      </c>
      <c r="H1970" t="n">
        <v>0</v>
      </c>
      <c r="I1970" t="n">
        <v>0</v>
      </c>
      <c r="J1970" t="n">
        <v>0</v>
      </c>
      <c r="K1970" t="n">
        <v>0</v>
      </c>
      <c r="L1970" t="n">
        <v>0</v>
      </c>
      <c r="M1970" t="n">
        <v>0</v>
      </c>
      <c r="N1970" t="n">
        <v>0</v>
      </c>
      <c r="O1970" t="n">
        <v>0</v>
      </c>
      <c r="P1970" t="n">
        <v>0</v>
      </c>
      <c r="Q1970" t="n">
        <v>0</v>
      </c>
      <c r="R1970" s="2" t="inlineStr"/>
    </row>
    <row r="1971" ht="15" customHeight="1">
      <c r="A1971" t="inlineStr">
        <is>
          <t>A 23753-2021</t>
        </is>
      </c>
      <c r="B1971" s="1" t="n">
        <v>44334</v>
      </c>
      <c r="C1971" s="1" t="n">
        <v>46048</v>
      </c>
      <c r="D1971" t="inlineStr">
        <is>
          <t>VÄSTERNORRLANDS LÄN</t>
        </is>
      </c>
      <c r="E1971" t="inlineStr">
        <is>
          <t>SOLLEFTEÅ</t>
        </is>
      </c>
      <c r="G1971" t="n">
        <v>14.8</v>
      </c>
      <c r="H1971" t="n">
        <v>0</v>
      </c>
      <c r="I1971" t="n">
        <v>0</v>
      </c>
      <c r="J1971" t="n">
        <v>0</v>
      </c>
      <c r="K1971" t="n">
        <v>0</v>
      </c>
      <c r="L1971" t="n">
        <v>0</v>
      </c>
      <c r="M1971" t="n">
        <v>0</v>
      </c>
      <c r="N1971" t="n">
        <v>0</v>
      </c>
      <c r="O1971" t="n">
        <v>0</v>
      </c>
      <c r="P1971" t="n">
        <v>0</v>
      </c>
      <c r="Q1971" t="n">
        <v>0</v>
      </c>
      <c r="R1971" s="2" t="inlineStr"/>
    </row>
    <row r="1972" ht="15" customHeight="1">
      <c r="A1972" t="inlineStr">
        <is>
          <t>A 57395-2023</t>
        </is>
      </c>
      <c r="B1972" s="1" t="n">
        <v>45245.9678125</v>
      </c>
      <c r="C1972" s="1" t="n">
        <v>46048</v>
      </c>
      <c r="D1972" t="inlineStr">
        <is>
          <t>VÄSTERNORRLANDS LÄN</t>
        </is>
      </c>
      <c r="E1972" t="inlineStr">
        <is>
          <t>SOLLEFTEÅ</t>
        </is>
      </c>
      <c r="F1972" t="inlineStr">
        <is>
          <t>SCA</t>
        </is>
      </c>
      <c r="G1972" t="n">
        <v>5.7</v>
      </c>
      <c r="H1972" t="n">
        <v>0</v>
      </c>
      <c r="I1972" t="n">
        <v>0</v>
      </c>
      <c r="J1972" t="n">
        <v>0</v>
      </c>
      <c r="K1972" t="n">
        <v>0</v>
      </c>
      <c r="L1972" t="n">
        <v>0</v>
      </c>
      <c r="M1972" t="n">
        <v>0</v>
      </c>
      <c r="N1972" t="n">
        <v>0</v>
      </c>
      <c r="O1972" t="n">
        <v>0</v>
      </c>
      <c r="P1972" t="n">
        <v>0</v>
      </c>
      <c r="Q1972" t="n">
        <v>0</v>
      </c>
      <c r="R1972" s="2" t="inlineStr"/>
    </row>
    <row r="1973" ht="15" customHeight="1">
      <c r="A1973" t="inlineStr">
        <is>
          <t>A 41513-2025</t>
        </is>
      </c>
      <c r="B1973" s="1" t="n">
        <v>45901.54069444445</v>
      </c>
      <c r="C1973" s="1" t="n">
        <v>46048</v>
      </c>
      <c r="D1973" t="inlineStr">
        <is>
          <t>VÄSTERNORRLANDS LÄN</t>
        </is>
      </c>
      <c r="E1973" t="inlineStr">
        <is>
          <t>SOLLEFTEÅ</t>
        </is>
      </c>
      <c r="G1973" t="n">
        <v>3.5</v>
      </c>
      <c r="H1973" t="n">
        <v>0</v>
      </c>
      <c r="I1973" t="n">
        <v>0</v>
      </c>
      <c r="J1973" t="n">
        <v>0</v>
      </c>
      <c r="K1973" t="n">
        <v>0</v>
      </c>
      <c r="L1973" t="n">
        <v>0</v>
      </c>
      <c r="M1973" t="n">
        <v>0</v>
      </c>
      <c r="N1973" t="n">
        <v>0</v>
      </c>
      <c r="O1973" t="n">
        <v>0</v>
      </c>
      <c r="P1973" t="n">
        <v>0</v>
      </c>
      <c r="Q1973" t="n">
        <v>0</v>
      </c>
      <c r="R1973" s="2" t="inlineStr"/>
    </row>
    <row r="1974" ht="15" customHeight="1">
      <c r="A1974" t="inlineStr">
        <is>
          <t>A 41543-2025</t>
        </is>
      </c>
      <c r="B1974" s="1" t="n">
        <v>45901.57386574074</v>
      </c>
      <c r="C1974" s="1" t="n">
        <v>46048</v>
      </c>
      <c r="D1974" t="inlineStr">
        <is>
          <t>VÄSTERNORRLANDS LÄN</t>
        </is>
      </c>
      <c r="E1974" t="inlineStr">
        <is>
          <t>SOLLEFTEÅ</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12752-2023</t>
        </is>
      </c>
      <c r="B1975" s="1" t="n">
        <v>45000.94854166666</v>
      </c>
      <c r="C1975" s="1" t="n">
        <v>46048</v>
      </c>
      <c r="D1975" t="inlineStr">
        <is>
          <t>VÄSTERNORRLANDS LÄN</t>
        </is>
      </c>
      <c r="E1975" t="inlineStr">
        <is>
          <t>SOLLEFTEÅ</t>
        </is>
      </c>
      <c r="F1975" t="inlineStr">
        <is>
          <t>SCA</t>
        </is>
      </c>
      <c r="G1975" t="n">
        <v>7.6</v>
      </c>
      <c r="H1975" t="n">
        <v>0</v>
      </c>
      <c r="I1975" t="n">
        <v>0</v>
      </c>
      <c r="J1975" t="n">
        <v>0</v>
      </c>
      <c r="K1975" t="n">
        <v>0</v>
      </c>
      <c r="L1975" t="n">
        <v>0</v>
      </c>
      <c r="M1975" t="n">
        <v>0</v>
      </c>
      <c r="N1975" t="n">
        <v>0</v>
      </c>
      <c r="O1975" t="n">
        <v>0</v>
      </c>
      <c r="P1975" t="n">
        <v>0</v>
      </c>
      <c r="Q1975" t="n">
        <v>0</v>
      </c>
      <c r="R1975" s="2" t="inlineStr"/>
    </row>
    <row r="1976" ht="15" customHeight="1">
      <c r="A1976" t="inlineStr">
        <is>
          <t>A 1416-2025</t>
        </is>
      </c>
      <c r="B1976" s="1" t="n">
        <v>45668</v>
      </c>
      <c r="C1976" s="1" t="n">
        <v>46048</v>
      </c>
      <c r="D1976" t="inlineStr">
        <is>
          <t>VÄSTERNORRLANDS LÄN</t>
        </is>
      </c>
      <c r="E1976" t="inlineStr">
        <is>
          <t>SOLLEFTEÅ</t>
        </is>
      </c>
      <c r="G1976" t="n">
        <v>21.3</v>
      </c>
      <c r="H1976" t="n">
        <v>0</v>
      </c>
      <c r="I1976" t="n">
        <v>0</v>
      </c>
      <c r="J1976" t="n">
        <v>0</v>
      </c>
      <c r="K1976" t="n">
        <v>0</v>
      </c>
      <c r="L1976" t="n">
        <v>0</v>
      </c>
      <c r="M1976" t="n">
        <v>0</v>
      </c>
      <c r="N1976" t="n">
        <v>0</v>
      </c>
      <c r="O1976" t="n">
        <v>0</v>
      </c>
      <c r="P1976" t="n">
        <v>0</v>
      </c>
      <c r="Q1976" t="n">
        <v>0</v>
      </c>
      <c r="R1976" s="2" t="inlineStr"/>
    </row>
    <row r="1977" ht="15" customHeight="1">
      <c r="A1977" t="inlineStr">
        <is>
          <t>A 31481-2024</t>
        </is>
      </c>
      <c r="B1977" s="1" t="n">
        <v>45505</v>
      </c>
      <c r="C1977" s="1" t="n">
        <v>46048</v>
      </c>
      <c r="D1977" t="inlineStr">
        <is>
          <t>VÄSTERNORRLANDS LÄN</t>
        </is>
      </c>
      <c r="E1977" t="inlineStr">
        <is>
          <t>SOLLEFTEÅ</t>
        </is>
      </c>
      <c r="F1977" t="inlineStr">
        <is>
          <t>SCA</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29290-2022</t>
        </is>
      </c>
      <c r="B1978" s="1" t="n">
        <v>44750</v>
      </c>
      <c r="C1978" s="1" t="n">
        <v>46048</v>
      </c>
      <c r="D1978" t="inlineStr">
        <is>
          <t>VÄSTERNORRLANDS LÄN</t>
        </is>
      </c>
      <c r="E1978" t="inlineStr">
        <is>
          <t>SOLLEFTEÅ</t>
        </is>
      </c>
      <c r="F1978" t="inlineStr">
        <is>
          <t>SCA</t>
        </is>
      </c>
      <c r="G1978" t="n">
        <v>5.4</v>
      </c>
      <c r="H1978" t="n">
        <v>0</v>
      </c>
      <c r="I1978" t="n">
        <v>0</v>
      </c>
      <c r="J1978" t="n">
        <v>0</v>
      </c>
      <c r="K1978" t="n">
        <v>0</v>
      </c>
      <c r="L1978" t="n">
        <v>0</v>
      </c>
      <c r="M1978" t="n">
        <v>0</v>
      </c>
      <c r="N1978" t="n">
        <v>0</v>
      </c>
      <c r="O1978" t="n">
        <v>0</v>
      </c>
      <c r="P1978" t="n">
        <v>0</v>
      </c>
      <c r="Q1978" t="n">
        <v>0</v>
      </c>
      <c r="R1978" s="2" t="inlineStr"/>
    </row>
    <row r="1979" ht="15" customHeight="1">
      <c r="A1979" t="inlineStr">
        <is>
          <t>A 41001-2025</t>
        </is>
      </c>
      <c r="B1979" s="1" t="n">
        <v>45898</v>
      </c>
      <c r="C1979" s="1" t="n">
        <v>46048</v>
      </c>
      <c r="D1979" t="inlineStr">
        <is>
          <t>VÄSTERNORRLANDS LÄN</t>
        </is>
      </c>
      <c r="E1979" t="inlineStr">
        <is>
          <t>SOLLEFTEÅ</t>
        </is>
      </c>
      <c r="F1979" t="inlineStr">
        <is>
          <t>SCA</t>
        </is>
      </c>
      <c r="G1979" t="n">
        <v>18.3</v>
      </c>
      <c r="H1979" t="n">
        <v>0</v>
      </c>
      <c r="I1979" t="n">
        <v>0</v>
      </c>
      <c r="J1979" t="n">
        <v>0</v>
      </c>
      <c r="K1979" t="n">
        <v>0</v>
      </c>
      <c r="L1979" t="n">
        <v>0</v>
      </c>
      <c r="M1979" t="n">
        <v>0</v>
      </c>
      <c r="N1979" t="n">
        <v>0</v>
      </c>
      <c r="O1979" t="n">
        <v>0</v>
      </c>
      <c r="P1979" t="n">
        <v>0</v>
      </c>
      <c r="Q1979" t="n">
        <v>0</v>
      </c>
      <c r="R1979" s="2" t="inlineStr"/>
    </row>
    <row r="1980" ht="15" customHeight="1">
      <c r="A1980" t="inlineStr">
        <is>
          <t>A 41617-2025</t>
        </is>
      </c>
      <c r="B1980" s="1" t="n">
        <v>45901.69834490741</v>
      </c>
      <c r="C1980" s="1" t="n">
        <v>46048</v>
      </c>
      <c r="D1980" t="inlineStr">
        <is>
          <t>VÄSTERNORRLANDS LÄN</t>
        </is>
      </c>
      <c r="E1980" t="inlineStr">
        <is>
          <t>SOLLEFTEÅ</t>
        </is>
      </c>
      <c r="F1980" t="inlineStr">
        <is>
          <t>SCA</t>
        </is>
      </c>
      <c r="G1980" t="n">
        <v>7.9</v>
      </c>
      <c r="H1980" t="n">
        <v>0</v>
      </c>
      <c r="I1980" t="n">
        <v>0</v>
      </c>
      <c r="J1980" t="n">
        <v>0</v>
      </c>
      <c r="K1980" t="n">
        <v>0</v>
      </c>
      <c r="L1980" t="n">
        <v>0</v>
      </c>
      <c r="M1980" t="n">
        <v>0</v>
      </c>
      <c r="N1980" t="n">
        <v>0</v>
      </c>
      <c r="O1980" t="n">
        <v>0</v>
      </c>
      <c r="P1980" t="n">
        <v>0</v>
      </c>
      <c r="Q1980" t="n">
        <v>0</v>
      </c>
      <c r="R1980" s="2" t="inlineStr"/>
    </row>
    <row r="1981" ht="15" customHeight="1">
      <c r="A1981" t="inlineStr">
        <is>
          <t>A 40997-2025</t>
        </is>
      </c>
      <c r="B1981" s="1" t="n">
        <v>45898.34453703704</v>
      </c>
      <c r="C1981" s="1" t="n">
        <v>46048</v>
      </c>
      <c r="D1981" t="inlineStr">
        <is>
          <t>VÄSTERNORRLANDS LÄN</t>
        </is>
      </c>
      <c r="E1981" t="inlineStr">
        <is>
          <t>SOLLEFTEÅ</t>
        </is>
      </c>
      <c r="F1981" t="inlineStr">
        <is>
          <t>SCA</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41449-2025</t>
        </is>
      </c>
      <c r="B1982" s="1" t="n">
        <v>45901.42787037037</v>
      </c>
      <c r="C1982" s="1" t="n">
        <v>46048</v>
      </c>
      <c r="D1982" t="inlineStr">
        <is>
          <t>VÄSTERNORRLANDS LÄN</t>
        </is>
      </c>
      <c r="E1982" t="inlineStr">
        <is>
          <t>SOLLEFTEÅ</t>
        </is>
      </c>
      <c r="F1982" t="inlineStr">
        <is>
          <t>SCA</t>
        </is>
      </c>
      <c r="G1982" t="n">
        <v>5.7</v>
      </c>
      <c r="H1982" t="n">
        <v>0</v>
      </c>
      <c r="I1982" t="n">
        <v>0</v>
      </c>
      <c r="J1982" t="n">
        <v>0</v>
      </c>
      <c r="K1982" t="n">
        <v>0</v>
      </c>
      <c r="L1982" t="n">
        <v>0</v>
      </c>
      <c r="M1982" t="n">
        <v>0</v>
      </c>
      <c r="N1982" t="n">
        <v>0</v>
      </c>
      <c r="O1982" t="n">
        <v>0</v>
      </c>
      <c r="P1982" t="n">
        <v>0</v>
      </c>
      <c r="Q1982" t="n">
        <v>0</v>
      </c>
      <c r="R1982" s="2" t="inlineStr"/>
    </row>
    <row r="1983" ht="15" customHeight="1">
      <c r="A1983" t="inlineStr">
        <is>
          <t>A 41472-2025</t>
        </is>
      </c>
      <c r="B1983" s="1" t="n">
        <v>45901.4693287037</v>
      </c>
      <c r="C1983" s="1" t="n">
        <v>46048</v>
      </c>
      <c r="D1983" t="inlineStr">
        <is>
          <t>VÄSTERNORRLANDS LÄN</t>
        </is>
      </c>
      <c r="E1983" t="inlineStr">
        <is>
          <t>SOLLEFTEÅ</t>
        </is>
      </c>
      <c r="F1983" t="inlineStr">
        <is>
          <t>SCA</t>
        </is>
      </c>
      <c r="G1983" t="n">
        <v>6.1</v>
      </c>
      <c r="H1983" t="n">
        <v>0</v>
      </c>
      <c r="I1983" t="n">
        <v>0</v>
      </c>
      <c r="J1983" t="n">
        <v>0</v>
      </c>
      <c r="K1983" t="n">
        <v>0</v>
      </c>
      <c r="L1983" t="n">
        <v>0</v>
      </c>
      <c r="M1983" t="n">
        <v>0</v>
      </c>
      <c r="N1983" t="n">
        <v>0</v>
      </c>
      <c r="O1983" t="n">
        <v>0</v>
      </c>
      <c r="P1983" t="n">
        <v>0</v>
      </c>
      <c r="Q1983" t="n">
        <v>0</v>
      </c>
      <c r="R1983" s="2" t="inlineStr"/>
    </row>
    <row r="1984" ht="15" customHeight="1">
      <c r="A1984" t="inlineStr">
        <is>
          <t>A 41494-2025</t>
        </is>
      </c>
      <c r="B1984" s="1" t="n">
        <v>45901</v>
      </c>
      <c r="C1984" s="1" t="n">
        <v>46048</v>
      </c>
      <c r="D1984" t="inlineStr">
        <is>
          <t>VÄSTERNORRLANDS LÄN</t>
        </is>
      </c>
      <c r="E1984" t="inlineStr">
        <is>
          <t>SOLLEFTEÅ</t>
        </is>
      </c>
      <c r="F1984" t="inlineStr">
        <is>
          <t>Holmen skog AB</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29693-2024</t>
        </is>
      </c>
      <c r="B1985" s="1" t="n">
        <v>45484.94490740741</v>
      </c>
      <c r="C1985" s="1" t="n">
        <v>46048</v>
      </c>
      <c r="D1985" t="inlineStr">
        <is>
          <t>VÄSTERNORRLANDS LÄN</t>
        </is>
      </c>
      <c r="E1985" t="inlineStr">
        <is>
          <t>SOLLEFTEÅ</t>
        </is>
      </c>
      <c r="F1985" t="inlineStr">
        <is>
          <t>SCA</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9632-2025</t>
        </is>
      </c>
      <c r="B1986" s="1" t="n">
        <v>45715.71921296296</v>
      </c>
      <c r="C1986" s="1" t="n">
        <v>46048</v>
      </c>
      <c r="D1986" t="inlineStr">
        <is>
          <t>VÄSTERNORRLANDS LÄN</t>
        </is>
      </c>
      <c r="E1986" t="inlineStr">
        <is>
          <t>SOLLEFTEÅ</t>
        </is>
      </c>
      <c r="F1986" t="inlineStr">
        <is>
          <t>SCA</t>
        </is>
      </c>
      <c r="G1986" t="n">
        <v>21.6</v>
      </c>
      <c r="H1986" t="n">
        <v>0</v>
      </c>
      <c r="I1986" t="n">
        <v>0</v>
      </c>
      <c r="J1986" t="n">
        <v>0</v>
      </c>
      <c r="K1986" t="n">
        <v>0</v>
      </c>
      <c r="L1986" t="n">
        <v>0</v>
      </c>
      <c r="M1986" t="n">
        <v>0</v>
      </c>
      <c r="N1986" t="n">
        <v>0</v>
      </c>
      <c r="O1986" t="n">
        <v>0</v>
      </c>
      <c r="P1986" t="n">
        <v>0</v>
      </c>
      <c r="Q1986" t="n">
        <v>0</v>
      </c>
      <c r="R1986" s="2" t="inlineStr"/>
    </row>
    <row r="1987" ht="15" customHeight="1">
      <c r="A1987" t="inlineStr">
        <is>
          <t>A 42631-2024</t>
        </is>
      </c>
      <c r="B1987" s="1" t="n">
        <v>45565</v>
      </c>
      <c r="C1987" s="1" t="n">
        <v>46048</v>
      </c>
      <c r="D1987" t="inlineStr">
        <is>
          <t>VÄSTERNORRLANDS LÄN</t>
        </is>
      </c>
      <c r="E1987" t="inlineStr">
        <is>
          <t>SOLLEFTEÅ</t>
        </is>
      </c>
      <c r="F1987" t="inlineStr">
        <is>
          <t>Holmen skog AB</t>
        </is>
      </c>
      <c r="G1987" t="n">
        <v>6.6</v>
      </c>
      <c r="H1987" t="n">
        <v>0</v>
      </c>
      <c r="I1987" t="n">
        <v>0</v>
      </c>
      <c r="J1987" t="n">
        <v>0</v>
      </c>
      <c r="K1987" t="n">
        <v>0</v>
      </c>
      <c r="L1987" t="n">
        <v>0</v>
      </c>
      <c r="M1987" t="n">
        <v>0</v>
      </c>
      <c r="N1987" t="n">
        <v>0</v>
      </c>
      <c r="O1987" t="n">
        <v>0</v>
      </c>
      <c r="P1987" t="n">
        <v>0</v>
      </c>
      <c r="Q1987" t="n">
        <v>0</v>
      </c>
      <c r="R1987" s="2" t="inlineStr"/>
    </row>
    <row r="1988" ht="15" customHeight="1">
      <c r="A1988" t="inlineStr">
        <is>
          <t>A 47631-2024</t>
        </is>
      </c>
      <c r="B1988" s="1" t="n">
        <v>45588.34465277778</v>
      </c>
      <c r="C1988" s="1" t="n">
        <v>46048</v>
      </c>
      <c r="D1988" t="inlineStr">
        <is>
          <t>VÄSTERNORRLANDS LÄN</t>
        </is>
      </c>
      <c r="E1988" t="inlineStr">
        <is>
          <t>SOLLEFTEÅ</t>
        </is>
      </c>
      <c r="F1988" t="inlineStr">
        <is>
          <t>SCA</t>
        </is>
      </c>
      <c r="G1988" t="n">
        <v>2.7</v>
      </c>
      <c r="H1988" t="n">
        <v>0</v>
      </c>
      <c r="I1988" t="n">
        <v>0</v>
      </c>
      <c r="J1988" t="n">
        <v>0</v>
      </c>
      <c r="K1988" t="n">
        <v>0</v>
      </c>
      <c r="L1988" t="n">
        <v>0</v>
      </c>
      <c r="M1988" t="n">
        <v>0</v>
      </c>
      <c r="N1988" t="n">
        <v>0</v>
      </c>
      <c r="O1988" t="n">
        <v>0</v>
      </c>
      <c r="P1988" t="n">
        <v>0</v>
      </c>
      <c r="Q1988" t="n">
        <v>0</v>
      </c>
      <c r="R1988" s="2" t="inlineStr"/>
    </row>
    <row r="1989" ht="15" customHeight="1">
      <c r="A1989" t="inlineStr">
        <is>
          <t>A 41540-2025</t>
        </is>
      </c>
      <c r="B1989" s="1" t="n">
        <v>45901.56833333334</v>
      </c>
      <c r="C1989" s="1" t="n">
        <v>46048</v>
      </c>
      <c r="D1989" t="inlineStr">
        <is>
          <t>VÄSTERNORRLANDS LÄN</t>
        </is>
      </c>
      <c r="E1989" t="inlineStr">
        <is>
          <t>SOLLEFTEÅ</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60827-2024</t>
        </is>
      </c>
      <c r="B1990" s="1" t="n">
        <v>45644.63590277778</v>
      </c>
      <c r="C1990" s="1" t="n">
        <v>46048</v>
      </c>
      <c r="D1990" t="inlineStr">
        <is>
          <t>VÄSTERNORRLANDS LÄN</t>
        </is>
      </c>
      <c r="E1990" t="inlineStr">
        <is>
          <t>SOLLEFTEÅ</t>
        </is>
      </c>
      <c r="F1990" t="inlineStr">
        <is>
          <t>SCA</t>
        </is>
      </c>
      <c r="G1990" t="n">
        <v>3.5</v>
      </c>
      <c r="H1990" t="n">
        <v>0</v>
      </c>
      <c r="I1990" t="n">
        <v>0</v>
      </c>
      <c r="J1990" t="n">
        <v>0</v>
      </c>
      <c r="K1990" t="n">
        <v>0</v>
      </c>
      <c r="L1990" t="n">
        <v>0</v>
      </c>
      <c r="M1990" t="n">
        <v>0</v>
      </c>
      <c r="N1990" t="n">
        <v>0</v>
      </c>
      <c r="O1990" t="n">
        <v>0</v>
      </c>
      <c r="P1990" t="n">
        <v>0</v>
      </c>
      <c r="Q1990" t="n">
        <v>0</v>
      </c>
      <c r="R1990" s="2" t="inlineStr"/>
    </row>
    <row r="1991" ht="15" customHeight="1">
      <c r="A1991" t="inlineStr">
        <is>
          <t>A 41473-2025</t>
        </is>
      </c>
      <c r="B1991" s="1" t="n">
        <v>45901.46952546296</v>
      </c>
      <c r="C1991" s="1" t="n">
        <v>46048</v>
      </c>
      <c r="D1991" t="inlineStr">
        <is>
          <t>VÄSTERNORRLANDS LÄN</t>
        </is>
      </c>
      <c r="E1991" t="inlineStr">
        <is>
          <t>SOLLEFTEÅ</t>
        </is>
      </c>
      <c r="F1991" t="inlineStr">
        <is>
          <t>SCA</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42064-2025</t>
        </is>
      </c>
      <c r="B1992" s="1" t="n">
        <v>45903.6527199074</v>
      </c>
      <c r="C1992" s="1" t="n">
        <v>46048</v>
      </c>
      <c r="D1992" t="inlineStr">
        <is>
          <t>VÄSTERNORRLANDS LÄN</t>
        </is>
      </c>
      <c r="E1992" t="inlineStr">
        <is>
          <t>SOLLEFTEÅ</t>
        </is>
      </c>
      <c r="G1992" t="n">
        <v>4.1</v>
      </c>
      <c r="H1992" t="n">
        <v>0</v>
      </c>
      <c r="I1992" t="n">
        <v>0</v>
      </c>
      <c r="J1992" t="n">
        <v>0</v>
      </c>
      <c r="K1992" t="n">
        <v>0</v>
      </c>
      <c r="L1992" t="n">
        <v>0</v>
      </c>
      <c r="M1992" t="n">
        <v>0</v>
      </c>
      <c r="N1992" t="n">
        <v>0</v>
      </c>
      <c r="O1992" t="n">
        <v>0</v>
      </c>
      <c r="P1992" t="n">
        <v>0</v>
      </c>
      <c r="Q1992" t="n">
        <v>0</v>
      </c>
      <c r="R1992" s="2" t="inlineStr"/>
    </row>
    <row r="1993" ht="15" customHeight="1">
      <c r="A1993" t="inlineStr">
        <is>
          <t>A 41925-2025</t>
        </is>
      </c>
      <c r="B1993" s="1" t="n">
        <v>45903.4275</v>
      </c>
      <c r="C1993" s="1" t="n">
        <v>46048</v>
      </c>
      <c r="D1993" t="inlineStr">
        <is>
          <t>VÄSTERNORRLANDS LÄN</t>
        </is>
      </c>
      <c r="E1993" t="inlineStr">
        <is>
          <t>SOLLEFTEÅ</t>
        </is>
      </c>
      <c r="G1993" t="n">
        <v>3.6</v>
      </c>
      <c r="H1993" t="n">
        <v>0</v>
      </c>
      <c r="I1993" t="n">
        <v>0</v>
      </c>
      <c r="J1993" t="n">
        <v>0</v>
      </c>
      <c r="K1993" t="n">
        <v>0</v>
      </c>
      <c r="L1993" t="n">
        <v>0</v>
      </c>
      <c r="M1993" t="n">
        <v>0</v>
      </c>
      <c r="N1993" t="n">
        <v>0</v>
      </c>
      <c r="O1993" t="n">
        <v>0</v>
      </c>
      <c r="P1993" t="n">
        <v>0</v>
      </c>
      <c r="Q1993" t="n">
        <v>0</v>
      </c>
      <c r="R1993" s="2" t="inlineStr"/>
    </row>
    <row r="1994" ht="15" customHeight="1">
      <c r="A1994" t="inlineStr">
        <is>
          <t>A 6236-2023</t>
        </is>
      </c>
      <c r="B1994" s="1" t="n">
        <v>44964</v>
      </c>
      <c r="C1994" s="1" t="n">
        <v>46048</v>
      </c>
      <c r="D1994" t="inlineStr">
        <is>
          <t>VÄSTERNORRLANDS LÄN</t>
        </is>
      </c>
      <c r="E1994" t="inlineStr">
        <is>
          <t>SOLLEFTEÅ</t>
        </is>
      </c>
      <c r="F1994" t="inlineStr">
        <is>
          <t>SCA</t>
        </is>
      </c>
      <c r="G1994" t="n">
        <v>0.1</v>
      </c>
      <c r="H1994" t="n">
        <v>0</v>
      </c>
      <c r="I1994" t="n">
        <v>0</v>
      </c>
      <c r="J1994" t="n">
        <v>0</v>
      </c>
      <c r="K1994" t="n">
        <v>0</v>
      </c>
      <c r="L1994" t="n">
        <v>0</v>
      </c>
      <c r="M1994" t="n">
        <v>0</v>
      </c>
      <c r="N1994" t="n">
        <v>0</v>
      </c>
      <c r="O1994" t="n">
        <v>0</v>
      </c>
      <c r="P1994" t="n">
        <v>0</v>
      </c>
      <c r="Q1994" t="n">
        <v>0</v>
      </c>
      <c r="R1994" s="2" t="inlineStr"/>
      <c r="U1994">
        <f>HYPERLINK("https://klasma.github.io/Logging_2283/knärot/A 6236-2023 karta knärot.png", "A 6236-2023")</f>
        <v/>
      </c>
      <c r="V1994">
        <f>HYPERLINK("https://klasma.github.io/Logging_2283/klagomål/A 6236-2023 FSC-klagomål.docx", "A 6236-2023")</f>
        <v/>
      </c>
      <c r="W1994">
        <f>HYPERLINK("https://klasma.github.io/Logging_2283/klagomålsmail/A 6236-2023 FSC-klagomål mail.docx", "A 6236-2023")</f>
        <v/>
      </c>
      <c r="X1994">
        <f>HYPERLINK("https://klasma.github.io/Logging_2283/tillsyn/A 6236-2023 tillsynsbegäran.docx", "A 6236-2023")</f>
        <v/>
      </c>
      <c r="Y1994">
        <f>HYPERLINK("https://klasma.github.io/Logging_2283/tillsynsmail/A 6236-2023 tillsynsbegäran mail.docx", "A 6236-2023")</f>
        <v/>
      </c>
    </row>
    <row r="1995" ht="15" customHeight="1">
      <c r="A1995" t="inlineStr">
        <is>
          <t>A 73564-2021</t>
        </is>
      </c>
      <c r="B1995" s="1" t="n">
        <v>44551.9409375</v>
      </c>
      <c r="C1995" s="1" t="n">
        <v>46048</v>
      </c>
      <c r="D1995" t="inlineStr">
        <is>
          <t>VÄSTERNORRLANDS LÄN</t>
        </is>
      </c>
      <c r="E1995" t="inlineStr">
        <is>
          <t>SOLLEFTEÅ</t>
        </is>
      </c>
      <c r="F1995" t="inlineStr">
        <is>
          <t>SCA</t>
        </is>
      </c>
      <c r="G1995" t="n">
        <v>3.6</v>
      </c>
      <c r="H1995" t="n">
        <v>0</v>
      </c>
      <c r="I1995" t="n">
        <v>0</v>
      </c>
      <c r="J1995" t="n">
        <v>0</v>
      </c>
      <c r="K1995" t="n">
        <v>0</v>
      </c>
      <c r="L1995" t="n">
        <v>0</v>
      </c>
      <c r="M1995" t="n">
        <v>0</v>
      </c>
      <c r="N1995" t="n">
        <v>0</v>
      </c>
      <c r="O1995" t="n">
        <v>0</v>
      </c>
      <c r="P1995" t="n">
        <v>0</v>
      </c>
      <c r="Q1995" t="n">
        <v>0</v>
      </c>
      <c r="R1995" s="2" t="inlineStr"/>
    </row>
    <row r="1996" ht="15" customHeight="1">
      <c r="A1996" t="inlineStr">
        <is>
          <t>A 10618-2024</t>
        </is>
      </c>
      <c r="B1996" s="1" t="n">
        <v>45367</v>
      </c>
      <c r="C1996" s="1" t="n">
        <v>46048</v>
      </c>
      <c r="D1996" t="inlineStr">
        <is>
          <t>VÄSTERNORRLANDS LÄN</t>
        </is>
      </c>
      <c r="E1996" t="inlineStr">
        <is>
          <t>SOLLEFTEÅ</t>
        </is>
      </c>
      <c r="F1996" t="inlineStr">
        <is>
          <t>SCA</t>
        </is>
      </c>
      <c r="G1996" t="n">
        <v>21.1</v>
      </c>
      <c r="H1996" t="n">
        <v>0</v>
      </c>
      <c r="I1996" t="n">
        <v>0</v>
      </c>
      <c r="J1996" t="n">
        <v>0</v>
      </c>
      <c r="K1996" t="n">
        <v>0</v>
      </c>
      <c r="L1996" t="n">
        <v>0</v>
      </c>
      <c r="M1996" t="n">
        <v>0</v>
      </c>
      <c r="N1996" t="n">
        <v>0</v>
      </c>
      <c r="O1996" t="n">
        <v>0</v>
      </c>
      <c r="P1996" t="n">
        <v>0</v>
      </c>
      <c r="Q1996" t="n">
        <v>0</v>
      </c>
      <c r="R1996" s="2" t="inlineStr"/>
    </row>
    <row r="1997" ht="15" customHeight="1">
      <c r="A1997" t="inlineStr">
        <is>
          <t>A 42081-2025</t>
        </is>
      </c>
      <c r="B1997" s="1" t="n">
        <v>45902</v>
      </c>
      <c r="C1997" s="1" t="n">
        <v>46048</v>
      </c>
      <c r="D1997" t="inlineStr">
        <is>
          <t>VÄSTERNORRLANDS LÄN</t>
        </is>
      </c>
      <c r="E1997" t="inlineStr">
        <is>
          <t>SOLLEFTEÅ</t>
        </is>
      </c>
      <c r="G1997" t="n">
        <v>9.300000000000001</v>
      </c>
      <c r="H1997" t="n">
        <v>0</v>
      </c>
      <c r="I1997" t="n">
        <v>0</v>
      </c>
      <c r="J1997" t="n">
        <v>0</v>
      </c>
      <c r="K1997" t="n">
        <v>0</v>
      </c>
      <c r="L1997" t="n">
        <v>0</v>
      </c>
      <c r="M1997" t="n">
        <v>0</v>
      </c>
      <c r="N1997" t="n">
        <v>0</v>
      </c>
      <c r="O1997" t="n">
        <v>0</v>
      </c>
      <c r="P1997" t="n">
        <v>0</v>
      </c>
      <c r="Q1997" t="n">
        <v>0</v>
      </c>
      <c r="R1997" s="2" t="inlineStr"/>
    </row>
    <row r="1998" ht="15" customHeight="1">
      <c r="A1998" t="inlineStr">
        <is>
          <t>A 13150-2025</t>
        </is>
      </c>
      <c r="B1998" s="1" t="n">
        <v>45735.34439814815</v>
      </c>
      <c r="C1998" s="1" t="n">
        <v>46048</v>
      </c>
      <c r="D1998" t="inlineStr">
        <is>
          <t>VÄSTERNORRLANDS LÄN</t>
        </is>
      </c>
      <c r="E1998" t="inlineStr">
        <is>
          <t>SOLLEFTEÅ</t>
        </is>
      </c>
      <c r="F1998" t="inlineStr">
        <is>
          <t>SCA</t>
        </is>
      </c>
      <c r="G1998" t="n">
        <v>8.1</v>
      </c>
      <c r="H1998" t="n">
        <v>0</v>
      </c>
      <c r="I1998" t="n">
        <v>0</v>
      </c>
      <c r="J1998" t="n">
        <v>0</v>
      </c>
      <c r="K1998" t="n">
        <v>0</v>
      </c>
      <c r="L1998" t="n">
        <v>0</v>
      </c>
      <c r="M1998" t="n">
        <v>0</v>
      </c>
      <c r="N1998" t="n">
        <v>0</v>
      </c>
      <c r="O1998" t="n">
        <v>0</v>
      </c>
      <c r="P1998" t="n">
        <v>0</v>
      </c>
      <c r="Q1998" t="n">
        <v>0</v>
      </c>
      <c r="R1998" s="2" t="inlineStr"/>
    </row>
    <row r="1999" ht="15" customHeight="1">
      <c r="A1999" t="inlineStr">
        <is>
          <t>A 41948-2025</t>
        </is>
      </c>
      <c r="B1999" s="1" t="n">
        <v>45903.45092592593</v>
      </c>
      <c r="C1999" s="1" t="n">
        <v>46048</v>
      </c>
      <c r="D1999" t="inlineStr">
        <is>
          <t>VÄSTERNORRLANDS LÄN</t>
        </is>
      </c>
      <c r="E1999" t="inlineStr">
        <is>
          <t>SOLLEFTEÅ</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25314-2023</t>
        </is>
      </c>
      <c r="B2000" s="1" t="n">
        <v>45086</v>
      </c>
      <c r="C2000" s="1" t="n">
        <v>46048</v>
      </c>
      <c r="D2000" t="inlineStr">
        <is>
          <t>VÄSTERNORRLANDS LÄN</t>
        </is>
      </c>
      <c r="E2000" t="inlineStr">
        <is>
          <t>SOLLEFTEÅ</t>
        </is>
      </c>
      <c r="G2000" t="n">
        <v>3.2</v>
      </c>
      <c r="H2000" t="n">
        <v>0</v>
      </c>
      <c r="I2000" t="n">
        <v>0</v>
      </c>
      <c r="J2000" t="n">
        <v>0</v>
      </c>
      <c r="K2000" t="n">
        <v>0</v>
      </c>
      <c r="L2000" t="n">
        <v>0</v>
      </c>
      <c r="M2000" t="n">
        <v>0</v>
      </c>
      <c r="N2000" t="n">
        <v>0</v>
      </c>
      <c r="O2000" t="n">
        <v>0</v>
      </c>
      <c r="P2000" t="n">
        <v>0</v>
      </c>
      <c r="Q2000" t="n">
        <v>0</v>
      </c>
      <c r="R2000" s="2" t="inlineStr"/>
    </row>
    <row r="2001" ht="15" customHeight="1">
      <c r="A2001" t="inlineStr">
        <is>
          <t>A 16795-2025</t>
        </is>
      </c>
      <c r="B2001" s="1" t="n">
        <v>45754.61487268518</v>
      </c>
      <c r="C2001" s="1" t="n">
        <v>46048</v>
      </c>
      <c r="D2001" t="inlineStr">
        <is>
          <t>VÄSTERNORRLANDS LÄN</t>
        </is>
      </c>
      <c r="E2001" t="inlineStr">
        <is>
          <t>SOLLEFTEÅ</t>
        </is>
      </c>
      <c r="F2001" t="inlineStr">
        <is>
          <t>SCA</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41829-2025</t>
        </is>
      </c>
      <c r="B2002" s="1" t="n">
        <v>45902</v>
      </c>
      <c r="C2002" s="1" t="n">
        <v>46048</v>
      </c>
      <c r="D2002" t="inlineStr">
        <is>
          <t>VÄSTERNORRLANDS LÄN</t>
        </is>
      </c>
      <c r="E2002" t="inlineStr">
        <is>
          <t>SOLLEFTEÅ</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56262-2023</t>
        </is>
      </c>
      <c r="B2003" s="1" t="n">
        <v>45240</v>
      </c>
      <c r="C2003" s="1" t="n">
        <v>46048</v>
      </c>
      <c r="D2003" t="inlineStr">
        <is>
          <t>VÄSTERNORRLANDS LÄN</t>
        </is>
      </c>
      <c r="E2003" t="inlineStr">
        <is>
          <t>SOLLEFTEÅ</t>
        </is>
      </c>
      <c r="F2003" t="inlineStr">
        <is>
          <t>SCA</t>
        </is>
      </c>
      <c r="G2003" t="n">
        <v>2.7</v>
      </c>
      <c r="H2003" t="n">
        <v>0</v>
      </c>
      <c r="I2003" t="n">
        <v>0</v>
      </c>
      <c r="J2003" t="n">
        <v>0</v>
      </c>
      <c r="K2003" t="n">
        <v>0</v>
      </c>
      <c r="L2003" t="n">
        <v>0</v>
      </c>
      <c r="M2003" t="n">
        <v>0</v>
      </c>
      <c r="N2003" t="n">
        <v>0</v>
      </c>
      <c r="O2003" t="n">
        <v>0</v>
      </c>
      <c r="P2003" t="n">
        <v>0</v>
      </c>
      <c r="Q2003" t="n">
        <v>0</v>
      </c>
      <c r="R2003" s="2" t="inlineStr"/>
    </row>
    <row r="2004" ht="15" customHeight="1">
      <c r="A2004" t="inlineStr">
        <is>
          <t>A 42041-2025</t>
        </is>
      </c>
      <c r="B2004" s="1" t="n">
        <v>45903.61568287037</v>
      </c>
      <c r="C2004" s="1" t="n">
        <v>46048</v>
      </c>
      <c r="D2004" t="inlineStr">
        <is>
          <t>VÄSTERNORRLANDS LÄN</t>
        </is>
      </c>
      <c r="E2004" t="inlineStr">
        <is>
          <t>SOLLEFTEÅ</t>
        </is>
      </c>
      <c r="F2004" t="inlineStr">
        <is>
          <t>SCA</t>
        </is>
      </c>
      <c r="G2004" t="n">
        <v>7.9</v>
      </c>
      <c r="H2004" t="n">
        <v>0</v>
      </c>
      <c r="I2004" t="n">
        <v>0</v>
      </c>
      <c r="J2004" t="n">
        <v>0</v>
      </c>
      <c r="K2004" t="n">
        <v>0</v>
      </c>
      <c r="L2004" t="n">
        <v>0</v>
      </c>
      <c r="M2004" t="n">
        <v>0</v>
      </c>
      <c r="N2004" t="n">
        <v>0</v>
      </c>
      <c r="O2004" t="n">
        <v>0</v>
      </c>
      <c r="P2004" t="n">
        <v>0</v>
      </c>
      <c r="Q2004" t="n">
        <v>0</v>
      </c>
      <c r="R2004" s="2" t="inlineStr"/>
    </row>
    <row r="2005" ht="15" customHeight="1">
      <c r="A2005" t="inlineStr">
        <is>
          <t>A 1997-2022</t>
        </is>
      </c>
      <c r="B2005" s="1" t="n">
        <v>44575</v>
      </c>
      <c r="C2005" s="1" t="n">
        <v>46048</v>
      </c>
      <c r="D2005" t="inlineStr">
        <is>
          <t>VÄSTERNORRLANDS LÄN</t>
        </is>
      </c>
      <c r="E2005" t="inlineStr">
        <is>
          <t>SOLLEFTEÅ</t>
        </is>
      </c>
      <c r="G2005" t="n">
        <v>8.800000000000001</v>
      </c>
      <c r="H2005" t="n">
        <v>0</v>
      </c>
      <c r="I2005" t="n">
        <v>0</v>
      </c>
      <c r="J2005" t="n">
        <v>0</v>
      </c>
      <c r="K2005" t="n">
        <v>0</v>
      </c>
      <c r="L2005" t="n">
        <v>0</v>
      </c>
      <c r="M2005" t="n">
        <v>0</v>
      </c>
      <c r="N2005" t="n">
        <v>0</v>
      </c>
      <c r="O2005" t="n">
        <v>0</v>
      </c>
      <c r="P2005" t="n">
        <v>0</v>
      </c>
      <c r="Q2005" t="n">
        <v>0</v>
      </c>
      <c r="R2005" s="2" t="inlineStr"/>
    </row>
    <row r="2006" ht="15" customHeight="1">
      <c r="A2006" t="inlineStr">
        <is>
          <t>A 7942-2025</t>
        </is>
      </c>
      <c r="B2006" s="1" t="n">
        <v>45707</v>
      </c>
      <c r="C2006" s="1" t="n">
        <v>46048</v>
      </c>
      <c r="D2006" t="inlineStr">
        <is>
          <t>VÄSTERNORRLANDS LÄN</t>
        </is>
      </c>
      <c r="E2006" t="inlineStr">
        <is>
          <t>SOLLEFTEÅ</t>
        </is>
      </c>
      <c r="F2006" t="inlineStr">
        <is>
          <t>SCA</t>
        </is>
      </c>
      <c r="G2006" t="n">
        <v>6.2</v>
      </c>
      <c r="H2006" t="n">
        <v>0</v>
      </c>
      <c r="I2006" t="n">
        <v>0</v>
      </c>
      <c r="J2006" t="n">
        <v>0</v>
      </c>
      <c r="K2006" t="n">
        <v>0</v>
      </c>
      <c r="L2006" t="n">
        <v>0</v>
      </c>
      <c r="M2006" t="n">
        <v>0</v>
      </c>
      <c r="N2006" t="n">
        <v>0</v>
      </c>
      <c r="O2006" t="n">
        <v>0</v>
      </c>
      <c r="P2006" t="n">
        <v>0</v>
      </c>
      <c r="Q2006" t="n">
        <v>0</v>
      </c>
      <c r="R2006" s="2" t="inlineStr"/>
    </row>
    <row r="2007" ht="15" customHeight="1">
      <c r="A2007" t="inlineStr">
        <is>
          <t>A 32812-2024</t>
        </is>
      </c>
      <c r="B2007" s="1" t="n">
        <v>45516</v>
      </c>
      <c r="C2007" s="1" t="n">
        <v>46048</v>
      </c>
      <c r="D2007" t="inlineStr">
        <is>
          <t>VÄSTERNORRLANDS LÄN</t>
        </is>
      </c>
      <c r="E2007" t="inlineStr">
        <is>
          <t>SOLLEFTEÅ</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42199-2025</t>
        </is>
      </c>
      <c r="B2008" s="1" t="n">
        <v>45904.48640046296</v>
      </c>
      <c r="C2008" s="1" t="n">
        <v>46048</v>
      </c>
      <c r="D2008" t="inlineStr">
        <is>
          <t>VÄSTERNORRLANDS LÄN</t>
        </is>
      </c>
      <c r="E2008" t="inlineStr">
        <is>
          <t>SOLLEFTEÅ</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31428-2025</t>
        </is>
      </c>
      <c r="B2009" s="1" t="n">
        <v>45833.4930787037</v>
      </c>
      <c r="C2009" s="1" t="n">
        <v>46048</v>
      </c>
      <c r="D2009" t="inlineStr">
        <is>
          <t>VÄSTERNORRLANDS LÄN</t>
        </is>
      </c>
      <c r="E2009" t="inlineStr">
        <is>
          <t>SOLLEFTEÅ</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42396-2025</t>
        </is>
      </c>
      <c r="B2010" s="1" t="n">
        <v>45905.36559027778</v>
      </c>
      <c r="C2010" s="1" t="n">
        <v>46048</v>
      </c>
      <c r="D2010" t="inlineStr">
        <is>
          <t>VÄSTERNORRLANDS LÄN</t>
        </is>
      </c>
      <c r="E2010" t="inlineStr">
        <is>
          <t>SOLLEFTEÅ</t>
        </is>
      </c>
      <c r="G2010" t="n">
        <v>2.9</v>
      </c>
      <c r="H2010" t="n">
        <v>0</v>
      </c>
      <c r="I2010" t="n">
        <v>0</v>
      </c>
      <c r="J2010" t="n">
        <v>0</v>
      </c>
      <c r="K2010" t="n">
        <v>0</v>
      </c>
      <c r="L2010" t="n">
        <v>0</v>
      </c>
      <c r="M2010" t="n">
        <v>0</v>
      </c>
      <c r="N2010" t="n">
        <v>0</v>
      </c>
      <c r="O2010" t="n">
        <v>0</v>
      </c>
      <c r="P2010" t="n">
        <v>0</v>
      </c>
      <c r="Q2010" t="n">
        <v>0</v>
      </c>
      <c r="R2010" s="2" t="inlineStr"/>
    </row>
    <row r="2011" ht="15" customHeight="1">
      <c r="A2011" t="inlineStr">
        <is>
          <t>A 48083-2023</t>
        </is>
      </c>
      <c r="B2011" s="1" t="n">
        <v>45204</v>
      </c>
      <c r="C2011" s="1" t="n">
        <v>46048</v>
      </c>
      <c r="D2011" t="inlineStr">
        <is>
          <t>VÄSTERNORRLANDS LÄN</t>
        </is>
      </c>
      <c r="E2011" t="inlineStr">
        <is>
          <t>SOLLEFTEÅ</t>
        </is>
      </c>
      <c r="F2011" t="inlineStr">
        <is>
          <t>SCA</t>
        </is>
      </c>
      <c r="G2011" t="n">
        <v>2.8</v>
      </c>
      <c r="H2011" t="n">
        <v>0</v>
      </c>
      <c r="I2011" t="n">
        <v>0</v>
      </c>
      <c r="J2011" t="n">
        <v>0</v>
      </c>
      <c r="K2011" t="n">
        <v>0</v>
      </c>
      <c r="L2011" t="n">
        <v>0</v>
      </c>
      <c r="M2011" t="n">
        <v>0</v>
      </c>
      <c r="N2011" t="n">
        <v>0</v>
      </c>
      <c r="O2011" t="n">
        <v>0</v>
      </c>
      <c r="P2011" t="n">
        <v>0</v>
      </c>
      <c r="Q2011" t="n">
        <v>0</v>
      </c>
      <c r="R2011" s="2" t="inlineStr"/>
    </row>
    <row r="2012" ht="15" customHeight="1">
      <c r="A2012" t="inlineStr">
        <is>
          <t>A 42127-2025</t>
        </is>
      </c>
      <c r="B2012" s="1" t="n">
        <v>45904.34502314815</v>
      </c>
      <c r="C2012" s="1" t="n">
        <v>46048</v>
      </c>
      <c r="D2012" t="inlineStr">
        <is>
          <t>VÄSTERNORRLANDS LÄN</t>
        </is>
      </c>
      <c r="E2012" t="inlineStr">
        <is>
          <t>SOLLEFTEÅ</t>
        </is>
      </c>
      <c r="F2012" t="inlineStr">
        <is>
          <t>SCA</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42192-2025</t>
        </is>
      </c>
      <c r="B2013" s="1" t="n">
        <v>45904.47975694444</v>
      </c>
      <c r="C2013" s="1" t="n">
        <v>46048</v>
      </c>
      <c r="D2013" t="inlineStr">
        <is>
          <t>VÄSTERNORRLANDS LÄN</t>
        </is>
      </c>
      <c r="E2013" t="inlineStr">
        <is>
          <t>SOLLEFTEÅ</t>
        </is>
      </c>
      <c r="G2013" t="n">
        <v>5.6</v>
      </c>
      <c r="H2013" t="n">
        <v>0</v>
      </c>
      <c r="I2013" t="n">
        <v>0</v>
      </c>
      <c r="J2013" t="n">
        <v>0</v>
      </c>
      <c r="K2013" t="n">
        <v>0</v>
      </c>
      <c r="L2013" t="n">
        <v>0</v>
      </c>
      <c r="M2013" t="n">
        <v>0</v>
      </c>
      <c r="N2013" t="n">
        <v>0</v>
      </c>
      <c r="O2013" t="n">
        <v>0</v>
      </c>
      <c r="P2013" t="n">
        <v>0</v>
      </c>
      <c r="Q2013" t="n">
        <v>0</v>
      </c>
      <c r="R2013" s="2" t="inlineStr"/>
    </row>
    <row r="2014" ht="15" customHeight="1">
      <c r="A2014" t="inlineStr">
        <is>
          <t>A 42191-2025</t>
        </is>
      </c>
      <c r="B2014" s="1" t="n">
        <v>45904.47394675926</v>
      </c>
      <c r="C2014" s="1" t="n">
        <v>46048</v>
      </c>
      <c r="D2014" t="inlineStr">
        <is>
          <t>VÄSTERNORRLANDS LÄN</t>
        </is>
      </c>
      <c r="E2014" t="inlineStr">
        <is>
          <t>SOLLEFTEÅ</t>
        </is>
      </c>
      <c r="G2014" t="n">
        <v>4.2</v>
      </c>
      <c r="H2014" t="n">
        <v>0</v>
      </c>
      <c r="I2014" t="n">
        <v>0</v>
      </c>
      <c r="J2014" t="n">
        <v>0</v>
      </c>
      <c r="K2014" t="n">
        <v>0</v>
      </c>
      <c r="L2014" t="n">
        <v>0</v>
      </c>
      <c r="M2014" t="n">
        <v>0</v>
      </c>
      <c r="N2014" t="n">
        <v>0</v>
      </c>
      <c r="O2014" t="n">
        <v>0</v>
      </c>
      <c r="P2014" t="n">
        <v>0</v>
      </c>
      <c r="Q2014" t="n">
        <v>0</v>
      </c>
      <c r="R2014" s="2" t="inlineStr"/>
    </row>
    <row r="2015" ht="15" customHeight="1">
      <c r="A2015" t="inlineStr">
        <is>
          <t>A 4261-2025</t>
        </is>
      </c>
      <c r="B2015" s="1" t="n">
        <v>45685.61785879629</v>
      </c>
      <c r="C2015" s="1" t="n">
        <v>46048</v>
      </c>
      <c r="D2015" t="inlineStr">
        <is>
          <t>VÄSTERNORRLANDS LÄN</t>
        </is>
      </c>
      <c r="E2015" t="inlineStr">
        <is>
          <t>SOLLEFTEÅ</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41834-2024</t>
        </is>
      </c>
      <c r="B2016" s="1" t="n">
        <v>45561.4084375</v>
      </c>
      <c r="C2016" s="1" t="n">
        <v>46048</v>
      </c>
      <c r="D2016" t="inlineStr">
        <is>
          <t>VÄSTERNORRLANDS LÄN</t>
        </is>
      </c>
      <c r="E2016" t="inlineStr">
        <is>
          <t>SOLLEFTEÅ</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42201-2025</t>
        </is>
      </c>
      <c r="B2017" s="1" t="n">
        <v>45904.48965277777</v>
      </c>
      <c r="C2017" s="1" t="n">
        <v>46048</v>
      </c>
      <c r="D2017" t="inlineStr">
        <is>
          <t>VÄSTERNORRLANDS LÄN</t>
        </is>
      </c>
      <c r="E2017" t="inlineStr">
        <is>
          <t>SOLLEFTEÅ</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41975-2024</t>
        </is>
      </c>
      <c r="B2018" s="1" t="n">
        <v>45561</v>
      </c>
      <c r="C2018" s="1" t="n">
        <v>46048</v>
      </c>
      <c r="D2018" t="inlineStr">
        <is>
          <t>VÄSTERNORRLANDS LÄN</t>
        </is>
      </c>
      <c r="E2018" t="inlineStr">
        <is>
          <t>SOLLEFTEÅ</t>
        </is>
      </c>
      <c r="G2018" t="n">
        <v>5.4</v>
      </c>
      <c r="H2018" t="n">
        <v>0</v>
      </c>
      <c r="I2018" t="n">
        <v>0</v>
      </c>
      <c r="J2018" t="n">
        <v>0</v>
      </c>
      <c r="K2018" t="n">
        <v>0</v>
      </c>
      <c r="L2018" t="n">
        <v>0</v>
      </c>
      <c r="M2018" t="n">
        <v>0</v>
      </c>
      <c r="N2018" t="n">
        <v>0</v>
      </c>
      <c r="O2018" t="n">
        <v>0</v>
      </c>
      <c r="P2018" t="n">
        <v>0</v>
      </c>
      <c r="Q2018" t="n">
        <v>0</v>
      </c>
      <c r="R2018" s="2" t="inlineStr"/>
    </row>
    <row r="2019" ht="15" customHeight="1">
      <c r="A2019" t="inlineStr">
        <is>
          <t>A 42733-2025</t>
        </is>
      </c>
      <c r="B2019" s="1" t="n">
        <v>45908.4071875</v>
      </c>
      <c r="C2019" s="1" t="n">
        <v>46048</v>
      </c>
      <c r="D2019" t="inlineStr">
        <is>
          <t>VÄSTERNORRLANDS LÄN</t>
        </is>
      </c>
      <c r="E2019" t="inlineStr">
        <is>
          <t>SOLLEFTEÅ</t>
        </is>
      </c>
      <c r="F2019" t="inlineStr">
        <is>
          <t>SCA</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42901-2025</t>
        </is>
      </c>
      <c r="B2020" s="1" t="n">
        <v>45908.67736111111</v>
      </c>
      <c r="C2020" s="1" t="n">
        <v>46048</v>
      </c>
      <c r="D2020" t="inlineStr">
        <is>
          <t>VÄSTERNORRLANDS LÄN</t>
        </is>
      </c>
      <c r="E2020" t="inlineStr">
        <is>
          <t>SOLLEFTEÅ</t>
        </is>
      </c>
      <c r="G2020" t="n">
        <v>7.1</v>
      </c>
      <c r="H2020" t="n">
        <v>0</v>
      </c>
      <c r="I2020" t="n">
        <v>0</v>
      </c>
      <c r="J2020" t="n">
        <v>0</v>
      </c>
      <c r="K2020" t="n">
        <v>0</v>
      </c>
      <c r="L2020" t="n">
        <v>0</v>
      </c>
      <c r="M2020" t="n">
        <v>0</v>
      </c>
      <c r="N2020" t="n">
        <v>0</v>
      </c>
      <c r="O2020" t="n">
        <v>0</v>
      </c>
      <c r="P2020" t="n">
        <v>0</v>
      </c>
      <c r="Q2020" t="n">
        <v>0</v>
      </c>
      <c r="R2020" s="2" t="inlineStr"/>
    </row>
    <row r="2021" ht="15" customHeight="1">
      <c r="A2021" t="inlineStr">
        <is>
          <t>A 58845-2024</t>
        </is>
      </c>
      <c r="B2021" s="1" t="n">
        <v>45636.3862037037</v>
      </c>
      <c r="C2021" s="1" t="n">
        <v>46048</v>
      </c>
      <c r="D2021" t="inlineStr">
        <is>
          <t>VÄSTERNORRLANDS LÄN</t>
        </is>
      </c>
      <c r="E2021" t="inlineStr">
        <is>
          <t>SOLLEFTEÅ</t>
        </is>
      </c>
      <c r="F2021" t="inlineStr">
        <is>
          <t>SCA</t>
        </is>
      </c>
      <c r="G2021" t="n">
        <v>11.3</v>
      </c>
      <c r="H2021" t="n">
        <v>0</v>
      </c>
      <c r="I2021" t="n">
        <v>0</v>
      </c>
      <c r="J2021" t="n">
        <v>0</v>
      </c>
      <c r="K2021" t="n">
        <v>0</v>
      </c>
      <c r="L2021" t="n">
        <v>0</v>
      </c>
      <c r="M2021" t="n">
        <v>0</v>
      </c>
      <c r="N2021" t="n">
        <v>0</v>
      </c>
      <c r="O2021" t="n">
        <v>0</v>
      </c>
      <c r="P2021" t="n">
        <v>0</v>
      </c>
      <c r="Q2021" t="n">
        <v>0</v>
      </c>
      <c r="R2021" s="2" t="inlineStr"/>
    </row>
    <row r="2022" ht="15" customHeight="1">
      <c r="A2022" t="inlineStr">
        <is>
          <t>A 56388-2024</t>
        </is>
      </c>
      <c r="B2022" s="1" t="n">
        <v>45625.34449074074</v>
      </c>
      <c r="C2022" s="1" t="n">
        <v>46048</v>
      </c>
      <c r="D2022" t="inlineStr">
        <is>
          <t>VÄSTERNORRLANDS LÄN</t>
        </is>
      </c>
      <c r="E2022" t="inlineStr">
        <is>
          <t>SOLLEFTEÅ</t>
        </is>
      </c>
      <c r="F2022" t="inlineStr">
        <is>
          <t>SCA</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42808-2025</t>
        </is>
      </c>
      <c r="B2023" s="1" t="n">
        <v>45908.55265046296</v>
      </c>
      <c r="C2023" s="1" t="n">
        <v>46048</v>
      </c>
      <c r="D2023" t="inlineStr">
        <is>
          <t>VÄSTERNORRLANDS LÄN</t>
        </is>
      </c>
      <c r="E2023" t="inlineStr">
        <is>
          <t>SOLLEFTEÅ</t>
        </is>
      </c>
      <c r="F2023" t="inlineStr">
        <is>
          <t>SCA</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22166-2025</t>
        </is>
      </c>
      <c r="B2024" s="1" t="n">
        <v>45785.59480324074</v>
      </c>
      <c r="C2024" s="1" t="n">
        <v>46048</v>
      </c>
      <c r="D2024" t="inlineStr">
        <is>
          <t>VÄSTERNORRLANDS LÄN</t>
        </is>
      </c>
      <c r="E2024" t="inlineStr">
        <is>
          <t>SOLLEFTEÅ</t>
        </is>
      </c>
      <c r="F2024" t="inlineStr">
        <is>
          <t>SCA</t>
        </is>
      </c>
      <c r="G2024" t="n">
        <v>10.8</v>
      </c>
      <c r="H2024" t="n">
        <v>0</v>
      </c>
      <c r="I2024" t="n">
        <v>0</v>
      </c>
      <c r="J2024" t="n">
        <v>0</v>
      </c>
      <c r="K2024" t="n">
        <v>0</v>
      </c>
      <c r="L2024" t="n">
        <v>0</v>
      </c>
      <c r="M2024" t="n">
        <v>0</v>
      </c>
      <c r="N2024" t="n">
        <v>0</v>
      </c>
      <c r="O2024" t="n">
        <v>0</v>
      </c>
      <c r="P2024" t="n">
        <v>0</v>
      </c>
      <c r="Q2024" t="n">
        <v>0</v>
      </c>
      <c r="R2024" s="2" t="inlineStr"/>
    </row>
    <row r="2025" ht="15" customHeight="1">
      <c r="A2025" t="inlineStr">
        <is>
          <t>A 42778-2025</t>
        </is>
      </c>
      <c r="B2025" s="1" t="n">
        <v>45908</v>
      </c>
      <c r="C2025" s="1" t="n">
        <v>46048</v>
      </c>
      <c r="D2025" t="inlineStr">
        <is>
          <t>VÄSTERNORRLANDS LÄN</t>
        </is>
      </c>
      <c r="E2025" t="inlineStr">
        <is>
          <t>SOLLEFTEÅ</t>
        </is>
      </c>
      <c r="F2025" t="inlineStr">
        <is>
          <t>Holmen skog AB</t>
        </is>
      </c>
      <c r="G2025" t="n">
        <v>11.3</v>
      </c>
      <c r="H2025" t="n">
        <v>0</v>
      </c>
      <c r="I2025" t="n">
        <v>0</v>
      </c>
      <c r="J2025" t="n">
        <v>0</v>
      </c>
      <c r="K2025" t="n">
        <v>0</v>
      </c>
      <c r="L2025" t="n">
        <v>0</v>
      </c>
      <c r="M2025" t="n">
        <v>0</v>
      </c>
      <c r="N2025" t="n">
        <v>0</v>
      </c>
      <c r="O2025" t="n">
        <v>0</v>
      </c>
      <c r="P2025" t="n">
        <v>0</v>
      </c>
      <c r="Q2025" t="n">
        <v>0</v>
      </c>
      <c r="R2025" s="2" t="inlineStr"/>
    </row>
    <row r="2026" ht="15" customHeight="1">
      <c r="A2026" t="inlineStr">
        <is>
          <t>A 53939-2023</t>
        </is>
      </c>
      <c r="B2026" s="1" t="n">
        <v>45224</v>
      </c>
      <c r="C2026" s="1" t="n">
        <v>46048</v>
      </c>
      <c r="D2026" t="inlineStr">
        <is>
          <t>VÄSTERNORRLANDS LÄN</t>
        </is>
      </c>
      <c r="E2026" t="inlineStr">
        <is>
          <t>SOLLEFTEÅ</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41924-2023</t>
        </is>
      </c>
      <c r="B2027" s="1" t="n">
        <v>45176</v>
      </c>
      <c r="C2027" s="1" t="n">
        <v>46048</v>
      </c>
      <c r="D2027" t="inlineStr">
        <is>
          <t>VÄSTERNORRLANDS LÄN</t>
        </is>
      </c>
      <c r="E2027" t="inlineStr">
        <is>
          <t>SOLLEFTEÅ</t>
        </is>
      </c>
      <c r="G2027" t="n">
        <v>2.3</v>
      </c>
      <c r="H2027" t="n">
        <v>0</v>
      </c>
      <c r="I2027" t="n">
        <v>0</v>
      </c>
      <c r="J2027" t="n">
        <v>0</v>
      </c>
      <c r="K2027" t="n">
        <v>0</v>
      </c>
      <c r="L2027" t="n">
        <v>0</v>
      </c>
      <c r="M2027" t="n">
        <v>0</v>
      </c>
      <c r="N2027" t="n">
        <v>0</v>
      </c>
      <c r="O2027" t="n">
        <v>0</v>
      </c>
      <c r="P2027" t="n">
        <v>0</v>
      </c>
      <c r="Q2027" t="n">
        <v>0</v>
      </c>
      <c r="R2027" s="2" t="inlineStr"/>
    </row>
    <row r="2028" ht="15" customHeight="1">
      <c r="A2028" t="inlineStr">
        <is>
          <t>A 48555-2021</t>
        </is>
      </c>
      <c r="B2028" s="1" t="n">
        <v>44452</v>
      </c>
      <c r="C2028" s="1" t="n">
        <v>46048</v>
      </c>
      <c r="D2028" t="inlineStr">
        <is>
          <t>VÄSTERNORRLANDS LÄN</t>
        </is>
      </c>
      <c r="E2028" t="inlineStr">
        <is>
          <t>SOLLEFTEÅ</t>
        </is>
      </c>
      <c r="G2028" t="n">
        <v>9.300000000000001</v>
      </c>
      <c r="H2028" t="n">
        <v>0</v>
      </c>
      <c r="I2028" t="n">
        <v>0</v>
      </c>
      <c r="J2028" t="n">
        <v>0</v>
      </c>
      <c r="K2028" t="n">
        <v>0</v>
      </c>
      <c r="L2028" t="n">
        <v>0</v>
      </c>
      <c r="M2028" t="n">
        <v>0</v>
      </c>
      <c r="N2028" t="n">
        <v>0</v>
      </c>
      <c r="O2028" t="n">
        <v>0</v>
      </c>
      <c r="P2028" t="n">
        <v>0</v>
      </c>
      <c r="Q2028" t="n">
        <v>0</v>
      </c>
      <c r="R2028" s="2" t="inlineStr"/>
    </row>
    <row r="2029" ht="15" customHeight="1">
      <c r="A2029" t="inlineStr">
        <is>
          <t>A 42806-2025</t>
        </is>
      </c>
      <c r="B2029" s="1" t="n">
        <v>45908</v>
      </c>
      <c r="C2029" s="1" t="n">
        <v>46048</v>
      </c>
      <c r="D2029" t="inlineStr">
        <is>
          <t>VÄSTERNORRLANDS LÄN</t>
        </is>
      </c>
      <c r="E2029" t="inlineStr">
        <is>
          <t>SOLLEFTEÅ</t>
        </is>
      </c>
      <c r="F2029" t="inlineStr">
        <is>
          <t>Holmen skog AB</t>
        </is>
      </c>
      <c r="G2029" t="n">
        <v>2.6</v>
      </c>
      <c r="H2029" t="n">
        <v>0</v>
      </c>
      <c r="I2029" t="n">
        <v>0</v>
      </c>
      <c r="J2029" t="n">
        <v>0</v>
      </c>
      <c r="K2029" t="n">
        <v>0</v>
      </c>
      <c r="L2029" t="n">
        <v>0</v>
      </c>
      <c r="M2029" t="n">
        <v>0</v>
      </c>
      <c r="N2029" t="n">
        <v>0</v>
      </c>
      <c r="O2029" t="n">
        <v>0</v>
      </c>
      <c r="P2029" t="n">
        <v>0</v>
      </c>
      <c r="Q2029" t="n">
        <v>0</v>
      </c>
      <c r="R2029" s="2" t="inlineStr"/>
    </row>
    <row r="2030" ht="15" customHeight="1">
      <c r="A2030" t="inlineStr">
        <is>
          <t>A 35872-2024</t>
        </is>
      </c>
      <c r="B2030" s="1" t="n">
        <v>45533</v>
      </c>
      <c r="C2030" s="1" t="n">
        <v>46048</v>
      </c>
      <c r="D2030" t="inlineStr">
        <is>
          <t>VÄSTERNORRLANDS LÄN</t>
        </is>
      </c>
      <c r="E2030" t="inlineStr">
        <is>
          <t>SOLLEFTEÅ</t>
        </is>
      </c>
      <c r="F2030" t="inlineStr">
        <is>
          <t>SCA</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21582-2022</t>
        </is>
      </c>
      <c r="B2031" s="1" t="n">
        <v>44706</v>
      </c>
      <c r="C2031" s="1" t="n">
        <v>46048</v>
      </c>
      <c r="D2031" t="inlineStr">
        <is>
          <t>VÄSTERNORRLANDS LÄN</t>
        </is>
      </c>
      <c r="E2031" t="inlineStr">
        <is>
          <t>SOLLEFTEÅ</t>
        </is>
      </c>
      <c r="G2031" t="n">
        <v>3.8</v>
      </c>
      <c r="H2031" t="n">
        <v>0</v>
      </c>
      <c r="I2031" t="n">
        <v>0</v>
      </c>
      <c r="J2031" t="n">
        <v>0</v>
      </c>
      <c r="K2031" t="n">
        <v>0</v>
      </c>
      <c r="L2031" t="n">
        <v>0</v>
      </c>
      <c r="M2031" t="n">
        <v>0</v>
      </c>
      <c r="N2031" t="n">
        <v>0</v>
      </c>
      <c r="O2031" t="n">
        <v>0</v>
      </c>
      <c r="P2031" t="n">
        <v>0</v>
      </c>
      <c r="Q2031" t="n">
        <v>0</v>
      </c>
      <c r="R2031" s="2" t="inlineStr"/>
    </row>
    <row r="2032" ht="15" customHeight="1">
      <c r="A2032" t="inlineStr">
        <is>
          <t>A 13858-2025</t>
        </is>
      </c>
      <c r="B2032" s="1" t="n">
        <v>45737.57341435185</v>
      </c>
      <c r="C2032" s="1" t="n">
        <v>46048</v>
      </c>
      <c r="D2032" t="inlineStr">
        <is>
          <t>VÄSTERNORRLANDS LÄN</t>
        </is>
      </c>
      <c r="E2032" t="inlineStr">
        <is>
          <t>SOLLEFTEÅ</t>
        </is>
      </c>
      <c r="F2032" t="inlineStr">
        <is>
          <t>SCA</t>
        </is>
      </c>
      <c r="G2032" t="n">
        <v>8.300000000000001</v>
      </c>
      <c r="H2032" t="n">
        <v>0</v>
      </c>
      <c r="I2032" t="n">
        <v>0</v>
      </c>
      <c r="J2032" t="n">
        <v>0</v>
      </c>
      <c r="K2032" t="n">
        <v>0</v>
      </c>
      <c r="L2032" t="n">
        <v>0</v>
      </c>
      <c r="M2032" t="n">
        <v>0</v>
      </c>
      <c r="N2032" t="n">
        <v>0</v>
      </c>
      <c r="O2032" t="n">
        <v>0</v>
      </c>
      <c r="P2032" t="n">
        <v>0</v>
      </c>
      <c r="Q2032" t="n">
        <v>0</v>
      </c>
      <c r="R2032" s="2" t="inlineStr"/>
    </row>
    <row r="2033" ht="15" customHeight="1">
      <c r="A2033" t="inlineStr">
        <is>
          <t>A 62038-2024</t>
        </is>
      </c>
      <c r="B2033" s="1" t="n">
        <v>45656.34410879629</v>
      </c>
      <c r="C2033" s="1" t="n">
        <v>46048</v>
      </c>
      <c r="D2033" t="inlineStr">
        <is>
          <t>VÄSTERNORRLANDS LÄN</t>
        </is>
      </c>
      <c r="E2033" t="inlineStr">
        <is>
          <t>SOLLEFTEÅ</t>
        </is>
      </c>
      <c r="F2033" t="inlineStr">
        <is>
          <t>SCA</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59407-2024</t>
        </is>
      </c>
      <c r="B2034" s="1" t="n">
        <v>45638.38917824074</v>
      </c>
      <c r="C2034" s="1" t="n">
        <v>46048</v>
      </c>
      <c r="D2034" t="inlineStr">
        <is>
          <t>VÄSTERNORRLANDS LÄN</t>
        </is>
      </c>
      <c r="E2034" t="inlineStr">
        <is>
          <t>SOLLEFTEÅ</t>
        </is>
      </c>
      <c r="G2034" t="n">
        <v>4.7</v>
      </c>
      <c r="H2034" t="n">
        <v>0</v>
      </c>
      <c r="I2034" t="n">
        <v>0</v>
      </c>
      <c r="J2034" t="n">
        <v>0</v>
      </c>
      <c r="K2034" t="n">
        <v>0</v>
      </c>
      <c r="L2034" t="n">
        <v>0</v>
      </c>
      <c r="M2034" t="n">
        <v>0</v>
      </c>
      <c r="N2034" t="n">
        <v>0</v>
      </c>
      <c r="O2034" t="n">
        <v>0</v>
      </c>
      <c r="P2034" t="n">
        <v>0</v>
      </c>
      <c r="Q2034" t="n">
        <v>0</v>
      </c>
      <c r="R2034" s="2" t="inlineStr"/>
    </row>
    <row r="2035" ht="15" customHeight="1">
      <c r="A2035" t="inlineStr">
        <is>
          <t>A 9163-2025</t>
        </is>
      </c>
      <c r="B2035" s="1" t="n">
        <v>45714.36503472222</v>
      </c>
      <c r="C2035" s="1" t="n">
        <v>46048</v>
      </c>
      <c r="D2035" t="inlineStr">
        <is>
          <t>VÄSTERNORRLANDS LÄN</t>
        </is>
      </c>
      <c r="E2035" t="inlineStr">
        <is>
          <t>SOLLEFTEÅ</t>
        </is>
      </c>
      <c r="F2035" t="inlineStr">
        <is>
          <t>SCA</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16312-2025</t>
        </is>
      </c>
      <c r="B2036" s="1" t="n">
        <v>45751.3474074074</v>
      </c>
      <c r="C2036" s="1" t="n">
        <v>46048</v>
      </c>
      <c r="D2036" t="inlineStr">
        <is>
          <t>VÄSTERNORRLANDS LÄN</t>
        </is>
      </c>
      <c r="E2036" t="inlineStr">
        <is>
          <t>SOLLEFTEÅ</t>
        </is>
      </c>
      <c r="F2036" t="inlineStr">
        <is>
          <t>SCA</t>
        </is>
      </c>
      <c r="G2036" t="n">
        <v>3.8</v>
      </c>
      <c r="H2036" t="n">
        <v>0</v>
      </c>
      <c r="I2036" t="n">
        <v>0</v>
      </c>
      <c r="J2036" t="n">
        <v>0</v>
      </c>
      <c r="K2036" t="n">
        <v>0</v>
      </c>
      <c r="L2036" t="n">
        <v>0</v>
      </c>
      <c r="M2036" t="n">
        <v>0</v>
      </c>
      <c r="N2036" t="n">
        <v>0</v>
      </c>
      <c r="O2036" t="n">
        <v>0</v>
      </c>
      <c r="P2036" t="n">
        <v>0</v>
      </c>
      <c r="Q2036" t="n">
        <v>0</v>
      </c>
      <c r="R2036" s="2" t="inlineStr"/>
    </row>
    <row r="2037" ht="15" customHeight="1">
      <c r="A2037" t="inlineStr">
        <is>
          <t>A 48019-2024</t>
        </is>
      </c>
      <c r="B2037" s="1" t="n">
        <v>45589.47023148148</v>
      </c>
      <c r="C2037" s="1" t="n">
        <v>46048</v>
      </c>
      <c r="D2037" t="inlineStr">
        <is>
          <t>VÄSTERNORRLANDS LÄN</t>
        </is>
      </c>
      <c r="E2037" t="inlineStr">
        <is>
          <t>SOLLEFTEÅ</t>
        </is>
      </c>
      <c r="G2037" t="n">
        <v>10.4</v>
      </c>
      <c r="H2037" t="n">
        <v>0</v>
      </c>
      <c r="I2037" t="n">
        <v>0</v>
      </c>
      <c r="J2037" t="n">
        <v>0</v>
      </c>
      <c r="K2037" t="n">
        <v>0</v>
      </c>
      <c r="L2037" t="n">
        <v>0</v>
      </c>
      <c r="M2037" t="n">
        <v>0</v>
      </c>
      <c r="N2037" t="n">
        <v>0</v>
      </c>
      <c r="O2037" t="n">
        <v>0</v>
      </c>
      <c r="P2037" t="n">
        <v>0</v>
      </c>
      <c r="Q2037" t="n">
        <v>0</v>
      </c>
      <c r="R2037" s="2" t="inlineStr"/>
    </row>
    <row r="2038" ht="15" customHeight="1">
      <c r="A2038" t="inlineStr">
        <is>
          <t>A 12683-2025</t>
        </is>
      </c>
      <c r="B2038" s="1" t="n">
        <v>45733.44483796296</v>
      </c>
      <c r="C2038" s="1" t="n">
        <v>46048</v>
      </c>
      <c r="D2038" t="inlineStr">
        <is>
          <t>VÄSTERNORRLANDS LÄN</t>
        </is>
      </c>
      <c r="E2038" t="inlineStr">
        <is>
          <t>SOLLEFTEÅ</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58478-2021</t>
        </is>
      </c>
      <c r="B2039" s="1" t="n">
        <v>44488</v>
      </c>
      <c r="C2039" s="1" t="n">
        <v>46048</v>
      </c>
      <c r="D2039" t="inlineStr">
        <is>
          <t>VÄSTERNORRLANDS LÄN</t>
        </is>
      </c>
      <c r="E2039" t="inlineStr">
        <is>
          <t>SOLLEFTEÅ</t>
        </is>
      </c>
      <c r="G2039" t="n">
        <v>9.5</v>
      </c>
      <c r="H2039" t="n">
        <v>0</v>
      </c>
      <c r="I2039" t="n">
        <v>0</v>
      </c>
      <c r="J2039" t="n">
        <v>0</v>
      </c>
      <c r="K2039" t="n">
        <v>0</v>
      </c>
      <c r="L2039" t="n">
        <v>0</v>
      </c>
      <c r="M2039" t="n">
        <v>0</v>
      </c>
      <c r="N2039" t="n">
        <v>0</v>
      </c>
      <c r="O2039" t="n">
        <v>0</v>
      </c>
      <c r="P2039" t="n">
        <v>0</v>
      </c>
      <c r="Q2039" t="n">
        <v>0</v>
      </c>
      <c r="R2039" s="2" t="inlineStr"/>
    </row>
    <row r="2040" ht="15" customHeight="1">
      <c r="A2040" t="inlineStr">
        <is>
          <t>A 19429-2024</t>
        </is>
      </c>
      <c r="B2040" s="1" t="n">
        <v>45429</v>
      </c>
      <c r="C2040" s="1" t="n">
        <v>46048</v>
      </c>
      <c r="D2040" t="inlineStr">
        <is>
          <t>VÄSTERNORRLANDS LÄN</t>
        </is>
      </c>
      <c r="E2040" t="inlineStr">
        <is>
          <t>SOLLEFTEÅ</t>
        </is>
      </c>
      <c r="G2040" t="n">
        <v>10.6</v>
      </c>
      <c r="H2040" t="n">
        <v>0</v>
      </c>
      <c r="I2040" t="n">
        <v>0</v>
      </c>
      <c r="J2040" t="n">
        <v>0</v>
      </c>
      <c r="K2040" t="n">
        <v>0</v>
      </c>
      <c r="L2040" t="n">
        <v>0</v>
      </c>
      <c r="M2040" t="n">
        <v>0</v>
      </c>
      <c r="N2040" t="n">
        <v>0</v>
      </c>
      <c r="O2040" t="n">
        <v>0</v>
      </c>
      <c r="P2040" t="n">
        <v>0</v>
      </c>
      <c r="Q2040" t="n">
        <v>0</v>
      </c>
      <c r="R2040" s="2" t="inlineStr"/>
    </row>
    <row r="2041" ht="15" customHeight="1">
      <c r="A2041" t="inlineStr">
        <is>
          <t>A 42697-2025</t>
        </is>
      </c>
      <c r="B2041" s="1" t="n">
        <v>45908.36498842593</v>
      </c>
      <c r="C2041" s="1" t="n">
        <v>46048</v>
      </c>
      <c r="D2041" t="inlineStr">
        <is>
          <t>VÄSTERNORRLANDS LÄN</t>
        </is>
      </c>
      <c r="E2041" t="inlineStr">
        <is>
          <t>SOLLEFTEÅ</t>
        </is>
      </c>
      <c r="F2041" t="inlineStr">
        <is>
          <t>SCA</t>
        </is>
      </c>
      <c r="G2041" t="n">
        <v>3.6</v>
      </c>
      <c r="H2041" t="n">
        <v>0</v>
      </c>
      <c r="I2041" t="n">
        <v>0</v>
      </c>
      <c r="J2041" t="n">
        <v>0</v>
      </c>
      <c r="K2041" t="n">
        <v>0</v>
      </c>
      <c r="L2041" t="n">
        <v>0</v>
      </c>
      <c r="M2041" t="n">
        <v>0</v>
      </c>
      <c r="N2041" t="n">
        <v>0</v>
      </c>
      <c r="O2041" t="n">
        <v>0</v>
      </c>
      <c r="P2041" t="n">
        <v>0</v>
      </c>
      <c r="Q2041" t="n">
        <v>0</v>
      </c>
      <c r="R2041" s="2" t="inlineStr"/>
    </row>
    <row r="2042" ht="15" customHeight="1">
      <c r="A2042" t="inlineStr">
        <is>
          <t>A 42789-2025</t>
        </is>
      </c>
      <c r="B2042" s="1" t="n">
        <v>45908</v>
      </c>
      <c r="C2042" s="1" t="n">
        <v>46048</v>
      </c>
      <c r="D2042" t="inlineStr">
        <is>
          <t>VÄSTERNORRLANDS LÄN</t>
        </is>
      </c>
      <c r="E2042" t="inlineStr">
        <is>
          <t>SOLLEFTEÅ</t>
        </is>
      </c>
      <c r="F2042" t="inlineStr">
        <is>
          <t>Holmen skog AB</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35217-2024</t>
        </is>
      </c>
      <c r="B2043" s="1" t="n">
        <v>45530</v>
      </c>
      <c r="C2043" s="1" t="n">
        <v>46048</v>
      </c>
      <c r="D2043" t="inlineStr">
        <is>
          <t>VÄSTERNORRLANDS LÄN</t>
        </is>
      </c>
      <c r="E2043" t="inlineStr">
        <is>
          <t>SOLLEFTEÅ</t>
        </is>
      </c>
      <c r="F2043" t="inlineStr">
        <is>
          <t>Kommuner</t>
        </is>
      </c>
      <c r="G2043" t="n">
        <v>4.8</v>
      </c>
      <c r="H2043" t="n">
        <v>0</v>
      </c>
      <c r="I2043" t="n">
        <v>0</v>
      </c>
      <c r="J2043" t="n">
        <v>0</v>
      </c>
      <c r="K2043" t="n">
        <v>0</v>
      </c>
      <c r="L2043" t="n">
        <v>0</v>
      </c>
      <c r="M2043" t="n">
        <v>0</v>
      </c>
      <c r="N2043" t="n">
        <v>0</v>
      </c>
      <c r="O2043" t="n">
        <v>0</v>
      </c>
      <c r="P2043" t="n">
        <v>0</v>
      </c>
      <c r="Q2043" t="n">
        <v>0</v>
      </c>
      <c r="R2043" s="2" t="inlineStr"/>
    </row>
    <row r="2044" ht="15" customHeight="1">
      <c r="A2044" t="inlineStr">
        <is>
          <t>A 49771-2024</t>
        </is>
      </c>
      <c r="B2044" s="1" t="n">
        <v>45597.34481481482</v>
      </c>
      <c r="C2044" s="1" t="n">
        <v>46048</v>
      </c>
      <c r="D2044" t="inlineStr">
        <is>
          <t>VÄSTERNORRLANDS LÄN</t>
        </is>
      </c>
      <c r="E2044" t="inlineStr">
        <is>
          <t>SOLLEFTEÅ</t>
        </is>
      </c>
      <c r="F2044" t="inlineStr">
        <is>
          <t>SCA</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49772-2024</t>
        </is>
      </c>
      <c r="B2045" s="1" t="n">
        <v>45597.34483796296</v>
      </c>
      <c r="C2045" s="1" t="n">
        <v>46048</v>
      </c>
      <c r="D2045" t="inlineStr">
        <is>
          <t>VÄSTERNORRLANDS LÄN</t>
        </is>
      </c>
      <c r="E2045" t="inlineStr">
        <is>
          <t>SOLLEFTEÅ</t>
        </is>
      </c>
      <c r="F2045" t="inlineStr">
        <is>
          <t>SCA</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71580-2021</t>
        </is>
      </c>
      <c r="B2046" s="1" t="n">
        <v>44540</v>
      </c>
      <c r="C2046" s="1" t="n">
        <v>46048</v>
      </c>
      <c r="D2046" t="inlineStr">
        <is>
          <t>VÄSTERNORRLANDS LÄN</t>
        </is>
      </c>
      <c r="E2046" t="inlineStr">
        <is>
          <t>SOLLEFTEÅ</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43503-2025</t>
        </is>
      </c>
      <c r="B2047" s="1" t="n">
        <v>45911.55266203704</v>
      </c>
      <c r="C2047" s="1" t="n">
        <v>46048</v>
      </c>
      <c r="D2047" t="inlineStr">
        <is>
          <t>VÄSTERNORRLANDS LÄN</t>
        </is>
      </c>
      <c r="E2047" t="inlineStr">
        <is>
          <t>SOLLEFTEÅ</t>
        </is>
      </c>
      <c r="F2047" t="inlineStr">
        <is>
          <t>SCA</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43462-2025</t>
        </is>
      </c>
      <c r="B2048" s="1" t="n">
        <v>45911.46943287037</v>
      </c>
      <c r="C2048" s="1" t="n">
        <v>46048</v>
      </c>
      <c r="D2048" t="inlineStr">
        <is>
          <t>VÄSTERNORRLANDS LÄN</t>
        </is>
      </c>
      <c r="E2048" t="inlineStr">
        <is>
          <t>SOLLEFTEÅ</t>
        </is>
      </c>
      <c r="F2048" t="inlineStr">
        <is>
          <t>SCA</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13315-2025</t>
        </is>
      </c>
      <c r="B2049" s="1" t="n">
        <v>45735.59418981482</v>
      </c>
      <c r="C2049" s="1" t="n">
        <v>46048</v>
      </c>
      <c r="D2049" t="inlineStr">
        <is>
          <t>VÄSTERNORRLANDS LÄN</t>
        </is>
      </c>
      <c r="E2049" t="inlineStr">
        <is>
          <t>SOLLEFTEÅ</t>
        </is>
      </c>
      <c r="F2049" t="inlineStr">
        <is>
          <t>SCA</t>
        </is>
      </c>
      <c r="G2049" t="n">
        <v>7.2</v>
      </c>
      <c r="H2049" t="n">
        <v>0</v>
      </c>
      <c r="I2049" t="n">
        <v>0</v>
      </c>
      <c r="J2049" t="n">
        <v>0</v>
      </c>
      <c r="K2049" t="n">
        <v>0</v>
      </c>
      <c r="L2049" t="n">
        <v>0</v>
      </c>
      <c r="M2049" t="n">
        <v>0</v>
      </c>
      <c r="N2049" t="n">
        <v>0</v>
      </c>
      <c r="O2049" t="n">
        <v>0</v>
      </c>
      <c r="P2049" t="n">
        <v>0</v>
      </c>
      <c r="Q2049" t="n">
        <v>0</v>
      </c>
      <c r="R2049" s="2" t="inlineStr"/>
    </row>
    <row r="2050" ht="15" customHeight="1">
      <c r="A2050" t="inlineStr">
        <is>
          <t>A 43620-2025</t>
        </is>
      </c>
      <c r="B2050" s="1" t="n">
        <v>45911</v>
      </c>
      <c r="C2050" s="1" t="n">
        <v>46048</v>
      </c>
      <c r="D2050" t="inlineStr">
        <is>
          <t>VÄSTERNORRLANDS LÄN</t>
        </is>
      </c>
      <c r="E2050" t="inlineStr">
        <is>
          <t>SOLLEFTEÅ</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47179-2024</t>
        </is>
      </c>
      <c r="B2051" s="1" t="n">
        <v>45586.61634259259</v>
      </c>
      <c r="C2051" s="1" t="n">
        <v>46048</v>
      </c>
      <c r="D2051" t="inlineStr">
        <is>
          <t>VÄSTERNORRLANDS LÄN</t>
        </is>
      </c>
      <c r="E2051" t="inlineStr">
        <is>
          <t>SOLLEFTEÅ</t>
        </is>
      </c>
      <c r="F2051" t="inlineStr">
        <is>
          <t>SCA</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43603-2025</t>
        </is>
      </c>
      <c r="B2052" s="1" t="n">
        <v>45911</v>
      </c>
      <c r="C2052" s="1" t="n">
        <v>46048</v>
      </c>
      <c r="D2052" t="inlineStr">
        <is>
          <t>VÄSTERNORRLANDS LÄN</t>
        </is>
      </c>
      <c r="E2052" t="inlineStr">
        <is>
          <t>SOLLEFTEÅ</t>
        </is>
      </c>
      <c r="G2052" t="n">
        <v>4</v>
      </c>
      <c r="H2052" t="n">
        <v>0</v>
      </c>
      <c r="I2052" t="n">
        <v>0</v>
      </c>
      <c r="J2052" t="n">
        <v>0</v>
      </c>
      <c r="K2052" t="n">
        <v>0</v>
      </c>
      <c r="L2052" t="n">
        <v>0</v>
      </c>
      <c r="M2052" t="n">
        <v>0</v>
      </c>
      <c r="N2052" t="n">
        <v>0</v>
      </c>
      <c r="O2052" t="n">
        <v>0</v>
      </c>
      <c r="P2052" t="n">
        <v>0</v>
      </c>
      <c r="Q2052" t="n">
        <v>0</v>
      </c>
      <c r="R2052" s="2" t="inlineStr"/>
    </row>
    <row r="2053" ht="15" customHeight="1">
      <c r="A2053" t="inlineStr">
        <is>
          <t>A 15260-2025</t>
        </is>
      </c>
      <c r="B2053" s="1" t="n">
        <v>45744.65659722222</v>
      </c>
      <c r="C2053" s="1" t="n">
        <v>46048</v>
      </c>
      <c r="D2053" t="inlineStr">
        <is>
          <t>VÄSTERNORRLANDS LÄN</t>
        </is>
      </c>
      <c r="E2053" t="inlineStr">
        <is>
          <t>SOLLEFTEÅ</t>
        </is>
      </c>
      <c r="F2053" t="inlineStr">
        <is>
          <t>SCA</t>
        </is>
      </c>
      <c r="G2053" t="n">
        <v>8.699999999999999</v>
      </c>
      <c r="H2053" t="n">
        <v>0</v>
      </c>
      <c r="I2053" t="n">
        <v>0</v>
      </c>
      <c r="J2053" t="n">
        <v>0</v>
      </c>
      <c r="K2053" t="n">
        <v>0</v>
      </c>
      <c r="L2053" t="n">
        <v>0</v>
      </c>
      <c r="M2053" t="n">
        <v>0</v>
      </c>
      <c r="N2053" t="n">
        <v>0</v>
      </c>
      <c r="O2053" t="n">
        <v>0</v>
      </c>
      <c r="P2053" t="n">
        <v>0</v>
      </c>
      <c r="Q2053" t="n">
        <v>0</v>
      </c>
      <c r="R2053" s="2" t="inlineStr"/>
    </row>
    <row r="2054" ht="15" customHeight="1">
      <c r="A2054" t="inlineStr">
        <is>
          <t>A 43510-2025</t>
        </is>
      </c>
      <c r="B2054" s="1" t="n">
        <v>45911</v>
      </c>
      <c r="C2054" s="1" t="n">
        <v>46048</v>
      </c>
      <c r="D2054" t="inlineStr">
        <is>
          <t>VÄSTERNORRLANDS LÄN</t>
        </is>
      </c>
      <c r="E2054" t="inlineStr">
        <is>
          <t>SOLLEFTEÅ</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57080-2023</t>
        </is>
      </c>
      <c r="B2055" s="1" t="n">
        <v>45244</v>
      </c>
      <c r="C2055" s="1" t="n">
        <v>46048</v>
      </c>
      <c r="D2055" t="inlineStr">
        <is>
          <t>VÄSTERNORRLANDS LÄN</t>
        </is>
      </c>
      <c r="E2055" t="inlineStr">
        <is>
          <t>SOLLEFTEÅ</t>
        </is>
      </c>
      <c r="F2055" t="inlineStr">
        <is>
          <t>SCA</t>
        </is>
      </c>
      <c r="G2055" t="n">
        <v>5.8</v>
      </c>
      <c r="H2055" t="n">
        <v>0</v>
      </c>
      <c r="I2055" t="n">
        <v>0</v>
      </c>
      <c r="J2055" t="n">
        <v>0</v>
      </c>
      <c r="K2055" t="n">
        <v>0</v>
      </c>
      <c r="L2055" t="n">
        <v>0</v>
      </c>
      <c r="M2055" t="n">
        <v>0</v>
      </c>
      <c r="N2055" t="n">
        <v>0</v>
      </c>
      <c r="O2055" t="n">
        <v>0</v>
      </c>
      <c r="P2055" t="n">
        <v>0</v>
      </c>
      <c r="Q2055" t="n">
        <v>0</v>
      </c>
      <c r="R2055" s="2" t="inlineStr"/>
    </row>
    <row r="2056" ht="15" customHeight="1">
      <c r="A2056" t="inlineStr">
        <is>
          <t>A 1848-2024</t>
        </is>
      </c>
      <c r="B2056" s="1" t="n">
        <v>45307</v>
      </c>
      <c r="C2056" s="1" t="n">
        <v>46048</v>
      </c>
      <c r="D2056" t="inlineStr">
        <is>
          <t>VÄSTERNORRLANDS LÄN</t>
        </is>
      </c>
      <c r="E2056" t="inlineStr">
        <is>
          <t>SOLLEFTEÅ</t>
        </is>
      </c>
      <c r="G2056" t="n">
        <v>3.4</v>
      </c>
      <c r="H2056" t="n">
        <v>0</v>
      </c>
      <c r="I2056" t="n">
        <v>0</v>
      </c>
      <c r="J2056" t="n">
        <v>0</v>
      </c>
      <c r="K2056" t="n">
        <v>0</v>
      </c>
      <c r="L2056" t="n">
        <v>0</v>
      </c>
      <c r="M2056" t="n">
        <v>0</v>
      </c>
      <c r="N2056" t="n">
        <v>0</v>
      </c>
      <c r="O2056" t="n">
        <v>0</v>
      </c>
      <c r="P2056" t="n">
        <v>0</v>
      </c>
      <c r="Q2056" t="n">
        <v>0</v>
      </c>
      <c r="R2056" s="2" t="inlineStr"/>
    </row>
    <row r="2057" ht="15" customHeight="1">
      <c r="A2057" t="inlineStr">
        <is>
          <t>A 43490-2025</t>
        </is>
      </c>
      <c r="B2057" s="1" t="n">
        <v>45911</v>
      </c>
      <c r="C2057" s="1" t="n">
        <v>46048</v>
      </c>
      <c r="D2057" t="inlineStr">
        <is>
          <t>VÄSTERNORRLANDS LÄN</t>
        </is>
      </c>
      <c r="E2057" t="inlineStr">
        <is>
          <t>SOLLEFTEÅ</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53212-2024</t>
        </is>
      </c>
      <c r="B2058" s="1" t="n">
        <v>45612.63576388889</v>
      </c>
      <c r="C2058" s="1" t="n">
        <v>46048</v>
      </c>
      <c r="D2058" t="inlineStr">
        <is>
          <t>VÄSTERNORRLANDS LÄN</t>
        </is>
      </c>
      <c r="E2058" t="inlineStr">
        <is>
          <t>SOLLEFTEÅ</t>
        </is>
      </c>
      <c r="F2058" t="inlineStr">
        <is>
          <t>SCA</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22444-2025</t>
        </is>
      </c>
      <c r="B2059" s="1" t="n">
        <v>45786</v>
      </c>
      <c r="C2059" s="1" t="n">
        <v>46048</v>
      </c>
      <c r="D2059" t="inlineStr">
        <is>
          <t>VÄSTERNORRLANDS LÄN</t>
        </is>
      </c>
      <c r="E2059" t="inlineStr">
        <is>
          <t>SOLLEFTEÅ</t>
        </is>
      </c>
      <c r="F2059" t="inlineStr">
        <is>
          <t>SCA</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43863-2025</t>
        </is>
      </c>
      <c r="B2060" s="1" t="n">
        <v>45912.65672453704</v>
      </c>
      <c r="C2060" s="1" t="n">
        <v>46048</v>
      </c>
      <c r="D2060" t="inlineStr">
        <is>
          <t>VÄSTERNORRLANDS LÄN</t>
        </is>
      </c>
      <c r="E2060" t="inlineStr">
        <is>
          <t>SOLLEFTEÅ</t>
        </is>
      </c>
      <c r="F2060" t="inlineStr">
        <is>
          <t>SCA</t>
        </is>
      </c>
      <c r="G2060" t="n">
        <v>16.8</v>
      </c>
      <c r="H2060" t="n">
        <v>0</v>
      </c>
      <c r="I2060" t="n">
        <v>0</v>
      </c>
      <c r="J2060" t="n">
        <v>0</v>
      </c>
      <c r="K2060" t="n">
        <v>0</v>
      </c>
      <c r="L2060" t="n">
        <v>0</v>
      </c>
      <c r="M2060" t="n">
        <v>0</v>
      </c>
      <c r="N2060" t="n">
        <v>0</v>
      </c>
      <c r="O2060" t="n">
        <v>0</v>
      </c>
      <c r="P2060" t="n">
        <v>0</v>
      </c>
      <c r="Q2060" t="n">
        <v>0</v>
      </c>
      <c r="R2060" s="2" t="inlineStr"/>
    </row>
    <row r="2061" ht="15" customHeight="1">
      <c r="A2061" t="inlineStr">
        <is>
          <t>A 43980-2025</t>
        </is>
      </c>
      <c r="B2061" s="1" t="n">
        <v>45915.4221412037</v>
      </c>
      <c r="C2061" s="1" t="n">
        <v>46048</v>
      </c>
      <c r="D2061" t="inlineStr">
        <is>
          <t>VÄSTERNORRLANDS LÄN</t>
        </is>
      </c>
      <c r="E2061" t="inlineStr">
        <is>
          <t>SOLLEFTEÅ</t>
        </is>
      </c>
      <c r="G2061" t="n">
        <v>3.9</v>
      </c>
      <c r="H2061" t="n">
        <v>0</v>
      </c>
      <c r="I2061" t="n">
        <v>0</v>
      </c>
      <c r="J2061" t="n">
        <v>0</v>
      </c>
      <c r="K2061" t="n">
        <v>0</v>
      </c>
      <c r="L2061" t="n">
        <v>0</v>
      </c>
      <c r="M2061" t="n">
        <v>0</v>
      </c>
      <c r="N2061" t="n">
        <v>0</v>
      </c>
      <c r="O2061" t="n">
        <v>0</v>
      </c>
      <c r="P2061" t="n">
        <v>0</v>
      </c>
      <c r="Q2061" t="n">
        <v>0</v>
      </c>
      <c r="R2061" s="2" t="inlineStr"/>
    </row>
    <row r="2062" ht="15" customHeight="1">
      <c r="A2062" t="inlineStr">
        <is>
          <t>A 9124-2022</t>
        </is>
      </c>
      <c r="B2062" s="1" t="n">
        <v>44615.58287037037</v>
      </c>
      <c r="C2062" s="1" t="n">
        <v>46048</v>
      </c>
      <c r="D2062" t="inlineStr">
        <is>
          <t>VÄSTERNORRLANDS LÄN</t>
        </is>
      </c>
      <c r="E2062" t="inlineStr">
        <is>
          <t>SOLLEFTEÅ</t>
        </is>
      </c>
      <c r="G2062" t="n">
        <v>20.2</v>
      </c>
      <c r="H2062" t="n">
        <v>0</v>
      </c>
      <c r="I2062" t="n">
        <v>0</v>
      </c>
      <c r="J2062" t="n">
        <v>0</v>
      </c>
      <c r="K2062" t="n">
        <v>0</v>
      </c>
      <c r="L2062" t="n">
        <v>0</v>
      </c>
      <c r="M2062" t="n">
        <v>0</v>
      </c>
      <c r="N2062" t="n">
        <v>0</v>
      </c>
      <c r="O2062" t="n">
        <v>0</v>
      </c>
      <c r="P2062" t="n">
        <v>0</v>
      </c>
      <c r="Q2062" t="n">
        <v>0</v>
      </c>
      <c r="R2062" s="2" t="inlineStr"/>
    </row>
    <row r="2063" ht="15" customHeight="1">
      <c r="A2063" t="inlineStr">
        <is>
          <t>A 9253-2025</t>
        </is>
      </c>
      <c r="B2063" s="1" t="n">
        <v>45714.59430555555</v>
      </c>
      <c r="C2063" s="1" t="n">
        <v>46048</v>
      </c>
      <c r="D2063" t="inlineStr">
        <is>
          <t>VÄSTERNORRLANDS LÄN</t>
        </is>
      </c>
      <c r="E2063" t="inlineStr">
        <is>
          <t>SOLLEFTEÅ</t>
        </is>
      </c>
      <c r="F2063" t="inlineStr">
        <is>
          <t>SCA</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21924-2021</t>
        </is>
      </c>
      <c r="B2064" s="1" t="n">
        <v>44322.91836805556</v>
      </c>
      <c r="C2064" s="1" t="n">
        <v>46048</v>
      </c>
      <c r="D2064" t="inlineStr">
        <is>
          <t>VÄSTERNORRLANDS LÄN</t>
        </is>
      </c>
      <c r="E2064" t="inlineStr">
        <is>
          <t>SOLLEFTEÅ</t>
        </is>
      </c>
      <c r="G2064" t="n">
        <v>3.6</v>
      </c>
      <c r="H2064" t="n">
        <v>0</v>
      </c>
      <c r="I2064" t="n">
        <v>0</v>
      </c>
      <c r="J2064" t="n">
        <v>0</v>
      </c>
      <c r="K2064" t="n">
        <v>0</v>
      </c>
      <c r="L2064" t="n">
        <v>0</v>
      </c>
      <c r="M2064" t="n">
        <v>0</v>
      </c>
      <c r="N2064" t="n">
        <v>0</v>
      </c>
      <c r="O2064" t="n">
        <v>0</v>
      </c>
      <c r="P2064" t="n">
        <v>0</v>
      </c>
      <c r="Q2064" t="n">
        <v>0</v>
      </c>
      <c r="R2064" s="2" t="inlineStr"/>
    </row>
    <row r="2065" ht="15" customHeight="1">
      <c r="A2065" t="inlineStr">
        <is>
          <t>A 43879-2025</t>
        </is>
      </c>
      <c r="B2065" s="1" t="n">
        <v>45912.67804398148</v>
      </c>
      <c r="C2065" s="1" t="n">
        <v>46048</v>
      </c>
      <c r="D2065" t="inlineStr">
        <is>
          <t>VÄSTERNORRLANDS LÄN</t>
        </is>
      </c>
      <c r="E2065" t="inlineStr">
        <is>
          <t>SOLLEFTEÅ</t>
        </is>
      </c>
      <c r="F2065" t="inlineStr">
        <is>
          <t>SCA</t>
        </is>
      </c>
      <c r="G2065" t="n">
        <v>9.6</v>
      </c>
      <c r="H2065" t="n">
        <v>0</v>
      </c>
      <c r="I2065" t="n">
        <v>0</v>
      </c>
      <c r="J2065" t="n">
        <v>0</v>
      </c>
      <c r="K2065" t="n">
        <v>0</v>
      </c>
      <c r="L2065" t="n">
        <v>0</v>
      </c>
      <c r="M2065" t="n">
        <v>0</v>
      </c>
      <c r="N2065" t="n">
        <v>0</v>
      </c>
      <c r="O2065" t="n">
        <v>0</v>
      </c>
      <c r="P2065" t="n">
        <v>0</v>
      </c>
      <c r="Q2065" t="n">
        <v>0</v>
      </c>
      <c r="R2065" s="2" t="inlineStr"/>
    </row>
    <row r="2066" ht="15" customHeight="1">
      <c r="A2066" t="inlineStr">
        <is>
          <t>A 20799-2024</t>
        </is>
      </c>
      <c r="B2066" s="1" t="n">
        <v>45438</v>
      </c>
      <c r="C2066" s="1" t="n">
        <v>46048</v>
      </c>
      <c r="D2066" t="inlineStr">
        <is>
          <t>VÄSTERNORRLANDS LÄN</t>
        </is>
      </c>
      <c r="E2066" t="inlineStr">
        <is>
          <t>SOLLEFTEÅ</t>
        </is>
      </c>
      <c r="F2066" t="inlineStr">
        <is>
          <t>SCA</t>
        </is>
      </c>
      <c r="G2066" t="n">
        <v>0.1</v>
      </c>
      <c r="H2066" t="n">
        <v>0</v>
      </c>
      <c r="I2066" t="n">
        <v>0</v>
      </c>
      <c r="J2066" t="n">
        <v>0</v>
      </c>
      <c r="K2066" t="n">
        <v>0</v>
      </c>
      <c r="L2066" t="n">
        <v>0</v>
      </c>
      <c r="M2066" t="n">
        <v>0</v>
      </c>
      <c r="N2066" t="n">
        <v>0</v>
      </c>
      <c r="O2066" t="n">
        <v>0</v>
      </c>
      <c r="P2066" t="n">
        <v>0</v>
      </c>
      <c r="Q2066" t="n">
        <v>0</v>
      </c>
      <c r="R2066" s="2" t="inlineStr"/>
    </row>
    <row r="2067" ht="15" customHeight="1">
      <c r="A2067" t="inlineStr">
        <is>
          <t>A 2583-2025</t>
        </is>
      </c>
      <c r="B2067" s="1" t="n">
        <v>45674.67803240741</v>
      </c>
      <c r="C2067" s="1" t="n">
        <v>46048</v>
      </c>
      <c r="D2067" t="inlineStr">
        <is>
          <t>VÄSTERNORRLANDS LÄN</t>
        </is>
      </c>
      <c r="E2067" t="inlineStr">
        <is>
          <t>SOLLEFTEÅ</t>
        </is>
      </c>
      <c r="F2067" t="inlineStr">
        <is>
          <t>SCA</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14036-2025</t>
        </is>
      </c>
      <c r="B2068" s="1" t="n">
        <v>45740.36508101852</v>
      </c>
      <c r="C2068" s="1" t="n">
        <v>46048</v>
      </c>
      <c r="D2068" t="inlineStr">
        <is>
          <t>VÄSTERNORRLANDS LÄN</t>
        </is>
      </c>
      <c r="E2068" t="inlineStr">
        <is>
          <t>SOLLEFTEÅ</t>
        </is>
      </c>
      <c r="F2068" t="inlineStr">
        <is>
          <t>SCA</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59564-2024</t>
        </is>
      </c>
      <c r="B2069" s="1" t="n">
        <v>45638.6375</v>
      </c>
      <c r="C2069" s="1" t="n">
        <v>46048</v>
      </c>
      <c r="D2069" t="inlineStr">
        <is>
          <t>VÄSTERNORRLANDS LÄN</t>
        </is>
      </c>
      <c r="E2069" t="inlineStr">
        <is>
          <t>SOLLEFTEÅ</t>
        </is>
      </c>
      <c r="F2069" t="inlineStr">
        <is>
          <t>SCA</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44241-2025</t>
        </is>
      </c>
      <c r="B2070" s="1" t="n">
        <v>45915.67747685185</v>
      </c>
      <c r="C2070" s="1" t="n">
        <v>46048</v>
      </c>
      <c r="D2070" t="inlineStr">
        <is>
          <t>VÄSTERNORRLANDS LÄN</t>
        </is>
      </c>
      <c r="E2070" t="inlineStr">
        <is>
          <t>SOLLEFTEÅ</t>
        </is>
      </c>
      <c r="F2070" t="inlineStr">
        <is>
          <t>SCA</t>
        </is>
      </c>
      <c r="G2070" t="n">
        <v>6.9</v>
      </c>
      <c r="H2070" t="n">
        <v>0</v>
      </c>
      <c r="I2070" t="n">
        <v>0</v>
      </c>
      <c r="J2070" t="n">
        <v>0</v>
      </c>
      <c r="K2070" t="n">
        <v>0</v>
      </c>
      <c r="L2070" t="n">
        <v>0</v>
      </c>
      <c r="M2070" t="n">
        <v>0</v>
      </c>
      <c r="N2070" t="n">
        <v>0</v>
      </c>
      <c r="O2070" t="n">
        <v>0</v>
      </c>
      <c r="P2070" t="n">
        <v>0</v>
      </c>
      <c r="Q2070" t="n">
        <v>0</v>
      </c>
      <c r="R2070" s="2" t="inlineStr"/>
    </row>
    <row r="2071" ht="15" customHeight="1">
      <c r="A2071" t="inlineStr">
        <is>
          <t>A 44243-2025</t>
        </is>
      </c>
      <c r="B2071" s="1" t="n">
        <v>45915</v>
      </c>
      <c r="C2071" s="1" t="n">
        <v>46048</v>
      </c>
      <c r="D2071" t="inlineStr">
        <is>
          <t>VÄSTERNORRLANDS LÄN</t>
        </is>
      </c>
      <c r="E2071" t="inlineStr">
        <is>
          <t>SOLLEFTEÅ</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49036-2023</t>
        </is>
      </c>
      <c r="B2072" s="1" t="n">
        <v>45209.95693287037</v>
      </c>
      <c r="C2072" s="1" t="n">
        <v>46048</v>
      </c>
      <c r="D2072" t="inlineStr">
        <is>
          <t>VÄSTERNORRLANDS LÄN</t>
        </is>
      </c>
      <c r="E2072" t="inlineStr">
        <is>
          <t>SOLLEFTEÅ</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7009-2023</t>
        </is>
      </c>
      <c r="B2073" s="1" t="n">
        <v>44967.92959490741</v>
      </c>
      <c r="C2073" s="1" t="n">
        <v>46048</v>
      </c>
      <c r="D2073" t="inlineStr">
        <is>
          <t>VÄSTERNORRLANDS LÄN</t>
        </is>
      </c>
      <c r="E2073" t="inlineStr">
        <is>
          <t>SOLLEFTEÅ</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6736-2025</t>
        </is>
      </c>
      <c r="B2074" s="1" t="n">
        <v>45700.59442129629</v>
      </c>
      <c r="C2074" s="1" t="n">
        <v>46048</v>
      </c>
      <c r="D2074" t="inlineStr">
        <is>
          <t>VÄSTERNORRLANDS LÄN</t>
        </is>
      </c>
      <c r="E2074" t="inlineStr">
        <is>
          <t>SOLLEFTEÅ</t>
        </is>
      </c>
      <c r="F2074" t="inlineStr">
        <is>
          <t>SCA</t>
        </is>
      </c>
      <c r="G2074" t="n">
        <v>0.2</v>
      </c>
      <c r="H2074" t="n">
        <v>0</v>
      </c>
      <c r="I2074" t="n">
        <v>0</v>
      </c>
      <c r="J2074" t="n">
        <v>0</v>
      </c>
      <c r="K2074" t="n">
        <v>0</v>
      </c>
      <c r="L2074" t="n">
        <v>0</v>
      </c>
      <c r="M2074" t="n">
        <v>0</v>
      </c>
      <c r="N2074" t="n">
        <v>0</v>
      </c>
      <c r="O2074" t="n">
        <v>0</v>
      </c>
      <c r="P2074" t="n">
        <v>0</v>
      </c>
      <c r="Q2074" t="n">
        <v>0</v>
      </c>
      <c r="R2074" s="2" t="inlineStr"/>
    </row>
    <row r="2075" ht="15" customHeight="1">
      <c r="A2075" t="inlineStr">
        <is>
          <t>A 49156-2024</t>
        </is>
      </c>
      <c r="B2075" s="1" t="n">
        <v>45594.834375</v>
      </c>
      <c r="C2075" s="1" t="n">
        <v>46048</v>
      </c>
      <c r="D2075" t="inlineStr">
        <is>
          <t>VÄSTERNORRLANDS LÄN</t>
        </is>
      </c>
      <c r="E2075" t="inlineStr">
        <is>
          <t>SOLLEFTEÅ</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17049-2022</t>
        </is>
      </c>
      <c r="B2076" s="1" t="n">
        <v>44676</v>
      </c>
      <c r="C2076" s="1" t="n">
        <v>46048</v>
      </c>
      <c r="D2076" t="inlineStr">
        <is>
          <t>VÄSTERNORRLANDS LÄN</t>
        </is>
      </c>
      <c r="E2076" t="inlineStr">
        <is>
          <t>SOLLEFTEÅ</t>
        </is>
      </c>
      <c r="F2076" t="inlineStr">
        <is>
          <t>SCA</t>
        </is>
      </c>
      <c r="G2076" t="n">
        <v>2.6</v>
      </c>
      <c r="H2076" t="n">
        <v>0</v>
      </c>
      <c r="I2076" t="n">
        <v>0</v>
      </c>
      <c r="J2076" t="n">
        <v>0</v>
      </c>
      <c r="K2076" t="n">
        <v>0</v>
      </c>
      <c r="L2076" t="n">
        <v>0</v>
      </c>
      <c r="M2076" t="n">
        <v>0</v>
      </c>
      <c r="N2076" t="n">
        <v>0</v>
      </c>
      <c r="O2076" t="n">
        <v>0</v>
      </c>
      <c r="P2076" t="n">
        <v>0</v>
      </c>
      <c r="Q2076" t="n">
        <v>0</v>
      </c>
      <c r="R2076" s="2" t="inlineStr"/>
      <c r="U2076">
        <f>HYPERLINK("https://klasma.github.io/Logging_2283/knärot/A 17049-2022 karta knärot.png", "A 17049-2022")</f>
        <v/>
      </c>
      <c r="V2076">
        <f>HYPERLINK("https://klasma.github.io/Logging_2283/klagomål/A 17049-2022 FSC-klagomål.docx", "A 17049-2022")</f>
        <v/>
      </c>
      <c r="W2076">
        <f>HYPERLINK("https://klasma.github.io/Logging_2283/klagomålsmail/A 17049-2022 FSC-klagomål mail.docx", "A 17049-2022")</f>
        <v/>
      </c>
      <c r="X2076">
        <f>HYPERLINK("https://klasma.github.io/Logging_2283/tillsyn/A 17049-2022 tillsynsbegäran.docx", "A 17049-2022")</f>
        <v/>
      </c>
      <c r="Y2076">
        <f>HYPERLINK("https://klasma.github.io/Logging_2283/tillsynsmail/A 17049-2022 tillsynsbegäran mail.docx", "A 17049-2022")</f>
        <v/>
      </c>
    </row>
    <row r="2077" ht="15" customHeight="1">
      <c r="A2077" t="inlineStr">
        <is>
          <t>A 44387-2025</t>
        </is>
      </c>
      <c r="B2077" s="1" t="n">
        <v>45916.48994212963</v>
      </c>
      <c r="C2077" s="1" t="n">
        <v>46048</v>
      </c>
      <c r="D2077" t="inlineStr">
        <is>
          <t>VÄSTERNORRLANDS LÄN</t>
        </is>
      </c>
      <c r="E2077" t="inlineStr">
        <is>
          <t>SOLLEFTEÅ</t>
        </is>
      </c>
      <c r="F2077" t="inlineStr">
        <is>
          <t>SCA</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2580-2025</t>
        </is>
      </c>
      <c r="B2078" s="1" t="n">
        <v>45674</v>
      </c>
      <c r="C2078" s="1" t="n">
        <v>46048</v>
      </c>
      <c r="D2078" t="inlineStr">
        <is>
          <t>VÄSTERNORRLANDS LÄN</t>
        </is>
      </c>
      <c r="E2078" t="inlineStr">
        <is>
          <t>SOLLEFTEÅ</t>
        </is>
      </c>
      <c r="F2078" t="inlineStr">
        <is>
          <t>SCA</t>
        </is>
      </c>
      <c r="G2078" t="n">
        <v>3.1</v>
      </c>
      <c r="H2078" t="n">
        <v>0</v>
      </c>
      <c r="I2078" t="n">
        <v>0</v>
      </c>
      <c r="J2078" t="n">
        <v>0</v>
      </c>
      <c r="K2078" t="n">
        <v>0</v>
      </c>
      <c r="L2078" t="n">
        <v>0</v>
      </c>
      <c r="M2078" t="n">
        <v>0</v>
      </c>
      <c r="N2078" t="n">
        <v>0</v>
      </c>
      <c r="O2078" t="n">
        <v>0</v>
      </c>
      <c r="P2078" t="n">
        <v>0</v>
      </c>
      <c r="Q2078" t="n">
        <v>0</v>
      </c>
      <c r="R2078" s="2" t="inlineStr"/>
    </row>
    <row r="2079" ht="15" customHeight="1">
      <c r="A2079" t="inlineStr">
        <is>
          <t>A 56134-2023</t>
        </is>
      </c>
      <c r="B2079" s="1" t="n">
        <v>45240</v>
      </c>
      <c r="C2079" s="1" t="n">
        <v>46048</v>
      </c>
      <c r="D2079" t="inlineStr">
        <is>
          <t>VÄSTERNORRLANDS LÄN</t>
        </is>
      </c>
      <c r="E2079" t="inlineStr">
        <is>
          <t>SOLLEFTEÅ</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44746-2025</t>
        </is>
      </c>
      <c r="B2080" s="1" t="n">
        <v>45917.67760416667</v>
      </c>
      <c r="C2080" s="1" t="n">
        <v>46048</v>
      </c>
      <c r="D2080" t="inlineStr">
        <is>
          <t>VÄSTERNORRLANDS LÄN</t>
        </is>
      </c>
      <c r="E2080" t="inlineStr">
        <is>
          <t>SOLLEFTEÅ</t>
        </is>
      </c>
      <c r="F2080" t="inlineStr">
        <is>
          <t>SCA</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44747-2025</t>
        </is>
      </c>
      <c r="B2081" s="1" t="n">
        <v>45917.67769675926</v>
      </c>
      <c r="C2081" s="1" t="n">
        <v>46048</v>
      </c>
      <c r="D2081" t="inlineStr">
        <is>
          <t>VÄSTERNORRLANDS LÄN</t>
        </is>
      </c>
      <c r="E2081" t="inlineStr">
        <is>
          <t>SOLLEFTEÅ</t>
        </is>
      </c>
      <c r="F2081" t="inlineStr">
        <is>
          <t>SCA</t>
        </is>
      </c>
      <c r="G2081" t="n">
        <v>6.5</v>
      </c>
      <c r="H2081" t="n">
        <v>0</v>
      </c>
      <c r="I2081" t="n">
        <v>0</v>
      </c>
      <c r="J2081" t="n">
        <v>0</v>
      </c>
      <c r="K2081" t="n">
        <v>0</v>
      </c>
      <c r="L2081" t="n">
        <v>0</v>
      </c>
      <c r="M2081" t="n">
        <v>0</v>
      </c>
      <c r="N2081" t="n">
        <v>0</v>
      </c>
      <c r="O2081" t="n">
        <v>0</v>
      </c>
      <c r="P2081" t="n">
        <v>0</v>
      </c>
      <c r="Q2081" t="n">
        <v>0</v>
      </c>
      <c r="R2081" s="2" t="inlineStr"/>
    </row>
    <row r="2082" ht="15" customHeight="1">
      <c r="A2082" t="inlineStr">
        <is>
          <t>A 44335-2025</t>
        </is>
      </c>
      <c r="B2082" s="1" t="n">
        <v>45916.423125</v>
      </c>
      <c r="C2082" s="1" t="n">
        <v>46048</v>
      </c>
      <c r="D2082" t="inlineStr">
        <is>
          <t>VÄSTERNORRLANDS LÄN</t>
        </is>
      </c>
      <c r="E2082" t="inlineStr">
        <is>
          <t>SOLLEFTEÅ</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44736-2025</t>
        </is>
      </c>
      <c r="B2083" s="1" t="n">
        <v>45917.656875</v>
      </c>
      <c r="C2083" s="1" t="n">
        <v>46048</v>
      </c>
      <c r="D2083" t="inlineStr">
        <is>
          <t>VÄSTERNORRLANDS LÄN</t>
        </is>
      </c>
      <c r="E2083" t="inlineStr">
        <is>
          <t>SOLLEFTEÅ</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44295-2025</t>
        </is>
      </c>
      <c r="B2084" s="1" t="n">
        <v>45916.36495370371</v>
      </c>
      <c r="C2084" s="1" t="n">
        <v>46048</v>
      </c>
      <c r="D2084" t="inlineStr">
        <is>
          <t>VÄSTERNORRLANDS LÄN</t>
        </is>
      </c>
      <c r="E2084" t="inlineStr">
        <is>
          <t>SOLLEFTEÅ</t>
        </is>
      </c>
      <c r="F2084" t="inlineStr">
        <is>
          <t>SCA</t>
        </is>
      </c>
      <c r="G2084" t="n">
        <v>4.7</v>
      </c>
      <c r="H2084" t="n">
        <v>0</v>
      </c>
      <c r="I2084" t="n">
        <v>0</v>
      </c>
      <c r="J2084" t="n">
        <v>0</v>
      </c>
      <c r="K2084" t="n">
        <v>0</v>
      </c>
      <c r="L2084" t="n">
        <v>0</v>
      </c>
      <c r="M2084" t="n">
        <v>0</v>
      </c>
      <c r="N2084" t="n">
        <v>0</v>
      </c>
      <c r="O2084" t="n">
        <v>0</v>
      </c>
      <c r="P2084" t="n">
        <v>0</v>
      </c>
      <c r="Q2084" t="n">
        <v>0</v>
      </c>
      <c r="R2084" s="2" t="inlineStr"/>
    </row>
    <row r="2085" ht="15" customHeight="1">
      <c r="A2085" t="inlineStr">
        <is>
          <t>A 44556-2025</t>
        </is>
      </c>
      <c r="B2085" s="1" t="n">
        <v>45917.34424768519</v>
      </c>
      <c r="C2085" s="1" t="n">
        <v>46048</v>
      </c>
      <c r="D2085" t="inlineStr">
        <is>
          <t>VÄSTERNORRLANDS LÄN</t>
        </is>
      </c>
      <c r="E2085" t="inlineStr">
        <is>
          <t>SOLLEFTEÅ</t>
        </is>
      </c>
      <c r="F2085" t="inlineStr">
        <is>
          <t>SCA</t>
        </is>
      </c>
      <c r="G2085" t="n">
        <v>8.4</v>
      </c>
      <c r="H2085" t="n">
        <v>0</v>
      </c>
      <c r="I2085" t="n">
        <v>0</v>
      </c>
      <c r="J2085" t="n">
        <v>0</v>
      </c>
      <c r="K2085" t="n">
        <v>0</v>
      </c>
      <c r="L2085" t="n">
        <v>0</v>
      </c>
      <c r="M2085" t="n">
        <v>0</v>
      </c>
      <c r="N2085" t="n">
        <v>0</v>
      </c>
      <c r="O2085" t="n">
        <v>0</v>
      </c>
      <c r="P2085" t="n">
        <v>0</v>
      </c>
      <c r="Q2085" t="n">
        <v>0</v>
      </c>
      <c r="R2085" s="2" t="inlineStr"/>
    </row>
    <row r="2086" ht="15" customHeight="1">
      <c r="A2086" t="inlineStr">
        <is>
          <t>A 44327-2025</t>
        </is>
      </c>
      <c r="B2086" s="1" t="n">
        <v>45916.40755787037</v>
      </c>
      <c r="C2086" s="1" t="n">
        <v>46048</v>
      </c>
      <c r="D2086" t="inlineStr">
        <is>
          <t>VÄSTERNORRLANDS LÄN</t>
        </is>
      </c>
      <c r="E2086" t="inlineStr">
        <is>
          <t>SOLLEFTEÅ</t>
        </is>
      </c>
      <c r="F2086" t="inlineStr">
        <is>
          <t>SCA</t>
        </is>
      </c>
      <c r="G2086" t="n">
        <v>3.5</v>
      </c>
      <c r="H2086" t="n">
        <v>0</v>
      </c>
      <c r="I2086" t="n">
        <v>0</v>
      </c>
      <c r="J2086" t="n">
        <v>0</v>
      </c>
      <c r="K2086" t="n">
        <v>0</v>
      </c>
      <c r="L2086" t="n">
        <v>0</v>
      </c>
      <c r="M2086" t="n">
        <v>0</v>
      </c>
      <c r="N2086" t="n">
        <v>0</v>
      </c>
      <c r="O2086" t="n">
        <v>0</v>
      </c>
      <c r="P2086" t="n">
        <v>0</v>
      </c>
      <c r="Q2086" t="n">
        <v>0</v>
      </c>
      <c r="R2086" s="2" t="inlineStr"/>
    </row>
    <row r="2087" ht="15" customHeight="1">
      <c r="A2087" t="inlineStr">
        <is>
          <t>A 2345-2025</t>
        </is>
      </c>
      <c r="B2087" s="1" t="n">
        <v>45673.67747685185</v>
      </c>
      <c r="C2087" s="1" t="n">
        <v>46048</v>
      </c>
      <c r="D2087" t="inlineStr">
        <is>
          <t>VÄSTERNORRLANDS LÄN</t>
        </is>
      </c>
      <c r="E2087" t="inlineStr">
        <is>
          <t>SOLLEFTEÅ</t>
        </is>
      </c>
      <c r="F2087" t="inlineStr">
        <is>
          <t>SCA</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6735-2025</t>
        </is>
      </c>
      <c r="B2088" s="1" t="n">
        <v>45700.59434027778</v>
      </c>
      <c r="C2088" s="1" t="n">
        <v>46048</v>
      </c>
      <c r="D2088" t="inlineStr">
        <is>
          <t>VÄSTERNORRLANDS LÄN</t>
        </is>
      </c>
      <c r="E2088" t="inlineStr">
        <is>
          <t>SOLLEFTEÅ</t>
        </is>
      </c>
      <c r="F2088" t="inlineStr">
        <is>
          <t>SCA</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6737-2025</t>
        </is>
      </c>
      <c r="B2089" s="1" t="n">
        <v>45700.59450231482</v>
      </c>
      <c r="C2089" s="1" t="n">
        <v>46048</v>
      </c>
      <c r="D2089" t="inlineStr">
        <is>
          <t>VÄSTERNORRLANDS LÄN</t>
        </is>
      </c>
      <c r="E2089" t="inlineStr">
        <is>
          <t>SOLLEFTEÅ</t>
        </is>
      </c>
      <c r="F2089" t="inlineStr">
        <is>
          <t>SCA</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31556-2024</t>
        </is>
      </c>
      <c r="B2090" s="1" t="n">
        <v>45505</v>
      </c>
      <c r="C2090" s="1" t="n">
        <v>46048</v>
      </c>
      <c r="D2090" t="inlineStr">
        <is>
          <t>VÄSTERNORRLANDS LÄN</t>
        </is>
      </c>
      <c r="E2090" t="inlineStr">
        <is>
          <t>SOLLEFTEÅ</t>
        </is>
      </c>
      <c r="F2090" t="inlineStr">
        <is>
          <t>SCA</t>
        </is>
      </c>
      <c r="G2090" t="n">
        <v>4.4</v>
      </c>
      <c r="H2090" t="n">
        <v>0</v>
      </c>
      <c r="I2090" t="n">
        <v>0</v>
      </c>
      <c r="J2090" t="n">
        <v>0</v>
      </c>
      <c r="K2090" t="n">
        <v>0</v>
      </c>
      <c r="L2090" t="n">
        <v>0</v>
      </c>
      <c r="M2090" t="n">
        <v>0</v>
      </c>
      <c r="N2090" t="n">
        <v>0</v>
      </c>
      <c r="O2090" t="n">
        <v>0</v>
      </c>
      <c r="P2090" t="n">
        <v>0</v>
      </c>
      <c r="Q2090" t="n">
        <v>0</v>
      </c>
      <c r="R2090" s="2" t="inlineStr"/>
    </row>
    <row r="2091" ht="15" customHeight="1">
      <c r="A2091" t="inlineStr">
        <is>
          <t>A 54978-2023</t>
        </is>
      </c>
      <c r="B2091" s="1" t="n">
        <v>45236.96600694444</v>
      </c>
      <c r="C2091" s="1" t="n">
        <v>46048</v>
      </c>
      <c r="D2091" t="inlineStr">
        <is>
          <t>VÄSTERNORRLANDS LÄN</t>
        </is>
      </c>
      <c r="E2091" t="inlineStr">
        <is>
          <t>SOLLEFTEÅ</t>
        </is>
      </c>
      <c r="F2091" t="inlineStr">
        <is>
          <t>SCA</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55650-2023</t>
        </is>
      </c>
      <c r="B2092" s="1" t="n">
        <v>45238.96600694444</v>
      </c>
      <c r="C2092" s="1" t="n">
        <v>46048</v>
      </c>
      <c r="D2092" t="inlineStr">
        <is>
          <t>VÄSTERNORRLANDS LÄN</t>
        </is>
      </c>
      <c r="E2092" t="inlineStr">
        <is>
          <t>SOLLEFTEÅ</t>
        </is>
      </c>
      <c r="F2092" t="inlineStr">
        <is>
          <t>SCA</t>
        </is>
      </c>
      <c r="G2092" t="n">
        <v>4.6</v>
      </c>
      <c r="H2092" t="n">
        <v>0</v>
      </c>
      <c r="I2092" t="n">
        <v>0</v>
      </c>
      <c r="J2092" t="n">
        <v>0</v>
      </c>
      <c r="K2092" t="n">
        <v>0</v>
      </c>
      <c r="L2092" t="n">
        <v>0</v>
      </c>
      <c r="M2092" t="n">
        <v>0</v>
      </c>
      <c r="N2092" t="n">
        <v>0</v>
      </c>
      <c r="O2092" t="n">
        <v>0</v>
      </c>
      <c r="P2092" t="n">
        <v>0</v>
      </c>
      <c r="Q2092" t="n">
        <v>0</v>
      </c>
      <c r="R2092" s="2" t="inlineStr"/>
    </row>
    <row r="2093" ht="15" customHeight="1">
      <c r="A2093" t="inlineStr">
        <is>
          <t>A 44839-2025</t>
        </is>
      </c>
      <c r="B2093" s="1" t="n">
        <v>45918.42751157407</v>
      </c>
      <c r="C2093" s="1" t="n">
        <v>46048</v>
      </c>
      <c r="D2093" t="inlineStr">
        <is>
          <t>VÄSTERNORRLANDS LÄN</t>
        </is>
      </c>
      <c r="E2093" t="inlineStr">
        <is>
          <t>SOLLEFTEÅ</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44907-2025</t>
        </is>
      </c>
      <c r="B2094" s="1" t="n">
        <v>45918.531875</v>
      </c>
      <c r="C2094" s="1" t="n">
        <v>46048</v>
      </c>
      <c r="D2094" t="inlineStr">
        <is>
          <t>VÄSTERNORRLANDS LÄN</t>
        </is>
      </c>
      <c r="E2094" t="inlineStr">
        <is>
          <t>SOLLEFTEÅ</t>
        </is>
      </c>
      <c r="F2094" t="inlineStr">
        <is>
          <t>SCA</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44871-2025</t>
        </is>
      </c>
      <c r="B2095" s="1" t="n">
        <v>45918.46938657408</v>
      </c>
      <c r="C2095" s="1" t="n">
        <v>46048</v>
      </c>
      <c r="D2095" t="inlineStr">
        <is>
          <t>VÄSTERNORRLANDS LÄN</t>
        </is>
      </c>
      <c r="E2095" t="inlineStr">
        <is>
          <t>SOLLEFTEÅ</t>
        </is>
      </c>
      <c r="F2095" t="inlineStr">
        <is>
          <t>SCA</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9557-2024</t>
        </is>
      </c>
      <c r="B2096" s="1" t="n">
        <v>45360</v>
      </c>
      <c r="C2096" s="1" t="n">
        <v>46048</v>
      </c>
      <c r="D2096" t="inlineStr">
        <is>
          <t>VÄSTERNORRLANDS LÄN</t>
        </is>
      </c>
      <c r="E2096" t="inlineStr">
        <is>
          <t>SOLLEFTEÅ</t>
        </is>
      </c>
      <c r="F2096" t="inlineStr">
        <is>
          <t>SCA</t>
        </is>
      </c>
      <c r="G2096" t="n">
        <v>7.4</v>
      </c>
      <c r="H2096" t="n">
        <v>0</v>
      </c>
      <c r="I2096" t="n">
        <v>0</v>
      </c>
      <c r="J2096" t="n">
        <v>0</v>
      </c>
      <c r="K2096" t="n">
        <v>0</v>
      </c>
      <c r="L2096" t="n">
        <v>0</v>
      </c>
      <c r="M2096" t="n">
        <v>0</v>
      </c>
      <c r="N2096" t="n">
        <v>0</v>
      </c>
      <c r="O2096" t="n">
        <v>0</v>
      </c>
      <c r="P2096" t="n">
        <v>0</v>
      </c>
      <c r="Q2096" t="n">
        <v>0</v>
      </c>
      <c r="R2096" s="2" t="inlineStr"/>
    </row>
    <row r="2097" ht="15" customHeight="1">
      <c r="A2097" t="inlineStr">
        <is>
          <t>A 49665-2022</t>
        </is>
      </c>
      <c r="B2097" s="1" t="n">
        <v>44862</v>
      </c>
      <c r="C2097" s="1" t="n">
        <v>46048</v>
      </c>
      <c r="D2097" t="inlineStr">
        <is>
          <t>VÄSTERNORRLANDS LÄN</t>
        </is>
      </c>
      <c r="E2097" t="inlineStr">
        <is>
          <t>SOLLEFTEÅ</t>
        </is>
      </c>
      <c r="F2097" t="inlineStr">
        <is>
          <t>Holmen skog AB</t>
        </is>
      </c>
      <c r="G2097" t="n">
        <v>3</v>
      </c>
      <c r="H2097" t="n">
        <v>0</v>
      </c>
      <c r="I2097" t="n">
        <v>0</v>
      </c>
      <c r="J2097" t="n">
        <v>0</v>
      </c>
      <c r="K2097" t="n">
        <v>0</v>
      </c>
      <c r="L2097" t="n">
        <v>0</v>
      </c>
      <c r="M2097" t="n">
        <v>0</v>
      </c>
      <c r="N2097" t="n">
        <v>0</v>
      </c>
      <c r="O2097" t="n">
        <v>0</v>
      </c>
      <c r="P2097" t="n">
        <v>0</v>
      </c>
      <c r="Q2097" t="n">
        <v>0</v>
      </c>
      <c r="R2097" s="2" t="inlineStr"/>
    </row>
    <row r="2098" ht="15" customHeight="1">
      <c r="A2098" t="inlineStr">
        <is>
          <t>A 45252-2025</t>
        </is>
      </c>
      <c r="B2098" s="1" t="n">
        <v>45919.61493055556</v>
      </c>
      <c r="C2098" s="1" t="n">
        <v>46048</v>
      </c>
      <c r="D2098" t="inlineStr">
        <is>
          <t>VÄSTERNORRLANDS LÄN</t>
        </is>
      </c>
      <c r="E2098" t="inlineStr">
        <is>
          <t>SOLLEFTEÅ</t>
        </is>
      </c>
      <c r="F2098" t="inlineStr">
        <is>
          <t>SCA</t>
        </is>
      </c>
      <c r="G2098" t="n">
        <v>2.5</v>
      </c>
      <c r="H2098" t="n">
        <v>0</v>
      </c>
      <c r="I2098" t="n">
        <v>0</v>
      </c>
      <c r="J2098" t="n">
        <v>0</v>
      </c>
      <c r="K2098" t="n">
        <v>0</v>
      </c>
      <c r="L2098" t="n">
        <v>0</v>
      </c>
      <c r="M2098" t="n">
        <v>0</v>
      </c>
      <c r="N2098" t="n">
        <v>0</v>
      </c>
      <c r="O2098" t="n">
        <v>0</v>
      </c>
      <c r="P2098" t="n">
        <v>0</v>
      </c>
      <c r="Q2098" t="n">
        <v>0</v>
      </c>
      <c r="R2098" s="2" t="inlineStr"/>
    </row>
    <row r="2099" ht="15" customHeight="1">
      <c r="A2099" t="inlineStr">
        <is>
          <t>A 56398-2024</t>
        </is>
      </c>
      <c r="B2099" s="1" t="n">
        <v>45625.35395833333</v>
      </c>
      <c r="C2099" s="1" t="n">
        <v>46048</v>
      </c>
      <c r="D2099" t="inlineStr">
        <is>
          <t>VÄSTERNORRLANDS LÄN</t>
        </is>
      </c>
      <c r="E2099" t="inlineStr">
        <is>
          <t>SOLLEFTEÅ</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8712-2025</t>
        </is>
      </c>
      <c r="B2100" s="1" t="n">
        <v>45712.49872685185</v>
      </c>
      <c r="C2100" s="1" t="n">
        <v>46048</v>
      </c>
      <c r="D2100" t="inlineStr">
        <is>
          <t>VÄSTERNORRLANDS LÄN</t>
        </is>
      </c>
      <c r="E2100" t="inlineStr">
        <is>
          <t>SOLLEFTEÅ</t>
        </is>
      </c>
      <c r="G2100" t="n">
        <v>2.6</v>
      </c>
      <c r="H2100" t="n">
        <v>0</v>
      </c>
      <c r="I2100" t="n">
        <v>0</v>
      </c>
      <c r="J2100" t="n">
        <v>0</v>
      </c>
      <c r="K2100" t="n">
        <v>0</v>
      </c>
      <c r="L2100" t="n">
        <v>0</v>
      </c>
      <c r="M2100" t="n">
        <v>0</v>
      </c>
      <c r="N2100" t="n">
        <v>0</v>
      </c>
      <c r="O2100" t="n">
        <v>0</v>
      </c>
      <c r="P2100" t="n">
        <v>0</v>
      </c>
      <c r="Q2100" t="n">
        <v>0</v>
      </c>
      <c r="R2100" s="2" t="inlineStr"/>
    </row>
    <row r="2101" ht="15" customHeight="1">
      <c r="A2101" t="inlineStr">
        <is>
          <t>A 3548-2022</t>
        </is>
      </c>
      <c r="B2101" s="1" t="n">
        <v>44585.93784722222</v>
      </c>
      <c r="C2101" s="1" t="n">
        <v>46048</v>
      </c>
      <c r="D2101" t="inlineStr">
        <is>
          <t>VÄSTERNORRLANDS LÄN</t>
        </is>
      </c>
      <c r="E2101" t="inlineStr">
        <is>
          <t>SOLLEFTEÅ</t>
        </is>
      </c>
      <c r="F2101" t="inlineStr">
        <is>
          <t>SCA</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43842-2025</t>
        </is>
      </c>
      <c r="B2102" s="1" t="n">
        <v>45912.63587962963</v>
      </c>
      <c r="C2102" s="1" t="n">
        <v>46048</v>
      </c>
      <c r="D2102" t="inlineStr">
        <is>
          <t>VÄSTERNORRLANDS LÄN</t>
        </is>
      </c>
      <c r="E2102" t="inlineStr">
        <is>
          <t>SOLLEFTEÅ</t>
        </is>
      </c>
      <c r="F2102" t="inlineStr">
        <is>
          <t>SCA</t>
        </is>
      </c>
      <c r="G2102" t="n">
        <v>3.2</v>
      </c>
      <c r="H2102" t="n">
        <v>0</v>
      </c>
      <c r="I2102" t="n">
        <v>0</v>
      </c>
      <c r="J2102" t="n">
        <v>0</v>
      </c>
      <c r="K2102" t="n">
        <v>0</v>
      </c>
      <c r="L2102" t="n">
        <v>0</v>
      </c>
      <c r="M2102" t="n">
        <v>0</v>
      </c>
      <c r="N2102" t="n">
        <v>0</v>
      </c>
      <c r="O2102" t="n">
        <v>0</v>
      </c>
      <c r="P2102" t="n">
        <v>0</v>
      </c>
      <c r="Q2102" t="n">
        <v>0</v>
      </c>
      <c r="R2102" s="2" t="inlineStr"/>
    </row>
    <row r="2103" ht="15" customHeight="1">
      <c r="A2103" t="inlineStr">
        <is>
          <t>A 45028-2025</t>
        </is>
      </c>
      <c r="B2103" s="1" t="n">
        <v>45918.69828703703</v>
      </c>
      <c r="C2103" s="1" t="n">
        <v>46048</v>
      </c>
      <c r="D2103" t="inlineStr">
        <is>
          <t>VÄSTERNORRLANDS LÄN</t>
        </is>
      </c>
      <c r="E2103" t="inlineStr">
        <is>
          <t>SOLLEFTEÅ</t>
        </is>
      </c>
      <c r="F2103" t="inlineStr">
        <is>
          <t>SCA</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44906-2025</t>
        </is>
      </c>
      <c r="B2104" s="1" t="n">
        <v>45918.53174768519</v>
      </c>
      <c r="C2104" s="1" t="n">
        <v>46048</v>
      </c>
      <c r="D2104" t="inlineStr">
        <is>
          <t>VÄSTERNORRLANDS LÄN</t>
        </is>
      </c>
      <c r="E2104" t="inlineStr">
        <is>
          <t>SOLLEFTEÅ</t>
        </is>
      </c>
      <c r="F2104" t="inlineStr">
        <is>
          <t>SCA</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7036-2025</t>
        </is>
      </c>
      <c r="B2105" s="1" t="n">
        <v>45701.63597222222</v>
      </c>
      <c r="C2105" s="1" t="n">
        <v>46048</v>
      </c>
      <c r="D2105" t="inlineStr">
        <is>
          <t>VÄSTERNORRLANDS LÄN</t>
        </is>
      </c>
      <c r="E2105" t="inlineStr">
        <is>
          <t>SOLLEFTEÅ</t>
        </is>
      </c>
      <c r="F2105" t="inlineStr">
        <is>
          <t>SCA</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42478-2025</t>
        </is>
      </c>
      <c r="B2106" s="1" t="n">
        <v>45905</v>
      </c>
      <c r="C2106" s="1" t="n">
        <v>46048</v>
      </c>
      <c r="D2106" t="inlineStr">
        <is>
          <t>VÄSTERNORRLANDS LÄN</t>
        </is>
      </c>
      <c r="E2106" t="inlineStr">
        <is>
          <t>SOLLEFTEÅ</t>
        </is>
      </c>
      <c r="F2106" t="inlineStr">
        <is>
          <t>SCA</t>
        </is>
      </c>
      <c r="G2106" t="n">
        <v>9.300000000000001</v>
      </c>
      <c r="H2106" t="n">
        <v>0</v>
      </c>
      <c r="I2106" t="n">
        <v>0</v>
      </c>
      <c r="J2106" t="n">
        <v>0</v>
      </c>
      <c r="K2106" t="n">
        <v>0</v>
      </c>
      <c r="L2106" t="n">
        <v>0</v>
      </c>
      <c r="M2106" t="n">
        <v>0</v>
      </c>
      <c r="N2106" t="n">
        <v>0</v>
      </c>
      <c r="O2106" t="n">
        <v>0</v>
      </c>
      <c r="P2106" t="n">
        <v>0</v>
      </c>
      <c r="Q2106" t="n">
        <v>0</v>
      </c>
      <c r="R2106" s="2" t="inlineStr"/>
    </row>
    <row r="2107" ht="15" customHeight="1">
      <c r="A2107" t="inlineStr">
        <is>
          <t>A 44873-2025</t>
        </is>
      </c>
      <c r="B2107" s="1" t="n">
        <v>45918.46966435185</v>
      </c>
      <c r="C2107" s="1" t="n">
        <v>46048</v>
      </c>
      <c r="D2107" t="inlineStr">
        <is>
          <t>VÄSTERNORRLANDS LÄN</t>
        </is>
      </c>
      <c r="E2107" t="inlineStr">
        <is>
          <t>SOLLEFTEÅ</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42879-2025</t>
        </is>
      </c>
      <c r="B2108" s="1" t="n">
        <v>45908</v>
      </c>
      <c r="C2108" s="1" t="n">
        <v>46048</v>
      </c>
      <c r="D2108" t="inlineStr">
        <is>
          <t>VÄSTERNORRLANDS LÄN</t>
        </is>
      </c>
      <c r="E2108" t="inlineStr">
        <is>
          <t>SOLLEFTEÅ</t>
        </is>
      </c>
      <c r="F2108" t="inlineStr">
        <is>
          <t>SCA</t>
        </is>
      </c>
      <c r="G2108" t="n">
        <v>4.7</v>
      </c>
      <c r="H2108" t="n">
        <v>0</v>
      </c>
      <c r="I2108" t="n">
        <v>0</v>
      </c>
      <c r="J2108" t="n">
        <v>0</v>
      </c>
      <c r="K2108" t="n">
        <v>0</v>
      </c>
      <c r="L2108" t="n">
        <v>0</v>
      </c>
      <c r="M2108" t="n">
        <v>0</v>
      </c>
      <c r="N2108" t="n">
        <v>0</v>
      </c>
      <c r="O2108" t="n">
        <v>0</v>
      </c>
      <c r="P2108" t="n">
        <v>0</v>
      </c>
      <c r="Q2108" t="n">
        <v>0</v>
      </c>
      <c r="R2108" s="2" t="inlineStr"/>
    </row>
    <row r="2109" ht="15" customHeight="1">
      <c r="A2109" t="inlineStr">
        <is>
          <t>A 34638-2024</t>
        </is>
      </c>
      <c r="B2109" s="1" t="n">
        <v>45526</v>
      </c>
      <c r="C2109" s="1" t="n">
        <v>46048</v>
      </c>
      <c r="D2109" t="inlineStr">
        <is>
          <t>VÄSTERNORRLANDS LÄN</t>
        </is>
      </c>
      <c r="E2109" t="inlineStr">
        <is>
          <t>SOLLEFTEÅ</t>
        </is>
      </c>
      <c r="F2109" t="inlineStr">
        <is>
          <t>SCA</t>
        </is>
      </c>
      <c r="G2109" t="n">
        <v>3.3</v>
      </c>
      <c r="H2109" t="n">
        <v>0</v>
      </c>
      <c r="I2109" t="n">
        <v>0</v>
      </c>
      <c r="J2109" t="n">
        <v>0</v>
      </c>
      <c r="K2109" t="n">
        <v>0</v>
      </c>
      <c r="L2109" t="n">
        <v>0</v>
      </c>
      <c r="M2109" t="n">
        <v>0</v>
      </c>
      <c r="N2109" t="n">
        <v>0</v>
      </c>
      <c r="O2109" t="n">
        <v>0</v>
      </c>
      <c r="P2109" t="n">
        <v>0</v>
      </c>
      <c r="Q2109" t="n">
        <v>0</v>
      </c>
      <c r="R2109" s="2" t="inlineStr"/>
      <c r="U2109">
        <f>HYPERLINK("https://klasma.github.io/Logging_2283/knärot/A 34638-2024 karta knärot.png", "A 34638-2024")</f>
        <v/>
      </c>
      <c r="V2109">
        <f>HYPERLINK("https://klasma.github.io/Logging_2283/klagomål/A 34638-2024 FSC-klagomål.docx", "A 34638-2024")</f>
        <v/>
      </c>
      <c r="W2109">
        <f>HYPERLINK("https://klasma.github.io/Logging_2283/klagomålsmail/A 34638-2024 FSC-klagomål mail.docx", "A 34638-2024")</f>
        <v/>
      </c>
      <c r="X2109">
        <f>HYPERLINK("https://klasma.github.io/Logging_2283/tillsyn/A 34638-2024 tillsynsbegäran.docx", "A 34638-2024")</f>
        <v/>
      </c>
      <c r="Y2109">
        <f>HYPERLINK("https://klasma.github.io/Logging_2283/tillsynsmail/A 34638-2024 tillsynsbegäran mail.docx", "A 34638-2024")</f>
        <v/>
      </c>
    </row>
    <row r="2110" ht="15" customHeight="1">
      <c r="A2110" t="inlineStr">
        <is>
          <t>A 45236-2025</t>
        </is>
      </c>
      <c r="B2110" s="1" t="n">
        <v>45919.59450231482</v>
      </c>
      <c r="C2110" s="1" t="n">
        <v>46048</v>
      </c>
      <c r="D2110" t="inlineStr">
        <is>
          <t>VÄSTERNORRLANDS LÄN</t>
        </is>
      </c>
      <c r="E2110" t="inlineStr">
        <is>
          <t>SOLLEFTEÅ</t>
        </is>
      </c>
      <c r="F2110" t="inlineStr">
        <is>
          <t>SCA</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35261-2025</t>
        </is>
      </c>
      <c r="B2111" s="1" t="n">
        <v>45853</v>
      </c>
      <c r="C2111" s="1" t="n">
        <v>46048</v>
      </c>
      <c r="D2111" t="inlineStr">
        <is>
          <t>VÄSTERNORRLANDS LÄN</t>
        </is>
      </c>
      <c r="E2111" t="inlineStr">
        <is>
          <t>SOLLEFTEÅ</t>
        </is>
      </c>
      <c r="G2111" t="n">
        <v>4.6</v>
      </c>
      <c r="H2111" t="n">
        <v>0</v>
      </c>
      <c r="I2111" t="n">
        <v>0</v>
      </c>
      <c r="J2111" t="n">
        <v>0</v>
      </c>
      <c r="K2111" t="n">
        <v>0</v>
      </c>
      <c r="L2111" t="n">
        <v>0</v>
      </c>
      <c r="M2111" t="n">
        <v>0</v>
      </c>
      <c r="N2111" t="n">
        <v>0</v>
      </c>
      <c r="O2111" t="n">
        <v>0</v>
      </c>
      <c r="P2111" t="n">
        <v>0</v>
      </c>
      <c r="Q2111" t="n">
        <v>0</v>
      </c>
      <c r="R2111" s="2" t="inlineStr"/>
    </row>
    <row r="2112" ht="15" customHeight="1">
      <c r="A2112" t="inlineStr">
        <is>
          <t>A 29337-2023</t>
        </is>
      </c>
      <c r="B2112" s="1" t="n">
        <v>45105</v>
      </c>
      <c r="C2112" s="1" t="n">
        <v>46048</v>
      </c>
      <c r="D2112" t="inlineStr">
        <is>
          <t>VÄSTERNORRLANDS LÄN</t>
        </is>
      </c>
      <c r="E2112" t="inlineStr">
        <is>
          <t>SOLLEFTEÅ</t>
        </is>
      </c>
      <c r="F2112" t="inlineStr">
        <is>
          <t>SCA</t>
        </is>
      </c>
      <c r="G2112" t="n">
        <v>3.8</v>
      </c>
      <c r="H2112" t="n">
        <v>0</v>
      </c>
      <c r="I2112" t="n">
        <v>0</v>
      </c>
      <c r="J2112" t="n">
        <v>0</v>
      </c>
      <c r="K2112" t="n">
        <v>0</v>
      </c>
      <c r="L2112" t="n">
        <v>0</v>
      </c>
      <c r="M2112" t="n">
        <v>0</v>
      </c>
      <c r="N2112" t="n">
        <v>0</v>
      </c>
      <c r="O2112" t="n">
        <v>0</v>
      </c>
      <c r="P2112" t="n">
        <v>0</v>
      </c>
      <c r="Q2112" t="n">
        <v>0</v>
      </c>
      <c r="R2112" s="2" t="inlineStr"/>
    </row>
    <row r="2113" ht="15" customHeight="1">
      <c r="A2113" t="inlineStr">
        <is>
          <t>A 17258-2025</t>
        </is>
      </c>
      <c r="B2113" s="1" t="n">
        <v>45756.53278935186</v>
      </c>
      <c r="C2113" s="1" t="n">
        <v>46048</v>
      </c>
      <c r="D2113" t="inlineStr">
        <is>
          <t>VÄSTERNORRLANDS LÄN</t>
        </is>
      </c>
      <c r="E2113" t="inlineStr">
        <is>
          <t>SOLLEFTEÅ</t>
        </is>
      </c>
      <c r="G2113" t="n">
        <v>6.8</v>
      </c>
      <c r="H2113" t="n">
        <v>0</v>
      </c>
      <c r="I2113" t="n">
        <v>0</v>
      </c>
      <c r="J2113" t="n">
        <v>0</v>
      </c>
      <c r="K2113" t="n">
        <v>0</v>
      </c>
      <c r="L2113" t="n">
        <v>0</v>
      </c>
      <c r="M2113" t="n">
        <v>0</v>
      </c>
      <c r="N2113" t="n">
        <v>0</v>
      </c>
      <c r="O2113" t="n">
        <v>0</v>
      </c>
      <c r="P2113" t="n">
        <v>0</v>
      </c>
      <c r="Q2113" t="n">
        <v>0</v>
      </c>
      <c r="R2113" s="2" t="inlineStr"/>
    </row>
    <row r="2114" ht="15" customHeight="1">
      <c r="A2114" t="inlineStr">
        <is>
          <t>A 19051-2022</t>
        </is>
      </c>
      <c r="B2114" s="1" t="n">
        <v>44691.41167824074</v>
      </c>
      <c r="C2114" s="1" t="n">
        <v>46048</v>
      </c>
      <c r="D2114" t="inlineStr">
        <is>
          <t>VÄSTERNORRLANDS LÄN</t>
        </is>
      </c>
      <c r="E2114" t="inlineStr">
        <is>
          <t>SOLLEFTEÅ</t>
        </is>
      </c>
      <c r="G2114" t="n">
        <v>3.6</v>
      </c>
      <c r="H2114" t="n">
        <v>0</v>
      </c>
      <c r="I2114" t="n">
        <v>0</v>
      </c>
      <c r="J2114" t="n">
        <v>0</v>
      </c>
      <c r="K2114" t="n">
        <v>0</v>
      </c>
      <c r="L2114" t="n">
        <v>0</v>
      </c>
      <c r="M2114" t="n">
        <v>0</v>
      </c>
      <c r="N2114" t="n">
        <v>0</v>
      </c>
      <c r="O2114" t="n">
        <v>0</v>
      </c>
      <c r="P2114" t="n">
        <v>0</v>
      </c>
      <c r="Q2114" t="n">
        <v>0</v>
      </c>
      <c r="R2114" s="2" t="inlineStr"/>
    </row>
    <row r="2115" ht="15" customHeight="1">
      <c r="A2115" t="inlineStr">
        <is>
          <t>A 45843-2025</t>
        </is>
      </c>
      <c r="B2115" s="1" t="n">
        <v>45923.61541666667</v>
      </c>
      <c r="C2115" s="1" t="n">
        <v>46048</v>
      </c>
      <c r="D2115" t="inlineStr">
        <is>
          <t>VÄSTERNORRLANDS LÄN</t>
        </is>
      </c>
      <c r="E2115" t="inlineStr">
        <is>
          <t>SOLLEFTEÅ</t>
        </is>
      </c>
      <c r="F2115" t="inlineStr">
        <is>
          <t>SCA</t>
        </is>
      </c>
      <c r="G2115" t="n">
        <v>2.7</v>
      </c>
      <c r="H2115" t="n">
        <v>0</v>
      </c>
      <c r="I2115" t="n">
        <v>0</v>
      </c>
      <c r="J2115" t="n">
        <v>0</v>
      </c>
      <c r="K2115" t="n">
        <v>0</v>
      </c>
      <c r="L2115" t="n">
        <v>0</v>
      </c>
      <c r="M2115" t="n">
        <v>0</v>
      </c>
      <c r="N2115" t="n">
        <v>0</v>
      </c>
      <c r="O2115" t="n">
        <v>0</v>
      </c>
      <c r="P2115" t="n">
        <v>0</v>
      </c>
      <c r="Q2115" t="n">
        <v>0</v>
      </c>
      <c r="R2115" s="2" t="inlineStr"/>
    </row>
    <row r="2116" ht="15" customHeight="1">
      <c r="A2116" t="inlineStr">
        <is>
          <t>A 11539-2024</t>
        </is>
      </c>
      <c r="B2116" s="1" t="n">
        <v>45372.9560300926</v>
      </c>
      <c r="C2116" s="1" t="n">
        <v>46048</v>
      </c>
      <c r="D2116" t="inlineStr">
        <is>
          <t>VÄSTERNORRLANDS LÄN</t>
        </is>
      </c>
      <c r="E2116" t="inlineStr">
        <is>
          <t>SOLLEFTEÅ</t>
        </is>
      </c>
      <c r="F2116" t="inlineStr">
        <is>
          <t>SCA</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22668-2024</t>
        </is>
      </c>
      <c r="B2117" s="1" t="n">
        <v>45447.94453703704</v>
      </c>
      <c r="C2117" s="1" t="n">
        <v>46048</v>
      </c>
      <c r="D2117" t="inlineStr">
        <is>
          <t>VÄSTERNORRLANDS LÄN</t>
        </is>
      </c>
      <c r="E2117" t="inlineStr">
        <is>
          <t>SOLLEFTEÅ</t>
        </is>
      </c>
      <c r="F2117" t="inlineStr">
        <is>
          <t>SCA</t>
        </is>
      </c>
      <c r="G2117" t="n">
        <v>4.9</v>
      </c>
      <c r="H2117" t="n">
        <v>0</v>
      </c>
      <c r="I2117" t="n">
        <v>0</v>
      </c>
      <c r="J2117" t="n">
        <v>0</v>
      </c>
      <c r="K2117" t="n">
        <v>0</v>
      </c>
      <c r="L2117" t="n">
        <v>0</v>
      </c>
      <c r="M2117" t="n">
        <v>0</v>
      </c>
      <c r="N2117" t="n">
        <v>0</v>
      </c>
      <c r="O2117" t="n">
        <v>0</v>
      </c>
      <c r="P2117" t="n">
        <v>0</v>
      </c>
      <c r="Q2117" t="n">
        <v>0</v>
      </c>
      <c r="R2117" s="2" t="inlineStr"/>
    </row>
    <row r="2118" ht="15" customHeight="1">
      <c r="A2118" t="inlineStr">
        <is>
          <t>A 49673-2024</t>
        </is>
      </c>
      <c r="B2118" s="1" t="n">
        <v>45596.65657407408</v>
      </c>
      <c r="C2118" s="1" t="n">
        <v>46048</v>
      </c>
      <c r="D2118" t="inlineStr">
        <is>
          <t>VÄSTERNORRLANDS LÄN</t>
        </is>
      </c>
      <c r="E2118" t="inlineStr">
        <is>
          <t>SOLLEFTEÅ</t>
        </is>
      </c>
      <c r="F2118" t="inlineStr">
        <is>
          <t>SCA</t>
        </is>
      </c>
      <c r="G2118" t="n">
        <v>3.4</v>
      </c>
      <c r="H2118" t="n">
        <v>0</v>
      </c>
      <c r="I2118" t="n">
        <v>0</v>
      </c>
      <c r="J2118" t="n">
        <v>0</v>
      </c>
      <c r="K2118" t="n">
        <v>0</v>
      </c>
      <c r="L2118" t="n">
        <v>0</v>
      </c>
      <c r="M2118" t="n">
        <v>0</v>
      </c>
      <c r="N2118" t="n">
        <v>0</v>
      </c>
      <c r="O2118" t="n">
        <v>0</v>
      </c>
      <c r="P2118" t="n">
        <v>0</v>
      </c>
      <c r="Q2118" t="n">
        <v>0</v>
      </c>
      <c r="R2118" s="2" t="inlineStr"/>
    </row>
    <row r="2119" ht="15" customHeight="1">
      <c r="A2119" t="inlineStr">
        <is>
          <t>A 45593-2025</t>
        </is>
      </c>
      <c r="B2119" s="1" t="n">
        <v>45922.67783564814</v>
      </c>
      <c r="C2119" s="1" t="n">
        <v>46048</v>
      </c>
      <c r="D2119" t="inlineStr">
        <is>
          <t>VÄSTERNORRLANDS LÄN</t>
        </is>
      </c>
      <c r="E2119" t="inlineStr">
        <is>
          <t>SOLLEFTEÅ</t>
        </is>
      </c>
      <c r="F2119" t="inlineStr">
        <is>
          <t>SCA</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45569-2025</t>
        </is>
      </c>
      <c r="B2120" s="1" t="n">
        <v>45922.65694444445</v>
      </c>
      <c r="C2120" s="1" t="n">
        <v>46048</v>
      </c>
      <c r="D2120" t="inlineStr">
        <is>
          <t>VÄSTERNORRLANDS LÄN</t>
        </is>
      </c>
      <c r="E2120" t="inlineStr">
        <is>
          <t>SOLLEFTEÅ</t>
        </is>
      </c>
      <c r="F2120" t="inlineStr">
        <is>
          <t>SCA</t>
        </is>
      </c>
      <c r="G2120" t="n">
        <v>6.3</v>
      </c>
      <c r="H2120" t="n">
        <v>0</v>
      </c>
      <c r="I2120" t="n">
        <v>0</v>
      </c>
      <c r="J2120" t="n">
        <v>0</v>
      </c>
      <c r="K2120" t="n">
        <v>0</v>
      </c>
      <c r="L2120" t="n">
        <v>0</v>
      </c>
      <c r="M2120" t="n">
        <v>0</v>
      </c>
      <c r="N2120" t="n">
        <v>0</v>
      </c>
      <c r="O2120" t="n">
        <v>0</v>
      </c>
      <c r="P2120" t="n">
        <v>0</v>
      </c>
      <c r="Q2120" t="n">
        <v>0</v>
      </c>
      <c r="R2120" s="2" t="inlineStr"/>
    </row>
    <row r="2121" ht="15" customHeight="1">
      <c r="A2121" t="inlineStr">
        <is>
          <t>A 20101-2025</t>
        </is>
      </c>
      <c r="B2121" s="1" t="n">
        <v>45772</v>
      </c>
      <c r="C2121" s="1" t="n">
        <v>46048</v>
      </c>
      <c r="D2121" t="inlineStr">
        <is>
          <t>VÄSTERNORRLANDS LÄN</t>
        </is>
      </c>
      <c r="E2121" t="inlineStr">
        <is>
          <t>SOLLEFTEÅ</t>
        </is>
      </c>
      <c r="F2121" t="inlineStr">
        <is>
          <t>SCA</t>
        </is>
      </c>
      <c r="G2121" t="n">
        <v>13.5</v>
      </c>
      <c r="H2121" t="n">
        <v>0</v>
      </c>
      <c r="I2121" t="n">
        <v>0</v>
      </c>
      <c r="J2121" t="n">
        <v>0</v>
      </c>
      <c r="K2121" t="n">
        <v>0</v>
      </c>
      <c r="L2121" t="n">
        <v>0</v>
      </c>
      <c r="M2121" t="n">
        <v>0</v>
      </c>
      <c r="N2121" t="n">
        <v>0</v>
      </c>
      <c r="O2121" t="n">
        <v>0</v>
      </c>
      <c r="P2121" t="n">
        <v>0</v>
      </c>
      <c r="Q2121" t="n">
        <v>0</v>
      </c>
      <c r="R2121" s="2" t="inlineStr"/>
    </row>
    <row r="2122" ht="15" customHeight="1">
      <c r="A2122" t="inlineStr">
        <is>
          <t>A 45340-2025</t>
        </is>
      </c>
      <c r="B2122" s="1" t="n">
        <v>45922.34421296296</v>
      </c>
      <c r="C2122" s="1" t="n">
        <v>46048</v>
      </c>
      <c r="D2122" t="inlineStr">
        <is>
          <t>VÄSTERNORRLANDS LÄN</t>
        </is>
      </c>
      <c r="E2122" t="inlineStr">
        <is>
          <t>SOLLEFTEÅ</t>
        </is>
      </c>
      <c r="F2122" t="inlineStr">
        <is>
          <t>SCA</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58463-2024</t>
        </is>
      </c>
      <c r="B2123" s="1" t="n">
        <v>45635.36650462963</v>
      </c>
      <c r="C2123" s="1" t="n">
        <v>46048</v>
      </c>
      <c r="D2123" t="inlineStr">
        <is>
          <t>VÄSTERNORRLANDS LÄN</t>
        </is>
      </c>
      <c r="E2123" t="inlineStr">
        <is>
          <t>SOLLEFTEÅ</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27293-2024</t>
        </is>
      </c>
      <c r="B2124" s="1" t="n">
        <v>45471.94259259259</v>
      </c>
      <c r="C2124" s="1" t="n">
        <v>46048</v>
      </c>
      <c r="D2124" t="inlineStr">
        <is>
          <t>VÄSTERNORRLANDS LÄN</t>
        </is>
      </c>
      <c r="E2124" t="inlineStr">
        <is>
          <t>SOLLEFTEÅ</t>
        </is>
      </c>
      <c r="F2124" t="inlineStr">
        <is>
          <t>SCA</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13008-2023</t>
        </is>
      </c>
      <c r="B2125" s="1" t="n">
        <v>45002</v>
      </c>
      <c r="C2125" s="1" t="n">
        <v>46048</v>
      </c>
      <c r="D2125" t="inlineStr">
        <is>
          <t>VÄSTERNORRLANDS LÄN</t>
        </is>
      </c>
      <c r="E2125" t="inlineStr">
        <is>
          <t>SOLLEFTEÅ</t>
        </is>
      </c>
      <c r="F2125" t="inlineStr">
        <is>
          <t>SCA</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45794-2025</t>
        </is>
      </c>
      <c r="B2126" s="1" t="n">
        <v>45923.57380787037</v>
      </c>
      <c r="C2126" s="1" t="n">
        <v>46048</v>
      </c>
      <c r="D2126" t="inlineStr">
        <is>
          <t>VÄSTERNORRLANDS LÄN</t>
        </is>
      </c>
      <c r="E2126" t="inlineStr">
        <is>
          <t>SOLLEFTEÅ</t>
        </is>
      </c>
      <c r="F2126" t="inlineStr">
        <is>
          <t>SCA</t>
        </is>
      </c>
      <c r="G2126" t="n">
        <v>34.9</v>
      </c>
      <c r="H2126" t="n">
        <v>0</v>
      </c>
      <c r="I2126" t="n">
        <v>0</v>
      </c>
      <c r="J2126" t="n">
        <v>0</v>
      </c>
      <c r="K2126" t="n">
        <v>0</v>
      </c>
      <c r="L2126" t="n">
        <v>0</v>
      </c>
      <c r="M2126" t="n">
        <v>0</v>
      </c>
      <c r="N2126" t="n">
        <v>0</v>
      </c>
      <c r="O2126" t="n">
        <v>0</v>
      </c>
      <c r="P2126" t="n">
        <v>0</v>
      </c>
      <c r="Q2126" t="n">
        <v>0</v>
      </c>
      <c r="R2126" s="2" t="inlineStr"/>
    </row>
    <row r="2127" ht="15" customHeight="1">
      <c r="A2127" t="inlineStr">
        <is>
          <t>A 15859-2024</t>
        </is>
      </c>
      <c r="B2127" s="1" t="n">
        <v>45404.99732638889</v>
      </c>
      <c r="C2127" s="1" t="n">
        <v>46048</v>
      </c>
      <c r="D2127" t="inlineStr">
        <is>
          <t>VÄSTERNORRLANDS LÄN</t>
        </is>
      </c>
      <c r="E2127" t="inlineStr">
        <is>
          <t>SOLLEFTEÅ</t>
        </is>
      </c>
      <c r="F2127" t="inlineStr">
        <is>
          <t>SCA</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45978-2025</t>
        </is>
      </c>
      <c r="B2128" s="1" t="n">
        <v>45924.37491898148</v>
      </c>
      <c r="C2128" s="1" t="n">
        <v>46048</v>
      </c>
      <c r="D2128" t="inlineStr">
        <is>
          <t>VÄSTERNORRLANDS LÄN</t>
        </is>
      </c>
      <c r="E2128" t="inlineStr">
        <is>
          <t>SOLLEFTEÅ</t>
        </is>
      </c>
      <c r="G2128" t="n">
        <v>4.9</v>
      </c>
      <c r="H2128" t="n">
        <v>0</v>
      </c>
      <c r="I2128" t="n">
        <v>0</v>
      </c>
      <c r="J2128" t="n">
        <v>0</v>
      </c>
      <c r="K2128" t="n">
        <v>0</v>
      </c>
      <c r="L2128" t="n">
        <v>0</v>
      </c>
      <c r="M2128" t="n">
        <v>0</v>
      </c>
      <c r="N2128" t="n">
        <v>0</v>
      </c>
      <c r="O2128" t="n">
        <v>0</v>
      </c>
      <c r="P2128" t="n">
        <v>0</v>
      </c>
      <c r="Q2128" t="n">
        <v>0</v>
      </c>
      <c r="R2128" s="2" t="inlineStr"/>
    </row>
    <row r="2129" ht="15" customHeight="1">
      <c r="A2129" t="inlineStr">
        <is>
          <t>A 46003-2025</t>
        </is>
      </c>
      <c r="B2129" s="1" t="n">
        <v>45924.40726851852</v>
      </c>
      <c r="C2129" s="1" t="n">
        <v>46048</v>
      </c>
      <c r="D2129" t="inlineStr">
        <is>
          <t>VÄSTERNORRLANDS LÄN</t>
        </is>
      </c>
      <c r="E2129" t="inlineStr">
        <is>
          <t>SOLLEFTEÅ</t>
        </is>
      </c>
      <c r="F2129" t="inlineStr">
        <is>
          <t>SCA</t>
        </is>
      </c>
      <c r="G2129" t="n">
        <v>6.3</v>
      </c>
      <c r="H2129" t="n">
        <v>0</v>
      </c>
      <c r="I2129" t="n">
        <v>0</v>
      </c>
      <c r="J2129" t="n">
        <v>0</v>
      </c>
      <c r="K2129" t="n">
        <v>0</v>
      </c>
      <c r="L2129" t="n">
        <v>0</v>
      </c>
      <c r="M2129" t="n">
        <v>0</v>
      </c>
      <c r="N2129" t="n">
        <v>0</v>
      </c>
      <c r="O2129" t="n">
        <v>0</v>
      </c>
      <c r="P2129" t="n">
        <v>0</v>
      </c>
      <c r="Q2129" t="n">
        <v>0</v>
      </c>
      <c r="R2129" s="2" t="inlineStr"/>
    </row>
    <row r="2130" ht="15" customHeight="1">
      <c r="A2130" t="inlineStr">
        <is>
          <t>A 45952-2025</t>
        </is>
      </c>
      <c r="B2130" s="1" t="n">
        <v>45924.34430555555</v>
      </c>
      <c r="C2130" s="1" t="n">
        <v>46048</v>
      </c>
      <c r="D2130" t="inlineStr">
        <is>
          <t>VÄSTERNORRLANDS LÄN</t>
        </is>
      </c>
      <c r="E2130" t="inlineStr">
        <is>
          <t>SOLLEFTEÅ</t>
        </is>
      </c>
      <c r="G2130" t="n">
        <v>2.9</v>
      </c>
      <c r="H2130" t="n">
        <v>0</v>
      </c>
      <c r="I2130" t="n">
        <v>0</v>
      </c>
      <c r="J2130" t="n">
        <v>0</v>
      </c>
      <c r="K2130" t="n">
        <v>0</v>
      </c>
      <c r="L2130" t="n">
        <v>0</v>
      </c>
      <c r="M2130" t="n">
        <v>0</v>
      </c>
      <c r="N2130" t="n">
        <v>0</v>
      </c>
      <c r="O2130" t="n">
        <v>0</v>
      </c>
      <c r="P2130" t="n">
        <v>0</v>
      </c>
      <c r="Q2130" t="n">
        <v>0</v>
      </c>
      <c r="R2130" s="2" t="inlineStr"/>
    </row>
    <row r="2131" ht="15" customHeight="1">
      <c r="A2131" t="inlineStr">
        <is>
          <t>A 42228-2021</t>
        </is>
      </c>
      <c r="B2131" s="1" t="n">
        <v>44426</v>
      </c>
      <c r="C2131" s="1" t="n">
        <v>46048</v>
      </c>
      <c r="D2131" t="inlineStr">
        <is>
          <t>VÄSTERNORRLANDS LÄN</t>
        </is>
      </c>
      <c r="E2131" t="inlineStr">
        <is>
          <t>SOLLEFTEÅ</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46174-2025</t>
        </is>
      </c>
      <c r="B2132" s="1" t="n">
        <v>45924.64704861111</v>
      </c>
      <c r="C2132" s="1" t="n">
        <v>46048</v>
      </c>
      <c r="D2132" t="inlineStr">
        <is>
          <t>VÄSTERNORRLANDS LÄN</t>
        </is>
      </c>
      <c r="E2132" t="inlineStr">
        <is>
          <t>SOLLEFTEÅ</t>
        </is>
      </c>
      <c r="F2132" t="inlineStr">
        <is>
          <t>Holmen skog AB</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51440-2021</t>
        </is>
      </c>
      <c r="B2133" s="1" t="n">
        <v>44461</v>
      </c>
      <c r="C2133" s="1" t="n">
        <v>46048</v>
      </c>
      <c r="D2133" t="inlineStr">
        <is>
          <t>VÄSTERNORRLANDS LÄN</t>
        </is>
      </c>
      <c r="E2133" t="inlineStr">
        <is>
          <t>SOLLEFTEÅ</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46037-2025</t>
        </is>
      </c>
      <c r="B2134" s="1" t="n">
        <v>45924.44836805556</v>
      </c>
      <c r="C2134" s="1" t="n">
        <v>46048</v>
      </c>
      <c r="D2134" t="inlineStr">
        <is>
          <t>VÄSTERNORRLANDS LÄN</t>
        </is>
      </c>
      <c r="E2134" t="inlineStr">
        <is>
          <t>SOLLEFTEÅ</t>
        </is>
      </c>
      <c r="F2134" t="inlineStr">
        <is>
          <t>SCA</t>
        </is>
      </c>
      <c r="G2134" t="n">
        <v>4.9</v>
      </c>
      <c r="H2134" t="n">
        <v>0</v>
      </c>
      <c r="I2134" t="n">
        <v>0</v>
      </c>
      <c r="J2134" t="n">
        <v>0</v>
      </c>
      <c r="K2134" t="n">
        <v>0</v>
      </c>
      <c r="L2134" t="n">
        <v>0</v>
      </c>
      <c r="M2134" t="n">
        <v>0</v>
      </c>
      <c r="N2134" t="n">
        <v>0</v>
      </c>
      <c r="O2134" t="n">
        <v>0</v>
      </c>
      <c r="P2134" t="n">
        <v>0</v>
      </c>
      <c r="Q2134" t="n">
        <v>0</v>
      </c>
      <c r="R2134" s="2" t="inlineStr"/>
    </row>
    <row r="2135" ht="15" customHeight="1">
      <c r="A2135" t="inlineStr">
        <is>
          <t>A 17481-2025</t>
        </is>
      </c>
      <c r="B2135" s="1" t="n">
        <v>45757.48979166667</v>
      </c>
      <c r="C2135" s="1" t="n">
        <v>46048</v>
      </c>
      <c r="D2135" t="inlineStr">
        <is>
          <t>VÄSTERNORRLANDS LÄN</t>
        </is>
      </c>
      <c r="E2135" t="inlineStr">
        <is>
          <t>SOLLEFTEÅ</t>
        </is>
      </c>
      <c r="G2135" t="n">
        <v>2.8</v>
      </c>
      <c r="H2135" t="n">
        <v>0</v>
      </c>
      <c r="I2135" t="n">
        <v>0</v>
      </c>
      <c r="J2135" t="n">
        <v>0</v>
      </c>
      <c r="K2135" t="n">
        <v>0</v>
      </c>
      <c r="L2135" t="n">
        <v>0</v>
      </c>
      <c r="M2135" t="n">
        <v>0</v>
      </c>
      <c r="N2135" t="n">
        <v>0</v>
      </c>
      <c r="O2135" t="n">
        <v>0</v>
      </c>
      <c r="P2135" t="n">
        <v>0</v>
      </c>
      <c r="Q2135" t="n">
        <v>0</v>
      </c>
      <c r="R2135" s="2" t="inlineStr"/>
    </row>
    <row r="2136" ht="15" customHeight="1">
      <c r="A2136" t="inlineStr">
        <is>
          <t>A 40280-2025</t>
        </is>
      </c>
      <c r="B2136" s="1" t="n">
        <v>45895</v>
      </c>
      <c r="C2136" s="1" t="n">
        <v>46048</v>
      </c>
      <c r="D2136" t="inlineStr">
        <is>
          <t>VÄSTERNORRLANDS LÄN</t>
        </is>
      </c>
      <c r="E2136" t="inlineStr">
        <is>
          <t>SOLLEFTEÅ</t>
        </is>
      </c>
      <c r="F2136" t="inlineStr">
        <is>
          <t>SCA</t>
        </is>
      </c>
      <c r="G2136" t="n">
        <v>4.8</v>
      </c>
      <c r="H2136" t="n">
        <v>0</v>
      </c>
      <c r="I2136" t="n">
        <v>0</v>
      </c>
      <c r="J2136" t="n">
        <v>0</v>
      </c>
      <c r="K2136" t="n">
        <v>0</v>
      </c>
      <c r="L2136" t="n">
        <v>0</v>
      </c>
      <c r="M2136" t="n">
        <v>0</v>
      </c>
      <c r="N2136" t="n">
        <v>0</v>
      </c>
      <c r="O2136" t="n">
        <v>0</v>
      </c>
      <c r="P2136" t="n">
        <v>0</v>
      </c>
      <c r="Q2136" t="n">
        <v>0</v>
      </c>
      <c r="R2136" s="2" t="inlineStr"/>
    </row>
    <row r="2137" ht="15" customHeight="1">
      <c r="A2137" t="inlineStr">
        <is>
          <t>A 21095-2024</t>
        </is>
      </c>
      <c r="B2137" s="1" t="n">
        <v>45439.95034722222</v>
      </c>
      <c r="C2137" s="1" t="n">
        <v>46048</v>
      </c>
      <c r="D2137" t="inlineStr">
        <is>
          <t>VÄSTERNORRLANDS LÄN</t>
        </is>
      </c>
      <c r="E2137" t="inlineStr">
        <is>
          <t>SOLLEFTEÅ</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45977-2025</t>
        </is>
      </c>
      <c r="B2138" s="1" t="n">
        <v>45924.37170138889</v>
      </c>
      <c r="C2138" s="1" t="n">
        <v>46048</v>
      </c>
      <c r="D2138" t="inlineStr">
        <is>
          <t>VÄSTERNORRLANDS LÄN</t>
        </is>
      </c>
      <c r="E2138" t="inlineStr">
        <is>
          <t>SOLLEFTEÅ</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34328-2023</t>
        </is>
      </c>
      <c r="B2139" s="1" t="n">
        <v>45138.9499074074</v>
      </c>
      <c r="C2139" s="1" t="n">
        <v>46048</v>
      </c>
      <c r="D2139" t="inlineStr">
        <is>
          <t>VÄSTERNORRLANDS LÄN</t>
        </is>
      </c>
      <c r="E2139" t="inlineStr">
        <is>
          <t>SOLLEFTEÅ</t>
        </is>
      </c>
      <c r="F2139" t="inlineStr">
        <is>
          <t>SCA</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34330-2023</t>
        </is>
      </c>
      <c r="B2140" s="1" t="n">
        <v>45138</v>
      </c>
      <c r="C2140" s="1" t="n">
        <v>46048</v>
      </c>
      <c r="D2140" t="inlineStr">
        <is>
          <t>VÄSTERNORRLANDS LÄN</t>
        </is>
      </c>
      <c r="E2140" t="inlineStr">
        <is>
          <t>SOLLEFTEÅ</t>
        </is>
      </c>
      <c r="F2140" t="inlineStr">
        <is>
          <t>SCA</t>
        </is>
      </c>
      <c r="G2140" t="n">
        <v>4.4</v>
      </c>
      <c r="H2140" t="n">
        <v>0</v>
      </c>
      <c r="I2140" t="n">
        <v>0</v>
      </c>
      <c r="J2140" t="n">
        <v>0</v>
      </c>
      <c r="K2140" t="n">
        <v>0</v>
      </c>
      <c r="L2140" t="n">
        <v>0</v>
      </c>
      <c r="M2140" t="n">
        <v>0</v>
      </c>
      <c r="N2140" t="n">
        <v>0</v>
      </c>
      <c r="O2140" t="n">
        <v>0</v>
      </c>
      <c r="P2140" t="n">
        <v>0</v>
      </c>
      <c r="Q2140" t="n">
        <v>0</v>
      </c>
      <c r="R2140" s="2" t="inlineStr"/>
    </row>
    <row r="2141" ht="15" customHeight="1">
      <c r="A2141" t="inlineStr">
        <is>
          <t>A 3234-2024</t>
        </is>
      </c>
      <c r="B2141" s="1" t="n">
        <v>45316.94708333333</v>
      </c>
      <c r="C2141" s="1" t="n">
        <v>46048</v>
      </c>
      <c r="D2141" t="inlineStr">
        <is>
          <t>VÄSTERNORRLANDS LÄN</t>
        </is>
      </c>
      <c r="E2141" t="inlineStr">
        <is>
          <t>SOLLEFTEÅ</t>
        </is>
      </c>
      <c r="F2141" t="inlineStr">
        <is>
          <t>SCA</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3231-2024</t>
        </is>
      </c>
      <c r="B2142" s="1" t="n">
        <v>45316</v>
      </c>
      <c r="C2142" s="1" t="n">
        <v>46048</v>
      </c>
      <c r="D2142" t="inlineStr">
        <is>
          <t>VÄSTERNORRLANDS LÄN</t>
        </is>
      </c>
      <c r="E2142" t="inlineStr">
        <is>
          <t>SOLLEFTEÅ</t>
        </is>
      </c>
      <c r="F2142" t="inlineStr">
        <is>
          <t>SCA</t>
        </is>
      </c>
      <c r="G2142" t="n">
        <v>3.3</v>
      </c>
      <c r="H2142" t="n">
        <v>0</v>
      </c>
      <c r="I2142" t="n">
        <v>0</v>
      </c>
      <c r="J2142" t="n">
        <v>0</v>
      </c>
      <c r="K2142" t="n">
        <v>0</v>
      </c>
      <c r="L2142" t="n">
        <v>0</v>
      </c>
      <c r="M2142" t="n">
        <v>0</v>
      </c>
      <c r="N2142" t="n">
        <v>0</v>
      </c>
      <c r="O2142" t="n">
        <v>0</v>
      </c>
      <c r="P2142" t="n">
        <v>0</v>
      </c>
      <c r="Q2142" t="n">
        <v>0</v>
      </c>
      <c r="R2142" s="2" t="inlineStr"/>
    </row>
    <row r="2143" ht="15" customHeight="1">
      <c r="A2143" t="inlineStr">
        <is>
          <t>A 3252-2024</t>
        </is>
      </c>
      <c r="B2143" s="1" t="n">
        <v>45316</v>
      </c>
      <c r="C2143" s="1" t="n">
        <v>46048</v>
      </c>
      <c r="D2143" t="inlineStr">
        <is>
          <t>VÄSTERNORRLANDS LÄN</t>
        </is>
      </c>
      <c r="E2143" t="inlineStr">
        <is>
          <t>SOLLEFTEÅ</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21589-2021</t>
        </is>
      </c>
      <c r="B2144" s="1" t="n">
        <v>44321.66534722222</v>
      </c>
      <c r="C2144" s="1" t="n">
        <v>46048</v>
      </c>
      <c r="D2144" t="inlineStr">
        <is>
          <t>VÄSTERNORRLANDS LÄN</t>
        </is>
      </c>
      <c r="E2144" t="inlineStr">
        <is>
          <t>SOLLEFTEÅ</t>
        </is>
      </c>
      <c r="G2144" t="n">
        <v>7</v>
      </c>
      <c r="H2144" t="n">
        <v>0</v>
      </c>
      <c r="I2144" t="n">
        <v>0</v>
      </c>
      <c r="J2144" t="n">
        <v>0</v>
      </c>
      <c r="K2144" t="n">
        <v>0</v>
      </c>
      <c r="L2144" t="n">
        <v>0</v>
      </c>
      <c r="M2144" t="n">
        <v>0</v>
      </c>
      <c r="N2144" t="n">
        <v>0</v>
      </c>
      <c r="O2144" t="n">
        <v>0</v>
      </c>
      <c r="P2144" t="n">
        <v>0</v>
      </c>
      <c r="Q2144" t="n">
        <v>0</v>
      </c>
      <c r="R2144" s="2" t="inlineStr"/>
    </row>
    <row r="2145" ht="15" customHeight="1">
      <c r="A2145" t="inlineStr">
        <is>
          <t>A 50007-2024</t>
        </is>
      </c>
      <c r="B2145" s="1" t="n">
        <v>45598.57574074074</v>
      </c>
      <c r="C2145" s="1" t="n">
        <v>46048</v>
      </c>
      <c r="D2145" t="inlineStr">
        <is>
          <t>VÄSTERNORRLANDS LÄN</t>
        </is>
      </c>
      <c r="E2145" t="inlineStr">
        <is>
          <t>SOLLEFTEÅ</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46873-2025</t>
        </is>
      </c>
      <c r="B2146" s="1" t="n">
        <v>45929.34421296296</v>
      </c>
      <c r="C2146" s="1" t="n">
        <v>46048</v>
      </c>
      <c r="D2146" t="inlineStr">
        <is>
          <t>VÄSTERNORRLANDS LÄN</t>
        </is>
      </c>
      <c r="E2146" t="inlineStr">
        <is>
          <t>SOLLEFTEÅ</t>
        </is>
      </c>
      <c r="F2146" t="inlineStr">
        <is>
          <t>SCA</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46898-2025</t>
        </is>
      </c>
      <c r="B2147" s="1" t="n">
        <v>45929.38613425926</v>
      </c>
      <c r="C2147" s="1" t="n">
        <v>46048</v>
      </c>
      <c r="D2147" t="inlineStr">
        <is>
          <t>VÄSTERNORRLANDS LÄN</t>
        </is>
      </c>
      <c r="E2147" t="inlineStr">
        <is>
          <t>SOLLEFTEÅ</t>
        </is>
      </c>
      <c r="F2147" t="inlineStr">
        <is>
          <t>SCA</t>
        </is>
      </c>
      <c r="G2147" t="n">
        <v>5.7</v>
      </c>
      <c r="H2147" t="n">
        <v>0</v>
      </c>
      <c r="I2147" t="n">
        <v>0</v>
      </c>
      <c r="J2147" t="n">
        <v>0</v>
      </c>
      <c r="K2147" t="n">
        <v>0</v>
      </c>
      <c r="L2147" t="n">
        <v>0</v>
      </c>
      <c r="M2147" t="n">
        <v>0</v>
      </c>
      <c r="N2147" t="n">
        <v>0</v>
      </c>
      <c r="O2147" t="n">
        <v>0</v>
      </c>
      <c r="P2147" t="n">
        <v>0</v>
      </c>
      <c r="Q2147" t="n">
        <v>0</v>
      </c>
      <c r="R2147" s="2" t="inlineStr"/>
    </row>
    <row r="2148" ht="15" customHeight="1">
      <c r="A2148" t="inlineStr">
        <is>
          <t>A 46905-2025</t>
        </is>
      </c>
      <c r="B2148" s="1" t="n">
        <v>45929.40055555556</v>
      </c>
      <c r="C2148" s="1" t="n">
        <v>46048</v>
      </c>
      <c r="D2148" t="inlineStr">
        <is>
          <t>VÄSTERNORRLANDS LÄN</t>
        </is>
      </c>
      <c r="E2148" t="inlineStr">
        <is>
          <t>SOLLEFTEÅ</t>
        </is>
      </c>
      <c r="G2148" t="n">
        <v>3.1</v>
      </c>
      <c r="H2148" t="n">
        <v>0</v>
      </c>
      <c r="I2148" t="n">
        <v>0</v>
      </c>
      <c r="J2148" t="n">
        <v>0</v>
      </c>
      <c r="K2148" t="n">
        <v>0</v>
      </c>
      <c r="L2148" t="n">
        <v>0</v>
      </c>
      <c r="M2148" t="n">
        <v>0</v>
      </c>
      <c r="N2148" t="n">
        <v>0</v>
      </c>
      <c r="O2148" t="n">
        <v>0</v>
      </c>
      <c r="P2148" t="n">
        <v>0</v>
      </c>
      <c r="Q2148" t="n">
        <v>0</v>
      </c>
      <c r="R2148" s="2" t="inlineStr"/>
    </row>
    <row r="2149" ht="15" customHeight="1">
      <c r="A2149" t="inlineStr">
        <is>
          <t>A 46968-2025</t>
        </is>
      </c>
      <c r="B2149" s="1" t="n">
        <v>45929.50158564815</v>
      </c>
      <c r="C2149" s="1" t="n">
        <v>46048</v>
      </c>
      <c r="D2149" t="inlineStr">
        <is>
          <t>VÄSTERNORRLANDS LÄN</t>
        </is>
      </c>
      <c r="E2149" t="inlineStr">
        <is>
          <t>SOLLEFTEÅ</t>
        </is>
      </c>
      <c r="G2149" t="n">
        <v>5.3</v>
      </c>
      <c r="H2149" t="n">
        <v>0</v>
      </c>
      <c r="I2149" t="n">
        <v>0</v>
      </c>
      <c r="J2149" t="n">
        <v>0</v>
      </c>
      <c r="K2149" t="n">
        <v>0</v>
      </c>
      <c r="L2149" t="n">
        <v>0</v>
      </c>
      <c r="M2149" t="n">
        <v>0</v>
      </c>
      <c r="N2149" t="n">
        <v>0</v>
      </c>
      <c r="O2149" t="n">
        <v>0</v>
      </c>
      <c r="P2149" t="n">
        <v>0</v>
      </c>
      <c r="Q2149" t="n">
        <v>0</v>
      </c>
      <c r="R2149" s="2" t="inlineStr"/>
    </row>
    <row r="2150" ht="15" customHeight="1">
      <c r="A2150" t="inlineStr">
        <is>
          <t>A 46784-2025</t>
        </is>
      </c>
      <c r="B2150" s="1" t="n">
        <v>45926</v>
      </c>
      <c r="C2150" s="1" t="n">
        <v>46048</v>
      </c>
      <c r="D2150" t="inlineStr">
        <is>
          <t>VÄSTERNORRLANDS LÄN</t>
        </is>
      </c>
      <c r="E2150" t="inlineStr">
        <is>
          <t>SOLLEFTEÅ</t>
        </is>
      </c>
      <c r="G2150" t="n">
        <v>7.3</v>
      </c>
      <c r="H2150" t="n">
        <v>0</v>
      </c>
      <c r="I2150" t="n">
        <v>0</v>
      </c>
      <c r="J2150" t="n">
        <v>0</v>
      </c>
      <c r="K2150" t="n">
        <v>0</v>
      </c>
      <c r="L2150" t="n">
        <v>0</v>
      </c>
      <c r="M2150" t="n">
        <v>0</v>
      </c>
      <c r="N2150" t="n">
        <v>0</v>
      </c>
      <c r="O2150" t="n">
        <v>0</v>
      </c>
      <c r="P2150" t="n">
        <v>0</v>
      </c>
      <c r="Q2150" t="n">
        <v>0</v>
      </c>
      <c r="R2150" s="2" t="inlineStr"/>
    </row>
    <row r="2151" ht="15" customHeight="1">
      <c r="A2151" t="inlineStr">
        <is>
          <t>A 47069-2025</t>
        </is>
      </c>
      <c r="B2151" s="1" t="n">
        <v>45929.63596064815</v>
      </c>
      <c r="C2151" s="1" t="n">
        <v>46048</v>
      </c>
      <c r="D2151" t="inlineStr">
        <is>
          <t>VÄSTERNORRLANDS LÄN</t>
        </is>
      </c>
      <c r="E2151" t="inlineStr">
        <is>
          <t>SOLLEFTEÅ</t>
        </is>
      </c>
      <c r="F2151" t="inlineStr">
        <is>
          <t>SCA</t>
        </is>
      </c>
      <c r="G2151" t="n">
        <v>3.7</v>
      </c>
      <c r="H2151" t="n">
        <v>0</v>
      </c>
      <c r="I2151" t="n">
        <v>0</v>
      </c>
      <c r="J2151" t="n">
        <v>0</v>
      </c>
      <c r="K2151" t="n">
        <v>0</v>
      </c>
      <c r="L2151" t="n">
        <v>0</v>
      </c>
      <c r="M2151" t="n">
        <v>0</v>
      </c>
      <c r="N2151" t="n">
        <v>0</v>
      </c>
      <c r="O2151" t="n">
        <v>0</v>
      </c>
      <c r="P2151" t="n">
        <v>0</v>
      </c>
      <c r="Q2151" t="n">
        <v>0</v>
      </c>
      <c r="R2151" s="2" t="inlineStr"/>
    </row>
    <row r="2152" ht="15" customHeight="1">
      <c r="A2152" t="inlineStr">
        <is>
          <t>A 59473-2024</t>
        </is>
      </c>
      <c r="B2152" s="1" t="n">
        <v>45638.50436342593</v>
      </c>
      <c r="C2152" s="1" t="n">
        <v>46048</v>
      </c>
      <c r="D2152" t="inlineStr">
        <is>
          <t>VÄSTERNORRLANDS LÄN</t>
        </is>
      </c>
      <c r="E2152" t="inlineStr">
        <is>
          <t>SOLLEFTEÅ</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3750-2025</t>
        </is>
      </c>
      <c r="B2153" s="1" t="n">
        <v>45681.580625</v>
      </c>
      <c r="C2153" s="1" t="n">
        <v>46048</v>
      </c>
      <c r="D2153" t="inlineStr">
        <is>
          <t>VÄSTERNORRLANDS LÄN</t>
        </is>
      </c>
      <c r="E2153" t="inlineStr">
        <is>
          <t>SOLLEFTEÅ</t>
        </is>
      </c>
      <c r="G2153" t="n">
        <v>5.4</v>
      </c>
      <c r="H2153" t="n">
        <v>0</v>
      </c>
      <c r="I2153" t="n">
        <v>0</v>
      </c>
      <c r="J2153" t="n">
        <v>0</v>
      </c>
      <c r="K2153" t="n">
        <v>0</v>
      </c>
      <c r="L2153" t="n">
        <v>0</v>
      </c>
      <c r="M2153" t="n">
        <v>0</v>
      </c>
      <c r="N2153" t="n">
        <v>0</v>
      </c>
      <c r="O2153" t="n">
        <v>0</v>
      </c>
      <c r="P2153" t="n">
        <v>0</v>
      </c>
      <c r="Q2153" t="n">
        <v>0</v>
      </c>
      <c r="R2153" s="2" t="inlineStr"/>
    </row>
    <row r="2154" ht="15" customHeight="1">
      <c r="A2154" t="inlineStr">
        <is>
          <t>A 34388-2024</t>
        </is>
      </c>
      <c r="B2154" s="1" t="n">
        <v>45525</v>
      </c>
      <c r="C2154" s="1" t="n">
        <v>46048</v>
      </c>
      <c r="D2154" t="inlineStr">
        <is>
          <t>VÄSTERNORRLANDS LÄN</t>
        </is>
      </c>
      <c r="E2154" t="inlineStr">
        <is>
          <t>SOLLEFTEÅ</t>
        </is>
      </c>
      <c r="F2154" t="inlineStr">
        <is>
          <t>SCA</t>
        </is>
      </c>
      <c r="G2154" t="n">
        <v>6.1</v>
      </c>
      <c r="H2154" t="n">
        <v>0</v>
      </c>
      <c r="I2154" t="n">
        <v>0</v>
      </c>
      <c r="J2154" t="n">
        <v>0</v>
      </c>
      <c r="K2154" t="n">
        <v>0</v>
      </c>
      <c r="L2154" t="n">
        <v>0</v>
      </c>
      <c r="M2154" t="n">
        <v>0</v>
      </c>
      <c r="N2154" t="n">
        <v>0</v>
      </c>
      <c r="O2154" t="n">
        <v>0</v>
      </c>
      <c r="P2154" t="n">
        <v>0</v>
      </c>
      <c r="Q2154" t="n">
        <v>0</v>
      </c>
      <c r="R2154" s="2" t="inlineStr"/>
    </row>
    <row r="2155" ht="15" customHeight="1">
      <c r="A2155" t="inlineStr">
        <is>
          <t>A 46750-2025</t>
        </is>
      </c>
      <c r="B2155" s="1" t="n">
        <v>45926.61511574074</v>
      </c>
      <c r="C2155" s="1" t="n">
        <v>46048</v>
      </c>
      <c r="D2155" t="inlineStr">
        <is>
          <t>VÄSTERNORRLANDS LÄN</t>
        </is>
      </c>
      <c r="E2155" t="inlineStr">
        <is>
          <t>SOLLEFTEÅ</t>
        </is>
      </c>
      <c r="F2155" t="inlineStr">
        <is>
          <t>SCA</t>
        </is>
      </c>
      <c r="G2155" t="n">
        <v>59.9</v>
      </c>
      <c r="H2155" t="n">
        <v>0</v>
      </c>
      <c r="I2155" t="n">
        <v>0</v>
      </c>
      <c r="J2155" t="n">
        <v>0</v>
      </c>
      <c r="K2155" t="n">
        <v>0</v>
      </c>
      <c r="L2155" t="n">
        <v>0</v>
      </c>
      <c r="M2155" t="n">
        <v>0</v>
      </c>
      <c r="N2155" t="n">
        <v>0</v>
      </c>
      <c r="O2155" t="n">
        <v>0</v>
      </c>
      <c r="P2155" t="n">
        <v>0</v>
      </c>
      <c r="Q2155" t="n">
        <v>0</v>
      </c>
      <c r="R2155" s="2" t="inlineStr"/>
    </row>
    <row r="2156" ht="15" customHeight="1">
      <c r="A2156" t="inlineStr">
        <is>
          <t>A 55338-2023</t>
        </is>
      </c>
      <c r="B2156" s="1" t="n">
        <v>45237.97476851852</v>
      </c>
      <c r="C2156" s="1" t="n">
        <v>46048</v>
      </c>
      <c r="D2156" t="inlineStr">
        <is>
          <t>VÄSTERNORRLANDS LÄN</t>
        </is>
      </c>
      <c r="E2156" t="inlineStr">
        <is>
          <t>SOLLEFTEÅ</t>
        </is>
      </c>
      <c r="F2156" t="inlineStr">
        <is>
          <t>SCA</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46973-2025</t>
        </is>
      </c>
      <c r="B2157" s="1" t="n">
        <v>45929.51083333333</v>
      </c>
      <c r="C2157" s="1" t="n">
        <v>46048</v>
      </c>
      <c r="D2157" t="inlineStr">
        <is>
          <t>VÄSTERNORRLANDS LÄN</t>
        </is>
      </c>
      <c r="E2157" t="inlineStr">
        <is>
          <t>SOLLEFTEÅ</t>
        </is>
      </c>
      <c r="F2157" t="inlineStr">
        <is>
          <t>SCA</t>
        </is>
      </c>
      <c r="G2157" t="n">
        <v>3.6</v>
      </c>
      <c r="H2157" t="n">
        <v>0</v>
      </c>
      <c r="I2157" t="n">
        <v>0</v>
      </c>
      <c r="J2157" t="n">
        <v>0</v>
      </c>
      <c r="K2157" t="n">
        <v>0</v>
      </c>
      <c r="L2157" t="n">
        <v>0</v>
      </c>
      <c r="M2157" t="n">
        <v>0</v>
      </c>
      <c r="N2157" t="n">
        <v>0</v>
      </c>
      <c r="O2157" t="n">
        <v>0</v>
      </c>
      <c r="P2157" t="n">
        <v>0</v>
      </c>
      <c r="Q2157" t="n">
        <v>0</v>
      </c>
      <c r="R2157" s="2" t="inlineStr"/>
    </row>
    <row r="2158" ht="15" customHeight="1">
      <c r="A2158" t="inlineStr">
        <is>
          <t>A 46920-2025</t>
        </is>
      </c>
      <c r="B2158" s="1" t="n">
        <v>45929.43368055556</v>
      </c>
      <c r="C2158" s="1" t="n">
        <v>46048</v>
      </c>
      <c r="D2158" t="inlineStr">
        <is>
          <t>VÄSTERNORRLANDS LÄN</t>
        </is>
      </c>
      <c r="E2158" t="inlineStr">
        <is>
          <t>SOLLEFTEÅ</t>
        </is>
      </c>
      <c r="G2158" t="n">
        <v>5.6</v>
      </c>
      <c r="H2158" t="n">
        <v>0</v>
      </c>
      <c r="I2158" t="n">
        <v>0</v>
      </c>
      <c r="J2158" t="n">
        <v>0</v>
      </c>
      <c r="K2158" t="n">
        <v>0</v>
      </c>
      <c r="L2158" t="n">
        <v>0</v>
      </c>
      <c r="M2158" t="n">
        <v>0</v>
      </c>
      <c r="N2158" t="n">
        <v>0</v>
      </c>
      <c r="O2158" t="n">
        <v>0</v>
      </c>
      <c r="P2158" t="n">
        <v>0</v>
      </c>
      <c r="Q2158" t="n">
        <v>0</v>
      </c>
      <c r="R2158" s="2" t="inlineStr"/>
    </row>
    <row r="2159" ht="15" customHeight="1">
      <c r="A2159" t="inlineStr">
        <is>
          <t>A 17889-2025</t>
        </is>
      </c>
      <c r="B2159" s="1" t="n">
        <v>45758.67746527777</v>
      </c>
      <c r="C2159" s="1" t="n">
        <v>46048</v>
      </c>
      <c r="D2159" t="inlineStr">
        <is>
          <t>VÄSTERNORRLANDS LÄN</t>
        </is>
      </c>
      <c r="E2159" t="inlineStr">
        <is>
          <t>SOLLEFTEÅ</t>
        </is>
      </c>
      <c r="F2159" t="inlineStr">
        <is>
          <t>SCA</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32754-2024</t>
        </is>
      </c>
      <c r="B2160" s="1" t="n">
        <v>45516.46685185185</v>
      </c>
      <c r="C2160" s="1" t="n">
        <v>46048</v>
      </c>
      <c r="D2160" t="inlineStr">
        <is>
          <t>VÄSTERNORRLANDS LÄN</t>
        </is>
      </c>
      <c r="E2160" t="inlineStr">
        <is>
          <t>SOLLEFTEÅ</t>
        </is>
      </c>
      <c r="F2160" t="inlineStr">
        <is>
          <t>Holmen skog AB</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50615-2023</t>
        </is>
      </c>
      <c r="B2161" s="1" t="n">
        <v>45217</v>
      </c>
      <c r="C2161" s="1" t="n">
        <v>46048</v>
      </c>
      <c r="D2161" t="inlineStr">
        <is>
          <t>VÄSTERNORRLANDS LÄN</t>
        </is>
      </c>
      <c r="E2161" t="inlineStr">
        <is>
          <t>SOLLEFTEÅ</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6733-2025</t>
        </is>
      </c>
      <c r="B2162" s="1" t="n">
        <v>45700.59425925926</v>
      </c>
      <c r="C2162" s="1" t="n">
        <v>46048</v>
      </c>
      <c r="D2162" t="inlineStr">
        <is>
          <t>VÄSTERNORRLANDS LÄN</t>
        </is>
      </c>
      <c r="E2162" t="inlineStr">
        <is>
          <t>SOLLEFTEÅ</t>
        </is>
      </c>
      <c r="G2162" t="n">
        <v>0.4</v>
      </c>
      <c r="H2162" t="n">
        <v>0</v>
      </c>
      <c r="I2162" t="n">
        <v>0</v>
      </c>
      <c r="J2162" t="n">
        <v>0</v>
      </c>
      <c r="K2162" t="n">
        <v>0</v>
      </c>
      <c r="L2162" t="n">
        <v>0</v>
      </c>
      <c r="M2162" t="n">
        <v>0</v>
      </c>
      <c r="N2162" t="n">
        <v>0</v>
      </c>
      <c r="O2162" t="n">
        <v>0</v>
      </c>
      <c r="P2162" t="n">
        <v>0</v>
      </c>
      <c r="Q2162" t="n">
        <v>0</v>
      </c>
      <c r="R2162" s="2" t="inlineStr"/>
    </row>
    <row r="2163" ht="15" customHeight="1">
      <c r="A2163" t="inlineStr">
        <is>
          <t>A 47376-2025</t>
        </is>
      </c>
      <c r="B2163" s="1" t="n">
        <v>45930.59454861111</v>
      </c>
      <c r="C2163" s="1" t="n">
        <v>46048</v>
      </c>
      <c r="D2163" t="inlineStr">
        <is>
          <t>VÄSTERNORRLANDS LÄN</t>
        </is>
      </c>
      <c r="E2163" t="inlineStr">
        <is>
          <t>SOLLEFTEÅ</t>
        </is>
      </c>
      <c r="F2163" t="inlineStr">
        <is>
          <t>SCA</t>
        </is>
      </c>
      <c r="G2163" t="n">
        <v>4.9</v>
      </c>
      <c r="H2163" t="n">
        <v>0</v>
      </c>
      <c r="I2163" t="n">
        <v>0</v>
      </c>
      <c r="J2163" t="n">
        <v>0</v>
      </c>
      <c r="K2163" t="n">
        <v>0</v>
      </c>
      <c r="L2163" t="n">
        <v>0</v>
      </c>
      <c r="M2163" t="n">
        <v>0</v>
      </c>
      <c r="N2163" t="n">
        <v>0</v>
      </c>
      <c r="O2163" t="n">
        <v>0</v>
      </c>
      <c r="P2163" t="n">
        <v>0</v>
      </c>
      <c r="Q2163" t="n">
        <v>0</v>
      </c>
      <c r="R2163" s="2" t="inlineStr"/>
    </row>
    <row r="2164" ht="15" customHeight="1">
      <c r="A2164" t="inlineStr">
        <is>
          <t>A 4857-2024</t>
        </is>
      </c>
      <c r="B2164" s="1" t="n">
        <v>45329</v>
      </c>
      <c r="C2164" s="1" t="n">
        <v>46048</v>
      </c>
      <c r="D2164" t="inlineStr">
        <is>
          <t>VÄSTERNORRLANDS LÄN</t>
        </is>
      </c>
      <c r="E2164" t="inlineStr">
        <is>
          <t>SOLLEFTEÅ</t>
        </is>
      </c>
      <c r="G2164" t="n">
        <v>8.699999999999999</v>
      </c>
      <c r="H2164" t="n">
        <v>0</v>
      </c>
      <c r="I2164" t="n">
        <v>0</v>
      </c>
      <c r="J2164" t="n">
        <v>0</v>
      </c>
      <c r="K2164" t="n">
        <v>0</v>
      </c>
      <c r="L2164" t="n">
        <v>0</v>
      </c>
      <c r="M2164" t="n">
        <v>0</v>
      </c>
      <c r="N2164" t="n">
        <v>0</v>
      </c>
      <c r="O2164" t="n">
        <v>0</v>
      </c>
      <c r="P2164" t="n">
        <v>0</v>
      </c>
      <c r="Q2164" t="n">
        <v>0</v>
      </c>
      <c r="R2164" s="2" t="inlineStr"/>
    </row>
    <row r="2165" ht="15" customHeight="1">
      <c r="A2165" t="inlineStr">
        <is>
          <t>A 47489-2025</t>
        </is>
      </c>
      <c r="B2165" s="1" t="n">
        <v>45930.69912037037</v>
      </c>
      <c r="C2165" s="1" t="n">
        <v>46048</v>
      </c>
      <c r="D2165" t="inlineStr">
        <is>
          <t>VÄSTERNORRLANDS LÄN</t>
        </is>
      </c>
      <c r="E2165" t="inlineStr">
        <is>
          <t>SOLLEFTEÅ</t>
        </is>
      </c>
      <c r="F2165" t="inlineStr">
        <is>
          <t>SCA</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47490-2025</t>
        </is>
      </c>
      <c r="B2166" s="1" t="n">
        <v>45930.69918981481</v>
      </c>
      <c r="C2166" s="1" t="n">
        <v>46048</v>
      </c>
      <c r="D2166" t="inlineStr">
        <is>
          <t>VÄSTERNORRLANDS LÄN</t>
        </is>
      </c>
      <c r="E2166" t="inlineStr">
        <is>
          <t>SOLLEFTEÅ</t>
        </is>
      </c>
      <c r="F2166" t="inlineStr">
        <is>
          <t>SCA</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59583-2023</t>
        </is>
      </c>
      <c r="B2167" s="1" t="n">
        <v>45254.60587962963</v>
      </c>
      <c r="C2167" s="1" t="n">
        <v>46048</v>
      </c>
      <c r="D2167" t="inlineStr">
        <is>
          <t>VÄSTERNORRLANDS LÄN</t>
        </is>
      </c>
      <c r="E2167" t="inlineStr">
        <is>
          <t>SOLLEFTEÅ</t>
        </is>
      </c>
      <c r="F2167" t="inlineStr">
        <is>
          <t>Holmen skog AB</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47675-2025</t>
        </is>
      </c>
      <c r="B2168" s="1" t="n">
        <v>45931.5742824074</v>
      </c>
      <c r="C2168" s="1" t="n">
        <v>46048</v>
      </c>
      <c r="D2168" t="inlineStr">
        <is>
          <t>VÄSTERNORRLANDS LÄN</t>
        </is>
      </c>
      <c r="E2168" t="inlineStr">
        <is>
          <t>SOLLEFTEÅ</t>
        </is>
      </c>
      <c r="F2168" t="inlineStr">
        <is>
          <t>SCA</t>
        </is>
      </c>
      <c r="G2168" t="n">
        <v>27.8</v>
      </c>
      <c r="H2168" t="n">
        <v>0</v>
      </c>
      <c r="I2168" t="n">
        <v>0</v>
      </c>
      <c r="J2168" t="n">
        <v>0</v>
      </c>
      <c r="K2168" t="n">
        <v>0</v>
      </c>
      <c r="L2168" t="n">
        <v>0</v>
      </c>
      <c r="M2168" t="n">
        <v>0</v>
      </c>
      <c r="N2168" t="n">
        <v>0</v>
      </c>
      <c r="O2168" t="n">
        <v>0</v>
      </c>
      <c r="P2168" t="n">
        <v>0</v>
      </c>
      <c r="Q2168" t="n">
        <v>0</v>
      </c>
      <c r="R2168" s="2" t="inlineStr"/>
    </row>
    <row r="2169" ht="15" customHeight="1">
      <c r="A2169" t="inlineStr">
        <is>
          <t>A 47292-2025</t>
        </is>
      </c>
      <c r="B2169" s="1" t="n">
        <v>45930.4903125</v>
      </c>
      <c r="C2169" s="1" t="n">
        <v>46048</v>
      </c>
      <c r="D2169" t="inlineStr">
        <is>
          <t>VÄSTERNORRLANDS LÄN</t>
        </is>
      </c>
      <c r="E2169" t="inlineStr">
        <is>
          <t>SOLLEFTEÅ</t>
        </is>
      </c>
      <c r="F2169" t="inlineStr">
        <is>
          <t>SCA</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47293-2025</t>
        </is>
      </c>
      <c r="B2170" s="1" t="n">
        <v>45930.49034722222</v>
      </c>
      <c r="C2170" s="1" t="n">
        <v>46048</v>
      </c>
      <c r="D2170" t="inlineStr">
        <is>
          <t>VÄSTERNORRLANDS LÄN</t>
        </is>
      </c>
      <c r="E2170" t="inlineStr">
        <is>
          <t>SOLLEFTEÅ</t>
        </is>
      </c>
      <c r="F2170" t="inlineStr">
        <is>
          <t>SCA</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21852-2024</t>
        </is>
      </c>
      <c r="B2171" s="1" t="n">
        <v>45442.9628125</v>
      </c>
      <c r="C2171" s="1" t="n">
        <v>46048</v>
      </c>
      <c r="D2171" t="inlineStr">
        <is>
          <t>VÄSTERNORRLANDS LÄN</t>
        </is>
      </c>
      <c r="E2171" t="inlineStr">
        <is>
          <t>SOLLEFTEÅ</t>
        </is>
      </c>
      <c r="F2171" t="inlineStr">
        <is>
          <t>SCA</t>
        </is>
      </c>
      <c r="G2171" t="n">
        <v>3.1</v>
      </c>
      <c r="H2171" t="n">
        <v>0</v>
      </c>
      <c r="I2171" t="n">
        <v>0</v>
      </c>
      <c r="J2171" t="n">
        <v>0</v>
      </c>
      <c r="K2171" t="n">
        <v>0</v>
      </c>
      <c r="L2171" t="n">
        <v>0</v>
      </c>
      <c r="M2171" t="n">
        <v>0</v>
      </c>
      <c r="N2171" t="n">
        <v>0</v>
      </c>
      <c r="O2171" t="n">
        <v>0</v>
      </c>
      <c r="P2171" t="n">
        <v>0</v>
      </c>
      <c r="Q2171" t="n">
        <v>0</v>
      </c>
      <c r="R2171" s="2" t="inlineStr"/>
    </row>
    <row r="2172" ht="15" customHeight="1">
      <c r="A2172" t="inlineStr">
        <is>
          <t>A 47234-2025</t>
        </is>
      </c>
      <c r="B2172" s="1" t="n">
        <v>45930.40663194445</v>
      </c>
      <c r="C2172" s="1" t="n">
        <v>46048</v>
      </c>
      <c r="D2172" t="inlineStr">
        <is>
          <t>VÄSTERNORRLANDS LÄN</t>
        </is>
      </c>
      <c r="E2172" t="inlineStr">
        <is>
          <t>SOLLEFTEÅ</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47647-2025</t>
        </is>
      </c>
      <c r="B2173" s="1" t="n">
        <v>45931.51834490741</v>
      </c>
      <c r="C2173" s="1" t="n">
        <v>46048</v>
      </c>
      <c r="D2173" t="inlineStr">
        <is>
          <t>VÄSTERNORRLANDS LÄN</t>
        </is>
      </c>
      <c r="E2173" t="inlineStr">
        <is>
          <t>SOLLEFTEÅ</t>
        </is>
      </c>
      <c r="F2173" t="inlineStr">
        <is>
          <t>Holmen skog AB</t>
        </is>
      </c>
      <c r="G2173" t="n">
        <v>6</v>
      </c>
      <c r="H2173" t="n">
        <v>0</v>
      </c>
      <c r="I2173" t="n">
        <v>0</v>
      </c>
      <c r="J2173" t="n">
        <v>0</v>
      </c>
      <c r="K2173" t="n">
        <v>0</v>
      </c>
      <c r="L2173" t="n">
        <v>0</v>
      </c>
      <c r="M2173" t="n">
        <v>0</v>
      </c>
      <c r="N2173" t="n">
        <v>0</v>
      </c>
      <c r="O2173" t="n">
        <v>0</v>
      </c>
      <c r="P2173" t="n">
        <v>0</v>
      </c>
      <c r="Q2173" t="n">
        <v>0</v>
      </c>
      <c r="R2173" s="2" t="inlineStr"/>
    </row>
    <row r="2174" ht="15" customHeight="1">
      <c r="A2174" t="inlineStr">
        <is>
          <t>A 47641-2025</t>
        </is>
      </c>
      <c r="B2174" s="1" t="n">
        <v>45931.51086805556</v>
      </c>
      <c r="C2174" s="1" t="n">
        <v>46048</v>
      </c>
      <c r="D2174" t="inlineStr">
        <is>
          <t>VÄSTERNORRLANDS LÄN</t>
        </is>
      </c>
      <c r="E2174" t="inlineStr">
        <is>
          <t>SOLLEFTEÅ</t>
        </is>
      </c>
      <c r="F2174" t="inlineStr">
        <is>
          <t>SCA</t>
        </is>
      </c>
      <c r="G2174" t="n">
        <v>3</v>
      </c>
      <c r="H2174" t="n">
        <v>0</v>
      </c>
      <c r="I2174" t="n">
        <v>0</v>
      </c>
      <c r="J2174" t="n">
        <v>0</v>
      </c>
      <c r="K2174" t="n">
        <v>0</v>
      </c>
      <c r="L2174" t="n">
        <v>0</v>
      </c>
      <c r="M2174" t="n">
        <v>0</v>
      </c>
      <c r="N2174" t="n">
        <v>0</v>
      </c>
      <c r="O2174" t="n">
        <v>0</v>
      </c>
      <c r="P2174" t="n">
        <v>0</v>
      </c>
      <c r="Q2174" t="n">
        <v>0</v>
      </c>
      <c r="R2174" s="2" t="inlineStr"/>
    </row>
    <row r="2175" ht="15" customHeight="1">
      <c r="A2175" t="inlineStr">
        <is>
          <t>A 47642-2025</t>
        </is>
      </c>
      <c r="B2175" s="1" t="n">
        <v>45931.51105324074</v>
      </c>
      <c r="C2175" s="1" t="n">
        <v>46048</v>
      </c>
      <c r="D2175" t="inlineStr">
        <is>
          <t>VÄSTERNORRLANDS LÄN</t>
        </is>
      </c>
      <c r="E2175" t="inlineStr">
        <is>
          <t>SOLLEFTEÅ</t>
        </is>
      </c>
      <c r="F2175" t="inlineStr">
        <is>
          <t>SCA</t>
        </is>
      </c>
      <c r="G2175" t="n">
        <v>5.2</v>
      </c>
      <c r="H2175" t="n">
        <v>0</v>
      </c>
      <c r="I2175" t="n">
        <v>0</v>
      </c>
      <c r="J2175" t="n">
        <v>0</v>
      </c>
      <c r="K2175" t="n">
        <v>0</v>
      </c>
      <c r="L2175" t="n">
        <v>0</v>
      </c>
      <c r="M2175" t="n">
        <v>0</v>
      </c>
      <c r="N2175" t="n">
        <v>0</v>
      </c>
      <c r="O2175" t="n">
        <v>0</v>
      </c>
      <c r="P2175" t="n">
        <v>0</v>
      </c>
      <c r="Q2175" t="n">
        <v>0</v>
      </c>
      <c r="R2175" s="2" t="inlineStr"/>
    </row>
    <row r="2176" ht="15" customHeight="1">
      <c r="A2176" t="inlineStr">
        <is>
          <t>A 47448-2025</t>
        </is>
      </c>
      <c r="B2176" s="1" t="n">
        <v>45930.64592592593</v>
      </c>
      <c r="C2176" s="1" t="n">
        <v>46048</v>
      </c>
      <c r="D2176" t="inlineStr">
        <is>
          <t>VÄSTERNORRLANDS LÄN</t>
        </is>
      </c>
      <c r="E2176" t="inlineStr">
        <is>
          <t>SOLLEFTEÅ</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22672-2024</t>
        </is>
      </c>
      <c r="B2177" s="1" t="n">
        <v>45447.94486111111</v>
      </c>
      <c r="C2177" s="1" t="n">
        <v>46048</v>
      </c>
      <c r="D2177" t="inlineStr">
        <is>
          <t>VÄSTERNORRLANDS LÄN</t>
        </is>
      </c>
      <c r="E2177" t="inlineStr">
        <is>
          <t>SOLLEFTEÅ</t>
        </is>
      </c>
      <c r="F2177" t="inlineStr">
        <is>
          <t>SCA</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47771-2025</t>
        </is>
      </c>
      <c r="B2178" s="1" t="n">
        <v>45931.719375</v>
      </c>
      <c r="C2178" s="1" t="n">
        <v>46048</v>
      </c>
      <c r="D2178" t="inlineStr">
        <is>
          <t>VÄSTERNORRLANDS LÄN</t>
        </is>
      </c>
      <c r="E2178" t="inlineStr">
        <is>
          <t>SOLLEFTEÅ</t>
        </is>
      </c>
      <c r="F2178" t="inlineStr">
        <is>
          <t>SCA</t>
        </is>
      </c>
      <c r="G2178" t="n">
        <v>23.8</v>
      </c>
      <c r="H2178" t="n">
        <v>0</v>
      </c>
      <c r="I2178" t="n">
        <v>0</v>
      </c>
      <c r="J2178" t="n">
        <v>0</v>
      </c>
      <c r="K2178" t="n">
        <v>0</v>
      </c>
      <c r="L2178" t="n">
        <v>0</v>
      </c>
      <c r="M2178" t="n">
        <v>0</v>
      </c>
      <c r="N2178" t="n">
        <v>0</v>
      </c>
      <c r="O2178" t="n">
        <v>0</v>
      </c>
      <c r="P2178" t="n">
        <v>0</v>
      </c>
      <c r="Q2178" t="n">
        <v>0</v>
      </c>
      <c r="R2178" s="2" t="inlineStr"/>
    </row>
    <row r="2179" ht="15" customHeight="1">
      <c r="A2179" t="inlineStr">
        <is>
          <t>A 31965-2022</t>
        </is>
      </c>
      <c r="B2179" s="1" t="n">
        <v>44777.95460648148</v>
      </c>
      <c r="C2179" s="1" t="n">
        <v>46048</v>
      </c>
      <c r="D2179" t="inlineStr">
        <is>
          <t>VÄSTERNORRLANDS LÄN</t>
        </is>
      </c>
      <c r="E2179" t="inlineStr">
        <is>
          <t>SOLLEFTEÅ</t>
        </is>
      </c>
      <c r="F2179" t="inlineStr">
        <is>
          <t>SCA</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47218-2025</t>
        </is>
      </c>
      <c r="B2180" s="1" t="n">
        <v>45930.38640046296</v>
      </c>
      <c r="C2180" s="1" t="n">
        <v>46048</v>
      </c>
      <c r="D2180" t="inlineStr">
        <is>
          <t>VÄSTERNORRLANDS LÄN</t>
        </is>
      </c>
      <c r="E2180" t="inlineStr">
        <is>
          <t>SOLLEFTEÅ</t>
        </is>
      </c>
      <c r="G2180" t="n">
        <v>10.3</v>
      </c>
      <c r="H2180" t="n">
        <v>0</v>
      </c>
      <c r="I2180" t="n">
        <v>0</v>
      </c>
      <c r="J2180" t="n">
        <v>0</v>
      </c>
      <c r="K2180" t="n">
        <v>0</v>
      </c>
      <c r="L2180" t="n">
        <v>0</v>
      </c>
      <c r="M2180" t="n">
        <v>0</v>
      </c>
      <c r="N2180" t="n">
        <v>0</v>
      </c>
      <c r="O2180" t="n">
        <v>0</v>
      </c>
      <c r="P2180" t="n">
        <v>0</v>
      </c>
      <c r="Q2180" t="n">
        <v>0</v>
      </c>
      <c r="R2180" s="2" t="inlineStr"/>
    </row>
    <row r="2181" ht="15" customHeight="1">
      <c r="A2181" t="inlineStr">
        <is>
          <t>A 47219-2025</t>
        </is>
      </c>
      <c r="B2181" s="1" t="n">
        <v>45930.38649305556</v>
      </c>
      <c r="C2181" s="1" t="n">
        <v>46048</v>
      </c>
      <c r="D2181" t="inlineStr">
        <is>
          <t>VÄSTERNORRLANDS LÄN</t>
        </is>
      </c>
      <c r="E2181" t="inlineStr">
        <is>
          <t>SOLLEFTEÅ</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47702-2025</t>
        </is>
      </c>
      <c r="B2182" s="1" t="n">
        <v>45931.60685185185</v>
      </c>
      <c r="C2182" s="1" t="n">
        <v>46048</v>
      </c>
      <c r="D2182" t="inlineStr">
        <is>
          <t>VÄSTERNORRLANDS LÄN</t>
        </is>
      </c>
      <c r="E2182" t="inlineStr">
        <is>
          <t>SOLLEFTEÅ</t>
        </is>
      </c>
      <c r="F2182" t="inlineStr">
        <is>
          <t>Holmen skog AB</t>
        </is>
      </c>
      <c r="G2182" t="n">
        <v>3</v>
      </c>
      <c r="H2182" t="n">
        <v>0</v>
      </c>
      <c r="I2182" t="n">
        <v>0</v>
      </c>
      <c r="J2182" t="n">
        <v>0</v>
      </c>
      <c r="K2182" t="n">
        <v>0</v>
      </c>
      <c r="L2182" t="n">
        <v>0</v>
      </c>
      <c r="M2182" t="n">
        <v>0</v>
      </c>
      <c r="N2182" t="n">
        <v>0</v>
      </c>
      <c r="O2182" t="n">
        <v>0</v>
      </c>
      <c r="P2182" t="n">
        <v>0</v>
      </c>
      <c r="Q2182" t="n">
        <v>0</v>
      </c>
      <c r="R2182" s="2" t="inlineStr"/>
    </row>
    <row r="2183" ht="15" customHeight="1">
      <c r="A2183" t="inlineStr">
        <is>
          <t>A 47636-2025</t>
        </is>
      </c>
      <c r="B2183" s="1" t="n">
        <v>45931.49577546296</v>
      </c>
      <c r="C2183" s="1" t="n">
        <v>46048</v>
      </c>
      <c r="D2183" t="inlineStr">
        <is>
          <t>VÄSTERNORRLANDS LÄN</t>
        </is>
      </c>
      <c r="E2183" t="inlineStr">
        <is>
          <t>SOLLEFTEÅ</t>
        </is>
      </c>
      <c r="G2183" t="n">
        <v>13.6</v>
      </c>
      <c r="H2183" t="n">
        <v>0</v>
      </c>
      <c r="I2183" t="n">
        <v>0</v>
      </c>
      <c r="J2183" t="n">
        <v>0</v>
      </c>
      <c r="K2183" t="n">
        <v>0</v>
      </c>
      <c r="L2183" t="n">
        <v>0</v>
      </c>
      <c r="M2183" t="n">
        <v>0</v>
      </c>
      <c r="N2183" t="n">
        <v>0</v>
      </c>
      <c r="O2183" t="n">
        <v>0</v>
      </c>
      <c r="P2183" t="n">
        <v>0</v>
      </c>
      <c r="Q2183" t="n">
        <v>0</v>
      </c>
      <c r="R2183" s="2" t="inlineStr"/>
    </row>
    <row r="2184" ht="15" customHeight="1">
      <c r="A2184" t="inlineStr">
        <is>
          <t>A 28366-2023</t>
        </is>
      </c>
      <c r="B2184" s="1" t="n">
        <v>45099</v>
      </c>
      <c r="C2184" s="1" t="n">
        <v>46048</v>
      </c>
      <c r="D2184" t="inlineStr">
        <is>
          <t>VÄSTERNORRLANDS LÄN</t>
        </is>
      </c>
      <c r="E2184" t="inlineStr">
        <is>
          <t>SOLLEFTEÅ</t>
        </is>
      </c>
      <c r="F2184" t="inlineStr">
        <is>
          <t>SCA</t>
        </is>
      </c>
      <c r="G2184" t="n">
        <v>8.1</v>
      </c>
      <c r="H2184" t="n">
        <v>0</v>
      </c>
      <c r="I2184" t="n">
        <v>0</v>
      </c>
      <c r="J2184" t="n">
        <v>0</v>
      </c>
      <c r="K2184" t="n">
        <v>0</v>
      </c>
      <c r="L2184" t="n">
        <v>0</v>
      </c>
      <c r="M2184" t="n">
        <v>0</v>
      </c>
      <c r="N2184" t="n">
        <v>0</v>
      </c>
      <c r="O2184" t="n">
        <v>0</v>
      </c>
      <c r="P2184" t="n">
        <v>0</v>
      </c>
      <c r="Q2184" t="n">
        <v>0</v>
      </c>
      <c r="R2184" s="2" t="inlineStr"/>
    </row>
    <row r="2185" ht="15" customHeight="1">
      <c r="A2185" t="inlineStr">
        <is>
          <t>A 47536-2025</t>
        </is>
      </c>
      <c r="B2185" s="1" t="n">
        <v>45931.34695601852</v>
      </c>
      <c r="C2185" s="1" t="n">
        <v>46048</v>
      </c>
      <c r="D2185" t="inlineStr">
        <is>
          <t>VÄSTERNORRLANDS LÄN</t>
        </is>
      </c>
      <c r="E2185" t="inlineStr">
        <is>
          <t>SOLLEFTEÅ</t>
        </is>
      </c>
      <c r="F2185" t="inlineStr">
        <is>
          <t>SCA</t>
        </is>
      </c>
      <c r="G2185" t="n">
        <v>3.9</v>
      </c>
      <c r="H2185" t="n">
        <v>0</v>
      </c>
      <c r="I2185" t="n">
        <v>0</v>
      </c>
      <c r="J2185" t="n">
        <v>0</v>
      </c>
      <c r="K2185" t="n">
        <v>0</v>
      </c>
      <c r="L2185" t="n">
        <v>0</v>
      </c>
      <c r="M2185" t="n">
        <v>0</v>
      </c>
      <c r="N2185" t="n">
        <v>0</v>
      </c>
      <c r="O2185" t="n">
        <v>0</v>
      </c>
      <c r="P2185" t="n">
        <v>0</v>
      </c>
      <c r="Q2185" t="n">
        <v>0</v>
      </c>
      <c r="R2185" s="2" t="inlineStr"/>
    </row>
    <row r="2186" ht="15" customHeight="1">
      <c r="A2186" t="inlineStr">
        <is>
          <t>A 22666-2024</t>
        </is>
      </c>
      <c r="B2186" s="1" t="n">
        <v>45447</v>
      </c>
      <c r="C2186" s="1" t="n">
        <v>46048</v>
      </c>
      <c r="D2186" t="inlineStr">
        <is>
          <t>VÄSTERNORRLANDS LÄN</t>
        </is>
      </c>
      <c r="E2186" t="inlineStr">
        <is>
          <t>SOLLEFTEÅ</t>
        </is>
      </c>
      <c r="F2186" t="inlineStr">
        <is>
          <t>SCA</t>
        </is>
      </c>
      <c r="G2186" t="n">
        <v>42</v>
      </c>
      <c r="H2186" t="n">
        <v>0</v>
      </c>
      <c r="I2186" t="n">
        <v>0</v>
      </c>
      <c r="J2186" t="n">
        <v>0</v>
      </c>
      <c r="K2186" t="n">
        <v>0</v>
      </c>
      <c r="L2186" t="n">
        <v>0</v>
      </c>
      <c r="M2186" t="n">
        <v>0</v>
      </c>
      <c r="N2186" t="n">
        <v>0</v>
      </c>
      <c r="O2186" t="n">
        <v>0</v>
      </c>
      <c r="P2186" t="n">
        <v>0</v>
      </c>
      <c r="Q2186" t="n">
        <v>0</v>
      </c>
      <c r="R2186" s="2" t="inlineStr"/>
    </row>
    <row r="2187" ht="15" customHeight="1">
      <c r="A2187" t="inlineStr">
        <is>
          <t>A 22675-2024</t>
        </is>
      </c>
      <c r="B2187" s="1" t="n">
        <v>45447.94508101852</v>
      </c>
      <c r="C2187" s="1" t="n">
        <v>46048</v>
      </c>
      <c r="D2187" t="inlineStr">
        <is>
          <t>VÄSTERNORRLANDS LÄN</t>
        </is>
      </c>
      <c r="E2187" t="inlineStr">
        <is>
          <t>SOLLEFTEÅ</t>
        </is>
      </c>
      <c r="F2187" t="inlineStr">
        <is>
          <t>SCA</t>
        </is>
      </c>
      <c r="G2187" t="n">
        <v>2.5</v>
      </c>
      <c r="H2187" t="n">
        <v>0</v>
      </c>
      <c r="I2187" t="n">
        <v>0</v>
      </c>
      <c r="J2187" t="n">
        <v>0</v>
      </c>
      <c r="K2187" t="n">
        <v>0</v>
      </c>
      <c r="L2187" t="n">
        <v>0</v>
      </c>
      <c r="M2187" t="n">
        <v>0</v>
      </c>
      <c r="N2187" t="n">
        <v>0</v>
      </c>
      <c r="O2187" t="n">
        <v>0</v>
      </c>
      <c r="P2187" t="n">
        <v>0</v>
      </c>
      <c r="Q2187" t="n">
        <v>0</v>
      </c>
      <c r="R2187" s="2" t="inlineStr"/>
    </row>
    <row r="2188" ht="15" customHeight="1">
      <c r="A2188" t="inlineStr">
        <is>
          <t>A 57273-2022</t>
        </is>
      </c>
      <c r="B2188" s="1" t="n">
        <v>44895.9487962963</v>
      </c>
      <c r="C2188" s="1" t="n">
        <v>46048</v>
      </c>
      <c r="D2188" t="inlineStr">
        <is>
          <t>VÄSTERNORRLANDS LÄN</t>
        </is>
      </c>
      <c r="E2188" t="inlineStr">
        <is>
          <t>SOLLEFTEÅ</t>
        </is>
      </c>
      <c r="F2188" t="inlineStr">
        <is>
          <t>SCA</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47217-2025</t>
        </is>
      </c>
      <c r="B2189" s="1" t="n">
        <v>45930.38625</v>
      </c>
      <c r="C2189" s="1" t="n">
        <v>46048</v>
      </c>
      <c r="D2189" t="inlineStr">
        <is>
          <t>VÄSTERNORRLANDS LÄN</t>
        </is>
      </c>
      <c r="E2189" t="inlineStr">
        <is>
          <t>SOLLEFTEÅ</t>
        </is>
      </c>
      <c r="F2189" t="inlineStr">
        <is>
          <t>SCA</t>
        </is>
      </c>
      <c r="G2189" t="n">
        <v>9</v>
      </c>
      <c r="H2189" t="n">
        <v>0</v>
      </c>
      <c r="I2189" t="n">
        <v>0</v>
      </c>
      <c r="J2189" t="n">
        <v>0</v>
      </c>
      <c r="K2189" t="n">
        <v>0</v>
      </c>
      <c r="L2189" t="n">
        <v>0</v>
      </c>
      <c r="M2189" t="n">
        <v>0</v>
      </c>
      <c r="N2189" t="n">
        <v>0</v>
      </c>
      <c r="O2189" t="n">
        <v>0</v>
      </c>
      <c r="P2189" t="n">
        <v>0</v>
      </c>
      <c r="Q2189" t="n">
        <v>0</v>
      </c>
      <c r="R2189" s="2" t="inlineStr"/>
    </row>
    <row r="2190" ht="15" customHeight="1">
      <c r="A2190" t="inlineStr">
        <is>
          <t>A 54806-2024</t>
        </is>
      </c>
      <c r="B2190" s="1" t="n">
        <v>45618.51133101852</v>
      </c>
      <c r="C2190" s="1" t="n">
        <v>46048</v>
      </c>
      <c r="D2190" t="inlineStr">
        <is>
          <t>VÄSTERNORRLANDS LÄN</t>
        </is>
      </c>
      <c r="E2190" t="inlineStr">
        <is>
          <t>SOLLEFTEÅ</t>
        </is>
      </c>
      <c r="F2190" t="inlineStr">
        <is>
          <t>SCA</t>
        </is>
      </c>
      <c r="G2190" t="n">
        <v>4.7</v>
      </c>
      <c r="H2190" t="n">
        <v>0</v>
      </c>
      <c r="I2190" t="n">
        <v>0</v>
      </c>
      <c r="J2190" t="n">
        <v>0</v>
      </c>
      <c r="K2190" t="n">
        <v>0</v>
      </c>
      <c r="L2190" t="n">
        <v>0</v>
      </c>
      <c r="M2190" t="n">
        <v>0</v>
      </c>
      <c r="N2190" t="n">
        <v>0</v>
      </c>
      <c r="O2190" t="n">
        <v>0</v>
      </c>
      <c r="P2190" t="n">
        <v>0</v>
      </c>
      <c r="Q2190" t="n">
        <v>0</v>
      </c>
      <c r="R2190" s="2" t="inlineStr"/>
    </row>
    <row r="2191" ht="15" customHeight="1">
      <c r="A2191" t="inlineStr">
        <is>
          <t>A 38053-2024</t>
        </is>
      </c>
      <c r="B2191" s="1" t="n">
        <v>45544.71903935185</v>
      </c>
      <c r="C2191" s="1" t="n">
        <v>46048</v>
      </c>
      <c r="D2191" t="inlineStr">
        <is>
          <t>VÄSTERNORRLANDS LÄN</t>
        </is>
      </c>
      <c r="E2191" t="inlineStr">
        <is>
          <t>SOLLEFTEÅ</t>
        </is>
      </c>
      <c r="F2191" t="inlineStr">
        <is>
          <t>SCA</t>
        </is>
      </c>
      <c r="G2191" t="n">
        <v>2.5</v>
      </c>
      <c r="H2191" t="n">
        <v>0</v>
      </c>
      <c r="I2191" t="n">
        <v>0</v>
      </c>
      <c r="J2191" t="n">
        <v>0</v>
      </c>
      <c r="K2191" t="n">
        <v>0</v>
      </c>
      <c r="L2191" t="n">
        <v>0</v>
      </c>
      <c r="M2191" t="n">
        <v>0</v>
      </c>
      <c r="N2191" t="n">
        <v>0</v>
      </c>
      <c r="O2191" t="n">
        <v>0</v>
      </c>
      <c r="P2191" t="n">
        <v>0</v>
      </c>
      <c r="Q2191" t="n">
        <v>0</v>
      </c>
      <c r="R2191" s="2" t="inlineStr"/>
    </row>
    <row r="2192" ht="15" customHeight="1">
      <c r="A2192" t="inlineStr">
        <is>
          <t>A 43487-2023</t>
        </is>
      </c>
      <c r="B2192" s="1" t="n">
        <v>45181</v>
      </c>
      <c r="C2192" s="1" t="n">
        <v>46048</v>
      </c>
      <c r="D2192" t="inlineStr">
        <is>
          <t>VÄSTERNORRLANDS LÄN</t>
        </is>
      </c>
      <c r="E2192" t="inlineStr">
        <is>
          <t>SOLLEFTEÅ</t>
        </is>
      </c>
      <c r="G2192" t="n">
        <v>2.7</v>
      </c>
      <c r="H2192" t="n">
        <v>0</v>
      </c>
      <c r="I2192" t="n">
        <v>0</v>
      </c>
      <c r="J2192" t="n">
        <v>0</v>
      </c>
      <c r="K2192" t="n">
        <v>0</v>
      </c>
      <c r="L2192" t="n">
        <v>0</v>
      </c>
      <c r="M2192" t="n">
        <v>0</v>
      </c>
      <c r="N2192" t="n">
        <v>0</v>
      </c>
      <c r="O2192" t="n">
        <v>0</v>
      </c>
      <c r="P2192" t="n">
        <v>0</v>
      </c>
      <c r="Q2192" t="n">
        <v>0</v>
      </c>
      <c r="R2192" s="2" t="inlineStr"/>
    </row>
    <row r="2193" ht="15" customHeight="1">
      <c r="A2193" t="inlineStr">
        <is>
          <t>A 47291-2025</t>
        </is>
      </c>
      <c r="B2193" s="1" t="n">
        <v>45930.49019675926</v>
      </c>
      <c r="C2193" s="1" t="n">
        <v>46048</v>
      </c>
      <c r="D2193" t="inlineStr">
        <is>
          <t>VÄSTERNORRLANDS LÄN</t>
        </is>
      </c>
      <c r="E2193" t="inlineStr">
        <is>
          <t>SOLLEFTEÅ</t>
        </is>
      </c>
      <c r="F2193" t="inlineStr">
        <is>
          <t>SCA</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20437-2025</t>
        </is>
      </c>
      <c r="B2194" s="1" t="n">
        <v>45775</v>
      </c>
      <c r="C2194" s="1" t="n">
        <v>46048</v>
      </c>
      <c r="D2194" t="inlineStr">
        <is>
          <t>VÄSTERNORRLANDS LÄN</t>
        </is>
      </c>
      <c r="E2194" t="inlineStr">
        <is>
          <t>SOLLEFTEÅ</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47532-2025</t>
        </is>
      </c>
      <c r="B2195" s="1" t="n">
        <v>45931.34635416666</v>
      </c>
      <c r="C2195" s="1" t="n">
        <v>46048</v>
      </c>
      <c r="D2195" t="inlineStr">
        <is>
          <t>VÄSTERNORRLANDS LÄN</t>
        </is>
      </c>
      <c r="E2195" t="inlineStr">
        <is>
          <t>SOLLEFTEÅ</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12644-2025</t>
        </is>
      </c>
      <c r="B2196" s="1" t="n">
        <v>45733.38726851852</v>
      </c>
      <c r="C2196" s="1" t="n">
        <v>46048</v>
      </c>
      <c r="D2196" t="inlineStr">
        <is>
          <t>VÄSTERNORRLANDS LÄN</t>
        </is>
      </c>
      <c r="E2196" t="inlineStr">
        <is>
          <t>SOLLEFTEÅ</t>
        </is>
      </c>
      <c r="G2196" t="n">
        <v>5</v>
      </c>
      <c r="H2196" t="n">
        <v>0</v>
      </c>
      <c r="I2196" t="n">
        <v>0</v>
      </c>
      <c r="J2196" t="n">
        <v>0</v>
      </c>
      <c r="K2196" t="n">
        <v>0</v>
      </c>
      <c r="L2196" t="n">
        <v>0</v>
      </c>
      <c r="M2196" t="n">
        <v>0</v>
      </c>
      <c r="N2196" t="n">
        <v>0</v>
      </c>
      <c r="O2196" t="n">
        <v>0</v>
      </c>
      <c r="P2196" t="n">
        <v>0</v>
      </c>
      <c r="Q2196" t="n">
        <v>0</v>
      </c>
      <c r="R2196" s="2" t="inlineStr"/>
    </row>
    <row r="2197" ht="15" customHeight="1">
      <c r="A2197" t="inlineStr">
        <is>
          <t>A 50716-2023</t>
        </is>
      </c>
      <c r="B2197" s="1" t="n">
        <v>45210</v>
      </c>
      <c r="C2197" s="1" t="n">
        <v>46048</v>
      </c>
      <c r="D2197" t="inlineStr">
        <is>
          <t>VÄSTERNORRLANDS LÄN</t>
        </is>
      </c>
      <c r="E2197" t="inlineStr">
        <is>
          <t>SOLLEFTEÅ</t>
        </is>
      </c>
      <c r="G2197" t="n">
        <v>3.4</v>
      </c>
      <c r="H2197" t="n">
        <v>0</v>
      </c>
      <c r="I2197" t="n">
        <v>0</v>
      </c>
      <c r="J2197" t="n">
        <v>0</v>
      </c>
      <c r="K2197" t="n">
        <v>0</v>
      </c>
      <c r="L2197" t="n">
        <v>0</v>
      </c>
      <c r="M2197" t="n">
        <v>0</v>
      </c>
      <c r="N2197" t="n">
        <v>0</v>
      </c>
      <c r="O2197" t="n">
        <v>0</v>
      </c>
      <c r="P2197" t="n">
        <v>0</v>
      </c>
      <c r="Q2197" t="n">
        <v>0</v>
      </c>
      <c r="R2197" s="2" t="inlineStr"/>
    </row>
    <row r="2198" ht="15" customHeight="1">
      <c r="A2198" t="inlineStr">
        <is>
          <t>A 44762-2022</t>
        </is>
      </c>
      <c r="B2198" s="1" t="n">
        <v>44840</v>
      </c>
      <c r="C2198" s="1" t="n">
        <v>46048</v>
      </c>
      <c r="D2198" t="inlineStr">
        <is>
          <t>VÄSTERNORRLANDS LÄN</t>
        </is>
      </c>
      <c r="E2198" t="inlineStr">
        <is>
          <t>SOLLEFTEÅ</t>
        </is>
      </c>
      <c r="F2198" t="inlineStr">
        <is>
          <t>SCA</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47732-2025</t>
        </is>
      </c>
      <c r="B2199" s="1" t="n">
        <v>45931.63561342593</v>
      </c>
      <c r="C2199" s="1" t="n">
        <v>46048</v>
      </c>
      <c r="D2199" t="inlineStr">
        <is>
          <t>VÄSTERNORRLANDS LÄN</t>
        </is>
      </c>
      <c r="E2199" t="inlineStr">
        <is>
          <t>SOLLEFTEÅ</t>
        </is>
      </c>
      <c r="F2199" t="inlineStr">
        <is>
          <t>Holmen skog AB</t>
        </is>
      </c>
      <c r="G2199" t="n">
        <v>4.6</v>
      </c>
      <c r="H2199" t="n">
        <v>0</v>
      </c>
      <c r="I2199" t="n">
        <v>0</v>
      </c>
      <c r="J2199" t="n">
        <v>0</v>
      </c>
      <c r="K2199" t="n">
        <v>0</v>
      </c>
      <c r="L2199" t="n">
        <v>0</v>
      </c>
      <c r="M2199" t="n">
        <v>0</v>
      </c>
      <c r="N2199" t="n">
        <v>0</v>
      </c>
      <c r="O2199" t="n">
        <v>0</v>
      </c>
      <c r="P2199" t="n">
        <v>0</v>
      </c>
      <c r="Q2199" t="n">
        <v>0</v>
      </c>
      <c r="R2199" s="2" t="inlineStr"/>
    </row>
    <row r="2200" ht="15" customHeight="1">
      <c r="A2200" t="inlineStr">
        <is>
          <t>A 61485-2024</t>
        </is>
      </c>
      <c r="B2200" s="1" t="n">
        <v>45646.53175925926</v>
      </c>
      <c r="C2200" s="1" t="n">
        <v>46048</v>
      </c>
      <c r="D2200" t="inlineStr">
        <is>
          <t>VÄSTERNORRLANDS LÄN</t>
        </is>
      </c>
      <c r="E2200" t="inlineStr">
        <is>
          <t>SOLLEFTEÅ</t>
        </is>
      </c>
      <c r="F2200" t="inlineStr">
        <is>
          <t>SCA</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48313-2025</t>
        </is>
      </c>
      <c r="B2201" s="1" t="n">
        <v>45933.61605324074</v>
      </c>
      <c r="C2201" s="1" t="n">
        <v>46048</v>
      </c>
      <c r="D2201" t="inlineStr">
        <is>
          <t>VÄSTERNORRLANDS LÄN</t>
        </is>
      </c>
      <c r="E2201" t="inlineStr">
        <is>
          <t>SOLLEFTEÅ</t>
        </is>
      </c>
      <c r="F2201" t="inlineStr">
        <is>
          <t>SCA</t>
        </is>
      </c>
      <c r="G2201" t="n">
        <v>5</v>
      </c>
      <c r="H2201" t="n">
        <v>0</v>
      </c>
      <c r="I2201" t="n">
        <v>0</v>
      </c>
      <c r="J2201" t="n">
        <v>0</v>
      </c>
      <c r="K2201" t="n">
        <v>0</v>
      </c>
      <c r="L2201" t="n">
        <v>0</v>
      </c>
      <c r="M2201" t="n">
        <v>0</v>
      </c>
      <c r="N2201" t="n">
        <v>0</v>
      </c>
      <c r="O2201" t="n">
        <v>0</v>
      </c>
      <c r="P2201" t="n">
        <v>0</v>
      </c>
      <c r="Q2201" t="n">
        <v>0</v>
      </c>
      <c r="R2201" s="2" t="inlineStr"/>
    </row>
    <row r="2202" ht="15" customHeight="1">
      <c r="A2202" t="inlineStr">
        <is>
          <t>A 40098-2023</t>
        </is>
      </c>
      <c r="B2202" s="1" t="n">
        <v>45168.93726851852</v>
      </c>
      <c r="C2202" s="1" t="n">
        <v>46048</v>
      </c>
      <c r="D2202" t="inlineStr">
        <is>
          <t>VÄSTERNORRLANDS LÄN</t>
        </is>
      </c>
      <c r="E2202" t="inlineStr">
        <is>
          <t>SOLLEFTEÅ</t>
        </is>
      </c>
      <c r="F2202" t="inlineStr">
        <is>
          <t>SCA</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20335-2025</t>
        </is>
      </c>
      <c r="B2203" s="1" t="n">
        <v>45775.36510416667</v>
      </c>
      <c r="C2203" s="1" t="n">
        <v>46048</v>
      </c>
      <c r="D2203" t="inlineStr">
        <is>
          <t>VÄSTERNORRLANDS LÄN</t>
        </is>
      </c>
      <c r="E2203" t="inlineStr">
        <is>
          <t>SOLLEFTEÅ</t>
        </is>
      </c>
      <c r="F2203" t="inlineStr">
        <is>
          <t>SCA</t>
        </is>
      </c>
      <c r="G2203" t="n">
        <v>7</v>
      </c>
      <c r="H2203" t="n">
        <v>0</v>
      </c>
      <c r="I2203" t="n">
        <v>0</v>
      </c>
      <c r="J2203" t="n">
        <v>0</v>
      </c>
      <c r="K2203" t="n">
        <v>0</v>
      </c>
      <c r="L2203" t="n">
        <v>0</v>
      </c>
      <c r="M2203" t="n">
        <v>0</v>
      </c>
      <c r="N2203" t="n">
        <v>0</v>
      </c>
      <c r="O2203" t="n">
        <v>0</v>
      </c>
      <c r="P2203" t="n">
        <v>0</v>
      </c>
      <c r="Q2203" t="n">
        <v>0</v>
      </c>
      <c r="R2203" s="2" t="inlineStr"/>
    </row>
    <row r="2204" ht="15" customHeight="1">
      <c r="A2204" t="inlineStr">
        <is>
          <t>A 47962-2025</t>
        </is>
      </c>
      <c r="B2204" s="1" t="n">
        <v>45932.59434027778</v>
      </c>
      <c r="C2204" s="1" t="n">
        <v>46048</v>
      </c>
      <c r="D2204" t="inlineStr">
        <is>
          <t>VÄSTERNORRLANDS LÄN</t>
        </is>
      </c>
      <c r="E2204" t="inlineStr">
        <is>
          <t>SOLLEFTEÅ</t>
        </is>
      </c>
      <c r="F2204" t="inlineStr">
        <is>
          <t>SCA</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14889-2025</t>
        </is>
      </c>
      <c r="B2205" s="1" t="n">
        <v>45743.46898148148</v>
      </c>
      <c r="C2205" s="1" t="n">
        <v>46048</v>
      </c>
      <c r="D2205" t="inlineStr">
        <is>
          <t>VÄSTERNORRLANDS LÄN</t>
        </is>
      </c>
      <c r="E2205" t="inlineStr">
        <is>
          <t>SOLLEFTEÅ</t>
        </is>
      </c>
      <c r="G2205" t="n">
        <v>5.8</v>
      </c>
      <c r="H2205" t="n">
        <v>0</v>
      </c>
      <c r="I2205" t="n">
        <v>0</v>
      </c>
      <c r="J2205" t="n">
        <v>0</v>
      </c>
      <c r="K2205" t="n">
        <v>0</v>
      </c>
      <c r="L2205" t="n">
        <v>0</v>
      </c>
      <c r="M2205" t="n">
        <v>0</v>
      </c>
      <c r="N2205" t="n">
        <v>0</v>
      </c>
      <c r="O2205" t="n">
        <v>0</v>
      </c>
      <c r="P2205" t="n">
        <v>0</v>
      </c>
      <c r="Q2205" t="n">
        <v>0</v>
      </c>
      <c r="R2205" s="2" t="inlineStr"/>
    </row>
    <row r="2206" ht="15" customHeight="1">
      <c r="A2206" t="inlineStr">
        <is>
          <t>A 20628-2023</t>
        </is>
      </c>
      <c r="B2206" s="1" t="n">
        <v>45057.94373842593</v>
      </c>
      <c r="C2206" s="1" t="n">
        <v>46048</v>
      </c>
      <c r="D2206" t="inlineStr">
        <is>
          <t>VÄSTERNORRLANDS LÄN</t>
        </is>
      </c>
      <c r="E2206" t="inlineStr">
        <is>
          <t>SOLLEFTEÅ</t>
        </is>
      </c>
      <c r="F2206" t="inlineStr">
        <is>
          <t>SCA</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48311-2025</t>
        </is>
      </c>
      <c r="B2207" s="1" t="n">
        <v>45933.61584490741</v>
      </c>
      <c r="C2207" s="1" t="n">
        <v>46048</v>
      </c>
      <c r="D2207" t="inlineStr">
        <is>
          <t>VÄSTERNORRLANDS LÄN</t>
        </is>
      </c>
      <c r="E2207" t="inlineStr">
        <is>
          <t>SOLLEFTEÅ</t>
        </is>
      </c>
      <c r="F2207" t="inlineStr">
        <is>
          <t>SCA</t>
        </is>
      </c>
      <c r="G2207" t="n">
        <v>61.2</v>
      </c>
      <c r="H2207" t="n">
        <v>0</v>
      </c>
      <c r="I2207" t="n">
        <v>0</v>
      </c>
      <c r="J2207" t="n">
        <v>0</v>
      </c>
      <c r="K2207" t="n">
        <v>0</v>
      </c>
      <c r="L2207" t="n">
        <v>0</v>
      </c>
      <c r="M2207" t="n">
        <v>0</v>
      </c>
      <c r="N2207" t="n">
        <v>0</v>
      </c>
      <c r="O2207" t="n">
        <v>0</v>
      </c>
      <c r="P2207" t="n">
        <v>0</v>
      </c>
      <c r="Q2207" t="n">
        <v>0</v>
      </c>
      <c r="R2207" s="2" t="inlineStr"/>
    </row>
    <row r="2208" ht="15" customHeight="1">
      <c r="A2208" t="inlineStr">
        <is>
          <t>A 48351-2025</t>
        </is>
      </c>
      <c r="B2208" s="1" t="n">
        <v>45933.65725694445</v>
      </c>
      <c r="C2208" s="1" t="n">
        <v>46048</v>
      </c>
      <c r="D2208" t="inlineStr">
        <is>
          <t>VÄSTERNORRLANDS LÄN</t>
        </is>
      </c>
      <c r="E2208" t="inlineStr">
        <is>
          <t>SOLLEFTEÅ</t>
        </is>
      </c>
      <c r="F2208" t="inlineStr">
        <is>
          <t>SCA</t>
        </is>
      </c>
      <c r="G2208" t="n">
        <v>5.6</v>
      </c>
      <c r="H2208" t="n">
        <v>0</v>
      </c>
      <c r="I2208" t="n">
        <v>0</v>
      </c>
      <c r="J2208" t="n">
        <v>0</v>
      </c>
      <c r="K2208" t="n">
        <v>0</v>
      </c>
      <c r="L2208" t="n">
        <v>0</v>
      </c>
      <c r="M2208" t="n">
        <v>0</v>
      </c>
      <c r="N2208" t="n">
        <v>0</v>
      </c>
      <c r="O2208" t="n">
        <v>0</v>
      </c>
      <c r="P2208" t="n">
        <v>0</v>
      </c>
      <c r="Q2208" t="n">
        <v>0</v>
      </c>
      <c r="R2208" s="2" t="inlineStr"/>
    </row>
    <row r="2209" ht="15" customHeight="1">
      <c r="A2209" t="inlineStr">
        <is>
          <t>A 51006-2022</t>
        </is>
      </c>
      <c r="B2209" s="1" t="n">
        <v>44867</v>
      </c>
      <c r="C2209" s="1" t="n">
        <v>46048</v>
      </c>
      <c r="D2209" t="inlineStr">
        <is>
          <t>VÄSTERNORRLANDS LÄN</t>
        </is>
      </c>
      <c r="E2209" t="inlineStr">
        <is>
          <t>SOLLEFTEÅ</t>
        </is>
      </c>
      <c r="F2209" t="inlineStr">
        <is>
          <t>SCA</t>
        </is>
      </c>
      <c r="G2209" t="n">
        <v>3.4</v>
      </c>
      <c r="H2209" t="n">
        <v>0</v>
      </c>
      <c r="I2209" t="n">
        <v>0</v>
      </c>
      <c r="J2209" t="n">
        <v>0</v>
      </c>
      <c r="K2209" t="n">
        <v>0</v>
      </c>
      <c r="L2209" t="n">
        <v>0</v>
      </c>
      <c r="M2209" t="n">
        <v>0</v>
      </c>
      <c r="N2209" t="n">
        <v>0</v>
      </c>
      <c r="O2209" t="n">
        <v>0</v>
      </c>
      <c r="P2209" t="n">
        <v>0</v>
      </c>
      <c r="Q2209" t="n">
        <v>0</v>
      </c>
      <c r="R2209" s="2" t="inlineStr"/>
    </row>
    <row r="2210" ht="15" customHeight="1">
      <c r="A2210" t="inlineStr">
        <is>
          <t>A 55440-2024</t>
        </is>
      </c>
      <c r="B2210" s="1" t="n">
        <v>45622.40679398148</v>
      </c>
      <c r="C2210" s="1" t="n">
        <v>46048</v>
      </c>
      <c r="D2210" t="inlineStr">
        <is>
          <t>VÄSTERNORRLANDS LÄN</t>
        </is>
      </c>
      <c r="E2210" t="inlineStr">
        <is>
          <t>SOLLEFTEÅ</t>
        </is>
      </c>
      <c r="F2210" t="inlineStr">
        <is>
          <t>SCA</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48310-2025</t>
        </is>
      </c>
      <c r="B2211" s="1" t="n">
        <v>45933.61559027778</v>
      </c>
      <c r="C2211" s="1" t="n">
        <v>46048</v>
      </c>
      <c r="D2211" t="inlineStr">
        <is>
          <t>VÄSTERNORRLANDS LÄN</t>
        </is>
      </c>
      <c r="E2211" t="inlineStr">
        <is>
          <t>SOLLEFTEÅ</t>
        </is>
      </c>
      <c r="F2211" t="inlineStr">
        <is>
          <t>SCA</t>
        </is>
      </c>
      <c r="G2211" t="n">
        <v>3.8</v>
      </c>
      <c r="H2211" t="n">
        <v>0</v>
      </c>
      <c r="I2211" t="n">
        <v>0</v>
      </c>
      <c r="J2211" t="n">
        <v>0</v>
      </c>
      <c r="K2211" t="n">
        <v>0</v>
      </c>
      <c r="L2211" t="n">
        <v>0</v>
      </c>
      <c r="M2211" t="n">
        <v>0</v>
      </c>
      <c r="N2211" t="n">
        <v>0</v>
      </c>
      <c r="O2211" t="n">
        <v>0</v>
      </c>
      <c r="P2211" t="n">
        <v>0</v>
      </c>
      <c r="Q2211" t="n">
        <v>0</v>
      </c>
      <c r="R2211" s="2" t="inlineStr"/>
    </row>
    <row r="2212" ht="15" customHeight="1">
      <c r="A2212" t="inlineStr">
        <is>
          <t>A 47851-2025</t>
        </is>
      </c>
      <c r="B2212" s="1" t="n">
        <v>45932.38645833333</v>
      </c>
      <c r="C2212" s="1" t="n">
        <v>46048</v>
      </c>
      <c r="D2212" t="inlineStr">
        <is>
          <t>VÄSTERNORRLANDS LÄN</t>
        </is>
      </c>
      <c r="E2212" t="inlineStr">
        <is>
          <t>SOLLEFTEÅ</t>
        </is>
      </c>
      <c r="F2212" t="inlineStr">
        <is>
          <t>SCA</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48290-2025</t>
        </is>
      </c>
      <c r="B2213" s="1" t="n">
        <v>45933.59497685185</v>
      </c>
      <c r="C2213" s="1" t="n">
        <v>46048</v>
      </c>
      <c r="D2213" t="inlineStr">
        <is>
          <t>VÄSTERNORRLANDS LÄN</t>
        </is>
      </c>
      <c r="E2213" t="inlineStr">
        <is>
          <t>SOLLEFTEÅ</t>
        </is>
      </c>
      <c r="F2213" t="inlineStr">
        <is>
          <t>SCA</t>
        </is>
      </c>
      <c r="G2213" t="n">
        <v>10.4</v>
      </c>
      <c r="H2213" t="n">
        <v>0</v>
      </c>
      <c r="I2213" t="n">
        <v>0</v>
      </c>
      <c r="J2213" t="n">
        <v>0</v>
      </c>
      <c r="K2213" t="n">
        <v>0</v>
      </c>
      <c r="L2213" t="n">
        <v>0</v>
      </c>
      <c r="M2213" t="n">
        <v>0</v>
      </c>
      <c r="N2213" t="n">
        <v>0</v>
      </c>
      <c r="O2213" t="n">
        <v>0</v>
      </c>
      <c r="P2213" t="n">
        <v>0</v>
      </c>
      <c r="Q2213" t="n">
        <v>0</v>
      </c>
      <c r="R2213" s="2" t="inlineStr"/>
    </row>
    <row r="2214" ht="15" customHeight="1">
      <c r="A2214" t="inlineStr">
        <is>
          <t>A 48306-2025</t>
        </is>
      </c>
      <c r="B2214" s="1" t="n">
        <v>45933.615</v>
      </c>
      <c r="C2214" s="1" t="n">
        <v>46048</v>
      </c>
      <c r="D2214" t="inlineStr">
        <is>
          <t>VÄSTERNORRLANDS LÄN</t>
        </is>
      </c>
      <c r="E2214" t="inlineStr">
        <is>
          <t>SOLLEFTEÅ</t>
        </is>
      </c>
      <c r="F2214" t="inlineStr">
        <is>
          <t>SCA</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48125-2025</t>
        </is>
      </c>
      <c r="B2215" s="1" t="n">
        <v>45933.36511574074</v>
      </c>
      <c r="C2215" s="1" t="n">
        <v>46048</v>
      </c>
      <c r="D2215" t="inlineStr">
        <is>
          <t>VÄSTERNORRLANDS LÄN</t>
        </is>
      </c>
      <c r="E2215" t="inlineStr">
        <is>
          <t>SOLLEFTEÅ</t>
        </is>
      </c>
      <c r="F2215" t="inlineStr">
        <is>
          <t>SCA</t>
        </is>
      </c>
      <c r="G2215" t="n">
        <v>13.3</v>
      </c>
      <c r="H2215" t="n">
        <v>0</v>
      </c>
      <c r="I2215" t="n">
        <v>0</v>
      </c>
      <c r="J2215" t="n">
        <v>0</v>
      </c>
      <c r="K2215" t="n">
        <v>0</v>
      </c>
      <c r="L2215" t="n">
        <v>0</v>
      </c>
      <c r="M2215" t="n">
        <v>0</v>
      </c>
      <c r="N2215" t="n">
        <v>0</v>
      </c>
      <c r="O2215" t="n">
        <v>0</v>
      </c>
      <c r="P2215" t="n">
        <v>0</v>
      </c>
      <c r="Q2215" t="n">
        <v>0</v>
      </c>
      <c r="R2215" s="2" t="inlineStr"/>
    </row>
    <row r="2216" ht="15" customHeight="1">
      <c r="A2216" t="inlineStr">
        <is>
          <t>A 60861-2023</t>
        </is>
      </c>
      <c r="B2216" s="1" t="n">
        <v>45260</v>
      </c>
      <c r="C2216" s="1" t="n">
        <v>46048</v>
      </c>
      <c r="D2216" t="inlineStr">
        <is>
          <t>VÄSTERNORRLANDS LÄN</t>
        </is>
      </c>
      <c r="E2216" t="inlineStr">
        <is>
          <t>SOLLEFTEÅ</t>
        </is>
      </c>
      <c r="F2216" t="inlineStr">
        <is>
          <t>SCA</t>
        </is>
      </c>
      <c r="G2216" t="n">
        <v>7.3</v>
      </c>
      <c r="H2216" t="n">
        <v>0</v>
      </c>
      <c r="I2216" t="n">
        <v>0</v>
      </c>
      <c r="J2216" t="n">
        <v>0</v>
      </c>
      <c r="K2216" t="n">
        <v>0</v>
      </c>
      <c r="L2216" t="n">
        <v>0</v>
      </c>
      <c r="M2216" t="n">
        <v>0</v>
      </c>
      <c r="N2216" t="n">
        <v>0</v>
      </c>
      <c r="O2216" t="n">
        <v>0</v>
      </c>
      <c r="P2216" t="n">
        <v>0</v>
      </c>
      <c r="Q2216" t="n">
        <v>0</v>
      </c>
      <c r="R2216" s="2" t="inlineStr"/>
    </row>
    <row r="2217" ht="15" customHeight="1">
      <c r="A2217" t="inlineStr">
        <is>
          <t>A 48349-2025</t>
        </is>
      </c>
      <c r="B2217" s="1" t="n">
        <v>45933.65673611111</v>
      </c>
      <c r="C2217" s="1" t="n">
        <v>46048</v>
      </c>
      <c r="D2217" t="inlineStr">
        <is>
          <t>VÄSTERNORRLANDS LÄN</t>
        </is>
      </c>
      <c r="E2217" t="inlineStr">
        <is>
          <t>SOLLEFTEÅ</t>
        </is>
      </c>
      <c r="F2217" t="inlineStr">
        <is>
          <t>SCA</t>
        </is>
      </c>
      <c r="G2217" t="n">
        <v>3.5</v>
      </c>
      <c r="H2217" t="n">
        <v>0</v>
      </c>
      <c r="I2217" t="n">
        <v>0</v>
      </c>
      <c r="J2217" t="n">
        <v>0</v>
      </c>
      <c r="K2217" t="n">
        <v>0</v>
      </c>
      <c r="L2217" t="n">
        <v>0</v>
      </c>
      <c r="M2217" t="n">
        <v>0</v>
      </c>
      <c r="N2217" t="n">
        <v>0</v>
      </c>
      <c r="O2217" t="n">
        <v>0</v>
      </c>
      <c r="P2217" t="n">
        <v>0</v>
      </c>
      <c r="Q2217" t="n">
        <v>0</v>
      </c>
      <c r="R2217" s="2" t="inlineStr"/>
    </row>
    <row r="2218" ht="15" customHeight="1">
      <c r="A2218" t="inlineStr">
        <is>
          <t>A 48307-2025</t>
        </is>
      </c>
      <c r="B2218" s="1" t="n">
        <v>45933.61519675926</v>
      </c>
      <c r="C2218" s="1" t="n">
        <v>46048</v>
      </c>
      <c r="D2218" t="inlineStr">
        <is>
          <t>VÄSTERNORRLANDS LÄN</t>
        </is>
      </c>
      <c r="E2218" t="inlineStr">
        <is>
          <t>SOLLEFTEÅ</t>
        </is>
      </c>
      <c r="F2218" t="inlineStr">
        <is>
          <t>SCA</t>
        </is>
      </c>
      <c r="G2218" t="n">
        <v>2.5</v>
      </c>
      <c r="H2218" t="n">
        <v>0</v>
      </c>
      <c r="I2218" t="n">
        <v>0</v>
      </c>
      <c r="J2218" t="n">
        <v>0</v>
      </c>
      <c r="K2218" t="n">
        <v>0</v>
      </c>
      <c r="L2218" t="n">
        <v>0</v>
      </c>
      <c r="M2218" t="n">
        <v>0</v>
      </c>
      <c r="N2218" t="n">
        <v>0</v>
      </c>
      <c r="O2218" t="n">
        <v>0</v>
      </c>
      <c r="P2218" t="n">
        <v>0</v>
      </c>
      <c r="Q2218" t="n">
        <v>0</v>
      </c>
      <c r="R2218" s="2" t="inlineStr"/>
    </row>
    <row r="2219" ht="15" customHeight="1">
      <c r="A2219" t="inlineStr">
        <is>
          <t>A 48308-2025</t>
        </is>
      </c>
      <c r="B2219" s="1" t="n">
        <v>45933</v>
      </c>
      <c r="C2219" s="1" t="n">
        <v>46048</v>
      </c>
      <c r="D2219" t="inlineStr">
        <is>
          <t>VÄSTERNORRLANDS LÄN</t>
        </is>
      </c>
      <c r="E2219" t="inlineStr">
        <is>
          <t>SOLLEFTEÅ</t>
        </is>
      </c>
      <c r="F2219" t="inlineStr">
        <is>
          <t>SCA</t>
        </is>
      </c>
      <c r="G2219" t="n">
        <v>10.2</v>
      </c>
      <c r="H2219" t="n">
        <v>0</v>
      </c>
      <c r="I2219" t="n">
        <v>0</v>
      </c>
      <c r="J2219" t="n">
        <v>0</v>
      </c>
      <c r="K2219" t="n">
        <v>0</v>
      </c>
      <c r="L2219" t="n">
        <v>0</v>
      </c>
      <c r="M2219" t="n">
        <v>0</v>
      </c>
      <c r="N2219" t="n">
        <v>0</v>
      </c>
      <c r="O2219" t="n">
        <v>0</v>
      </c>
      <c r="P2219" t="n">
        <v>0</v>
      </c>
      <c r="Q2219" t="n">
        <v>0</v>
      </c>
      <c r="R2219" s="2" t="inlineStr"/>
    </row>
    <row r="2220" ht="15" customHeight="1">
      <c r="A2220" t="inlineStr">
        <is>
          <t>A 5108-2022</t>
        </is>
      </c>
      <c r="B2220" s="1" t="n">
        <v>44593.92135416667</v>
      </c>
      <c r="C2220" s="1" t="n">
        <v>46048</v>
      </c>
      <c r="D2220" t="inlineStr">
        <is>
          <t>VÄSTERNORRLANDS LÄN</t>
        </is>
      </c>
      <c r="E2220" t="inlineStr">
        <is>
          <t>SOLLEFTEÅ</t>
        </is>
      </c>
      <c r="G2220" t="n">
        <v>4.7</v>
      </c>
      <c r="H2220" t="n">
        <v>0</v>
      </c>
      <c r="I2220" t="n">
        <v>0</v>
      </c>
      <c r="J2220" t="n">
        <v>0</v>
      </c>
      <c r="K2220" t="n">
        <v>0</v>
      </c>
      <c r="L2220" t="n">
        <v>0</v>
      </c>
      <c r="M2220" t="n">
        <v>0</v>
      </c>
      <c r="N2220" t="n">
        <v>0</v>
      </c>
      <c r="O2220" t="n">
        <v>0</v>
      </c>
      <c r="P2220" t="n">
        <v>0</v>
      </c>
      <c r="Q2220" t="n">
        <v>0</v>
      </c>
      <c r="R2220" s="2" t="inlineStr"/>
    </row>
    <row r="2221" ht="15" customHeight="1">
      <c r="A2221" t="inlineStr">
        <is>
          <t>A 5134-2022</t>
        </is>
      </c>
      <c r="B2221" s="1" t="n">
        <v>44594</v>
      </c>
      <c r="C2221" s="1" t="n">
        <v>46048</v>
      </c>
      <c r="D2221" t="inlineStr">
        <is>
          <t>VÄSTERNORRLANDS LÄN</t>
        </is>
      </c>
      <c r="E2221" t="inlineStr">
        <is>
          <t>SOLLEFTEÅ</t>
        </is>
      </c>
      <c r="G2221" t="n">
        <v>20.4</v>
      </c>
      <c r="H2221" t="n">
        <v>0</v>
      </c>
      <c r="I2221" t="n">
        <v>0</v>
      </c>
      <c r="J2221" t="n">
        <v>0</v>
      </c>
      <c r="K2221" t="n">
        <v>0</v>
      </c>
      <c r="L2221" t="n">
        <v>0</v>
      </c>
      <c r="M2221" t="n">
        <v>0</v>
      </c>
      <c r="N2221" t="n">
        <v>0</v>
      </c>
      <c r="O2221" t="n">
        <v>0</v>
      </c>
      <c r="P2221" t="n">
        <v>0</v>
      </c>
      <c r="Q2221" t="n">
        <v>0</v>
      </c>
      <c r="R2221" s="2" t="inlineStr"/>
    </row>
    <row r="2222" ht="15" customHeight="1">
      <c r="A2222" t="inlineStr">
        <is>
          <t>A 48053-2025</t>
        </is>
      </c>
      <c r="B2222" s="1" t="n">
        <v>45932.67856481481</v>
      </c>
      <c r="C2222" s="1" t="n">
        <v>46048</v>
      </c>
      <c r="D2222" t="inlineStr">
        <is>
          <t>VÄSTERNORRLANDS LÄN</t>
        </is>
      </c>
      <c r="E2222" t="inlineStr">
        <is>
          <t>SOLLEFTEÅ</t>
        </is>
      </c>
      <c r="F2222" t="inlineStr">
        <is>
          <t>SCA</t>
        </is>
      </c>
      <c r="G2222" t="n">
        <v>5.4</v>
      </c>
      <c r="H2222" t="n">
        <v>0</v>
      </c>
      <c r="I2222" t="n">
        <v>0</v>
      </c>
      <c r="J2222" t="n">
        <v>0</v>
      </c>
      <c r="K2222" t="n">
        <v>0</v>
      </c>
      <c r="L2222" t="n">
        <v>0</v>
      </c>
      <c r="M2222" t="n">
        <v>0</v>
      </c>
      <c r="N2222" t="n">
        <v>0</v>
      </c>
      <c r="O2222" t="n">
        <v>0</v>
      </c>
      <c r="P2222" t="n">
        <v>0</v>
      </c>
      <c r="Q2222" t="n">
        <v>0</v>
      </c>
      <c r="R2222" s="2" t="inlineStr"/>
    </row>
    <row r="2223" ht="15" customHeight="1">
      <c r="A2223" t="inlineStr">
        <is>
          <t>A 55872-2024</t>
        </is>
      </c>
      <c r="B2223" s="1" t="n">
        <v>45623</v>
      </c>
      <c r="C2223" s="1" t="n">
        <v>46048</v>
      </c>
      <c r="D2223" t="inlineStr">
        <is>
          <t>VÄSTERNORRLANDS LÄN</t>
        </is>
      </c>
      <c r="E2223" t="inlineStr">
        <is>
          <t>SOLLEFTEÅ</t>
        </is>
      </c>
      <c r="F2223" t="inlineStr">
        <is>
          <t>SCA</t>
        </is>
      </c>
      <c r="G2223" t="n">
        <v>2.5</v>
      </c>
      <c r="H2223" t="n">
        <v>0</v>
      </c>
      <c r="I2223" t="n">
        <v>0</v>
      </c>
      <c r="J2223" t="n">
        <v>0</v>
      </c>
      <c r="K2223" t="n">
        <v>0</v>
      </c>
      <c r="L2223" t="n">
        <v>0</v>
      </c>
      <c r="M2223" t="n">
        <v>0</v>
      </c>
      <c r="N2223" t="n">
        <v>0</v>
      </c>
      <c r="O2223" t="n">
        <v>0</v>
      </c>
      <c r="P2223" t="n">
        <v>0</v>
      </c>
      <c r="Q2223" t="n">
        <v>0</v>
      </c>
      <c r="R2223" s="2" t="inlineStr"/>
    </row>
    <row r="2224" ht="15" customHeight="1">
      <c r="A2224" t="inlineStr">
        <is>
          <t>A 35905-2024</t>
        </is>
      </c>
      <c r="B2224" s="1" t="n">
        <v>45533.40674768519</v>
      </c>
      <c r="C2224" s="1" t="n">
        <v>46048</v>
      </c>
      <c r="D2224" t="inlineStr">
        <is>
          <t>VÄSTERNORRLANDS LÄN</t>
        </is>
      </c>
      <c r="E2224" t="inlineStr">
        <is>
          <t>SOLLEFTEÅ</t>
        </is>
      </c>
      <c r="F2224" t="inlineStr">
        <is>
          <t>SCA</t>
        </is>
      </c>
      <c r="G2224" t="n">
        <v>4.6</v>
      </c>
      <c r="H2224" t="n">
        <v>0</v>
      </c>
      <c r="I2224" t="n">
        <v>0</v>
      </c>
      <c r="J2224" t="n">
        <v>0</v>
      </c>
      <c r="K2224" t="n">
        <v>0</v>
      </c>
      <c r="L2224" t="n">
        <v>0</v>
      </c>
      <c r="M2224" t="n">
        <v>0</v>
      </c>
      <c r="N2224" t="n">
        <v>0</v>
      </c>
      <c r="O2224" t="n">
        <v>0</v>
      </c>
      <c r="P2224" t="n">
        <v>0</v>
      </c>
      <c r="Q2224" t="n">
        <v>0</v>
      </c>
      <c r="R2224" s="2" t="inlineStr"/>
    </row>
    <row r="2225" ht="15" customHeight="1">
      <c r="A2225" t="inlineStr">
        <is>
          <t>A 47947-2025</t>
        </is>
      </c>
      <c r="B2225" s="1" t="n">
        <v>45932.5740625</v>
      </c>
      <c r="C2225" s="1" t="n">
        <v>46048</v>
      </c>
      <c r="D2225" t="inlineStr">
        <is>
          <t>VÄSTERNORRLANDS LÄN</t>
        </is>
      </c>
      <c r="E2225" t="inlineStr">
        <is>
          <t>SOLLEFTEÅ</t>
        </is>
      </c>
      <c r="F2225" t="inlineStr">
        <is>
          <t>SCA</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62750-2022</t>
        </is>
      </c>
      <c r="B2226" s="1" t="n">
        <v>44925.93922453704</v>
      </c>
      <c r="C2226" s="1" t="n">
        <v>46048</v>
      </c>
      <c r="D2226" t="inlineStr">
        <is>
          <t>VÄSTERNORRLANDS LÄN</t>
        </is>
      </c>
      <c r="E2226" t="inlineStr">
        <is>
          <t>SOLLEFTEÅ</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48126-2025</t>
        </is>
      </c>
      <c r="B2227" s="1" t="n">
        <v>45933.36530092593</v>
      </c>
      <c r="C2227" s="1" t="n">
        <v>46048</v>
      </c>
      <c r="D2227" t="inlineStr">
        <is>
          <t>VÄSTERNORRLANDS LÄN</t>
        </is>
      </c>
      <c r="E2227" t="inlineStr">
        <is>
          <t>SOLLEFTEÅ</t>
        </is>
      </c>
      <c r="F2227" t="inlineStr">
        <is>
          <t>SCA</t>
        </is>
      </c>
      <c r="G2227" t="n">
        <v>7.7</v>
      </c>
      <c r="H2227" t="n">
        <v>0</v>
      </c>
      <c r="I2227" t="n">
        <v>0</v>
      </c>
      <c r="J2227" t="n">
        <v>0</v>
      </c>
      <c r="K2227" t="n">
        <v>0</v>
      </c>
      <c r="L2227" t="n">
        <v>0</v>
      </c>
      <c r="M2227" t="n">
        <v>0</v>
      </c>
      <c r="N2227" t="n">
        <v>0</v>
      </c>
      <c r="O2227" t="n">
        <v>0</v>
      </c>
      <c r="P2227" t="n">
        <v>0</v>
      </c>
      <c r="Q2227" t="n">
        <v>0</v>
      </c>
      <c r="R2227" s="2" t="inlineStr"/>
    </row>
    <row r="2228" ht="15" customHeight="1">
      <c r="A2228" t="inlineStr">
        <is>
          <t>A 12627-2025</t>
        </is>
      </c>
      <c r="B2228" s="1" t="n">
        <v>45733.36728009259</v>
      </c>
      <c r="C2228" s="1" t="n">
        <v>46048</v>
      </c>
      <c r="D2228" t="inlineStr">
        <is>
          <t>VÄSTERNORRLANDS LÄN</t>
        </is>
      </c>
      <c r="E2228" t="inlineStr">
        <is>
          <t>SOLLEFTEÅ</t>
        </is>
      </c>
      <c r="G2228" t="n">
        <v>12.9</v>
      </c>
      <c r="H2228" t="n">
        <v>0</v>
      </c>
      <c r="I2228" t="n">
        <v>0</v>
      </c>
      <c r="J2228" t="n">
        <v>0</v>
      </c>
      <c r="K2228" t="n">
        <v>0</v>
      </c>
      <c r="L2228" t="n">
        <v>0</v>
      </c>
      <c r="M2228" t="n">
        <v>0</v>
      </c>
      <c r="N2228" t="n">
        <v>0</v>
      </c>
      <c r="O2228" t="n">
        <v>0</v>
      </c>
      <c r="P2228" t="n">
        <v>0</v>
      </c>
      <c r="Q2228" t="n">
        <v>0</v>
      </c>
      <c r="R2228" s="2" t="inlineStr"/>
    </row>
    <row r="2229" ht="15" customHeight="1">
      <c r="A2229" t="inlineStr">
        <is>
          <t>A 48340-2025</t>
        </is>
      </c>
      <c r="B2229" s="1" t="n">
        <v>45933.64240740741</v>
      </c>
      <c r="C2229" s="1" t="n">
        <v>46048</v>
      </c>
      <c r="D2229" t="inlineStr">
        <is>
          <t>VÄSTERNORRLANDS LÄN</t>
        </is>
      </c>
      <c r="E2229" t="inlineStr">
        <is>
          <t>SOLLEFTEÅ</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62827-2023</t>
        </is>
      </c>
      <c r="B2230" s="1" t="n">
        <v>45271.92690972222</v>
      </c>
      <c r="C2230" s="1" t="n">
        <v>46048</v>
      </c>
      <c r="D2230" t="inlineStr">
        <is>
          <t>VÄSTERNORRLANDS LÄN</t>
        </is>
      </c>
      <c r="E2230" t="inlineStr">
        <is>
          <t>SOLLEFTEÅ</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31646-2022</t>
        </is>
      </c>
      <c r="B2231" s="1" t="n">
        <v>44775.94166666667</v>
      </c>
      <c r="C2231" s="1" t="n">
        <v>46048</v>
      </c>
      <c r="D2231" t="inlineStr">
        <is>
          <t>VÄSTERNORRLANDS LÄN</t>
        </is>
      </c>
      <c r="E2231" t="inlineStr">
        <is>
          <t>SOLLEFTEÅ</t>
        </is>
      </c>
      <c r="F2231" t="inlineStr">
        <is>
          <t>SCA</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5548-2025</t>
        </is>
      </c>
      <c r="B2232" s="1" t="n">
        <v>45693.46940972222</v>
      </c>
      <c r="C2232" s="1" t="n">
        <v>46048</v>
      </c>
      <c r="D2232" t="inlineStr">
        <is>
          <t>VÄSTERNORRLANDS LÄN</t>
        </is>
      </c>
      <c r="E2232" t="inlineStr">
        <is>
          <t>SOLLEFTEÅ</t>
        </is>
      </c>
      <c r="G2232" t="n">
        <v>7.9</v>
      </c>
      <c r="H2232" t="n">
        <v>0</v>
      </c>
      <c r="I2232" t="n">
        <v>0</v>
      </c>
      <c r="J2232" t="n">
        <v>0</v>
      </c>
      <c r="K2232" t="n">
        <v>0</v>
      </c>
      <c r="L2232" t="n">
        <v>0</v>
      </c>
      <c r="M2232" t="n">
        <v>0</v>
      </c>
      <c r="N2232" t="n">
        <v>0</v>
      </c>
      <c r="O2232" t="n">
        <v>0</v>
      </c>
      <c r="P2232" t="n">
        <v>0</v>
      </c>
      <c r="Q2232" t="n">
        <v>0</v>
      </c>
      <c r="R2232" s="2" t="inlineStr"/>
    </row>
    <row r="2233" ht="15" customHeight="1">
      <c r="A2233" t="inlineStr">
        <is>
          <t>A 44410-2023</t>
        </is>
      </c>
      <c r="B2233" s="1" t="n">
        <v>45188.94677083333</v>
      </c>
      <c r="C2233" s="1" t="n">
        <v>46048</v>
      </c>
      <c r="D2233" t="inlineStr">
        <is>
          <t>VÄSTERNORRLANDS LÄN</t>
        </is>
      </c>
      <c r="E2233" t="inlineStr">
        <is>
          <t>SOLLEFTEÅ</t>
        </is>
      </c>
      <c r="F2233" t="inlineStr">
        <is>
          <t>SCA</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48052-2025</t>
        </is>
      </c>
      <c r="B2234" s="1" t="n">
        <v>45932.67831018518</v>
      </c>
      <c r="C2234" s="1" t="n">
        <v>46048</v>
      </c>
      <c r="D2234" t="inlineStr">
        <is>
          <t>VÄSTERNORRLANDS LÄN</t>
        </is>
      </c>
      <c r="E2234" t="inlineStr">
        <is>
          <t>SOLLEFTEÅ</t>
        </is>
      </c>
      <c r="F2234" t="inlineStr">
        <is>
          <t>SCA</t>
        </is>
      </c>
      <c r="G2234" t="n">
        <v>4.4</v>
      </c>
      <c r="H2234" t="n">
        <v>0</v>
      </c>
      <c r="I2234" t="n">
        <v>0</v>
      </c>
      <c r="J2234" t="n">
        <v>0</v>
      </c>
      <c r="K2234" t="n">
        <v>0</v>
      </c>
      <c r="L2234" t="n">
        <v>0</v>
      </c>
      <c r="M2234" t="n">
        <v>0</v>
      </c>
      <c r="N2234" t="n">
        <v>0</v>
      </c>
      <c r="O2234" t="n">
        <v>0</v>
      </c>
      <c r="P2234" t="n">
        <v>0</v>
      </c>
      <c r="Q2234" t="n">
        <v>0</v>
      </c>
      <c r="R2234" s="2" t="inlineStr"/>
    </row>
    <row r="2235" ht="15" customHeight="1">
      <c r="A2235" t="inlineStr">
        <is>
          <t>A 13138-2024</t>
        </is>
      </c>
      <c r="B2235" s="1" t="n">
        <v>45386</v>
      </c>
      <c r="C2235" s="1" t="n">
        <v>46048</v>
      </c>
      <c r="D2235" t="inlineStr">
        <is>
          <t>VÄSTERNORRLANDS LÄN</t>
        </is>
      </c>
      <c r="E2235" t="inlineStr">
        <is>
          <t>SOLLEFTEÅ</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48070-2025</t>
        </is>
      </c>
      <c r="B2236" s="1" t="n">
        <v>45932.69886574074</v>
      </c>
      <c r="C2236" s="1" t="n">
        <v>46048</v>
      </c>
      <c r="D2236" t="inlineStr">
        <is>
          <t>VÄSTERNORRLANDS LÄN</t>
        </is>
      </c>
      <c r="E2236" t="inlineStr">
        <is>
          <t>SOLLEFTEÅ</t>
        </is>
      </c>
      <c r="F2236" t="inlineStr">
        <is>
          <t>SCA</t>
        </is>
      </c>
      <c r="G2236" t="n">
        <v>3</v>
      </c>
      <c r="H2236" t="n">
        <v>0</v>
      </c>
      <c r="I2236" t="n">
        <v>0</v>
      </c>
      <c r="J2236" t="n">
        <v>0</v>
      </c>
      <c r="K2236" t="n">
        <v>0</v>
      </c>
      <c r="L2236" t="n">
        <v>0</v>
      </c>
      <c r="M2236" t="n">
        <v>0</v>
      </c>
      <c r="N2236" t="n">
        <v>0</v>
      </c>
      <c r="O2236" t="n">
        <v>0</v>
      </c>
      <c r="P2236" t="n">
        <v>0</v>
      </c>
      <c r="Q2236" t="n">
        <v>0</v>
      </c>
      <c r="R2236" s="2" t="inlineStr"/>
    </row>
    <row r="2237" ht="15" customHeight="1">
      <c r="A2237" t="inlineStr">
        <is>
          <t>A 62507-2022</t>
        </is>
      </c>
      <c r="B2237" s="1" t="n">
        <v>44924</v>
      </c>
      <c r="C2237" s="1" t="n">
        <v>46048</v>
      </c>
      <c r="D2237" t="inlineStr">
        <is>
          <t>VÄSTERNORRLANDS LÄN</t>
        </is>
      </c>
      <c r="E2237" t="inlineStr">
        <is>
          <t>SOLLEFTEÅ</t>
        </is>
      </c>
      <c r="F2237" t="inlineStr">
        <is>
          <t>Holmen skog AB</t>
        </is>
      </c>
      <c r="G2237" t="n">
        <v>4.8</v>
      </c>
      <c r="H2237" t="n">
        <v>0</v>
      </c>
      <c r="I2237" t="n">
        <v>0</v>
      </c>
      <c r="J2237" t="n">
        <v>0</v>
      </c>
      <c r="K2237" t="n">
        <v>0</v>
      </c>
      <c r="L2237" t="n">
        <v>0</v>
      </c>
      <c r="M2237" t="n">
        <v>0</v>
      </c>
      <c r="N2237" t="n">
        <v>0</v>
      </c>
      <c r="O2237" t="n">
        <v>0</v>
      </c>
      <c r="P2237" t="n">
        <v>0</v>
      </c>
      <c r="Q2237" t="n">
        <v>0</v>
      </c>
      <c r="R2237" s="2" t="inlineStr"/>
    </row>
    <row r="2238" ht="15" customHeight="1">
      <c r="A2238" t="inlineStr">
        <is>
          <t>A 30822-2023</t>
        </is>
      </c>
      <c r="B2238" s="1" t="n">
        <v>45112.94289351852</v>
      </c>
      <c r="C2238" s="1" t="n">
        <v>46048</v>
      </c>
      <c r="D2238" t="inlineStr">
        <is>
          <t>VÄSTERNORRLANDS LÄN</t>
        </is>
      </c>
      <c r="E2238" t="inlineStr">
        <is>
          <t>SOLLEFTEÅ</t>
        </is>
      </c>
      <c r="F2238" t="inlineStr">
        <is>
          <t>SCA</t>
        </is>
      </c>
      <c r="G2238" t="n">
        <v>4.6</v>
      </c>
      <c r="H2238" t="n">
        <v>0</v>
      </c>
      <c r="I2238" t="n">
        <v>0</v>
      </c>
      <c r="J2238" t="n">
        <v>0</v>
      </c>
      <c r="K2238" t="n">
        <v>0</v>
      </c>
      <c r="L2238" t="n">
        <v>0</v>
      </c>
      <c r="M2238" t="n">
        <v>0</v>
      </c>
      <c r="N2238" t="n">
        <v>0</v>
      </c>
      <c r="O2238" t="n">
        <v>0</v>
      </c>
      <c r="P2238" t="n">
        <v>0</v>
      </c>
      <c r="Q2238" t="n">
        <v>0</v>
      </c>
      <c r="R2238" s="2" t="inlineStr"/>
    </row>
    <row r="2239" ht="15" customHeight="1">
      <c r="A2239" t="inlineStr">
        <is>
          <t>A 8895-2025</t>
        </is>
      </c>
      <c r="B2239" s="1" t="n">
        <v>45713.40670138889</v>
      </c>
      <c r="C2239" s="1" t="n">
        <v>46048</v>
      </c>
      <c r="D2239" t="inlineStr">
        <is>
          <t>VÄSTERNORRLANDS LÄN</t>
        </is>
      </c>
      <c r="E2239" t="inlineStr">
        <is>
          <t>SOLLEFTEÅ</t>
        </is>
      </c>
      <c r="G2239" t="n">
        <v>5.6</v>
      </c>
      <c r="H2239" t="n">
        <v>0</v>
      </c>
      <c r="I2239" t="n">
        <v>0</v>
      </c>
      <c r="J2239" t="n">
        <v>0</v>
      </c>
      <c r="K2239" t="n">
        <v>0</v>
      </c>
      <c r="L2239" t="n">
        <v>0</v>
      </c>
      <c r="M2239" t="n">
        <v>0</v>
      </c>
      <c r="N2239" t="n">
        <v>0</v>
      </c>
      <c r="O2239" t="n">
        <v>0</v>
      </c>
      <c r="P2239" t="n">
        <v>0</v>
      </c>
      <c r="Q2239" t="n">
        <v>0</v>
      </c>
      <c r="R2239" s="2" t="inlineStr"/>
    </row>
    <row r="2240" ht="15" customHeight="1">
      <c r="A2240" t="inlineStr">
        <is>
          <t>A 8914-2025</t>
        </is>
      </c>
      <c r="B2240" s="1" t="n">
        <v>45713.42743055556</v>
      </c>
      <c r="C2240" s="1" t="n">
        <v>46048</v>
      </c>
      <c r="D2240" t="inlineStr">
        <is>
          <t>VÄSTERNORRLANDS LÄN</t>
        </is>
      </c>
      <c r="E2240" t="inlineStr">
        <is>
          <t>SOLLEFTEÅ</t>
        </is>
      </c>
      <c r="G2240" t="n">
        <v>4.2</v>
      </c>
      <c r="H2240" t="n">
        <v>0</v>
      </c>
      <c r="I2240" t="n">
        <v>0</v>
      </c>
      <c r="J2240" t="n">
        <v>0</v>
      </c>
      <c r="K2240" t="n">
        <v>0</v>
      </c>
      <c r="L2240" t="n">
        <v>0</v>
      </c>
      <c r="M2240" t="n">
        <v>0</v>
      </c>
      <c r="N2240" t="n">
        <v>0</v>
      </c>
      <c r="O2240" t="n">
        <v>0</v>
      </c>
      <c r="P2240" t="n">
        <v>0</v>
      </c>
      <c r="Q2240" t="n">
        <v>0</v>
      </c>
      <c r="R2240" s="2" t="inlineStr"/>
    </row>
    <row r="2241" ht="15" customHeight="1">
      <c r="A2241" t="inlineStr">
        <is>
          <t>A 48035-2025</t>
        </is>
      </c>
      <c r="B2241" s="1" t="n">
        <v>45932</v>
      </c>
      <c r="C2241" s="1" t="n">
        <v>46048</v>
      </c>
      <c r="D2241" t="inlineStr">
        <is>
          <t>VÄSTERNORRLANDS LÄN</t>
        </is>
      </c>
      <c r="E2241" t="inlineStr">
        <is>
          <t>SOLLEFTEÅ</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48713-2025</t>
        </is>
      </c>
      <c r="B2242" s="1" t="n">
        <v>45936.63592592593</v>
      </c>
      <c r="C2242" s="1" t="n">
        <v>46048</v>
      </c>
      <c r="D2242" t="inlineStr">
        <is>
          <t>VÄSTERNORRLANDS LÄN</t>
        </is>
      </c>
      <c r="E2242" t="inlineStr">
        <is>
          <t>SOLLEFTEÅ</t>
        </is>
      </c>
      <c r="F2242" t="inlineStr">
        <is>
          <t>SCA</t>
        </is>
      </c>
      <c r="G2242" t="n">
        <v>24.2</v>
      </c>
      <c r="H2242" t="n">
        <v>0</v>
      </c>
      <c r="I2242" t="n">
        <v>0</v>
      </c>
      <c r="J2242" t="n">
        <v>0</v>
      </c>
      <c r="K2242" t="n">
        <v>0</v>
      </c>
      <c r="L2242" t="n">
        <v>0</v>
      </c>
      <c r="M2242" t="n">
        <v>0</v>
      </c>
      <c r="N2242" t="n">
        <v>0</v>
      </c>
      <c r="O2242" t="n">
        <v>0</v>
      </c>
      <c r="P2242" t="n">
        <v>0</v>
      </c>
      <c r="Q2242" t="n">
        <v>0</v>
      </c>
      <c r="R2242" s="2" t="inlineStr"/>
    </row>
    <row r="2243" ht="15" customHeight="1">
      <c r="A2243" t="inlineStr">
        <is>
          <t>A 48743-2025</t>
        </is>
      </c>
      <c r="B2243" s="1" t="n">
        <v>45936.67827546296</v>
      </c>
      <c r="C2243" s="1" t="n">
        <v>46048</v>
      </c>
      <c r="D2243" t="inlineStr">
        <is>
          <t>VÄSTERNORRLANDS LÄN</t>
        </is>
      </c>
      <c r="E2243" t="inlineStr">
        <is>
          <t>SOLLEFTEÅ</t>
        </is>
      </c>
      <c r="F2243" t="inlineStr">
        <is>
          <t>SCA</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48603-2025</t>
        </is>
      </c>
      <c r="B2244" s="1" t="n">
        <v>45936.46928240741</v>
      </c>
      <c r="C2244" s="1" t="n">
        <v>46048</v>
      </c>
      <c r="D2244" t="inlineStr">
        <is>
          <t>VÄSTERNORRLANDS LÄN</t>
        </is>
      </c>
      <c r="E2244" t="inlineStr">
        <is>
          <t>SOLLEFTEÅ</t>
        </is>
      </c>
      <c r="F2244" t="inlineStr">
        <is>
          <t>SCA</t>
        </is>
      </c>
      <c r="G2244" t="n">
        <v>25.6</v>
      </c>
      <c r="H2244" t="n">
        <v>0</v>
      </c>
      <c r="I2244" t="n">
        <v>0</v>
      </c>
      <c r="J2244" t="n">
        <v>0</v>
      </c>
      <c r="K2244" t="n">
        <v>0</v>
      </c>
      <c r="L2244" t="n">
        <v>0</v>
      </c>
      <c r="M2244" t="n">
        <v>0</v>
      </c>
      <c r="N2244" t="n">
        <v>0</v>
      </c>
      <c r="O2244" t="n">
        <v>0</v>
      </c>
      <c r="P2244" t="n">
        <v>0</v>
      </c>
      <c r="Q2244" t="n">
        <v>0</v>
      </c>
      <c r="R2244" s="2" t="inlineStr"/>
    </row>
    <row r="2245" ht="15" customHeight="1">
      <c r="A2245" t="inlineStr">
        <is>
          <t>A 48467-2025</t>
        </is>
      </c>
      <c r="B2245" s="1" t="n">
        <v>45936.34452546296</v>
      </c>
      <c r="C2245" s="1" t="n">
        <v>46048</v>
      </c>
      <c r="D2245" t="inlineStr">
        <is>
          <t>VÄSTERNORRLANDS LÄN</t>
        </is>
      </c>
      <c r="E2245" t="inlineStr">
        <is>
          <t>SOLLEFTEÅ</t>
        </is>
      </c>
      <c r="F2245" t="inlineStr">
        <is>
          <t>SCA</t>
        </is>
      </c>
      <c r="G2245" t="n">
        <v>7.9</v>
      </c>
      <c r="H2245" t="n">
        <v>0</v>
      </c>
      <c r="I2245" t="n">
        <v>0</v>
      </c>
      <c r="J2245" t="n">
        <v>0</v>
      </c>
      <c r="K2245" t="n">
        <v>0</v>
      </c>
      <c r="L2245" t="n">
        <v>0</v>
      </c>
      <c r="M2245" t="n">
        <v>0</v>
      </c>
      <c r="N2245" t="n">
        <v>0</v>
      </c>
      <c r="O2245" t="n">
        <v>0</v>
      </c>
      <c r="P2245" t="n">
        <v>0</v>
      </c>
      <c r="Q2245" t="n">
        <v>0</v>
      </c>
      <c r="R2245" s="2" t="inlineStr"/>
    </row>
    <row r="2246" ht="15" customHeight="1">
      <c r="A2246" t="inlineStr">
        <is>
          <t>A 48425-2025</t>
        </is>
      </c>
      <c r="B2246" s="1" t="n">
        <v>45934.6984837963</v>
      </c>
      <c r="C2246" s="1" t="n">
        <v>46048</v>
      </c>
      <c r="D2246" t="inlineStr">
        <is>
          <t>VÄSTERNORRLANDS LÄN</t>
        </is>
      </c>
      <c r="E2246" t="inlineStr">
        <is>
          <t>SOLLEFTEÅ</t>
        </is>
      </c>
      <c r="F2246" t="inlineStr">
        <is>
          <t>SCA</t>
        </is>
      </c>
      <c r="G2246" t="n">
        <v>7.4</v>
      </c>
      <c r="H2246" t="n">
        <v>0</v>
      </c>
      <c r="I2246" t="n">
        <v>0</v>
      </c>
      <c r="J2246" t="n">
        <v>0</v>
      </c>
      <c r="K2246" t="n">
        <v>0</v>
      </c>
      <c r="L2246" t="n">
        <v>0</v>
      </c>
      <c r="M2246" t="n">
        <v>0</v>
      </c>
      <c r="N2246" t="n">
        <v>0</v>
      </c>
      <c r="O2246" t="n">
        <v>0</v>
      </c>
      <c r="P2246" t="n">
        <v>0</v>
      </c>
      <c r="Q2246" t="n">
        <v>0</v>
      </c>
      <c r="R2246" s="2" t="inlineStr"/>
    </row>
    <row r="2247" ht="15" customHeight="1">
      <c r="A2247" t="inlineStr">
        <is>
          <t>A 48422-2025</t>
        </is>
      </c>
      <c r="B2247" s="1" t="n">
        <v>45934.67761574074</v>
      </c>
      <c r="C2247" s="1" t="n">
        <v>46048</v>
      </c>
      <c r="D2247" t="inlineStr">
        <is>
          <t>VÄSTERNORRLANDS LÄN</t>
        </is>
      </c>
      <c r="E2247" t="inlineStr">
        <is>
          <t>SOLLEFTEÅ</t>
        </is>
      </c>
      <c r="G2247" t="n">
        <v>3.4</v>
      </c>
      <c r="H2247" t="n">
        <v>0</v>
      </c>
      <c r="I2247" t="n">
        <v>0</v>
      </c>
      <c r="J2247" t="n">
        <v>0</v>
      </c>
      <c r="K2247" t="n">
        <v>0</v>
      </c>
      <c r="L2247" t="n">
        <v>0</v>
      </c>
      <c r="M2247" t="n">
        <v>0</v>
      </c>
      <c r="N2247" t="n">
        <v>0</v>
      </c>
      <c r="O2247" t="n">
        <v>0</v>
      </c>
      <c r="P2247" t="n">
        <v>0</v>
      </c>
      <c r="Q2247" t="n">
        <v>0</v>
      </c>
      <c r="R2247" s="2" t="inlineStr"/>
    </row>
    <row r="2248" ht="15" customHeight="1">
      <c r="A2248" t="inlineStr">
        <is>
          <t>A 48838-2025</t>
        </is>
      </c>
      <c r="B2248" s="1" t="n">
        <v>45937.41309027778</v>
      </c>
      <c r="C2248" s="1" t="n">
        <v>46048</v>
      </c>
      <c r="D2248" t="inlineStr">
        <is>
          <t>VÄSTERNORRLANDS LÄN</t>
        </is>
      </c>
      <c r="E2248" t="inlineStr">
        <is>
          <t>SOLLEFTEÅ</t>
        </is>
      </c>
      <c r="G2248" t="n">
        <v>9.300000000000001</v>
      </c>
      <c r="H2248" t="n">
        <v>0</v>
      </c>
      <c r="I2248" t="n">
        <v>0</v>
      </c>
      <c r="J2248" t="n">
        <v>0</v>
      </c>
      <c r="K2248" t="n">
        <v>0</v>
      </c>
      <c r="L2248" t="n">
        <v>0</v>
      </c>
      <c r="M2248" t="n">
        <v>0</v>
      </c>
      <c r="N2248" t="n">
        <v>0</v>
      </c>
      <c r="O2248" t="n">
        <v>0</v>
      </c>
      <c r="P2248" t="n">
        <v>0</v>
      </c>
      <c r="Q2248" t="n">
        <v>0</v>
      </c>
      <c r="R2248" s="2" t="inlineStr"/>
    </row>
    <row r="2249" ht="15" customHeight="1">
      <c r="A2249" t="inlineStr">
        <is>
          <t>A 48848-2025</t>
        </is>
      </c>
      <c r="B2249" s="1" t="n">
        <v>45937</v>
      </c>
      <c r="C2249" s="1" t="n">
        <v>46048</v>
      </c>
      <c r="D2249" t="inlineStr">
        <is>
          <t>VÄSTERNORRLANDS LÄN</t>
        </is>
      </c>
      <c r="E2249" t="inlineStr">
        <is>
          <t>SOLLEFTEÅ</t>
        </is>
      </c>
      <c r="F2249" t="inlineStr">
        <is>
          <t>SCA</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49155-2025</t>
        </is>
      </c>
      <c r="B2250" s="1" t="n">
        <v>45938.34578703704</v>
      </c>
      <c r="C2250" s="1" t="n">
        <v>46048</v>
      </c>
      <c r="D2250" t="inlineStr">
        <is>
          <t>VÄSTERNORRLANDS LÄN</t>
        </is>
      </c>
      <c r="E2250" t="inlineStr">
        <is>
          <t>SOLLEFTEÅ</t>
        </is>
      </c>
      <c r="F2250" t="inlineStr">
        <is>
          <t>SCA</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48914-2025</t>
        </is>
      </c>
      <c r="B2251" s="1" t="n">
        <v>45937</v>
      </c>
      <c r="C2251" s="1" t="n">
        <v>46048</v>
      </c>
      <c r="D2251" t="inlineStr">
        <is>
          <t>VÄSTERNORRLANDS LÄN</t>
        </is>
      </c>
      <c r="E2251" t="inlineStr">
        <is>
          <t>SOLLEFTEÅ</t>
        </is>
      </c>
      <c r="F2251" t="inlineStr">
        <is>
          <t>SCA</t>
        </is>
      </c>
      <c r="G2251" t="n">
        <v>24.1</v>
      </c>
      <c r="H2251" t="n">
        <v>0</v>
      </c>
      <c r="I2251" t="n">
        <v>0</v>
      </c>
      <c r="J2251" t="n">
        <v>0</v>
      </c>
      <c r="K2251" t="n">
        <v>0</v>
      </c>
      <c r="L2251" t="n">
        <v>0</v>
      </c>
      <c r="M2251" t="n">
        <v>0</v>
      </c>
      <c r="N2251" t="n">
        <v>0</v>
      </c>
      <c r="O2251" t="n">
        <v>0</v>
      </c>
      <c r="P2251" t="n">
        <v>0</v>
      </c>
      <c r="Q2251" t="n">
        <v>0</v>
      </c>
      <c r="R2251" s="2" t="inlineStr"/>
    </row>
    <row r="2252" ht="15" customHeight="1">
      <c r="A2252" t="inlineStr">
        <is>
          <t>A 49289-2025</t>
        </is>
      </c>
      <c r="B2252" s="1" t="n">
        <v>45938.52868055556</v>
      </c>
      <c r="C2252" s="1" t="n">
        <v>46048</v>
      </c>
      <c r="D2252" t="inlineStr">
        <is>
          <t>VÄSTERNORRLANDS LÄN</t>
        </is>
      </c>
      <c r="E2252" t="inlineStr">
        <is>
          <t>SOLLEFTEÅ</t>
        </is>
      </c>
      <c r="G2252" t="n">
        <v>2.7</v>
      </c>
      <c r="H2252" t="n">
        <v>0</v>
      </c>
      <c r="I2252" t="n">
        <v>0</v>
      </c>
      <c r="J2252" t="n">
        <v>0</v>
      </c>
      <c r="K2252" t="n">
        <v>0</v>
      </c>
      <c r="L2252" t="n">
        <v>0</v>
      </c>
      <c r="M2252" t="n">
        <v>0</v>
      </c>
      <c r="N2252" t="n">
        <v>0</v>
      </c>
      <c r="O2252" t="n">
        <v>0</v>
      </c>
      <c r="P2252" t="n">
        <v>0</v>
      </c>
      <c r="Q2252" t="n">
        <v>0</v>
      </c>
      <c r="R2252" s="2" t="inlineStr"/>
    </row>
    <row r="2253" ht="15" customHeight="1">
      <c r="A2253" t="inlineStr">
        <is>
          <t>A 48815-2025</t>
        </is>
      </c>
      <c r="B2253" s="1" t="n">
        <v>45937.36503472222</v>
      </c>
      <c r="C2253" s="1" t="n">
        <v>46048</v>
      </c>
      <c r="D2253" t="inlineStr">
        <is>
          <t>VÄSTERNORRLANDS LÄN</t>
        </is>
      </c>
      <c r="E2253" t="inlineStr">
        <is>
          <t>SOLLEFTEÅ</t>
        </is>
      </c>
      <c r="F2253" t="inlineStr">
        <is>
          <t>SCA</t>
        </is>
      </c>
      <c r="G2253" t="n">
        <v>3</v>
      </c>
      <c r="H2253" t="n">
        <v>0</v>
      </c>
      <c r="I2253" t="n">
        <v>0</v>
      </c>
      <c r="J2253" t="n">
        <v>0</v>
      </c>
      <c r="K2253" t="n">
        <v>0</v>
      </c>
      <c r="L2253" t="n">
        <v>0</v>
      </c>
      <c r="M2253" t="n">
        <v>0</v>
      </c>
      <c r="N2253" t="n">
        <v>0</v>
      </c>
      <c r="O2253" t="n">
        <v>0</v>
      </c>
      <c r="P2253" t="n">
        <v>0</v>
      </c>
      <c r="Q2253" t="n">
        <v>0</v>
      </c>
      <c r="R2253" s="2" t="inlineStr"/>
    </row>
    <row r="2254" ht="15" customHeight="1">
      <c r="A2254" t="inlineStr">
        <is>
          <t>A 48817-2025</t>
        </is>
      </c>
      <c r="B2254" s="1" t="n">
        <v>45937.36546296296</v>
      </c>
      <c r="C2254" s="1" t="n">
        <v>46048</v>
      </c>
      <c r="D2254" t="inlineStr">
        <is>
          <t>VÄSTERNORRLANDS LÄN</t>
        </is>
      </c>
      <c r="E2254" t="inlineStr">
        <is>
          <t>SOLLEFTEÅ</t>
        </is>
      </c>
      <c r="F2254" t="inlineStr">
        <is>
          <t>SCA</t>
        </is>
      </c>
      <c r="G2254" t="n">
        <v>2.9</v>
      </c>
      <c r="H2254" t="n">
        <v>0</v>
      </c>
      <c r="I2254" t="n">
        <v>0</v>
      </c>
      <c r="J2254" t="n">
        <v>0</v>
      </c>
      <c r="K2254" t="n">
        <v>0</v>
      </c>
      <c r="L2254" t="n">
        <v>0</v>
      </c>
      <c r="M2254" t="n">
        <v>0</v>
      </c>
      <c r="N2254" t="n">
        <v>0</v>
      </c>
      <c r="O2254" t="n">
        <v>0</v>
      </c>
      <c r="P2254" t="n">
        <v>0</v>
      </c>
      <c r="Q2254" t="n">
        <v>0</v>
      </c>
      <c r="R2254" s="2" t="inlineStr"/>
    </row>
    <row r="2255" ht="15" customHeight="1">
      <c r="A2255" t="inlineStr">
        <is>
          <t>A 49052-2025</t>
        </is>
      </c>
      <c r="B2255" s="1" t="n">
        <v>45937.63813657407</v>
      </c>
      <c r="C2255" s="1" t="n">
        <v>46048</v>
      </c>
      <c r="D2255" t="inlineStr">
        <is>
          <t>VÄSTERNORRLANDS LÄN</t>
        </is>
      </c>
      <c r="E2255" t="inlineStr">
        <is>
          <t>SOLLEFTEÅ</t>
        </is>
      </c>
      <c r="F2255" t="inlineStr">
        <is>
          <t>SCA</t>
        </is>
      </c>
      <c r="G2255" t="n">
        <v>6.7</v>
      </c>
      <c r="H2255" t="n">
        <v>0</v>
      </c>
      <c r="I2255" t="n">
        <v>0</v>
      </c>
      <c r="J2255" t="n">
        <v>0</v>
      </c>
      <c r="K2255" t="n">
        <v>0</v>
      </c>
      <c r="L2255" t="n">
        <v>0</v>
      </c>
      <c r="M2255" t="n">
        <v>0</v>
      </c>
      <c r="N2255" t="n">
        <v>0</v>
      </c>
      <c r="O2255" t="n">
        <v>0</v>
      </c>
      <c r="P2255" t="n">
        <v>0</v>
      </c>
      <c r="Q2255" t="n">
        <v>0</v>
      </c>
      <c r="R2255" s="2" t="inlineStr"/>
    </row>
    <row r="2256" ht="15" customHeight="1">
      <c r="A2256" t="inlineStr">
        <is>
          <t>A 49154-2025</t>
        </is>
      </c>
      <c r="B2256" s="1" t="n">
        <v>45938.34567129629</v>
      </c>
      <c r="C2256" s="1" t="n">
        <v>46048</v>
      </c>
      <c r="D2256" t="inlineStr">
        <is>
          <t>VÄSTERNORRLANDS LÄN</t>
        </is>
      </c>
      <c r="E2256" t="inlineStr">
        <is>
          <t>SOLLEFTEÅ</t>
        </is>
      </c>
      <c r="F2256" t="inlineStr">
        <is>
          <t>SCA</t>
        </is>
      </c>
      <c r="G2256" t="n">
        <v>3.4</v>
      </c>
      <c r="H2256" t="n">
        <v>0</v>
      </c>
      <c r="I2256" t="n">
        <v>0</v>
      </c>
      <c r="J2256" t="n">
        <v>0</v>
      </c>
      <c r="K2256" t="n">
        <v>0</v>
      </c>
      <c r="L2256" t="n">
        <v>0</v>
      </c>
      <c r="M2256" t="n">
        <v>0</v>
      </c>
      <c r="N2256" t="n">
        <v>0</v>
      </c>
      <c r="O2256" t="n">
        <v>0</v>
      </c>
      <c r="P2256" t="n">
        <v>0</v>
      </c>
      <c r="Q2256" t="n">
        <v>0</v>
      </c>
      <c r="R2256" s="2" t="inlineStr"/>
    </row>
    <row r="2257" ht="15" customHeight="1">
      <c r="A2257" t="inlineStr">
        <is>
          <t>A 49115-2025</t>
        </is>
      </c>
      <c r="B2257" s="1" t="n">
        <v>45937</v>
      </c>
      <c r="C2257" s="1" t="n">
        <v>46048</v>
      </c>
      <c r="D2257" t="inlineStr">
        <is>
          <t>VÄSTERNORRLANDS LÄN</t>
        </is>
      </c>
      <c r="E2257" t="inlineStr">
        <is>
          <t>SOLLEFTEÅ</t>
        </is>
      </c>
      <c r="F2257" t="inlineStr">
        <is>
          <t>Övriga Aktiebolag</t>
        </is>
      </c>
      <c r="G2257" t="n">
        <v>3.2</v>
      </c>
      <c r="H2257" t="n">
        <v>0</v>
      </c>
      <c r="I2257" t="n">
        <v>0</v>
      </c>
      <c r="J2257" t="n">
        <v>0</v>
      </c>
      <c r="K2257" t="n">
        <v>0</v>
      </c>
      <c r="L2257" t="n">
        <v>0</v>
      </c>
      <c r="M2257" t="n">
        <v>0</v>
      </c>
      <c r="N2257" t="n">
        <v>0</v>
      </c>
      <c r="O2257" t="n">
        <v>0</v>
      </c>
      <c r="P2257" t="n">
        <v>0</v>
      </c>
      <c r="Q2257" t="n">
        <v>0</v>
      </c>
      <c r="R2257" s="2" t="inlineStr"/>
    </row>
    <row r="2258" ht="15" customHeight="1">
      <c r="A2258" t="inlineStr">
        <is>
          <t>A 49468-2025</t>
        </is>
      </c>
      <c r="B2258" s="1" t="n">
        <v>45939.33886574074</v>
      </c>
      <c r="C2258" s="1" t="n">
        <v>46048</v>
      </c>
      <c r="D2258" t="inlineStr">
        <is>
          <t>VÄSTERNORRLANDS LÄN</t>
        </is>
      </c>
      <c r="E2258" t="inlineStr">
        <is>
          <t>SOLLEFTEÅ</t>
        </is>
      </c>
      <c r="F2258" t="inlineStr">
        <is>
          <t>Holmen skog AB</t>
        </is>
      </c>
      <c r="G2258" t="n">
        <v>4.3</v>
      </c>
      <c r="H2258" t="n">
        <v>0</v>
      </c>
      <c r="I2258" t="n">
        <v>0</v>
      </c>
      <c r="J2258" t="n">
        <v>0</v>
      </c>
      <c r="K2258" t="n">
        <v>0</v>
      </c>
      <c r="L2258" t="n">
        <v>0</v>
      </c>
      <c r="M2258" t="n">
        <v>0</v>
      </c>
      <c r="N2258" t="n">
        <v>0</v>
      </c>
      <c r="O2258" t="n">
        <v>0</v>
      </c>
      <c r="P2258" t="n">
        <v>0</v>
      </c>
      <c r="Q2258" t="n">
        <v>0</v>
      </c>
      <c r="R2258" s="2" t="inlineStr"/>
    </row>
    <row r="2259" ht="15" customHeight="1">
      <c r="A2259" t="inlineStr">
        <is>
          <t>A 49254-2025</t>
        </is>
      </c>
      <c r="B2259" s="1" t="n">
        <v>45938.49143518518</v>
      </c>
      <c r="C2259" s="1" t="n">
        <v>46048</v>
      </c>
      <c r="D2259" t="inlineStr">
        <is>
          <t>VÄSTERNORRLANDS LÄN</t>
        </is>
      </c>
      <c r="E2259" t="inlineStr">
        <is>
          <t>SOLLEFTEÅ</t>
        </is>
      </c>
      <c r="F2259" t="inlineStr">
        <is>
          <t>SCA</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49627-2025</t>
        </is>
      </c>
      <c r="B2260" s="1" t="n">
        <v>45939.59503472222</v>
      </c>
      <c r="C2260" s="1" t="n">
        <v>46048</v>
      </c>
      <c r="D2260" t="inlineStr">
        <is>
          <t>VÄSTERNORRLANDS LÄN</t>
        </is>
      </c>
      <c r="E2260" t="inlineStr">
        <is>
          <t>SOLLEFTEÅ</t>
        </is>
      </c>
      <c r="F2260" t="inlineStr">
        <is>
          <t>SCA</t>
        </is>
      </c>
      <c r="G2260" t="n">
        <v>29.4</v>
      </c>
      <c r="H2260" t="n">
        <v>0</v>
      </c>
      <c r="I2260" t="n">
        <v>0</v>
      </c>
      <c r="J2260" t="n">
        <v>0</v>
      </c>
      <c r="K2260" t="n">
        <v>0</v>
      </c>
      <c r="L2260" t="n">
        <v>0</v>
      </c>
      <c r="M2260" t="n">
        <v>0</v>
      </c>
      <c r="N2260" t="n">
        <v>0</v>
      </c>
      <c r="O2260" t="n">
        <v>0</v>
      </c>
      <c r="P2260" t="n">
        <v>0</v>
      </c>
      <c r="Q2260" t="n">
        <v>0</v>
      </c>
      <c r="R2260" s="2" t="inlineStr"/>
    </row>
    <row r="2261" ht="15" customHeight="1">
      <c r="A2261" t="inlineStr">
        <is>
          <t>A 49491-2025</t>
        </is>
      </c>
      <c r="B2261" s="1" t="n">
        <v>45939.36596064815</v>
      </c>
      <c r="C2261" s="1" t="n">
        <v>46048</v>
      </c>
      <c r="D2261" t="inlineStr">
        <is>
          <t>VÄSTERNORRLANDS LÄN</t>
        </is>
      </c>
      <c r="E2261" t="inlineStr">
        <is>
          <t>SOLLEFTEÅ</t>
        </is>
      </c>
      <c r="F2261" t="inlineStr">
        <is>
          <t>SCA</t>
        </is>
      </c>
      <c r="G2261" t="n">
        <v>10.5</v>
      </c>
      <c r="H2261" t="n">
        <v>0</v>
      </c>
      <c r="I2261" t="n">
        <v>0</v>
      </c>
      <c r="J2261" t="n">
        <v>0</v>
      </c>
      <c r="K2261" t="n">
        <v>0</v>
      </c>
      <c r="L2261" t="n">
        <v>0</v>
      </c>
      <c r="M2261" t="n">
        <v>0</v>
      </c>
      <c r="N2261" t="n">
        <v>0</v>
      </c>
      <c r="O2261" t="n">
        <v>0</v>
      </c>
      <c r="P2261" t="n">
        <v>0</v>
      </c>
      <c r="Q2261" t="n">
        <v>0</v>
      </c>
      <c r="R2261" s="2" t="inlineStr"/>
    </row>
    <row r="2262" ht="15" customHeight="1">
      <c r="A2262" t="inlineStr">
        <is>
          <t>A 48981-2025</t>
        </is>
      </c>
      <c r="B2262" s="1" t="n">
        <v>45937.57354166666</v>
      </c>
      <c r="C2262" s="1" t="n">
        <v>46048</v>
      </c>
      <c r="D2262" t="inlineStr">
        <is>
          <t>VÄSTERNORRLANDS LÄN</t>
        </is>
      </c>
      <c r="E2262" t="inlineStr">
        <is>
          <t>SOLLEFTEÅ</t>
        </is>
      </c>
      <c r="F2262" t="inlineStr">
        <is>
          <t>SCA</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49221-2025</t>
        </is>
      </c>
      <c r="B2263" s="1" t="n">
        <v>45938.46335648148</v>
      </c>
      <c r="C2263" s="1" t="n">
        <v>46048</v>
      </c>
      <c r="D2263" t="inlineStr">
        <is>
          <t>VÄSTERNORRLANDS LÄN</t>
        </is>
      </c>
      <c r="E2263" t="inlineStr">
        <is>
          <t>SOLLEFTEÅ</t>
        </is>
      </c>
      <c r="G2263" t="n">
        <v>3.2</v>
      </c>
      <c r="H2263" t="n">
        <v>0</v>
      </c>
      <c r="I2263" t="n">
        <v>0</v>
      </c>
      <c r="J2263" t="n">
        <v>0</v>
      </c>
      <c r="K2263" t="n">
        <v>0</v>
      </c>
      <c r="L2263" t="n">
        <v>0</v>
      </c>
      <c r="M2263" t="n">
        <v>0</v>
      </c>
      <c r="N2263" t="n">
        <v>0</v>
      </c>
      <c r="O2263" t="n">
        <v>0</v>
      </c>
      <c r="P2263" t="n">
        <v>0</v>
      </c>
      <c r="Q2263" t="n">
        <v>0</v>
      </c>
      <c r="R2263" s="2" t="inlineStr"/>
    </row>
    <row r="2264" ht="15" customHeight="1">
      <c r="A2264" t="inlineStr">
        <is>
          <t>A 49378-2025</t>
        </is>
      </c>
      <c r="B2264" s="1" t="n">
        <v>45938.6364699074</v>
      </c>
      <c r="C2264" s="1" t="n">
        <v>46048</v>
      </c>
      <c r="D2264" t="inlineStr">
        <is>
          <t>VÄSTERNORRLANDS LÄN</t>
        </is>
      </c>
      <c r="E2264" t="inlineStr">
        <is>
          <t>SOLLEFTEÅ</t>
        </is>
      </c>
      <c r="F2264" t="inlineStr">
        <is>
          <t>SCA</t>
        </is>
      </c>
      <c r="G2264" t="n">
        <v>16.8</v>
      </c>
      <c r="H2264" t="n">
        <v>0</v>
      </c>
      <c r="I2264" t="n">
        <v>0</v>
      </c>
      <c r="J2264" t="n">
        <v>0</v>
      </c>
      <c r="K2264" t="n">
        <v>0</v>
      </c>
      <c r="L2264" t="n">
        <v>0</v>
      </c>
      <c r="M2264" t="n">
        <v>0</v>
      </c>
      <c r="N2264" t="n">
        <v>0</v>
      </c>
      <c r="O2264" t="n">
        <v>0</v>
      </c>
      <c r="P2264" t="n">
        <v>0</v>
      </c>
      <c r="Q2264" t="n">
        <v>0</v>
      </c>
      <c r="R2264" s="2" t="inlineStr"/>
    </row>
    <row r="2265" ht="15" customHeight="1">
      <c r="A2265" t="inlineStr">
        <is>
          <t>A 49380-2025</t>
        </is>
      </c>
      <c r="B2265" s="1" t="n">
        <v>45938.63677083333</v>
      </c>
      <c r="C2265" s="1" t="n">
        <v>46048</v>
      </c>
      <c r="D2265" t="inlineStr">
        <is>
          <t>VÄSTERNORRLANDS LÄN</t>
        </is>
      </c>
      <c r="E2265" t="inlineStr">
        <is>
          <t>SOLLEFTEÅ</t>
        </is>
      </c>
      <c r="F2265" t="inlineStr">
        <is>
          <t>SCA</t>
        </is>
      </c>
      <c r="G2265" t="n">
        <v>12.4</v>
      </c>
      <c r="H2265" t="n">
        <v>0</v>
      </c>
      <c r="I2265" t="n">
        <v>0</v>
      </c>
      <c r="J2265" t="n">
        <v>0</v>
      </c>
      <c r="K2265" t="n">
        <v>0</v>
      </c>
      <c r="L2265" t="n">
        <v>0</v>
      </c>
      <c r="M2265" t="n">
        <v>0</v>
      </c>
      <c r="N2265" t="n">
        <v>0</v>
      </c>
      <c r="O2265" t="n">
        <v>0</v>
      </c>
      <c r="P2265" t="n">
        <v>0</v>
      </c>
      <c r="Q2265" t="n">
        <v>0</v>
      </c>
      <c r="R2265" s="2" t="inlineStr"/>
    </row>
    <row r="2266" ht="15" customHeight="1">
      <c r="A2266" t="inlineStr">
        <is>
          <t>A 49698-2025</t>
        </is>
      </c>
      <c r="B2266" s="1" t="n">
        <v>45939.67790509259</v>
      </c>
      <c r="C2266" s="1" t="n">
        <v>46048</v>
      </c>
      <c r="D2266" t="inlineStr">
        <is>
          <t>VÄSTERNORRLANDS LÄN</t>
        </is>
      </c>
      <c r="E2266" t="inlineStr">
        <is>
          <t>SOLLEFTEÅ</t>
        </is>
      </c>
      <c r="F2266" t="inlineStr">
        <is>
          <t>SCA</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49701-2025</t>
        </is>
      </c>
      <c r="B2267" s="1" t="n">
        <v>45939.67840277778</v>
      </c>
      <c r="C2267" s="1" t="n">
        <v>46048</v>
      </c>
      <c r="D2267" t="inlineStr">
        <is>
          <t>VÄSTERNORRLANDS LÄN</t>
        </is>
      </c>
      <c r="E2267" t="inlineStr">
        <is>
          <t>SOLLEFTEÅ</t>
        </is>
      </c>
      <c r="F2267" t="inlineStr">
        <is>
          <t>SCA</t>
        </is>
      </c>
      <c r="G2267" t="n">
        <v>10.3</v>
      </c>
      <c r="H2267" t="n">
        <v>0</v>
      </c>
      <c r="I2267" t="n">
        <v>0</v>
      </c>
      <c r="J2267" t="n">
        <v>0</v>
      </c>
      <c r="K2267" t="n">
        <v>0</v>
      </c>
      <c r="L2267" t="n">
        <v>0</v>
      </c>
      <c r="M2267" t="n">
        <v>0</v>
      </c>
      <c r="N2267" t="n">
        <v>0</v>
      </c>
      <c r="O2267" t="n">
        <v>0</v>
      </c>
      <c r="P2267" t="n">
        <v>0</v>
      </c>
      <c r="Q2267" t="n">
        <v>0</v>
      </c>
      <c r="R2267" s="2" t="inlineStr"/>
    </row>
    <row r="2268" ht="15" customHeight="1">
      <c r="A2268" t="inlineStr">
        <is>
          <t>A 49702-2025</t>
        </is>
      </c>
      <c r="B2268" s="1" t="n">
        <v>45939.67875</v>
      </c>
      <c r="C2268" s="1" t="n">
        <v>46048</v>
      </c>
      <c r="D2268" t="inlineStr">
        <is>
          <t>VÄSTERNORRLANDS LÄN</t>
        </is>
      </c>
      <c r="E2268" t="inlineStr">
        <is>
          <t>SOLLEFTEÅ</t>
        </is>
      </c>
      <c r="F2268" t="inlineStr">
        <is>
          <t>SCA</t>
        </is>
      </c>
      <c r="G2268" t="n">
        <v>7.5</v>
      </c>
      <c r="H2268" t="n">
        <v>0</v>
      </c>
      <c r="I2268" t="n">
        <v>0</v>
      </c>
      <c r="J2268" t="n">
        <v>0</v>
      </c>
      <c r="K2268" t="n">
        <v>0</v>
      </c>
      <c r="L2268" t="n">
        <v>0</v>
      </c>
      <c r="M2268" t="n">
        <v>0</v>
      </c>
      <c r="N2268" t="n">
        <v>0</v>
      </c>
      <c r="O2268" t="n">
        <v>0</v>
      </c>
      <c r="P2268" t="n">
        <v>0</v>
      </c>
      <c r="Q2268" t="n">
        <v>0</v>
      </c>
      <c r="R2268" s="2" t="inlineStr"/>
    </row>
    <row r="2269" ht="15" customHeight="1">
      <c r="A2269" t="inlineStr">
        <is>
          <t>A 49696-2025</t>
        </is>
      </c>
      <c r="B2269" s="1" t="n">
        <v>45939.6775462963</v>
      </c>
      <c r="C2269" s="1" t="n">
        <v>46048</v>
      </c>
      <c r="D2269" t="inlineStr">
        <is>
          <t>VÄSTERNORRLANDS LÄN</t>
        </is>
      </c>
      <c r="E2269" t="inlineStr">
        <is>
          <t>SOLLEFTEÅ</t>
        </is>
      </c>
      <c r="F2269" t="inlineStr">
        <is>
          <t>SCA</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49699-2025</t>
        </is>
      </c>
      <c r="B2270" s="1" t="n">
        <v>45939.67807870371</v>
      </c>
      <c r="C2270" s="1" t="n">
        <v>46048</v>
      </c>
      <c r="D2270" t="inlineStr">
        <is>
          <t>VÄSTERNORRLANDS LÄN</t>
        </is>
      </c>
      <c r="E2270" t="inlineStr">
        <is>
          <t>SOLLEFTEÅ</t>
        </is>
      </c>
      <c r="F2270" t="inlineStr">
        <is>
          <t>SCA</t>
        </is>
      </c>
      <c r="G2270" t="n">
        <v>7.5</v>
      </c>
      <c r="H2270" t="n">
        <v>0</v>
      </c>
      <c r="I2270" t="n">
        <v>0</v>
      </c>
      <c r="J2270" t="n">
        <v>0</v>
      </c>
      <c r="K2270" t="n">
        <v>0</v>
      </c>
      <c r="L2270" t="n">
        <v>0</v>
      </c>
      <c r="M2270" t="n">
        <v>0</v>
      </c>
      <c r="N2270" t="n">
        <v>0</v>
      </c>
      <c r="O2270" t="n">
        <v>0</v>
      </c>
      <c r="P2270" t="n">
        <v>0</v>
      </c>
      <c r="Q2270" t="n">
        <v>0</v>
      </c>
      <c r="R2270" s="2" t="inlineStr"/>
    </row>
    <row r="2271" ht="15" customHeight="1">
      <c r="A2271" t="inlineStr">
        <is>
          <t>A 49700-2025</t>
        </is>
      </c>
      <c r="B2271" s="1" t="n">
        <v>45939.67822916667</v>
      </c>
      <c r="C2271" s="1" t="n">
        <v>46048</v>
      </c>
      <c r="D2271" t="inlineStr">
        <is>
          <t>VÄSTERNORRLANDS LÄN</t>
        </is>
      </c>
      <c r="E2271" t="inlineStr">
        <is>
          <t>SOLLEFTEÅ</t>
        </is>
      </c>
      <c r="F2271" t="inlineStr">
        <is>
          <t>SCA</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49706-2025</t>
        </is>
      </c>
      <c r="B2272" s="1" t="n">
        <v>45939.67949074074</v>
      </c>
      <c r="C2272" s="1" t="n">
        <v>46048</v>
      </c>
      <c r="D2272" t="inlineStr">
        <is>
          <t>VÄSTERNORRLANDS LÄN</t>
        </is>
      </c>
      <c r="E2272" t="inlineStr">
        <is>
          <t>SOLLEFTEÅ</t>
        </is>
      </c>
      <c r="F2272" t="inlineStr">
        <is>
          <t>SCA</t>
        </is>
      </c>
      <c r="G2272" t="n">
        <v>4.1</v>
      </c>
      <c r="H2272" t="n">
        <v>0</v>
      </c>
      <c r="I2272" t="n">
        <v>0</v>
      </c>
      <c r="J2272" t="n">
        <v>0</v>
      </c>
      <c r="K2272" t="n">
        <v>0</v>
      </c>
      <c r="L2272" t="n">
        <v>0</v>
      </c>
      <c r="M2272" t="n">
        <v>0</v>
      </c>
      <c r="N2272" t="n">
        <v>0</v>
      </c>
      <c r="O2272" t="n">
        <v>0</v>
      </c>
      <c r="P2272" t="n">
        <v>0</v>
      </c>
      <c r="Q2272" t="n">
        <v>0</v>
      </c>
      <c r="R2272" s="2" t="inlineStr"/>
    </row>
    <row r="2273" ht="15" customHeight="1">
      <c r="A2273" t="inlineStr">
        <is>
          <t>A 49703-2025</t>
        </is>
      </c>
      <c r="B2273" s="1" t="n">
        <v>45939.67894675926</v>
      </c>
      <c r="C2273" s="1" t="n">
        <v>46048</v>
      </c>
      <c r="D2273" t="inlineStr">
        <is>
          <t>VÄSTERNORRLANDS LÄN</t>
        </is>
      </c>
      <c r="E2273" t="inlineStr">
        <is>
          <t>SOLLEFTEÅ</t>
        </is>
      </c>
      <c r="F2273" t="inlineStr">
        <is>
          <t>SCA</t>
        </is>
      </c>
      <c r="G2273" t="n">
        <v>2.5</v>
      </c>
      <c r="H2273" t="n">
        <v>0</v>
      </c>
      <c r="I2273" t="n">
        <v>0</v>
      </c>
      <c r="J2273" t="n">
        <v>0</v>
      </c>
      <c r="K2273" t="n">
        <v>0</v>
      </c>
      <c r="L2273" t="n">
        <v>0</v>
      </c>
      <c r="M2273" t="n">
        <v>0</v>
      </c>
      <c r="N2273" t="n">
        <v>0</v>
      </c>
      <c r="O2273" t="n">
        <v>0</v>
      </c>
      <c r="P2273" t="n">
        <v>0</v>
      </c>
      <c r="Q2273" t="n">
        <v>0</v>
      </c>
      <c r="R2273" s="2" t="inlineStr"/>
    </row>
    <row r="2274" ht="15" customHeight="1">
      <c r="A2274" t="inlineStr">
        <is>
          <t>A 49565-2025</t>
        </is>
      </c>
      <c r="B2274" s="1" t="n">
        <v>45939.46921296296</v>
      </c>
      <c r="C2274" s="1" t="n">
        <v>46048</v>
      </c>
      <c r="D2274" t="inlineStr">
        <is>
          <t>VÄSTERNORRLANDS LÄN</t>
        </is>
      </c>
      <c r="E2274" t="inlineStr">
        <is>
          <t>SOLLEFTEÅ</t>
        </is>
      </c>
      <c r="F2274" t="inlineStr">
        <is>
          <t>SCA</t>
        </is>
      </c>
      <c r="G2274" t="n">
        <v>5</v>
      </c>
      <c r="H2274" t="n">
        <v>0</v>
      </c>
      <c r="I2274" t="n">
        <v>0</v>
      </c>
      <c r="J2274" t="n">
        <v>0</v>
      </c>
      <c r="K2274" t="n">
        <v>0</v>
      </c>
      <c r="L2274" t="n">
        <v>0</v>
      </c>
      <c r="M2274" t="n">
        <v>0</v>
      </c>
      <c r="N2274" t="n">
        <v>0</v>
      </c>
      <c r="O2274" t="n">
        <v>0</v>
      </c>
      <c r="P2274" t="n">
        <v>0</v>
      </c>
      <c r="Q2274" t="n">
        <v>0</v>
      </c>
      <c r="R2274" s="2" t="inlineStr"/>
    </row>
    <row r="2275" ht="15" customHeight="1">
      <c r="A2275" t="inlineStr">
        <is>
          <t>A 49705-2025</t>
        </is>
      </c>
      <c r="B2275" s="1" t="n">
        <v>45939.67929398148</v>
      </c>
      <c r="C2275" s="1" t="n">
        <v>46048</v>
      </c>
      <c r="D2275" t="inlineStr">
        <is>
          <t>VÄSTERNORRLANDS LÄN</t>
        </is>
      </c>
      <c r="E2275" t="inlineStr">
        <is>
          <t>SOLLEFTEÅ</t>
        </is>
      </c>
      <c r="F2275" t="inlineStr">
        <is>
          <t>SCA</t>
        </is>
      </c>
      <c r="G2275" t="n">
        <v>6.3</v>
      </c>
      <c r="H2275" t="n">
        <v>0</v>
      </c>
      <c r="I2275" t="n">
        <v>0</v>
      </c>
      <c r="J2275" t="n">
        <v>0</v>
      </c>
      <c r="K2275" t="n">
        <v>0</v>
      </c>
      <c r="L2275" t="n">
        <v>0</v>
      </c>
      <c r="M2275" t="n">
        <v>0</v>
      </c>
      <c r="N2275" t="n">
        <v>0</v>
      </c>
      <c r="O2275" t="n">
        <v>0</v>
      </c>
      <c r="P2275" t="n">
        <v>0</v>
      </c>
      <c r="Q2275" t="n">
        <v>0</v>
      </c>
      <c r="R2275" s="2" t="inlineStr"/>
    </row>
    <row r="2276" ht="15" customHeight="1">
      <c r="A2276" t="inlineStr">
        <is>
          <t>A 49474-2025</t>
        </is>
      </c>
      <c r="B2276" s="1" t="n">
        <v>45939.34472222222</v>
      </c>
      <c r="C2276" s="1" t="n">
        <v>46048</v>
      </c>
      <c r="D2276" t="inlineStr">
        <is>
          <t>VÄSTERNORRLANDS LÄN</t>
        </is>
      </c>
      <c r="E2276" t="inlineStr">
        <is>
          <t>SOLLEFTEÅ</t>
        </is>
      </c>
      <c r="F2276" t="inlineStr">
        <is>
          <t>SCA</t>
        </is>
      </c>
      <c r="G2276" t="n">
        <v>6</v>
      </c>
      <c r="H2276" t="n">
        <v>0</v>
      </c>
      <c r="I2276" t="n">
        <v>0</v>
      </c>
      <c r="J2276" t="n">
        <v>0</v>
      </c>
      <c r="K2276" t="n">
        <v>0</v>
      </c>
      <c r="L2276" t="n">
        <v>0</v>
      </c>
      <c r="M2276" t="n">
        <v>0</v>
      </c>
      <c r="N2276" t="n">
        <v>0</v>
      </c>
      <c r="O2276" t="n">
        <v>0</v>
      </c>
      <c r="P2276" t="n">
        <v>0</v>
      </c>
      <c r="Q2276" t="n">
        <v>0</v>
      </c>
      <c r="R2276" s="2" t="inlineStr"/>
    </row>
    <row r="2277" ht="15" customHeight="1">
      <c r="A2277" t="inlineStr">
        <is>
          <t>A 49488-2025</t>
        </is>
      </c>
      <c r="B2277" s="1" t="n">
        <v>45939.36506944444</v>
      </c>
      <c r="C2277" s="1" t="n">
        <v>46048</v>
      </c>
      <c r="D2277" t="inlineStr">
        <is>
          <t>VÄSTERNORRLANDS LÄN</t>
        </is>
      </c>
      <c r="E2277" t="inlineStr">
        <is>
          <t>SOLLEFTEÅ</t>
        </is>
      </c>
      <c r="F2277" t="inlineStr">
        <is>
          <t>SCA</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49667-2025</t>
        </is>
      </c>
      <c r="B2278" s="1" t="n">
        <v>45939.63671296297</v>
      </c>
      <c r="C2278" s="1" t="n">
        <v>46048</v>
      </c>
      <c r="D2278" t="inlineStr">
        <is>
          <t>VÄSTERNORRLANDS LÄN</t>
        </is>
      </c>
      <c r="E2278" t="inlineStr">
        <is>
          <t>SOLLEFTEÅ</t>
        </is>
      </c>
      <c r="F2278" t="inlineStr">
        <is>
          <t>SCA</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49406-2025</t>
        </is>
      </c>
      <c r="B2279" s="1" t="n">
        <v>45938.67761574074</v>
      </c>
      <c r="C2279" s="1" t="n">
        <v>46048</v>
      </c>
      <c r="D2279" t="inlineStr">
        <is>
          <t>VÄSTERNORRLANDS LÄN</t>
        </is>
      </c>
      <c r="E2279" t="inlineStr">
        <is>
          <t>SOLLEFTEÅ</t>
        </is>
      </c>
      <c r="F2279" t="inlineStr">
        <is>
          <t>SCA</t>
        </is>
      </c>
      <c r="G2279" t="n">
        <v>28.6</v>
      </c>
      <c r="H2279" t="n">
        <v>0</v>
      </c>
      <c r="I2279" t="n">
        <v>0</v>
      </c>
      <c r="J2279" t="n">
        <v>0</v>
      </c>
      <c r="K2279" t="n">
        <v>0</v>
      </c>
      <c r="L2279" t="n">
        <v>0</v>
      </c>
      <c r="M2279" t="n">
        <v>0</v>
      </c>
      <c r="N2279" t="n">
        <v>0</v>
      </c>
      <c r="O2279" t="n">
        <v>0</v>
      </c>
      <c r="P2279" t="n">
        <v>0</v>
      </c>
      <c r="Q2279" t="n">
        <v>0</v>
      </c>
      <c r="R2279" s="2" t="inlineStr"/>
    </row>
    <row r="2280" ht="15" customHeight="1">
      <c r="A2280" t="inlineStr">
        <is>
          <t>A 49932-2025</t>
        </is>
      </c>
      <c r="B2280" s="1" t="n">
        <v>45940.65695601852</v>
      </c>
      <c r="C2280" s="1" t="n">
        <v>46048</v>
      </c>
      <c r="D2280" t="inlineStr">
        <is>
          <t>VÄSTERNORRLANDS LÄN</t>
        </is>
      </c>
      <c r="E2280" t="inlineStr">
        <is>
          <t>SOLLEFTEÅ</t>
        </is>
      </c>
      <c r="F2280" t="inlineStr">
        <is>
          <t>SCA</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50229-2025</t>
        </is>
      </c>
      <c r="B2281" s="1" t="n">
        <v>45943.69855324074</v>
      </c>
      <c r="C2281" s="1" t="n">
        <v>46048</v>
      </c>
      <c r="D2281" t="inlineStr">
        <is>
          <t>VÄSTERNORRLANDS LÄN</t>
        </is>
      </c>
      <c r="E2281" t="inlineStr">
        <is>
          <t>SOLLEFTEÅ</t>
        </is>
      </c>
      <c r="F2281" t="inlineStr">
        <is>
          <t>SCA</t>
        </is>
      </c>
      <c r="G2281" t="n">
        <v>10.1</v>
      </c>
      <c r="H2281" t="n">
        <v>0</v>
      </c>
      <c r="I2281" t="n">
        <v>0</v>
      </c>
      <c r="J2281" t="n">
        <v>0</v>
      </c>
      <c r="K2281" t="n">
        <v>0</v>
      </c>
      <c r="L2281" t="n">
        <v>0</v>
      </c>
      <c r="M2281" t="n">
        <v>0</v>
      </c>
      <c r="N2281" t="n">
        <v>0</v>
      </c>
      <c r="O2281" t="n">
        <v>0</v>
      </c>
      <c r="P2281" t="n">
        <v>0</v>
      </c>
      <c r="Q2281" t="n">
        <v>0</v>
      </c>
      <c r="R2281" s="2" t="inlineStr"/>
    </row>
    <row r="2282" ht="15" customHeight="1">
      <c r="A2282" t="inlineStr">
        <is>
          <t>A 49904-2025</t>
        </is>
      </c>
      <c r="B2282" s="1" t="n">
        <v>45940.59594907407</v>
      </c>
      <c r="C2282" s="1" t="n">
        <v>46048</v>
      </c>
      <c r="D2282" t="inlineStr">
        <is>
          <t>VÄSTERNORRLANDS LÄN</t>
        </is>
      </c>
      <c r="E2282" t="inlineStr">
        <is>
          <t>SOLLEFTEÅ</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49794-2025</t>
        </is>
      </c>
      <c r="B2283" s="1" t="n">
        <v>45940.40777777778</v>
      </c>
      <c r="C2283" s="1" t="n">
        <v>46048</v>
      </c>
      <c r="D2283" t="inlineStr">
        <is>
          <t>VÄSTERNORRLANDS LÄN</t>
        </is>
      </c>
      <c r="E2283" t="inlineStr">
        <is>
          <t>SOLLEFTEÅ</t>
        </is>
      </c>
      <c r="F2283" t="inlineStr">
        <is>
          <t>SCA</t>
        </is>
      </c>
      <c r="G2283" t="n">
        <v>12.8</v>
      </c>
      <c r="H2283" t="n">
        <v>0</v>
      </c>
      <c r="I2283" t="n">
        <v>0</v>
      </c>
      <c r="J2283" t="n">
        <v>0</v>
      </c>
      <c r="K2283" t="n">
        <v>0</v>
      </c>
      <c r="L2283" t="n">
        <v>0</v>
      </c>
      <c r="M2283" t="n">
        <v>0</v>
      </c>
      <c r="N2283" t="n">
        <v>0</v>
      </c>
      <c r="O2283" t="n">
        <v>0</v>
      </c>
      <c r="P2283" t="n">
        <v>0</v>
      </c>
      <c r="Q2283" t="n">
        <v>0</v>
      </c>
      <c r="R2283" s="2" t="inlineStr"/>
    </row>
    <row r="2284" ht="15" customHeight="1">
      <c r="A2284" t="inlineStr">
        <is>
          <t>A 49919-2025</t>
        </is>
      </c>
      <c r="B2284" s="1" t="n">
        <v>45940.63591435185</v>
      </c>
      <c r="C2284" s="1" t="n">
        <v>46048</v>
      </c>
      <c r="D2284" t="inlineStr">
        <is>
          <t>VÄSTERNORRLANDS LÄN</t>
        </is>
      </c>
      <c r="E2284" t="inlineStr">
        <is>
          <t>SOLLEFTEÅ</t>
        </is>
      </c>
      <c r="F2284" t="inlineStr">
        <is>
          <t>SCA</t>
        </is>
      </c>
      <c r="G2284" t="n">
        <v>41.5</v>
      </c>
      <c r="H2284" t="n">
        <v>0</v>
      </c>
      <c r="I2284" t="n">
        <v>0</v>
      </c>
      <c r="J2284" t="n">
        <v>0</v>
      </c>
      <c r="K2284" t="n">
        <v>0</v>
      </c>
      <c r="L2284" t="n">
        <v>0</v>
      </c>
      <c r="M2284" t="n">
        <v>0</v>
      </c>
      <c r="N2284" t="n">
        <v>0</v>
      </c>
      <c r="O2284" t="n">
        <v>0</v>
      </c>
      <c r="P2284" t="n">
        <v>0</v>
      </c>
      <c r="Q2284" t="n">
        <v>0</v>
      </c>
      <c r="R2284" s="2" t="inlineStr"/>
    </row>
    <row r="2285" ht="15" customHeight="1">
      <c r="A2285" t="inlineStr">
        <is>
          <t>A 49748-2025</t>
        </is>
      </c>
      <c r="B2285" s="1" t="n">
        <v>45940.34472222222</v>
      </c>
      <c r="C2285" s="1" t="n">
        <v>46048</v>
      </c>
      <c r="D2285" t="inlineStr">
        <is>
          <t>VÄSTERNORRLANDS LÄN</t>
        </is>
      </c>
      <c r="E2285" t="inlineStr">
        <is>
          <t>SOLLEFTEÅ</t>
        </is>
      </c>
      <c r="F2285" t="inlineStr">
        <is>
          <t>SCA</t>
        </is>
      </c>
      <c r="G2285" t="n">
        <v>5.5</v>
      </c>
      <c r="H2285" t="n">
        <v>0</v>
      </c>
      <c r="I2285" t="n">
        <v>0</v>
      </c>
      <c r="J2285" t="n">
        <v>0</v>
      </c>
      <c r="K2285" t="n">
        <v>0</v>
      </c>
      <c r="L2285" t="n">
        <v>0</v>
      </c>
      <c r="M2285" t="n">
        <v>0</v>
      </c>
      <c r="N2285" t="n">
        <v>0</v>
      </c>
      <c r="O2285" t="n">
        <v>0</v>
      </c>
      <c r="P2285" t="n">
        <v>0</v>
      </c>
      <c r="Q2285" t="n">
        <v>0</v>
      </c>
      <c r="R2285" s="2" t="inlineStr"/>
    </row>
    <row r="2286" ht="15" customHeight="1">
      <c r="A2286" t="inlineStr">
        <is>
          <t>A 49750-2025</t>
        </is>
      </c>
      <c r="B2286" s="1" t="n">
        <v>45940.34497685185</v>
      </c>
      <c r="C2286" s="1" t="n">
        <v>46048</v>
      </c>
      <c r="D2286" t="inlineStr">
        <is>
          <t>VÄSTERNORRLANDS LÄN</t>
        </is>
      </c>
      <c r="E2286" t="inlineStr">
        <is>
          <t>SOLLEFTEÅ</t>
        </is>
      </c>
      <c r="F2286" t="inlineStr">
        <is>
          <t>SCA</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49920-2025</t>
        </is>
      </c>
      <c r="B2287" s="1" t="n">
        <v>45940.63611111111</v>
      </c>
      <c r="C2287" s="1" t="n">
        <v>46048</v>
      </c>
      <c r="D2287" t="inlineStr">
        <is>
          <t>VÄSTERNORRLANDS LÄN</t>
        </is>
      </c>
      <c r="E2287" t="inlineStr">
        <is>
          <t>SOLLEFTEÅ</t>
        </is>
      </c>
      <c r="F2287" t="inlineStr">
        <is>
          <t>SCA</t>
        </is>
      </c>
      <c r="G2287" t="n">
        <v>4.4</v>
      </c>
      <c r="H2287" t="n">
        <v>0</v>
      </c>
      <c r="I2287" t="n">
        <v>0</v>
      </c>
      <c r="J2287" t="n">
        <v>0</v>
      </c>
      <c r="K2287" t="n">
        <v>0</v>
      </c>
      <c r="L2287" t="n">
        <v>0</v>
      </c>
      <c r="M2287" t="n">
        <v>0</v>
      </c>
      <c r="N2287" t="n">
        <v>0</v>
      </c>
      <c r="O2287" t="n">
        <v>0</v>
      </c>
      <c r="P2287" t="n">
        <v>0</v>
      </c>
      <c r="Q2287" t="n">
        <v>0</v>
      </c>
      <c r="R2287" s="2" t="inlineStr"/>
    </row>
    <row r="2288" ht="15" customHeight="1">
      <c r="A2288" t="inlineStr">
        <is>
          <t>A 49933-2025</t>
        </is>
      </c>
      <c r="B2288" s="1" t="n">
        <v>45940.65717592592</v>
      </c>
      <c r="C2288" s="1" t="n">
        <v>46048</v>
      </c>
      <c r="D2288" t="inlineStr">
        <is>
          <t>VÄSTERNORRLANDS LÄN</t>
        </is>
      </c>
      <c r="E2288" t="inlineStr">
        <is>
          <t>SOLLEFTEÅ</t>
        </is>
      </c>
      <c r="F2288" t="inlineStr">
        <is>
          <t>SCA</t>
        </is>
      </c>
      <c r="G2288" t="n">
        <v>3.1</v>
      </c>
      <c r="H2288" t="n">
        <v>0</v>
      </c>
      <c r="I2288" t="n">
        <v>0</v>
      </c>
      <c r="J2288" t="n">
        <v>0</v>
      </c>
      <c r="K2288" t="n">
        <v>0</v>
      </c>
      <c r="L2288" t="n">
        <v>0</v>
      </c>
      <c r="M2288" t="n">
        <v>0</v>
      </c>
      <c r="N2288" t="n">
        <v>0</v>
      </c>
      <c r="O2288" t="n">
        <v>0</v>
      </c>
      <c r="P2288" t="n">
        <v>0</v>
      </c>
      <c r="Q2288" t="n">
        <v>0</v>
      </c>
      <c r="R2288" s="2" t="inlineStr"/>
    </row>
    <row r="2289" ht="15" customHeight="1">
      <c r="A2289" t="inlineStr">
        <is>
          <t>A 50627-2025</t>
        </is>
      </c>
      <c r="B2289" s="1" t="n">
        <v>45945</v>
      </c>
      <c r="C2289" s="1" t="n">
        <v>46048</v>
      </c>
      <c r="D2289" t="inlineStr">
        <is>
          <t>VÄSTERNORRLANDS LÄN</t>
        </is>
      </c>
      <c r="E2289" t="inlineStr">
        <is>
          <t>SOLLEFTEÅ</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50505-2025</t>
        </is>
      </c>
      <c r="B2290" s="1" t="n">
        <v>45945.42863425926</v>
      </c>
      <c r="C2290" s="1" t="n">
        <v>46048</v>
      </c>
      <c r="D2290" t="inlineStr">
        <is>
          <t>VÄSTERNORRLANDS LÄN</t>
        </is>
      </c>
      <c r="E2290" t="inlineStr">
        <is>
          <t>SOLLEFTEÅ</t>
        </is>
      </c>
      <c r="F2290" t="inlineStr">
        <is>
          <t>SCA</t>
        </is>
      </c>
      <c r="G2290" t="n">
        <v>14.6</v>
      </c>
      <c r="H2290" t="n">
        <v>0</v>
      </c>
      <c r="I2290" t="n">
        <v>0</v>
      </c>
      <c r="J2290" t="n">
        <v>0</v>
      </c>
      <c r="K2290" t="n">
        <v>0</v>
      </c>
      <c r="L2290" t="n">
        <v>0</v>
      </c>
      <c r="M2290" t="n">
        <v>0</v>
      </c>
      <c r="N2290" t="n">
        <v>0</v>
      </c>
      <c r="O2290" t="n">
        <v>0</v>
      </c>
      <c r="P2290" t="n">
        <v>0</v>
      </c>
      <c r="Q2290" t="n">
        <v>0</v>
      </c>
      <c r="R2290" s="2" t="inlineStr"/>
    </row>
    <row r="2291" ht="15" customHeight="1">
      <c r="A2291" t="inlineStr">
        <is>
          <t>A 50522-2025</t>
        </is>
      </c>
      <c r="B2291" s="1" t="n">
        <v>45945</v>
      </c>
      <c r="C2291" s="1" t="n">
        <v>46048</v>
      </c>
      <c r="D2291" t="inlineStr">
        <is>
          <t>VÄSTERNORRLANDS LÄN</t>
        </is>
      </c>
      <c r="E2291" t="inlineStr">
        <is>
          <t>SOLLEFTEÅ</t>
        </is>
      </c>
      <c r="G2291" t="n">
        <v>4.7</v>
      </c>
      <c r="H2291" t="n">
        <v>0</v>
      </c>
      <c r="I2291" t="n">
        <v>0</v>
      </c>
      <c r="J2291" t="n">
        <v>0</v>
      </c>
      <c r="K2291" t="n">
        <v>0</v>
      </c>
      <c r="L2291" t="n">
        <v>0</v>
      </c>
      <c r="M2291" t="n">
        <v>0</v>
      </c>
      <c r="N2291" t="n">
        <v>0</v>
      </c>
      <c r="O2291" t="n">
        <v>0</v>
      </c>
      <c r="P2291" t="n">
        <v>0</v>
      </c>
      <c r="Q2291" t="n">
        <v>0</v>
      </c>
      <c r="R2291" s="2" t="inlineStr"/>
    </row>
    <row r="2292" ht="15" customHeight="1">
      <c r="A2292" t="inlineStr">
        <is>
          <t>A 50402-2025</t>
        </is>
      </c>
      <c r="B2292" s="1" t="n">
        <v>45944.63606481482</v>
      </c>
      <c r="C2292" s="1" t="n">
        <v>46048</v>
      </c>
      <c r="D2292" t="inlineStr">
        <is>
          <t>VÄSTERNORRLANDS LÄN</t>
        </is>
      </c>
      <c r="E2292" t="inlineStr">
        <is>
          <t>SOLLEFTEÅ</t>
        </is>
      </c>
      <c r="F2292" t="inlineStr">
        <is>
          <t>SCA</t>
        </is>
      </c>
      <c r="G2292" t="n">
        <v>6.1</v>
      </c>
      <c r="H2292" t="n">
        <v>0</v>
      </c>
      <c r="I2292" t="n">
        <v>0</v>
      </c>
      <c r="J2292" t="n">
        <v>0</v>
      </c>
      <c r="K2292" t="n">
        <v>0</v>
      </c>
      <c r="L2292" t="n">
        <v>0</v>
      </c>
      <c r="M2292" t="n">
        <v>0</v>
      </c>
      <c r="N2292" t="n">
        <v>0</v>
      </c>
      <c r="O2292" t="n">
        <v>0</v>
      </c>
      <c r="P2292" t="n">
        <v>0</v>
      </c>
      <c r="Q2292" t="n">
        <v>0</v>
      </c>
      <c r="R2292" s="2" t="inlineStr"/>
    </row>
    <row r="2293" ht="15" customHeight="1">
      <c r="A2293" t="inlineStr">
        <is>
          <t>A 50283-2025</t>
        </is>
      </c>
      <c r="B2293" s="1" t="n">
        <v>45944.38641203703</v>
      </c>
      <c r="C2293" s="1" t="n">
        <v>46048</v>
      </c>
      <c r="D2293" t="inlineStr">
        <is>
          <t>VÄSTERNORRLANDS LÄN</t>
        </is>
      </c>
      <c r="E2293" t="inlineStr">
        <is>
          <t>SOLLEFTEÅ</t>
        </is>
      </c>
      <c r="F2293" t="inlineStr">
        <is>
          <t>SCA</t>
        </is>
      </c>
      <c r="G2293" t="n">
        <v>7</v>
      </c>
      <c r="H2293" t="n">
        <v>0</v>
      </c>
      <c r="I2293" t="n">
        <v>0</v>
      </c>
      <c r="J2293" t="n">
        <v>0</v>
      </c>
      <c r="K2293" t="n">
        <v>0</v>
      </c>
      <c r="L2293" t="n">
        <v>0</v>
      </c>
      <c r="M2293" t="n">
        <v>0</v>
      </c>
      <c r="N2293" t="n">
        <v>0</v>
      </c>
      <c r="O2293" t="n">
        <v>0</v>
      </c>
      <c r="P2293" t="n">
        <v>0</v>
      </c>
      <c r="Q2293" t="n">
        <v>0</v>
      </c>
      <c r="R2293" s="2" t="inlineStr"/>
    </row>
    <row r="2294" ht="15" customHeight="1">
      <c r="A2294" t="inlineStr">
        <is>
          <t>A 50281-2025</t>
        </is>
      </c>
      <c r="B2294" s="1" t="n">
        <v>45944.38600694444</v>
      </c>
      <c r="C2294" s="1" t="n">
        <v>46048</v>
      </c>
      <c r="D2294" t="inlineStr">
        <is>
          <t>VÄSTERNORRLANDS LÄN</t>
        </is>
      </c>
      <c r="E2294" t="inlineStr">
        <is>
          <t>SOLLEFTEÅ</t>
        </is>
      </c>
      <c r="F2294" t="inlineStr">
        <is>
          <t>SCA</t>
        </is>
      </c>
      <c r="G2294" t="n">
        <v>29.2</v>
      </c>
      <c r="H2294" t="n">
        <v>0</v>
      </c>
      <c r="I2294" t="n">
        <v>0</v>
      </c>
      <c r="J2294" t="n">
        <v>0</v>
      </c>
      <c r="K2294" t="n">
        <v>0</v>
      </c>
      <c r="L2294" t="n">
        <v>0</v>
      </c>
      <c r="M2294" t="n">
        <v>0</v>
      </c>
      <c r="N2294" t="n">
        <v>0</v>
      </c>
      <c r="O2294" t="n">
        <v>0</v>
      </c>
      <c r="P2294" t="n">
        <v>0</v>
      </c>
      <c r="Q2294" t="n">
        <v>0</v>
      </c>
      <c r="R2294" s="2" t="inlineStr"/>
    </row>
    <row r="2295" ht="15" customHeight="1">
      <c r="A2295" t="inlineStr">
        <is>
          <t>A 50245-2025</t>
        </is>
      </c>
      <c r="B2295" s="1" t="n">
        <v>45944.30101851852</v>
      </c>
      <c r="C2295" s="1" t="n">
        <v>46048</v>
      </c>
      <c r="D2295" t="inlineStr">
        <is>
          <t>VÄSTERNORRLANDS LÄN</t>
        </is>
      </c>
      <c r="E2295" t="inlineStr">
        <is>
          <t>SOLLEFTEÅ</t>
        </is>
      </c>
      <c r="F2295" t="inlineStr">
        <is>
          <t>Holmen skog AB</t>
        </is>
      </c>
      <c r="G2295" t="n">
        <v>5.8</v>
      </c>
      <c r="H2295" t="n">
        <v>0</v>
      </c>
      <c r="I2295" t="n">
        <v>0</v>
      </c>
      <c r="J2295" t="n">
        <v>0</v>
      </c>
      <c r="K2295" t="n">
        <v>0</v>
      </c>
      <c r="L2295" t="n">
        <v>0</v>
      </c>
      <c r="M2295" t="n">
        <v>0</v>
      </c>
      <c r="N2295" t="n">
        <v>0</v>
      </c>
      <c r="O2295" t="n">
        <v>0</v>
      </c>
      <c r="P2295" t="n">
        <v>0</v>
      </c>
      <c r="Q2295" t="n">
        <v>0</v>
      </c>
      <c r="R2295" s="2" t="inlineStr"/>
    </row>
    <row r="2296" ht="15" customHeight="1">
      <c r="A2296" t="inlineStr">
        <is>
          <t>A 50645-2025</t>
        </is>
      </c>
      <c r="B2296" s="1" t="n">
        <v>45945.65685185185</v>
      </c>
      <c r="C2296" s="1" t="n">
        <v>46048</v>
      </c>
      <c r="D2296" t="inlineStr">
        <is>
          <t>VÄSTERNORRLANDS LÄN</t>
        </is>
      </c>
      <c r="E2296" t="inlineStr">
        <is>
          <t>SOLLEFTEÅ</t>
        </is>
      </c>
      <c r="F2296" t="inlineStr">
        <is>
          <t>SCA</t>
        </is>
      </c>
      <c r="G2296" t="n">
        <v>3.1</v>
      </c>
      <c r="H2296" t="n">
        <v>0</v>
      </c>
      <c r="I2296" t="n">
        <v>0</v>
      </c>
      <c r="J2296" t="n">
        <v>0</v>
      </c>
      <c r="K2296" t="n">
        <v>0</v>
      </c>
      <c r="L2296" t="n">
        <v>0</v>
      </c>
      <c r="M2296" t="n">
        <v>0</v>
      </c>
      <c r="N2296" t="n">
        <v>0</v>
      </c>
      <c r="O2296" t="n">
        <v>0</v>
      </c>
      <c r="P2296" t="n">
        <v>0</v>
      </c>
      <c r="Q2296" t="n">
        <v>0</v>
      </c>
      <c r="R2296" s="2" t="inlineStr"/>
    </row>
    <row r="2297" ht="15" customHeight="1">
      <c r="A2297" t="inlineStr">
        <is>
          <t>A 50388-2025</t>
        </is>
      </c>
      <c r="B2297" s="1" t="n">
        <v>45944.61509259259</v>
      </c>
      <c r="C2297" s="1" t="n">
        <v>46048</v>
      </c>
      <c r="D2297" t="inlineStr">
        <is>
          <t>VÄSTERNORRLANDS LÄN</t>
        </is>
      </c>
      <c r="E2297" t="inlineStr">
        <is>
          <t>SOLLEFTEÅ</t>
        </is>
      </c>
      <c r="F2297" t="inlineStr">
        <is>
          <t>SCA</t>
        </is>
      </c>
      <c r="G2297" t="n">
        <v>22.8</v>
      </c>
      <c r="H2297" t="n">
        <v>0</v>
      </c>
      <c r="I2297" t="n">
        <v>0</v>
      </c>
      <c r="J2297" t="n">
        <v>0</v>
      </c>
      <c r="K2297" t="n">
        <v>0</v>
      </c>
      <c r="L2297" t="n">
        <v>0</v>
      </c>
      <c r="M2297" t="n">
        <v>0</v>
      </c>
      <c r="N2297" t="n">
        <v>0</v>
      </c>
      <c r="O2297" t="n">
        <v>0</v>
      </c>
      <c r="P2297" t="n">
        <v>0</v>
      </c>
      <c r="Q2297" t="n">
        <v>0</v>
      </c>
      <c r="R2297" s="2" t="inlineStr"/>
    </row>
    <row r="2298" ht="15" customHeight="1">
      <c r="A2298" t="inlineStr">
        <is>
          <t>A 50493-2025</t>
        </is>
      </c>
      <c r="B2298" s="1" t="n">
        <v>45945.40685185185</v>
      </c>
      <c r="C2298" s="1" t="n">
        <v>46048</v>
      </c>
      <c r="D2298" t="inlineStr">
        <is>
          <t>VÄSTERNORRLANDS LÄN</t>
        </is>
      </c>
      <c r="E2298" t="inlineStr">
        <is>
          <t>SOLLEFTEÅ</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50555-2025</t>
        </is>
      </c>
      <c r="B2299" s="1" t="n">
        <v>45945.53164351852</v>
      </c>
      <c r="C2299" s="1" t="n">
        <v>46048</v>
      </c>
      <c r="D2299" t="inlineStr">
        <is>
          <t>VÄSTERNORRLANDS LÄN</t>
        </is>
      </c>
      <c r="E2299" t="inlineStr">
        <is>
          <t>SOLLEFTEÅ</t>
        </is>
      </c>
      <c r="F2299" t="inlineStr">
        <is>
          <t>SCA</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50859-2025</t>
        </is>
      </c>
      <c r="B2300" s="1" t="n">
        <v>45946.59450231482</v>
      </c>
      <c r="C2300" s="1" t="n">
        <v>46048</v>
      </c>
      <c r="D2300" t="inlineStr">
        <is>
          <t>VÄSTERNORRLANDS LÄN</t>
        </is>
      </c>
      <c r="E2300" t="inlineStr">
        <is>
          <t>SOLLEFTEÅ</t>
        </is>
      </c>
      <c r="F2300" t="inlineStr">
        <is>
          <t>SCA</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51226-2025</t>
        </is>
      </c>
      <c r="B2301" s="1" t="n">
        <v>45947.65663194445</v>
      </c>
      <c r="C2301" s="1" t="n">
        <v>46048</v>
      </c>
      <c r="D2301" t="inlineStr">
        <is>
          <t>VÄSTERNORRLANDS LÄN</t>
        </is>
      </c>
      <c r="E2301" t="inlineStr">
        <is>
          <t>SOLLEFTEÅ</t>
        </is>
      </c>
      <c r="F2301" t="inlineStr">
        <is>
          <t>SCA</t>
        </is>
      </c>
      <c r="G2301" t="n">
        <v>3.3</v>
      </c>
      <c r="H2301" t="n">
        <v>0</v>
      </c>
      <c r="I2301" t="n">
        <v>0</v>
      </c>
      <c r="J2301" t="n">
        <v>0</v>
      </c>
      <c r="K2301" t="n">
        <v>0</v>
      </c>
      <c r="L2301" t="n">
        <v>0</v>
      </c>
      <c r="M2301" t="n">
        <v>0</v>
      </c>
      <c r="N2301" t="n">
        <v>0</v>
      </c>
      <c r="O2301" t="n">
        <v>0</v>
      </c>
      <c r="P2301" t="n">
        <v>0</v>
      </c>
      <c r="Q2301" t="n">
        <v>0</v>
      </c>
      <c r="R2301" s="2" t="inlineStr"/>
    </row>
    <row r="2302" ht="15" customHeight="1">
      <c r="A2302" t="inlineStr">
        <is>
          <t>A 51118-2025</t>
        </is>
      </c>
      <c r="B2302" s="1" t="n">
        <v>45947.53177083333</v>
      </c>
      <c r="C2302" s="1" t="n">
        <v>46048</v>
      </c>
      <c r="D2302" t="inlineStr">
        <is>
          <t>VÄSTERNORRLANDS LÄN</t>
        </is>
      </c>
      <c r="E2302" t="inlineStr">
        <is>
          <t>SOLLEFTEÅ</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50911-2025</t>
        </is>
      </c>
      <c r="B2303" s="1" t="n">
        <v>45946.65690972222</v>
      </c>
      <c r="C2303" s="1" t="n">
        <v>46048</v>
      </c>
      <c r="D2303" t="inlineStr">
        <is>
          <t>VÄSTERNORRLANDS LÄN</t>
        </is>
      </c>
      <c r="E2303" t="inlineStr">
        <is>
          <t>SOLLEFTEÅ</t>
        </is>
      </c>
      <c r="F2303" t="inlineStr">
        <is>
          <t>SCA</t>
        </is>
      </c>
      <c r="G2303" t="n">
        <v>6.4</v>
      </c>
      <c r="H2303" t="n">
        <v>0</v>
      </c>
      <c r="I2303" t="n">
        <v>0</v>
      </c>
      <c r="J2303" t="n">
        <v>0</v>
      </c>
      <c r="K2303" t="n">
        <v>0</v>
      </c>
      <c r="L2303" t="n">
        <v>0</v>
      </c>
      <c r="M2303" t="n">
        <v>0</v>
      </c>
      <c r="N2303" t="n">
        <v>0</v>
      </c>
      <c r="O2303" t="n">
        <v>0</v>
      </c>
      <c r="P2303" t="n">
        <v>0</v>
      </c>
      <c r="Q2303" t="n">
        <v>0</v>
      </c>
      <c r="R2303" s="2" t="inlineStr"/>
    </row>
    <row r="2304" ht="15" customHeight="1">
      <c r="A2304" t="inlineStr">
        <is>
          <t>A 51036-2025</t>
        </is>
      </c>
      <c r="B2304" s="1" t="n">
        <v>45947.40709490741</v>
      </c>
      <c r="C2304" s="1" t="n">
        <v>46048</v>
      </c>
      <c r="D2304" t="inlineStr">
        <is>
          <t>VÄSTERNORRLANDS LÄN</t>
        </is>
      </c>
      <c r="E2304" t="inlineStr">
        <is>
          <t>SOLLEFTEÅ</t>
        </is>
      </c>
      <c r="F2304" t="inlineStr">
        <is>
          <t>SCA</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50843-2025</t>
        </is>
      </c>
      <c r="B2305" s="1" t="n">
        <v>45946.57344907407</v>
      </c>
      <c r="C2305" s="1" t="n">
        <v>46048</v>
      </c>
      <c r="D2305" t="inlineStr">
        <is>
          <t>VÄSTERNORRLANDS LÄN</t>
        </is>
      </c>
      <c r="E2305" t="inlineStr">
        <is>
          <t>SOLLEFTEÅ</t>
        </is>
      </c>
      <c r="F2305" t="inlineStr">
        <is>
          <t>SCA</t>
        </is>
      </c>
      <c r="G2305" t="n">
        <v>7.1</v>
      </c>
      <c r="H2305" t="n">
        <v>0</v>
      </c>
      <c r="I2305" t="n">
        <v>0</v>
      </c>
      <c r="J2305" t="n">
        <v>0</v>
      </c>
      <c r="K2305" t="n">
        <v>0</v>
      </c>
      <c r="L2305" t="n">
        <v>0</v>
      </c>
      <c r="M2305" t="n">
        <v>0</v>
      </c>
      <c r="N2305" t="n">
        <v>0</v>
      </c>
      <c r="O2305" t="n">
        <v>0</v>
      </c>
      <c r="P2305" t="n">
        <v>0</v>
      </c>
      <c r="Q2305" t="n">
        <v>0</v>
      </c>
      <c r="R2305" s="2" t="inlineStr"/>
    </row>
    <row r="2306" ht="15" customHeight="1">
      <c r="A2306" t="inlineStr">
        <is>
          <t>A 50929-2025</t>
        </is>
      </c>
      <c r="B2306" s="1" t="n">
        <v>45946.67913194445</v>
      </c>
      <c r="C2306" s="1" t="n">
        <v>46048</v>
      </c>
      <c r="D2306" t="inlineStr">
        <is>
          <t>VÄSTERNORRLANDS LÄN</t>
        </is>
      </c>
      <c r="E2306" t="inlineStr">
        <is>
          <t>SOLLEFTEÅ</t>
        </is>
      </c>
      <c r="F2306" t="inlineStr">
        <is>
          <t>SCA</t>
        </is>
      </c>
      <c r="G2306" t="n">
        <v>8.699999999999999</v>
      </c>
      <c r="H2306" t="n">
        <v>0</v>
      </c>
      <c r="I2306" t="n">
        <v>0</v>
      </c>
      <c r="J2306" t="n">
        <v>0</v>
      </c>
      <c r="K2306" t="n">
        <v>0</v>
      </c>
      <c r="L2306" t="n">
        <v>0</v>
      </c>
      <c r="M2306" t="n">
        <v>0</v>
      </c>
      <c r="N2306" t="n">
        <v>0</v>
      </c>
      <c r="O2306" t="n">
        <v>0</v>
      </c>
      <c r="P2306" t="n">
        <v>0</v>
      </c>
      <c r="Q2306" t="n">
        <v>0</v>
      </c>
      <c r="R2306" s="2" t="inlineStr"/>
    </row>
    <row r="2307" ht="15" customHeight="1">
      <c r="A2307" t="inlineStr">
        <is>
          <t>A 50930-2025</t>
        </is>
      </c>
      <c r="B2307" s="1" t="n">
        <v>45946.6796875</v>
      </c>
      <c r="C2307" s="1" t="n">
        <v>46048</v>
      </c>
      <c r="D2307" t="inlineStr">
        <is>
          <t>VÄSTERNORRLANDS LÄN</t>
        </is>
      </c>
      <c r="E2307" t="inlineStr">
        <is>
          <t>SOLLEFTEÅ</t>
        </is>
      </c>
      <c r="F2307" t="inlineStr">
        <is>
          <t>SCA</t>
        </is>
      </c>
      <c r="G2307" t="n">
        <v>2.5</v>
      </c>
      <c r="H2307" t="n">
        <v>0</v>
      </c>
      <c r="I2307" t="n">
        <v>0</v>
      </c>
      <c r="J2307" t="n">
        <v>0</v>
      </c>
      <c r="K2307" t="n">
        <v>0</v>
      </c>
      <c r="L2307" t="n">
        <v>0</v>
      </c>
      <c r="M2307" t="n">
        <v>0</v>
      </c>
      <c r="N2307" t="n">
        <v>0</v>
      </c>
      <c r="O2307" t="n">
        <v>0</v>
      </c>
      <c r="P2307" t="n">
        <v>0</v>
      </c>
      <c r="Q2307" t="n">
        <v>0</v>
      </c>
      <c r="R2307" s="2" t="inlineStr"/>
    </row>
    <row r="2308" ht="15" customHeight="1">
      <c r="A2308" t="inlineStr">
        <is>
          <t>A 50860-2025</t>
        </is>
      </c>
      <c r="B2308" s="1" t="n">
        <v>45946.59475694445</v>
      </c>
      <c r="C2308" s="1" t="n">
        <v>46048</v>
      </c>
      <c r="D2308" t="inlineStr">
        <is>
          <t>VÄSTERNORRLANDS LÄN</t>
        </is>
      </c>
      <c r="E2308" t="inlineStr">
        <is>
          <t>SOLLEFTEÅ</t>
        </is>
      </c>
      <c r="F2308" t="inlineStr">
        <is>
          <t>SCA</t>
        </is>
      </c>
      <c r="G2308" t="n">
        <v>12.5</v>
      </c>
      <c r="H2308" t="n">
        <v>0</v>
      </c>
      <c r="I2308" t="n">
        <v>0</v>
      </c>
      <c r="J2308" t="n">
        <v>0</v>
      </c>
      <c r="K2308" t="n">
        <v>0</v>
      </c>
      <c r="L2308" t="n">
        <v>0</v>
      </c>
      <c r="M2308" t="n">
        <v>0</v>
      </c>
      <c r="N2308" t="n">
        <v>0</v>
      </c>
      <c r="O2308" t="n">
        <v>0</v>
      </c>
      <c r="P2308" t="n">
        <v>0</v>
      </c>
      <c r="Q2308" t="n">
        <v>0</v>
      </c>
      <c r="R2308" s="2" t="inlineStr"/>
    </row>
    <row r="2309" ht="15" customHeight="1">
      <c r="A2309" t="inlineStr">
        <is>
          <t>A 51102-2025</t>
        </is>
      </c>
      <c r="B2309" s="1" t="n">
        <v>45947.49001157407</v>
      </c>
      <c r="C2309" s="1" t="n">
        <v>46048</v>
      </c>
      <c r="D2309" t="inlineStr">
        <is>
          <t>VÄSTERNORRLANDS LÄN</t>
        </is>
      </c>
      <c r="E2309" t="inlineStr">
        <is>
          <t>SOLLEFTEÅ</t>
        </is>
      </c>
      <c r="F2309" t="inlineStr">
        <is>
          <t>SCA</t>
        </is>
      </c>
      <c r="G2309" t="n">
        <v>6.4</v>
      </c>
      <c r="H2309" t="n">
        <v>0</v>
      </c>
      <c r="I2309" t="n">
        <v>0</v>
      </c>
      <c r="J2309" t="n">
        <v>0</v>
      </c>
      <c r="K2309" t="n">
        <v>0</v>
      </c>
      <c r="L2309" t="n">
        <v>0</v>
      </c>
      <c r="M2309" t="n">
        <v>0</v>
      </c>
      <c r="N2309" t="n">
        <v>0</v>
      </c>
      <c r="O2309" t="n">
        <v>0</v>
      </c>
      <c r="P2309" t="n">
        <v>0</v>
      </c>
      <c r="Q2309" t="n">
        <v>0</v>
      </c>
      <c r="R2309" s="2" t="inlineStr"/>
    </row>
    <row r="2310" ht="15" customHeight="1">
      <c r="A2310" t="inlineStr">
        <is>
          <t>A 51223-2025</t>
        </is>
      </c>
      <c r="B2310" s="1" t="n">
        <v>45947.65533564815</v>
      </c>
      <c r="C2310" s="1" t="n">
        <v>46048</v>
      </c>
      <c r="D2310" t="inlineStr">
        <is>
          <t>VÄSTERNORRLANDS LÄN</t>
        </is>
      </c>
      <c r="E2310" t="inlineStr">
        <is>
          <t>SOLLEFTEÅ</t>
        </is>
      </c>
      <c r="G2310" t="n">
        <v>3.8</v>
      </c>
      <c r="H2310" t="n">
        <v>0</v>
      </c>
      <c r="I2310" t="n">
        <v>0</v>
      </c>
      <c r="J2310" t="n">
        <v>0</v>
      </c>
      <c r="K2310" t="n">
        <v>0</v>
      </c>
      <c r="L2310" t="n">
        <v>0</v>
      </c>
      <c r="M2310" t="n">
        <v>0</v>
      </c>
      <c r="N2310" t="n">
        <v>0</v>
      </c>
      <c r="O2310" t="n">
        <v>0</v>
      </c>
      <c r="P2310" t="n">
        <v>0</v>
      </c>
      <c r="Q2310" t="n">
        <v>0</v>
      </c>
      <c r="R2310" s="2" t="inlineStr"/>
    </row>
    <row r="2311" ht="15" customHeight="1">
      <c r="A2311" t="inlineStr">
        <is>
          <t>A 51087-2025</t>
        </is>
      </c>
      <c r="B2311" s="1" t="n">
        <v>45947.46954861111</v>
      </c>
      <c r="C2311" s="1" t="n">
        <v>46048</v>
      </c>
      <c r="D2311" t="inlineStr">
        <is>
          <t>VÄSTERNORRLANDS LÄN</t>
        </is>
      </c>
      <c r="E2311" t="inlineStr">
        <is>
          <t>SOLLEFTEÅ</t>
        </is>
      </c>
      <c r="F2311" t="inlineStr">
        <is>
          <t>SCA</t>
        </is>
      </c>
      <c r="G2311" t="n">
        <v>2.4</v>
      </c>
      <c r="H2311" t="n">
        <v>0</v>
      </c>
      <c r="I2311" t="n">
        <v>0</v>
      </c>
      <c r="J2311" t="n">
        <v>0</v>
      </c>
      <c r="K2311" t="n">
        <v>0</v>
      </c>
      <c r="L2311" t="n">
        <v>0</v>
      </c>
      <c r="M2311" t="n">
        <v>0</v>
      </c>
      <c r="N2311" t="n">
        <v>0</v>
      </c>
      <c r="O2311" t="n">
        <v>0</v>
      </c>
      <c r="P2311" t="n">
        <v>0</v>
      </c>
      <c r="Q2311" t="n">
        <v>0</v>
      </c>
      <c r="R2311" s="2" t="inlineStr"/>
    </row>
    <row r="2312" ht="15" customHeight="1">
      <c r="A2312" t="inlineStr">
        <is>
          <t>A 51088-2025</t>
        </is>
      </c>
      <c r="B2312" s="1" t="n">
        <v>45947.46975694445</v>
      </c>
      <c r="C2312" s="1" t="n">
        <v>46048</v>
      </c>
      <c r="D2312" t="inlineStr">
        <is>
          <t>VÄSTERNORRLANDS LÄN</t>
        </is>
      </c>
      <c r="E2312" t="inlineStr">
        <is>
          <t>SOLLEFTEÅ</t>
        </is>
      </c>
      <c r="F2312" t="inlineStr">
        <is>
          <t>SCA</t>
        </is>
      </c>
      <c r="G2312" t="n">
        <v>8.199999999999999</v>
      </c>
      <c r="H2312" t="n">
        <v>0</v>
      </c>
      <c r="I2312" t="n">
        <v>0</v>
      </c>
      <c r="J2312" t="n">
        <v>0</v>
      </c>
      <c r="K2312" t="n">
        <v>0</v>
      </c>
      <c r="L2312" t="n">
        <v>0</v>
      </c>
      <c r="M2312" t="n">
        <v>0</v>
      </c>
      <c r="N2312" t="n">
        <v>0</v>
      </c>
      <c r="O2312" t="n">
        <v>0</v>
      </c>
      <c r="P2312" t="n">
        <v>0</v>
      </c>
      <c r="Q2312" t="n">
        <v>0</v>
      </c>
      <c r="R2312" s="2" t="inlineStr"/>
    </row>
    <row r="2313" ht="15" customHeight="1">
      <c r="A2313" t="inlineStr">
        <is>
          <t>A 50733-2025</t>
        </is>
      </c>
      <c r="B2313" s="1" t="n">
        <v>45946.36538194444</v>
      </c>
      <c r="C2313" s="1" t="n">
        <v>46048</v>
      </c>
      <c r="D2313" t="inlineStr">
        <is>
          <t>VÄSTERNORRLANDS LÄN</t>
        </is>
      </c>
      <c r="E2313" t="inlineStr">
        <is>
          <t>SOLLEFTEÅ</t>
        </is>
      </c>
      <c r="F2313" t="inlineStr">
        <is>
          <t>SCA</t>
        </is>
      </c>
      <c r="G2313" t="n">
        <v>15.3</v>
      </c>
      <c r="H2313" t="n">
        <v>0</v>
      </c>
      <c r="I2313" t="n">
        <v>0</v>
      </c>
      <c r="J2313" t="n">
        <v>0</v>
      </c>
      <c r="K2313" t="n">
        <v>0</v>
      </c>
      <c r="L2313" t="n">
        <v>0</v>
      </c>
      <c r="M2313" t="n">
        <v>0</v>
      </c>
      <c r="N2313" t="n">
        <v>0</v>
      </c>
      <c r="O2313" t="n">
        <v>0</v>
      </c>
      <c r="P2313" t="n">
        <v>0</v>
      </c>
      <c r="Q2313" t="n">
        <v>0</v>
      </c>
      <c r="R2313" s="2" t="inlineStr"/>
    </row>
    <row r="2314" ht="15" customHeight="1">
      <c r="A2314" t="inlineStr">
        <is>
          <t>A 51261-2025</t>
        </is>
      </c>
      <c r="B2314" s="1" t="n">
        <v>45949.46915509259</v>
      </c>
      <c r="C2314" s="1" t="n">
        <v>46048</v>
      </c>
      <c r="D2314" t="inlineStr">
        <is>
          <t>VÄSTERNORRLANDS LÄN</t>
        </is>
      </c>
      <c r="E2314" t="inlineStr">
        <is>
          <t>SOLLEFTEÅ</t>
        </is>
      </c>
      <c r="G2314" t="n">
        <v>7.9</v>
      </c>
      <c r="H2314" t="n">
        <v>0</v>
      </c>
      <c r="I2314" t="n">
        <v>0</v>
      </c>
      <c r="J2314" t="n">
        <v>0</v>
      </c>
      <c r="K2314" t="n">
        <v>0</v>
      </c>
      <c r="L2314" t="n">
        <v>0</v>
      </c>
      <c r="M2314" t="n">
        <v>0</v>
      </c>
      <c r="N2314" t="n">
        <v>0</v>
      </c>
      <c r="O2314" t="n">
        <v>0</v>
      </c>
      <c r="P2314" t="n">
        <v>0</v>
      </c>
      <c r="Q2314" t="n">
        <v>0</v>
      </c>
      <c r="R2314" s="2" t="inlineStr"/>
    </row>
    <row r="2315" ht="15" customHeight="1">
      <c r="A2315" t="inlineStr">
        <is>
          <t>A 51609-2025</t>
        </is>
      </c>
      <c r="B2315" s="1" t="n">
        <v>45951.39130787037</v>
      </c>
      <c r="C2315" s="1" t="n">
        <v>46048</v>
      </c>
      <c r="D2315" t="inlineStr">
        <is>
          <t>VÄSTERNORRLANDS LÄN</t>
        </is>
      </c>
      <c r="E2315" t="inlineStr">
        <is>
          <t>SOLLEFTEÅ</t>
        </is>
      </c>
      <c r="F2315" t="inlineStr">
        <is>
          <t>Holmen skog AB</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51559-2025</t>
        </is>
      </c>
      <c r="B2316" s="1" t="n">
        <v>45950.93180555556</v>
      </c>
      <c r="C2316" s="1" t="n">
        <v>46048</v>
      </c>
      <c r="D2316" t="inlineStr">
        <is>
          <t>VÄSTERNORRLANDS LÄN</t>
        </is>
      </c>
      <c r="E2316" t="inlineStr">
        <is>
          <t>SOLLEFTEÅ</t>
        </is>
      </c>
      <c r="G2316" t="n">
        <v>13.2</v>
      </c>
      <c r="H2316" t="n">
        <v>0</v>
      </c>
      <c r="I2316" t="n">
        <v>0</v>
      </c>
      <c r="J2316" t="n">
        <v>0</v>
      </c>
      <c r="K2316" t="n">
        <v>0</v>
      </c>
      <c r="L2316" t="n">
        <v>0</v>
      </c>
      <c r="M2316" t="n">
        <v>0</v>
      </c>
      <c r="N2316" t="n">
        <v>0</v>
      </c>
      <c r="O2316" t="n">
        <v>0</v>
      </c>
      <c r="P2316" t="n">
        <v>0</v>
      </c>
      <c r="Q2316" t="n">
        <v>0</v>
      </c>
      <c r="R2316" s="2" t="inlineStr"/>
    </row>
    <row r="2317" ht="15" customHeight="1">
      <c r="A2317" t="inlineStr">
        <is>
          <t>A 51591-2025</t>
        </is>
      </c>
      <c r="B2317" s="1" t="n">
        <v>45951.3653587963</v>
      </c>
      <c r="C2317" s="1" t="n">
        <v>46048</v>
      </c>
      <c r="D2317" t="inlineStr">
        <is>
          <t>VÄSTERNORRLANDS LÄN</t>
        </is>
      </c>
      <c r="E2317" t="inlineStr">
        <is>
          <t>SOLLEFTEÅ</t>
        </is>
      </c>
      <c r="G2317" t="n">
        <v>5.9</v>
      </c>
      <c r="H2317" t="n">
        <v>0</v>
      </c>
      <c r="I2317" t="n">
        <v>0</v>
      </c>
      <c r="J2317" t="n">
        <v>0</v>
      </c>
      <c r="K2317" t="n">
        <v>0</v>
      </c>
      <c r="L2317" t="n">
        <v>0</v>
      </c>
      <c r="M2317" t="n">
        <v>0</v>
      </c>
      <c r="N2317" t="n">
        <v>0</v>
      </c>
      <c r="O2317" t="n">
        <v>0</v>
      </c>
      <c r="P2317" t="n">
        <v>0</v>
      </c>
      <c r="Q2317" t="n">
        <v>0</v>
      </c>
      <c r="R2317" s="2" t="inlineStr"/>
    </row>
    <row r="2318" ht="15" customHeight="1">
      <c r="A2318" t="inlineStr">
        <is>
          <t>A 51575-2025</t>
        </is>
      </c>
      <c r="B2318" s="1" t="n">
        <v>45951.34452546296</v>
      </c>
      <c r="C2318" s="1" t="n">
        <v>46048</v>
      </c>
      <c r="D2318" t="inlineStr">
        <is>
          <t>VÄSTERNORRLANDS LÄN</t>
        </is>
      </c>
      <c r="E2318" t="inlineStr">
        <is>
          <t>SOLLEFTEÅ</t>
        </is>
      </c>
      <c r="F2318" t="inlineStr">
        <is>
          <t>SCA</t>
        </is>
      </c>
      <c r="G2318" t="n">
        <v>35.4</v>
      </c>
      <c r="H2318" t="n">
        <v>0</v>
      </c>
      <c r="I2318" t="n">
        <v>0</v>
      </c>
      <c r="J2318" t="n">
        <v>0</v>
      </c>
      <c r="K2318" t="n">
        <v>0</v>
      </c>
      <c r="L2318" t="n">
        <v>0</v>
      </c>
      <c r="M2318" t="n">
        <v>0</v>
      </c>
      <c r="N2318" t="n">
        <v>0</v>
      </c>
      <c r="O2318" t="n">
        <v>0</v>
      </c>
      <c r="P2318" t="n">
        <v>0</v>
      </c>
      <c r="Q2318" t="n">
        <v>0</v>
      </c>
      <c r="R2318" s="2" t="inlineStr"/>
    </row>
    <row r="2319" ht="15" customHeight="1">
      <c r="A2319" t="inlineStr">
        <is>
          <t>A 51770-2025</t>
        </is>
      </c>
      <c r="B2319" s="1" t="n">
        <v>45951.64315972223</v>
      </c>
      <c r="C2319" s="1" t="n">
        <v>46048</v>
      </c>
      <c r="D2319" t="inlineStr">
        <is>
          <t>VÄSTERNORRLANDS LÄN</t>
        </is>
      </c>
      <c r="E2319" t="inlineStr">
        <is>
          <t>SOLLEFTEÅ</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51603-2025</t>
        </is>
      </c>
      <c r="B2320" s="1" t="n">
        <v>45951.38317129629</v>
      </c>
      <c r="C2320" s="1" t="n">
        <v>46048</v>
      </c>
      <c r="D2320" t="inlineStr">
        <is>
          <t>VÄSTERNORRLANDS LÄN</t>
        </is>
      </c>
      <c r="E2320" t="inlineStr">
        <is>
          <t>SOLLEFTEÅ</t>
        </is>
      </c>
      <c r="G2320" t="n">
        <v>5</v>
      </c>
      <c r="H2320" t="n">
        <v>0</v>
      </c>
      <c r="I2320" t="n">
        <v>0</v>
      </c>
      <c r="J2320" t="n">
        <v>0</v>
      </c>
      <c r="K2320" t="n">
        <v>0</v>
      </c>
      <c r="L2320" t="n">
        <v>0</v>
      </c>
      <c r="M2320" t="n">
        <v>0</v>
      </c>
      <c r="N2320" t="n">
        <v>0</v>
      </c>
      <c r="O2320" t="n">
        <v>0</v>
      </c>
      <c r="P2320" t="n">
        <v>0</v>
      </c>
      <c r="Q2320" t="n">
        <v>0</v>
      </c>
      <c r="R2320" s="2" t="inlineStr"/>
    </row>
    <row r="2321" ht="15" customHeight="1">
      <c r="A2321" t="inlineStr">
        <is>
          <t>A 51303-2025</t>
        </is>
      </c>
      <c r="B2321" s="1" t="n">
        <v>45950.36518518518</v>
      </c>
      <c r="C2321" s="1" t="n">
        <v>46048</v>
      </c>
      <c r="D2321" t="inlineStr">
        <is>
          <t>VÄSTERNORRLANDS LÄN</t>
        </is>
      </c>
      <c r="E2321" t="inlineStr">
        <is>
          <t>SOLLEFTEÅ</t>
        </is>
      </c>
      <c r="F2321" t="inlineStr">
        <is>
          <t>SCA</t>
        </is>
      </c>
      <c r="G2321" t="n">
        <v>29.2</v>
      </c>
      <c r="H2321" t="n">
        <v>0</v>
      </c>
      <c r="I2321" t="n">
        <v>0</v>
      </c>
      <c r="J2321" t="n">
        <v>0</v>
      </c>
      <c r="K2321" t="n">
        <v>0</v>
      </c>
      <c r="L2321" t="n">
        <v>0</v>
      </c>
      <c r="M2321" t="n">
        <v>0</v>
      </c>
      <c r="N2321" t="n">
        <v>0</v>
      </c>
      <c r="O2321" t="n">
        <v>0</v>
      </c>
      <c r="P2321" t="n">
        <v>0</v>
      </c>
      <c r="Q2321" t="n">
        <v>0</v>
      </c>
      <c r="R2321" s="2" t="inlineStr"/>
    </row>
    <row r="2322" ht="15" customHeight="1">
      <c r="A2322" t="inlineStr">
        <is>
          <t>A 51792-2025</t>
        </is>
      </c>
      <c r="B2322" s="1" t="n">
        <v>45951.6984837963</v>
      </c>
      <c r="C2322" s="1" t="n">
        <v>46048</v>
      </c>
      <c r="D2322" t="inlineStr">
        <is>
          <t>VÄSTERNORRLANDS LÄN</t>
        </is>
      </c>
      <c r="E2322" t="inlineStr">
        <is>
          <t>SOLLEFTEÅ</t>
        </is>
      </c>
      <c r="F2322" t="inlineStr">
        <is>
          <t>SCA</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51451-2025</t>
        </is>
      </c>
      <c r="B2323" s="1" t="n">
        <v>45950.59311342592</v>
      </c>
      <c r="C2323" s="1" t="n">
        <v>46048</v>
      </c>
      <c r="D2323" t="inlineStr">
        <is>
          <t>VÄSTERNORRLANDS LÄN</t>
        </is>
      </c>
      <c r="E2323" t="inlineStr">
        <is>
          <t>SOLLEFTEÅ</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51372-2025</t>
        </is>
      </c>
      <c r="B2324" s="1" t="n">
        <v>45950.44846064815</v>
      </c>
      <c r="C2324" s="1" t="n">
        <v>46048</v>
      </c>
      <c r="D2324" t="inlineStr">
        <is>
          <t>VÄSTERNORRLANDS LÄN</t>
        </is>
      </c>
      <c r="E2324" t="inlineStr">
        <is>
          <t>SOLLEFTEÅ</t>
        </is>
      </c>
      <c r="F2324" t="inlineStr">
        <is>
          <t>SCA</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51321-2025</t>
        </is>
      </c>
      <c r="B2325" s="1" t="n">
        <v>45950.38615740741</v>
      </c>
      <c r="C2325" s="1" t="n">
        <v>46048</v>
      </c>
      <c r="D2325" t="inlineStr">
        <is>
          <t>VÄSTERNORRLANDS LÄN</t>
        </is>
      </c>
      <c r="E2325" t="inlineStr">
        <is>
          <t>SOLLEFTEÅ</t>
        </is>
      </c>
      <c r="G2325" t="n">
        <v>4.3</v>
      </c>
      <c r="H2325" t="n">
        <v>0</v>
      </c>
      <c r="I2325" t="n">
        <v>0</v>
      </c>
      <c r="J2325" t="n">
        <v>0</v>
      </c>
      <c r="K2325" t="n">
        <v>0</v>
      </c>
      <c r="L2325" t="n">
        <v>0</v>
      </c>
      <c r="M2325" t="n">
        <v>0</v>
      </c>
      <c r="N2325" t="n">
        <v>0</v>
      </c>
      <c r="O2325" t="n">
        <v>0</v>
      </c>
      <c r="P2325" t="n">
        <v>0</v>
      </c>
      <c r="Q2325" t="n">
        <v>0</v>
      </c>
      <c r="R2325" s="2" t="inlineStr"/>
    </row>
    <row r="2326" ht="15" customHeight="1">
      <c r="A2326" t="inlineStr">
        <is>
          <t>A 51527-2025</t>
        </is>
      </c>
      <c r="B2326" s="1" t="n">
        <v>45950.67748842593</v>
      </c>
      <c r="C2326" s="1" t="n">
        <v>46048</v>
      </c>
      <c r="D2326" t="inlineStr">
        <is>
          <t>VÄSTERNORRLANDS LÄN</t>
        </is>
      </c>
      <c r="E2326" t="inlineStr">
        <is>
          <t>SOLLEFTEÅ</t>
        </is>
      </c>
      <c r="G2326" t="n">
        <v>2.2</v>
      </c>
      <c r="H2326" t="n">
        <v>0</v>
      </c>
      <c r="I2326" t="n">
        <v>0</v>
      </c>
      <c r="J2326" t="n">
        <v>0</v>
      </c>
      <c r="K2326" t="n">
        <v>0</v>
      </c>
      <c r="L2326" t="n">
        <v>0</v>
      </c>
      <c r="M2326" t="n">
        <v>0</v>
      </c>
      <c r="N2326" t="n">
        <v>0</v>
      </c>
      <c r="O2326" t="n">
        <v>0</v>
      </c>
      <c r="P2326" t="n">
        <v>0</v>
      </c>
      <c r="Q2326" t="n">
        <v>0</v>
      </c>
      <c r="R2326" s="2" t="inlineStr"/>
    </row>
    <row r="2327" ht="15" customHeight="1">
      <c r="A2327" t="inlineStr">
        <is>
          <t>A 51529-2025</t>
        </is>
      </c>
      <c r="B2327" s="1" t="n">
        <v>45950.67769675926</v>
      </c>
      <c r="C2327" s="1" t="n">
        <v>46048</v>
      </c>
      <c r="D2327" t="inlineStr">
        <is>
          <t>VÄSTERNORRLANDS LÄN</t>
        </is>
      </c>
      <c r="E2327" t="inlineStr">
        <is>
          <t>SOLLEFTEÅ</t>
        </is>
      </c>
      <c r="G2327" t="n">
        <v>6.4</v>
      </c>
      <c r="H2327" t="n">
        <v>0</v>
      </c>
      <c r="I2327" t="n">
        <v>0</v>
      </c>
      <c r="J2327" t="n">
        <v>0</v>
      </c>
      <c r="K2327" t="n">
        <v>0</v>
      </c>
      <c r="L2327" t="n">
        <v>0</v>
      </c>
      <c r="M2327" t="n">
        <v>0</v>
      </c>
      <c r="N2327" t="n">
        <v>0</v>
      </c>
      <c r="O2327" t="n">
        <v>0</v>
      </c>
      <c r="P2327" t="n">
        <v>0</v>
      </c>
      <c r="Q2327" t="n">
        <v>0</v>
      </c>
      <c r="R2327" s="2" t="inlineStr"/>
    </row>
    <row r="2328" ht="15" customHeight="1">
      <c r="A2328" t="inlineStr">
        <is>
          <t>A 51617-2025</t>
        </is>
      </c>
      <c r="B2328" s="1" t="n">
        <v>45951.40674768519</v>
      </c>
      <c r="C2328" s="1" t="n">
        <v>46048</v>
      </c>
      <c r="D2328" t="inlineStr">
        <is>
          <t>VÄSTERNORRLANDS LÄN</t>
        </is>
      </c>
      <c r="E2328" t="inlineStr">
        <is>
          <t>SOLLEFTEÅ</t>
        </is>
      </c>
      <c r="F2328" t="inlineStr">
        <is>
          <t>SCA</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51755-2025</t>
        </is>
      </c>
      <c r="B2329" s="1" t="n">
        <v>45950</v>
      </c>
      <c r="C2329" s="1" t="n">
        <v>46048</v>
      </c>
      <c r="D2329" t="inlineStr">
        <is>
          <t>VÄSTERNORRLANDS LÄN</t>
        </is>
      </c>
      <c r="E2329" t="inlineStr">
        <is>
          <t>SOLLEFTEÅ</t>
        </is>
      </c>
      <c r="G2329" t="n">
        <v>5.1</v>
      </c>
      <c r="H2329" t="n">
        <v>0</v>
      </c>
      <c r="I2329" t="n">
        <v>0</v>
      </c>
      <c r="J2329" t="n">
        <v>0</v>
      </c>
      <c r="K2329" t="n">
        <v>0</v>
      </c>
      <c r="L2329" t="n">
        <v>0</v>
      </c>
      <c r="M2329" t="n">
        <v>0</v>
      </c>
      <c r="N2329" t="n">
        <v>0</v>
      </c>
      <c r="O2329" t="n">
        <v>0</v>
      </c>
      <c r="P2329" t="n">
        <v>0</v>
      </c>
      <c r="Q2329" t="n">
        <v>0</v>
      </c>
      <c r="R2329" s="2" t="inlineStr"/>
    </row>
    <row r="2330" ht="15" customHeight="1">
      <c r="A2330" t="inlineStr">
        <is>
          <t>A 51259-2025</t>
        </is>
      </c>
      <c r="B2330" s="1" t="n">
        <v>45949.44818287037</v>
      </c>
      <c r="C2330" s="1" t="n">
        <v>46048</v>
      </c>
      <c r="D2330" t="inlineStr">
        <is>
          <t>VÄSTERNORRLANDS LÄN</t>
        </is>
      </c>
      <c r="E2330" t="inlineStr">
        <is>
          <t>SOLLEFTEÅ</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51521-2025</t>
        </is>
      </c>
      <c r="B2331" s="1" t="n">
        <v>45950.65715277778</v>
      </c>
      <c r="C2331" s="1" t="n">
        <v>46048</v>
      </c>
      <c r="D2331" t="inlineStr">
        <is>
          <t>VÄSTERNORRLANDS LÄN</t>
        </is>
      </c>
      <c r="E2331" t="inlineStr">
        <is>
          <t>SOLLEFTEÅ</t>
        </is>
      </c>
      <c r="G2331" t="n">
        <v>3.1</v>
      </c>
      <c r="H2331" t="n">
        <v>0</v>
      </c>
      <c r="I2331" t="n">
        <v>0</v>
      </c>
      <c r="J2331" t="n">
        <v>0</v>
      </c>
      <c r="K2331" t="n">
        <v>0</v>
      </c>
      <c r="L2331" t="n">
        <v>0</v>
      </c>
      <c r="M2331" t="n">
        <v>0</v>
      </c>
      <c r="N2331" t="n">
        <v>0</v>
      </c>
      <c r="O2331" t="n">
        <v>0</v>
      </c>
      <c r="P2331" t="n">
        <v>0</v>
      </c>
      <c r="Q2331" t="n">
        <v>0</v>
      </c>
      <c r="R2331" s="2" t="inlineStr"/>
    </row>
    <row r="2332" ht="15" customHeight="1">
      <c r="A2332" t="inlineStr">
        <is>
          <t>A 51899-2025</t>
        </is>
      </c>
      <c r="B2332" s="1" t="n">
        <v>45952.44201388889</v>
      </c>
      <c r="C2332" s="1" t="n">
        <v>46048</v>
      </c>
      <c r="D2332" t="inlineStr">
        <is>
          <t>VÄSTERNORRLANDS LÄN</t>
        </is>
      </c>
      <c r="E2332" t="inlineStr">
        <is>
          <t>SOLLEFTEÅ</t>
        </is>
      </c>
      <c r="G2332" t="n">
        <v>6.7</v>
      </c>
      <c r="H2332" t="n">
        <v>0</v>
      </c>
      <c r="I2332" t="n">
        <v>0</v>
      </c>
      <c r="J2332" t="n">
        <v>0</v>
      </c>
      <c r="K2332" t="n">
        <v>0</v>
      </c>
      <c r="L2332" t="n">
        <v>0</v>
      </c>
      <c r="M2332" t="n">
        <v>0</v>
      </c>
      <c r="N2332" t="n">
        <v>0</v>
      </c>
      <c r="O2332" t="n">
        <v>0</v>
      </c>
      <c r="P2332" t="n">
        <v>0</v>
      </c>
      <c r="Q2332" t="n">
        <v>0</v>
      </c>
      <c r="R2332" s="2" t="inlineStr"/>
    </row>
    <row r="2333" ht="15" customHeight="1">
      <c r="A2333" t="inlineStr">
        <is>
          <t>A 52092-2025</t>
        </is>
      </c>
      <c r="B2333" s="1" t="n">
        <v>45952.67827546296</v>
      </c>
      <c r="C2333" s="1" t="n">
        <v>46048</v>
      </c>
      <c r="D2333" t="inlineStr">
        <is>
          <t>VÄSTERNORRLANDS LÄN</t>
        </is>
      </c>
      <c r="E2333" t="inlineStr">
        <is>
          <t>SOLLEFTEÅ</t>
        </is>
      </c>
      <c r="F2333" t="inlineStr">
        <is>
          <t>SCA</t>
        </is>
      </c>
      <c r="G2333" t="n">
        <v>2.9</v>
      </c>
      <c r="H2333" t="n">
        <v>0</v>
      </c>
      <c r="I2333" t="n">
        <v>0</v>
      </c>
      <c r="J2333" t="n">
        <v>0</v>
      </c>
      <c r="K2333" t="n">
        <v>0</v>
      </c>
      <c r="L2333" t="n">
        <v>0</v>
      </c>
      <c r="M2333" t="n">
        <v>0</v>
      </c>
      <c r="N2333" t="n">
        <v>0</v>
      </c>
      <c r="O2333" t="n">
        <v>0</v>
      </c>
      <c r="P2333" t="n">
        <v>0</v>
      </c>
      <c r="Q2333" t="n">
        <v>0</v>
      </c>
      <c r="R2333" s="2" t="inlineStr"/>
    </row>
    <row r="2334" ht="15" customHeight="1">
      <c r="A2334" t="inlineStr">
        <is>
          <t>A 51880-2025</t>
        </is>
      </c>
      <c r="B2334" s="1" t="n">
        <v>45952.40435185185</v>
      </c>
      <c r="C2334" s="1" t="n">
        <v>46048</v>
      </c>
      <c r="D2334" t="inlineStr">
        <is>
          <t>VÄSTERNORRLANDS LÄN</t>
        </is>
      </c>
      <c r="E2334" t="inlineStr">
        <is>
          <t>SOLLEFTEÅ</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52236-2025</t>
        </is>
      </c>
      <c r="B2335" s="1" t="n">
        <v>45953.45596064815</v>
      </c>
      <c r="C2335" s="1" t="n">
        <v>46048</v>
      </c>
      <c r="D2335" t="inlineStr">
        <is>
          <t>VÄSTERNORRLANDS LÄN</t>
        </is>
      </c>
      <c r="E2335" t="inlineStr">
        <is>
          <t>SOLLEFTEÅ</t>
        </is>
      </c>
      <c r="F2335" t="inlineStr">
        <is>
          <t>Holmen skog AB</t>
        </is>
      </c>
      <c r="G2335" t="n">
        <v>7.2</v>
      </c>
      <c r="H2335" t="n">
        <v>0</v>
      </c>
      <c r="I2335" t="n">
        <v>0</v>
      </c>
      <c r="J2335" t="n">
        <v>0</v>
      </c>
      <c r="K2335" t="n">
        <v>0</v>
      </c>
      <c r="L2335" t="n">
        <v>0</v>
      </c>
      <c r="M2335" t="n">
        <v>0</v>
      </c>
      <c r="N2335" t="n">
        <v>0</v>
      </c>
      <c r="O2335" t="n">
        <v>0</v>
      </c>
      <c r="P2335" t="n">
        <v>0</v>
      </c>
      <c r="Q2335" t="n">
        <v>0</v>
      </c>
      <c r="R2335" s="2" t="inlineStr"/>
    </row>
    <row r="2336" ht="15" customHeight="1">
      <c r="A2336" t="inlineStr">
        <is>
          <t>A 52305-2025</t>
        </is>
      </c>
      <c r="B2336" s="1" t="n">
        <v>45953.63582175926</v>
      </c>
      <c r="C2336" s="1" t="n">
        <v>46048</v>
      </c>
      <c r="D2336" t="inlineStr">
        <is>
          <t>VÄSTERNORRLANDS LÄN</t>
        </is>
      </c>
      <c r="E2336" t="inlineStr">
        <is>
          <t>SOLLEFTEÅ</t>
        </is>
      </c>
      <c r="F2336" t="inlineStr">
        <is>
          <t>SCA</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52078-2025</t>
        </is>
      </c>
      <c r="B2337" s="1" t="n">
        <v>45952.65828703704</v>
      </c>
      <c r="C2337" s="1" t="n">
        <v>46048</v>
      </c>
      <c r="D2337" t="inlineStr">
        <is>
          <t>VÄSTERNORRLANDS LÄN</t>
        </is>
      </c>
      <c r="E2337" t="inlineStr">
        <is>
          <t>SOLLEFTEÅ</t>
        </is>
      </c>
      <c r="G2337" t="n">
        <v>4</v>
      </c>
      <c r="H2337" t="n">
        <v>0</v>
      </c>
      <c r="I2337" t="n">
        <v>0</v>
      </c>
      <c r="J2337" t="n">
        <v>0</v>
      </c>
      <c r="K2337" t="n">
        <v>0</v>
      </c>
      <c r="L2337" t="n">
        <v>0</v>
      </c>
      <c r="M2337" t="n">
        <v>0</v>
      </c>
      <c r="N2337" t="n">
        <v>0</v>
      </c>
      <c r="O2337" t="n">
        <v>0</v>
      </c>
      <c r="P2337" t="n">
        <v>0</v>
      </c>
      <c r="Q2337" t="n">
        <v>0</v>
      </c>
      <c r="R2337" s="2" t="inlineStr"/>
    </row>
    <row r="2338" ht="15" customHeight="1">
      <c r="A2338" t="inlineStr">
        <is>
          <t>A 51870-2025</t>
        </is>
      </c>
      <c r="B2338" s="1" t="n">
        <v>45952.38590277778</v>
      </c>
      <c r="C2338" s="1" t="n">
        <v>46048</v>
      </c>
      <c r="D2338" t="inlineStr">
        <is>
          <t>VÄSTERNORRLANDS LÄN</t>
        </is>
      </c>
      <c r="E2338" t="inlineStr">
        <is>
          <t>SOLLEFTEÅ</t>
        </is>
      </c>
      <c r="F2338" t="inlineStr">
        <is>
          <t>SCA</t>
        </is>
      </c>
      <c r="G2338" t="n">
        <v>2.6</v>
      </c>
      <c r="H2338" t="n">
        <v>0</v>
      </c>
      <c r="I2338" t="n">
        <v>0</v>
      </c>
      <c r="J2338" t="n">
        <v>0</v>
      </c>
      <c r="K2338" t="n">
        <v>0</v>
      </c>
      <c r="L2338" t="n">
        <v>0</v>
      </c>
      <c r="M2338" t="n">
        <v>0</v>
      </c>
      <c r="N2338" t="n">
        <v>0</v>
      </c>
      <c r="O2338" t="n">
        <v>0</v>
      </c>
      <c r="P2338" t="n">
        <v>0</v>
      </c>
      <c r="Q2338" t="n">
        <v>0</v>
      </c>
      <c r="R2338" s="2" t="inlineStr"/>
    </row>
    <row r="2339" ht="15" customHeight="1">
      <c r="A2339" t="inlineStr">
        <is>
          <t>A 52023-2025</t>
        </is>
      </c>
      <c r="B2339" s="1" t="n">
        <v>45952.60252314815</v>
      </c>
      <c r="C2339" s="1" t="n">
        <v>46048</v>
      </c>
      <c r="D2339" t="inlineStr">
        <is>
          <t>VÄSTERNORRLANDS LÄN</t>
        </is>
      </c>
      <c r="E2339" t="inlineStr">
        <is>
          <t>SOLLEFTEÅ</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51918-2025</t>
        </is>
      </c>
      <c r="B2340" s="1" t="n">
        <v>45952.48068287037</v>
      </c>
      <c r="C2340" s="1" t="n">
        <v>46048</v>
      </c>
      <c r="D2340" t="inlineStr">
        <is>
          <t>VÄSTERNORRLANDS LÄN</t>
        </is>
      </c>
      <c r="E2340" t="inlineStr">
        <is>
          <t>SOLLEFTEÅ</t>
        </is>
      </c>
      <c r="G2340" t="n">
        <v>8.699999999999999</v>
      </c>
      <c r="H2340" t="n">
        <v>0</v>
      </c>
      <c r="I2340" t="n">
        <v>0</v>
      </c>
      <c r="J2340" t="n">
        <v>0</v>
      </c>
      <c r="K2340" t="n">
        <v>0</v>
      </c>
      <c r="L2340" t="n">
        <v>0</v>
      </c>
      <c r="M2340" t="n">
        <v>0</v>
      </c>
      <c r="N2340" t="n">
        <v>0</v>
      </c>
      <c r="O2340" t="n">
        <v>0</v>
      </c>
      <c r="P2340" t="n">
        <v>0</v>
      </c>
      <c r="Q2340" t="n">
        <v>0</v>
      </c>
      <c r="R2340" s="2" t="inlineStr"/>
    </row>
    <row r="2341" ht="15" customHeight="1">
      <c r="A2341" t="inlineStr">
        <is>
          <t>A 52116-2025</t>
        </is>
      </c>
      <c r="B2341" s="1" t="n">
        <v>45952</v>
      </c>
      <c r="C2341" s="1" t="n">
        <v>46048</v>
      </c>
      <c r="D2341" t="inlineStr">
        <is>
          <t>VÄSTERNORRLANDS LÄN</t>
        </is>
      </c>
      <c r="E2341" t="inlineStr">
        <is>
          <t>SOLLEFTEÅ</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52011-2025</t>
        </is>
      </c>
      <c r="B2342" s="1" t="n">
        <v>45952.59517361111</v>
      </c>
      <c r="C2342" s="1" t="n">
        <v>46048</v>
      </c>
      <c r="D2342" t="inlineStr">
        <is>
          <t>VÄSTERNORRLANDS LÄN</t>
        </is>
      </c>
      <c r="E2342" t="inlineStr">
        <is>
          <t>SOLLEFTEÅ</t>
        </is>
      </c>
      <c r="G2342" t="n">
        <v>12.2</v>
      </c>
      <c r="H2342" t="n">
        <v>0</v>
      </c>
      <c r="I2342" t="n">
        <v>0</v>
      </c>
      <c r="J2342" t="n">
        <v>0</v>
      </c>
      <c r="K2342" t="n">
        <v>0</v>
      </c>
      <c r="L2342" t="n">
        <v>0</v>
      </c>
      <c r="M2342" t="n">
        <v>0</v>
      </c>
      <c r="N2342" t="n">
        <v>0</v>
      </c>
      <c r="O2342" t="n">
        <v>0</v>
      </c>
      <c r="P2342" t="n">
        <v>0</v>
      </c>
      <c r="Q2342" t="n">
        <v>0</v>
      </c>
      <c r="R2342" s="2" t="inlineStr"/>
    </row>
    <row r="2343" ht="15" customHeight="1">
      <c r="A2343" t="inlineStr">
        <is>
          <t>A 52765-2025</t>
        </is>
      </c>
      <c r="B2343" s="1" t="n">
        <v>45957</v>
      </c>
      <c r="C2343" s="1" t="n">
        <v>46048</v>
      </c>
      <c r="D2343" t="inlineStr">
        <is>
          <t>VÄSTERNORRLANDS LÄN</t>
        </is>
      </c>
      <c r="E2343" t="inlineStr">
        <is>
          <t>SOLLEFTEÅ</t>
        </is>
      </c>
      <c r="G2343" t="n">
        <v>2.9</v>
      </c>
      <c r="H2343" t="n">
        <v>0</v>
      </c>
      <c r="I2343" t="n">
        <v>0</v>
      </c>
      <c r="J2343" t="n">
        <v>0</v>
      </c>
      <c r="K2343" t="n">
        <v>0</v>
      </c>
      <c r="L2343" t="n">
        <v>0</v>
      </c>
      <c r="M2343" t="n">
        <v>0</v>
      </c>
      <c r="N2343" t="n">
        <v>0</v>
      </c>
      <c r="O2343" t="n">
        <v>0</v>
      </c>
      <c r="P2343" t="n">
        <v>0</v>
      </c>
      <c r="Q2343" t="n">
        <v>0</v>
      </c>
      <c r="R2343" s="2" t="inlineStr"/>
    </row>
    <row r="2344" ht="15" customHeight="1">
      <c r="A2344" t="inlineStr">
        <is>
          <t>A 52767-2025</t>
        </is>
      </c>
      <c r="B2344" s="1" t="n">
        <v>45957.40163194444</v>
      </c>
      <c r="C2344" s="1" t="n">
        <v>46048</v>
      </c>
      <c r="D2344" t="inlineStr">
        <is>
          <t>VÄSTERNORRLANDS LÄN</t>
        </is>
      </c>
      <c r="E2344" t="inlineStr">
        <is>
          <t>SOLLEFTEÅ</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52974-2025</t>
        </is>
      </c>
      <c r="B2345" s="1" t="n">
        <v>45957.67858796296</v>
      </c>
      <c r="C2345" s="1" t="n">
        <v>46048</v>
      </c>
      <c r="D2345" t="inlineStr">
        <is>
          <t>VÄSTERNORRLANDS LÄN</t>
        </is>
      </c>
      <c r="E2345" t="inlineStr">
        <is>
          <t>SOLLEFTEÅ</t>
        </is>
      </c>
      <c r="F2345" t="inlineStr">
        <is>
          <t>SCA</t>
        </is>
      </c>
      <c r="G2345" t="n">
        <v>5.1</v>
      </c>
      <c r="H2345" t="n">
        <v>0</v>
      </c>
      <c r="I2345" t="n">
        <v>0</v>
      </c>
      <c r="J2345" t="n">
        <v>0</v>
      </c>
      <c r="K2345" t="n">
        <v>0</v>
      </c>
      <c r="L2345" t="n">
        <v>0</v>
      </c>
      <c r="M2345" t="n">
        <v>0</v>
      </c>
      <c r="N2345" t="n">
        <v>0</v>
      </c>
      <c r="O2345" t="n">
        <v>0</v>
      </c>
      <c r="P2345" t="n">
        <v>0</v>
      </c>
      <c r="Q2345" t="n">
        <v>0</v>
      </c>
      <c r="R2345" s="2" t="inlineStr"/>
    </row>
    <row r="2346" ht="15" customHeight="1">
      <c r="A2346" t="inlineStr">
        <is>
          <t>A 52393-2025</t>
        </is>
      </c>
      <c r="B2346" s="1" t="n">
        <v>45954.34443287037</v>
      </c>
      <c r="C2346" s="1" t="n">
        <v>46048</v>
      </c>
      <c r="D2346" t="inlineStr">
        <is>
          <t>VÄSTERNORRLANDS LÄN</t>
        </is>
      </c>
      <c r="E2346" t="inlineStr">
        <is>
          <t>SOLLEFTEÅ</t>
        </is>
      </c>
      <c r="F2346" t="inlineStr">
        <is>
          <t>SCA</t>
        </is>
      </c>
      <c r="G2346" t="n">
        <v>29.1</v>
      </c>
      <c r="H2346" t="n">
        <v>0</v>
      </c>
      <c r="I2346" t="n">
        <v>0</v>
      </c>
      <c r="J2346" t="n">
        <v>0</v>
      </c>
      <c r="K2346" t="n">
        <v>0</v>
      </c>
      <c r="L2346" t="n">
        <v>0</v>
      </c>
      <c r="M2346" t="n">
        <v>0</v>
      </c>
      <c r="N2346" t="n">
        <v>0</v>
      </c>
      <c r="O2346" t="n">
        <v>0</v>
      </c>
      <c r="P2346" t="n">
        <v>0</v>
      </c>
      <c r="Q2346" t="n">
        <v>0</v>
      </c>
      <c r="R2346" s="2" t="inlineStr"/>
    </row>
    <row r="2347" ht="15" customHeight="1">
      <c r="A2347" t="inlineStr">
        <is>
          <t>A 52780-2025</t>
        </is>
      </c>
      <c r="B2347" s="1" t="n">
        <v>45957.42261574074</v>
      </c>
      <c r="C2347" s="1" t="n">
        <v>46048</v>
      </c>
      <c r="D2347" t="inlineStr">
        <is>
          <t>VÄSTERNORRLANDS LÄN</t>
        </is>
      </c>
      <c r="E2347" t="inlineStr">
        <is>
          <t>SOLLEFTEÅ</t>
        </is>
      </c>
      <c r="G2347" t="n">
        <v>12.4</v>
      </c>
      <c r="H2347" t="n">
        <v>0</v>
      </c>
      <c r="I2347" t="n">
        <v>0</v>
      </c>
      <c r="J2347" t="n">
        <v>0</v>
      </c>
      <c r="K2347" t="n">
        <v>0</v>
      </c>
      <c r="L2347" t="n">
        <v>0</v>
      </c>
      <c r="M2347" t="n">
        <v>0</v>
      </c>
      <c r="N2347" t="n">
        <v>0</v>
      </c>
      <c r="O2347" t="n">
        <v>0</v>
      </c>
      <c r="P2347" t="n">
        <v>0</v>
      </c>
      <c r="Q2347" t="n">
        <v>0</v>
      </c>
      <c r="R2347" s="2" t="inlineStr"/>
    </row>
    <row r="2348" ht="15" customHeight="1">
      <c r="A2348" t="inlineStr">
        <is>
          <t>A 52665-2025</t>
        </is>
      </c>
      <c r="B2348" s="1" t="n">
        <v>45955.65716435185</v>
      </c>
      <c r="C2348" s="1" t="n">
        <v>46048</v>
      </c>
      <c r="D2348" t="inlineStr">
        <is>
          <t>VÄSTERNORRLANDS LÄN</t>
        </is>
      </c>
      <c r="E2348" t="inlineStr">
        <is>
          <t>SOLLEFTEÅ</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52483-2025</t>
        </is>
      </c>
      <c r="B2349" s="1" t="n">
        <v>45954.47412037037</v>
      </c>
      <c r="C2349" s="1" t="n">
        <v>46048</v>
      </c>
      <c r="D2349" t="inlineStr">
        <is>
          <t>VÄSTERNORRLANDS LÄN</t>
        </is>
      </c>
      <c r="E2349" t="inlineStr">
        <is>
          <t>SOLLEFTEÅ</t>
        </is>
      </c>
      <c r="G2349" t="n">
        <v>10.3</v>
      </c>
      <c r="H2349" t="n">
        <v>0</v>
      </c>
      <c r="I2349" t="n">
        <v>0</v>
      </c>
      <c r="J2349" t="n">
        <v>0</v>
      </c>
      <c r="K2349" t="n">
        <v>0</v>
      </c>
      <c r="L2349" t="n">
        <v>0</v>
      </c>
      <c r="M2349" t="n">
        <v>0</v>
      </c>
      <c r="N2349" t="n">
        <v>0</v>
      </c>
      <c r="O2349" t="n">
        <v>0</v>
      </c>
      <c r="P2349" t="n">
        <v>0</v>
      </c>
      <c r="Q2349" t="n">
        <v>0</v>
      </c>
      <c r="R2349" s="2" t="inlineStr"/>
    </row>
    <row r="2350" ht="15" customHeight="1">
      <c r="A2350" t="inlineStr">
        <is>
          <t>A 21089-2025</t>
        </is>
      </c>
      <c r="B2350" s="1" t="n">
        <v>45777</v>
      </c>
      <c r="C2350" s="1" t="n">
        <v>46048</v>
      </c>
      <c r="D2350" t="inlineStr">
        <is>
          <t>VÄSTERNORRLANDS LÄN</t>
        </is>
      </c>
      <c r="E2350" t="inlineStr">
        <is>
          <t>SOLLEFTEÅ</t>
        </is>
      </c>
      <c r="F2350" t="inlineStr">
        <is>
          <t>SCA</t>
        </is>
      </c>
      <c r="G2350" t="n">
        <v>19.9</v>
      </c>
      <c r="H2350" t="n">
        <v>0</v>
      </c>
      <c r="I2350" t="n">
        <v>0</v>
      </c>
      <c r="J2350" t="n">
        <v>0</v>
      </c>
      <c r="K2350" t="n">
        <v>0</v>
      </c>
      <c r="L2350" t="n">
        <v>0</v>
      </c>
      <c r="M2350" t="n">
        <v>0</v>
      </c>
      <c r="N2350" t="n">
        <v>0</v>
      </c>
      <c r="O2350" t="n">
        <v>0</v>
      </c>
      <c r="P2350" t="n">
        <v>0</v>
      </c>
      <c r="Q2350" t="n">
        <v>0</v>
      </c>
      <c r="R2350" s="2" t="inlineStr"/>
    </row>
    <row r="2351" ht="15" customHeight="1">
      <c r="A2351" t="inlineStr">
        <is>
          <t>A 52499-2025</t>
        </is>
      </c>
      <c r="B2351" s="1" t="n">
        <v>45954.49407407407</v>
      </c>
      <c r="C2351" s="1" t="n">
        <v>46048</v>
      </c>
      <c r="D2351" t="inlineStr">
        <is>
          <t>VÄSTERNORRLANDS LÄN</t>
        </is>
      </c>
      <c r="E2351" t="inlineStr">
        <is>
          <t>SOLLEFTEÅ</t>
        </is>
      </c>
      <c r="G2351" t="n">
        <v>10.2</v>
      </c>
      <c r="H2351" t="n">
        <v>0</v>
      </c>
      <c r="I2351" t="n">
        <v>0</v>
      </c>
      <c r="J2351" t="n">
        <v>0</v>
      </c>
      <c r="K2351" t="n">
        <v>0</v>
      </c>
      <c r="L2351" t="n">
        <v>0</v>
      </c>
      <c r="M2351" t="n">
        <v>0</v>
      </c>
      <c r="N2351" t="n">
        <v>0</v>
      </c>
      <c r="O2351" t="n">
        <v>0</v>
      </c>
      <c r="P2351" t="n">
        <v>0</v>
      </c>
      <c r="Q2351" t="n">
        <v>0</v>
      </c>
      <c r="R2351" s="2" t="inlineStr"/>
    </row>
    <row r="2352" ht="15" customHeight="1">
      <c r="A2352" t="inlineStr">
        <is>
          <t>A 52739-2025</t>
        </is>
      </c>
      <c r="B2352" s="1" t="n">
        <v>45957.37555555555</v>
      </c>
      <c r="C2352" s="1" t="n">
        <v>46048</v>
      </c>
      <c r="D2352" t="inlineStr">
        <is>
          <t>VÄSTERNORRLANDS LÄN</t>
        </is>
      </c>
      <c r="E2352" t="inlineStr">
        <is>
          <t>SOLLEFTEÅ</t>
        </is>
      </c>
      <c r="G2352" t="n">
        <v>2.7</v>
      </c>
      <c r="H2352" t="n">
        <v>0</v>
      </c>
      <c r="I2352" t="n">
        <v>0</v>
      </c>
      <c r="J2352" t="n">
        <v>0</v>
      </c>
      <c r="K2352" t="n">
        <v>0</v>
      </c>
      <c r="L2352" t="n">
        <v>0</v>
      </c>
      <c r="M2352" t="n">
        <v>0</v>
      </c>
      <c r="N2352" t="n">
        <v>0</v>
      </c>
      <c r="O2352" t="n">
        <v>0</v>
      </c>
      <c r="P2352" t="n">
        <v>0</v>
      </c>
      <c r="Q2352" t="n">
        <v>0</v>
      </c>
      <c r="R2352" s="2" t="inlineStr"/>
    </row>
    <row r="2353" ht="15" customHeight="1">
      <c r="A2353" t="inlineStr">
        <is>
          <t>A 53030-2025</t>
        </is>
      </c>
      <c r="B2353" s="1" t="n">
        <v>45958.34442129629</v>
      </c>
      <c r="C2353" s="1" t="n">
        <v>46048</v>
      </c>
      <c r="D2353" t="inlineStr">
        <is>
          <t>VÄSTERNORRLANDS LÄN</t>
        </is>
      </c>
      <c r="E2353" t="inlineStr">
        <is>
          <t>SOLLEFTEÅ</t>
        </is>
      </c>
      <c r="F2353" t="inlineStr">
        <is>
          <t>SCA</t>
        </is>
      </c>
      <c r="G2353" t="n">
        <v>11.7</v>
      </c>
      <c r="H2353" t="n">
        <v>0</v>
      </c>
      <c r="I2353" t="n">
        <v>0</v>
      </c>
      <c r="J2353" t="n">
        <v>0</v>
      </c>
      <c r="K2353" t="n">
        <v>0</v>
      </c>
      <c r="L2353" t="n">
        <v>0</v>
      </c>
      <c r="M2353" t="n">
        <v>0</v>
      </c>
      <c r="N2353" t="n">
        <v>0</v>
      </c>
      <c r="O2353" t="n">
        <v>0</v>
      </c>
      <c r="P2353" t="n">
        <v>0</v>
      </c>
      <c r="Q2353" t="n">
        <v>0</v>
      </c>
      <c r="R2353" s="2" t="inlineStr"/>
    </row>
    <row r="2354" ht="15" customHeight="1">
      <c r="A2354" t="inlineStr">
        <is>
          <t>A 53468-2025</t>
        </is>
      </c>
      <c r="B2354" s="1" t="n">
        <v>45959.69859953703</v>
      </c>
      <c r="C2354" s="1" t="n">
        <v>46048</v>
      </c>
      <c r="D2354" t="inlineStr">
        <is>
          <t>VÄSTERNORRLANDS LÄN</t>
        </is>
      </c>
      <c r="E2354" t="inlineStr">
        <is>
          <t>SOLLEFTEÅ</t>
        </is>
      </c>
      <c r="F2354" t="inlineStr">
        <is>
          <t>SCA</t>
        </is>
      </c>
      <c r="G2354" t="n">
        <v>6.3</v>
      </c>
      <c r="H2354" t="n">
        <v>0</v>
      </c>
      <c r="I2354" t="n">
        <v>0</v>
      </c>
      <c r="J2354" t="n">
        <v>0</v>
      </c>
      <c r="K2354" t="n">
        <v>0</v>
      </c>
      <c r="L2354" t="n">
        <v>0</v>
      </c>
      <c r="M2354" t="n">
        <v>0</v>
      </c>
      <c r="N2354" t="n">
        <v>0</v>
      </c>
      <c r="O2354" t="n">
        <v>0</v>
      </c>
      <c r="P2354" t="n">
        <v>0</v>
      </c>
      <c r="Q2354" t="n">
        <v>0</v>
      </c>
      <c r="R2354" s="2" t="inlineStr"/>
    </row>
    <row r="2355" ht="15" customHeight="1">
      <c r="A2355" t="inlineStr">
        <is>
          <t>A 53428-2025</t>
        </is>
      </c>
      <c r="B2355" s="1" t="n">
        <v>45959.61526620371</v>
      </c>
      <c r="C2355" s="1" t="n">
        <v>46048</v>
      </c>
      <c r="D2355" t="inlineStr">
        <is>
          <t>VÄSTERNORRLANDS LÄN</t>
        </is>
      </c>
      <c r="E2355" t="inlineStr">
        <is>
          <t>SOLLEFTEÅ</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53240-2025</t>
        </is>
      </c>
      <c r="B2356" s="1" t="n">
        <v>45958.63600694444</v>
      </c>
      <c r="C2356" s="1" t="n">
        <v>46048</v>
      </c>
      <c r="D2356" t="inlineStr">
        <is>
          <t>VÄSTERNORRLANDS LÄN</t>
        </is>
      </c>
      <c r="E2356" t="inlineStr">
        <is>
          <t>SOLLEFTEÅ</t>
        </is>
      </c>
      <c r="F2356" t="inlineStr">
        <is>
          <t>SCA</t>
        </is>
      </c>
      <c r="G2356" t="n">
        <v>36.2</v>
      </c>
      <c r="H2356" t="n">
        <v>0</v>
      </c>
      <c r="I2356" t="n">
        <v>0</v>
      </c>
      <c r="J2356" t="n">
        <v>0</v>
      </c>
      <c r="K2356" t="n">
        <v>0</v>
      </c>
      <c r="L2356" t="n">
        <v>0</v>
      </c>
      <c r="M2356" t="n">
        <v>0</v>
      </c>
      <c r="N2356" t="n">
        <v>0</v>
      </c>
      <c r="O2356" t="n">
        <v>0</v>
      </c>
      <c r="P2356" t="n">
        <v>0</v>
      </c>
      <c r="Q2356" t="n">
        <v>0</v>
      </c>
      <c r="R2356" s="2" t="inlineStr"/>
    </row>
    <row r="2357" ht="15" customHeight="1">
      <c r="A2357" t="inlineStr">
        <is>
          <t>A 53097-2025</t>
        </is>
      </c>
      <c r="B2357" s="1" t="n">
        <v>45958.42767361111</v>
      </c>
      <c r="C2357" s="1" t="n">
        <v>46048</v>
      </c>
      <c r="D2357" t="inlineStr">
        <is>
          <t>VÄSTERNORRLANDS LÄN</t>
        </is>
      </c>
      <c r="E2357" t="inlineStr">
        <is>
          <t>SOLLEFTEÅ</t>
        </is>
      </c>
      <c r="F2357" t="inlineStr">
        <is>
          <t>SCA</t>
        </is>
      </c>
      <c r="G2357" t="n">
        <v>3.7</v>
      </c>
      <c r="H2357" t="n">
        <v>0</v>
      </c>
      <c r="I2357" t="n">
        <v>0</v>
      </c>
      <c r="J2357" t="n">
        <v>0</v>
      </c>
      <c r="K2357" t="n">
        <v>0</v>
      </c>
      <c r="L2357" t="n">
        <v>0</v>
      </c>
      <c r="M2357" t="n">
        <v>0</v>
      </c>
      <c r="N2357" t="n">
        <v>0</v>
      </c>
      <c r="O2357" t="n">
        <v>0</v>
      </c>
      <c r="P2357" t="n">
        <v>0</v>
      </c>
      <c r="Q2357" t="n">
        <v>0</v>
      </c>
      <c r="R2357" s="2" t="inlineStr"/>
    </row>
    <row r="2358" ht="15" customHeight="1">
      <c r="A2358" t="inlineStr">
        <is>
          <t>A 53098-2025</t>
        </is>
      </c>
      <c r="B2358" s="1" t="n">
        <v>45958.42774305555</v>
      </c>
      <c r="C2358" s="1" t="n">
        <v>46048</v>
      </c>
      <c r="D2358" t="inlineStr">
        <is>
          <t>VÄSTERNORRLANDS LÄN</t>
        </is>
      </c>
      <c r="E2358" t="inlineStr">
        <is>
          <t>SOLLEFTEÅ</t>
        </is>
      </c>
      <c r="F2358" t="inlineStr">
        <is>
          <t>SCA</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53269-2025</t>
        </is>
      </c>
      <c r="B2359" s="1" t="n">
        <v>45958.6985300926</v>
      </c>
      <c r="C2359" s="1" t="n">
        <v>46048</v>
      </c>
      <c r="D2359" t="inlineStr">
        <is>
          <t>VÄSTERNORRLANDS LÄN</t>
        </is>
      </c>
      <c r="E2359" t="inlineStr">
        <is>
          <t>SOLLEFTEÅ</t>
        </is>
      </c>
      <c r="F2359" t="inlineStr">
        <is>
          <t>SCA</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53055-2025</t>
        </is>
      </c>
      <c r="B2360" s="1" t="n">
        <v>45958.36517361111</v>
      </c>
      <c r="C2360" s="1" t="n">
        <v>46048</v>
      </c>
      <c r="D2360" t="inlineStr">
        <is>
          <t>VÄSTERNORRLANDS LÄN</t>
        </is>
      </c>
      <c r="E2360" t="inlineStr">
        <is>
          <t>SOLLEFTEÅ</t>
        </is>
      </c>
      <c r="F2360" t="inlineStr">
        <is>
          <t>SCA</t>
        </is>
      </c>
      <c r="G2360" t="n">
        <v>3.8</v>
      </c>
      <c r="H2360" t="n">
        <v>0</v>
      </c>
      <c r="I2360" t="n">
        <v>0</v>
      </c>
      <c r="J2360" t="n">
        <v>0</v>
      </c>
      <c r="K2360" t="n">
        <v>0</v>
      </c>
      <c r="L2360" t="n">
        <v>0</v>
      </c>
      <c r="M2360" t="n">
        <v>0</v>
      </c>
      <c r="N2360" t="n">
        <v>0</v>
      </c>
      <c r="O2360" t="n">
        <v>0</v>
      </c>
      <c r="P2360" t="n">
        <v>0</v>
      </c>
      <c r="Q2360" t="n">
        <v>0</v>
      </c>
      <c r="R2360" s="2" t="inlineStr"/>
    </row>
    <row r="2361" ht="15" customHeight="1">
      <c r="A2361" t="inlineStr">
        <is>
          <t>A 49789-2025</t>
        </is>
      </c>
      <c r="B2361" s="1" t="n">
        <v>45940</v>
      </c>
      <c r="C2361" s="1" t="n">
        <v>46048</v>
      </c>
      <c r="D2361" t="inlineStr">
        <is>
          <t>VÄSTERNORRLANDS LÄN</t>
        </is>
      </c>
      <c r="E2361" t="inlineStr">
        <is>
          <t>SOLLEFTEÅ</t>
        </is>
      </c>
      <c r="G2361" t="n">
        <v>2.5</v>
      </c>
      <c r="H2361" t="n">
        <v>0</v>
      </c>
      <c r="I2361" t="n">
        <v>0</v>
      </c>
      <c r="J2361" t="n">
        <v>0</v>
      </c>
      <c r="K2361" t="n">
        <v>0</v>
      </c>
      <c r="L2361" t="n">
        <v>0</v>
      </c>
      <c r="M2361" t="n">
        <v>0</v>
      </c>
      <c r="N2361" t="n">
        <v>0</v>
      </c>
      <c r="O2361" t="n">
        <v>0</v>
      </c>
      <c r="P2361" t="n">
        <v>0</v>
      </c>
      <c r="Q2361" t="n">
        <v>0</v>
      </c>
      <c r="R2361" s="2" t="inlineStr"/>
    </row>
    <row r="2362" ht="15" customHeight="1">
      <c r="A2362" t="inlineStr">
        <is>
          <t>A 53974-2025</t>
        </is>
      </c>
      <c r="B2362" s="1" t="n">
        <v>45961.55261574074</v>
      </c>
      <c r="C2362" s="1" t="n">
        <v>46048</v>
      </c>
      <c r="D2362" t="inlineStr">
        <is>
          <t>VÄSTERNORRLANDS LÄN</t>
        </is>
      </c>
      <c r="E2362" t="inlineStr">
        <is>
          <t>SOLLEFTEÅ</t>
        </is>
      </c>
      <c r="F2362" t="inlineStr">
        <is>
          <t>SCA</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49249-2025</t>
        </is>
      </c>
      <c r="B2363" s="1" t="n">
        <v>45938</v>
      </c>
      <c r="C2363" s="1" t="n">
        <v>46048</v>
      </c>
      <c r="D2363" t="inlineStr">
        <is>
          <t>VÄSTERNORRLANDS LÄN</t>
        </is>
      </c>
      <c r="E2363" t="inlineStr">
        <is>
          <t>SOLLEFTEÅ</t>
        </is>
      </c>
      <c r="F2363" t="inlineStr">
        <is>
          <t>SCA</t>
        </is>
      </c>
      <c r="G2363" t="n">
        <v>5.8</v>
      </c>
      <c r="H2363" t="n">
        <v>0</v>
      </c>
      <c r="I2363" t="n">
        <v>0</v>
      </c>
      <c r="J2363" t="n">
        <v>0</v>
      </c>
      <c r="K2363" t="n">
        <v>0</v>
      </c>
      <c r="L2363" t="n">
        <v>0</v>
      </c>
      <c r="M2363" t="n">
        <v>0</v>
      </c>
      <c r="N2363" t="n">
        <v>0</v>
      </c>
      <c r="O2363" t="n">
        <v>0</v>
      </c>
      <c r="P2363" t="n">
        <v>0</v>
      </c>
      <c r="Q2363" t="n">
        <v>0</v>
      </c>
      <c r="R2363" s="2" t="inlineStr"/>
    </row>
    <row r="2364" ht="15" customHeight="1">
      <c r="A2364" t="inlineStr">
        <is>
          <t>A 53639-2025</t>
        </is>
      </c>
      <c r="B2364" s="1" t="n">
        <v>45960</v>
      </c>
      <c r="C2364" s="1" t="n">
        <v>46048</v>
      </c>
      <c r="D2364" t="inlineStr">
        <is>
          <t>VÄSTERNORRLANDS LÄN</t>
        </is>
      </c>
      <c r="E2364" t="inlineStr">
        <is>
          <t>SOLLEFTEÅ</t>
        </is>
      </c>
      <c r="F2364" t="inlineStr">
        <is>
          <t>SCA</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53530-2025</t>
        </is>
      </c>
      <c r="B2365" s="1" t="n">
        <v>45960.36521990741</v>
      </c>
      <c r="C2365" s="1" t="n">
        <v>46048</v>
      </c>
      <c r="D2365" t="inlineStr">
        <is>
          <t>VÄSTERNORRLANDS LÄN</t>
        </is>
      </c>
      <c r="E2365" t="inlineStr">
        <is>
          <t>SOLLEFTEÅ</t>
        </is>
      </c>
      <c r="F2365" t="inlineStr">
        <is>
          <t>SCA</t>
        </is>
      </c>
      <c r="G2365" t="n">
        <v>3.2</v>
      </c>
      <c r="H2365" t="n">
        <v>0</v>
      </c>
      <c r="I2365" t="n">
        <v>0</v>
      </c>
      <c r="J2365" t="n">
        <v>0</v>
      </c>
      <c r="K2365" t="n">
        <v>0</v>
      </c>
      <c r="L2365" t="n">
        <v>0</v>
      </c>
      <c r="M2365" t="n">
        <v>0</v>
      </c>
      <c r="N2365" t="n">
        <v>0</v>
      </c>
      <c r="O2365" t="n">
        <v>0</v>
      </c>
      <c r="P2365" t="n">
        <v>0</v>
      </c>
      <c r="Q2365" t="n">
        <v>0</v>
      </c>
      <c r="R2365" s="2" t="inlineStr"/>
    </row>
    <row r="2366" ht="15" customHeight="1">
      <c r="A2366" t="inlineStr">
        <is>
          <t>A 53550-2025</t>
        </is>
      </c>
      <c r="B2366" s="1" t="n">
        <v>45960.38583333333</v>
      </c>
      <c r="C2366" s="1" t="n">
        <v>46048</v>
      </c>
      <c r="D2366" t="inlineStr">
        <is>
          <t>VÄSTERNORRLANDS LÄN</t>
        </is>
      </c>
      <c r="E2366" t="inlineStr">
        <is>
          <t>SOLLEFTEÅ</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53833-2025</t>
        </is>
      </c>
      <c r="B2367" s="1" t="n">
        <v>45961.34518518519</v>
      </c>
      <c r="C2367" s="1" t="n">
        <v>46048</v>
      </c>
      <c r="D2367" t="inlineStr">
        <is>
          <t>VÄSTERNORRLANDS LÄN</t>
        </is>
      </c>
      <c r="E2367" t="inlineStr">
        <is>
          <t>SOLLEFTEÅ</t>
        </is>
      </c>
      <c r="F2367" t="inlineStr">
        <is>
          <t>SCA</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53896-2025</t>
        </is>
      </c>
      <c r="B2368" s="1" t="n">
        <v>45961.42748842593</v>
      </c>
      <c r="C2368" s="1" t="n">
        <v>46048</v>
      </c>
      <c r="D2368" t="inlineStr">
        <is>
          <t>VÄSTERNORRLANDS LÄN</t>
        </is>
      </c>
      <c r="E2368" t="inlineStr">
        <is>
          <t>SOLLEFTEÅ</t>
        </is>
      </c>
      <c r="F2368" t="inlineStr">
        <is>
          <t>SCA</t>
        </is>
      </c>
      <c r="G2368" t="n">
        <v>7</v>
      </c>
      <c r="H2368" t="n">
        <v>0</v>
      </c>
      <c r="I2368" t="n">
        <v>0</v>
      </c>
      <c r="J2368" t="n">
        <v>0</v>
      </c>
      <c r="K2368" t="n">
        <v>0</v>
      </c>
      <c r="L2368" t="n">
        <v>0</v>
      </c>
      <c r="M2368" t="n">
        <v>0</v>
      </c>
      <c r="N2368" t="n">
        <v>0</v>
      </c>
      <c r="O2368" t="n">
        <v>0</v>
      </c>
      <c r="P2368" t="n">
        <v>0</v>
      </c>
      <c r="Q2368" t="n">
        <v>0</v>
      </c>
      <c r="R2368" s="2" t="inlineStr"/>
    </row>
    <row r="2369" ht="15" customHeight="1">
      <c r="A2369" t="inlineStr">
        <is>
          <t>A 49791-2025</t>
        </is>
      </c>
      <c r="B2369" s="1" t="n">
        <v>45940</v>
      </c>
      <c r="C2369" s="1" t="n">
        <v>46048</v>
      </c>
      <c r="D2369" t="inlineStr">
        <is>
          <t>VÄSTERNORRLANDS LÄN</t>
        </is>
      </c>
      <c r="E2369" t="inlineStr">
        <is>
          <t>SOLLEFTEÅ</t>
        </is>
      </c>
      <c r="F2369" t="inlineStr">
        <is>
          <t>SCA</t>
        </is>
      </c>
      <c r="G2369" t="n">
        <v>3.7</v>
      </c>
      <c r="H2369" t="n">
        <v>0</v>
      </c>
      <c r="I2369" t="n">
        <v>0</v>
      </c>
      <c r="J2369" t="n">
        <v>0</v>
      </c>
      <c r="K2369" t="n">
        <v>0</v>
      </c>
      <c r="L2369" t="n">
        <v>0</v>
      </c>
      <c r="M2369" t="n">
        <v>0</v>
      </c>
      <c r="N2369" t="n">
        <v>0</v>
      </c>
      <c r="O2369" t="n">
        <v>0</v>
      </c>
      <c r="P2369" t="n">
        <v>0</v>
      </c>
      <c r="Q2369" t="n">
        <v>0</v>
      </c>
      <c r="R2369" s="2" t="inlineStr"/>
    </row>
    <row r="2370" ht="15" customHeight="1">
      <c r="A2370" t="inlineStr">
        <is>
          <t>A 53867-2025</t>
        </is>
      </c>
      <c r="B2370" s="1" t="n">
        <v>45961.38581018519</v>
      </c>
      <c r="C2370" s="1" t="n">
        <v>46048</v>
      </c>
      <c r="D2370" t="inlineStr">
        <is>
          <t>VÄSTERNORRLANDS LÄN</t>
        </is>
      </c>
      <c r="E2370" t="inlineStr">
        <is>
          <t>SOLLEFTEÅ</t>
        </is>
      </c>
      <c r="F2370" t="inlineStr">
        <is>
          <t>SCA</t>
        </is>
      </c>
      <c r="G2370" t="n">
        <v>2.2</v>
      </c>
      <c r="H2370" t="n">
        <v>0</v>
      </c>
      <c r="I2370" t="n">
        <v>0</v>
      </c>
      <c r="J2370" t="n">
        <v>0</v>
      </c>
      <c r="K2370" t="n">
        <v>0</v>
      </c>
      <c r="L2370" t="n">
        <v>0</v>
      </c>
      <c r="M2370" t="n">
        <v>0</v>
      </c>
      <c r="N2370" t="n">
        <v>0</v>
      </c>
      <c r="O2370" t="n">
        <v>0</v>
      </c>
      <c r="P2370" t="n">
        <v>0</v>
      </c>
      <c r="Q2370" t="n">
        <v>0</v>
      </c>
      <c r="R2370" s="2" t="inlineStr"/>
    </row>
    <row r="2371" ht="15" customHeight="1">
      <c r="A2371" t="inlineStr">
        <is>
          <t>A 62281-2025</t>
        </is>
      </c>
      <c r="B2371" s="1" t="n">
        <v>46006.63652777778</v>
      </c>
      <c r="C2371" s="1" t="n">
        <v>46048</v>
      </c>
      <c r="D2371" t="inlineStr">
        <is>
          <t>VÄSTERNORRLANDS LÄN</t>
        </is>
      </c>
      <c r="E2371" t="inlineStr">
        <is>
          <t>SOLLEFTEÅ</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54193-2025</t>
        </is>
      </c>
      <c r="B2372" s="1" t="n">
        <v>45964.57373842593</v>
      </c>
      <c r="C2372" s="1" t="n">
        <v>46048</v>
      </c>
      <c r="D2372" t="inlineStr">
        <is>
          <t>VÄSTERNORRLANDS LÄN</t>
        </is>
      </c>
      <c r="E2372" t="inlineStr">
        <is>
          <t>SOLLEFTEÅ</t>
        </is>
      </c>
      <c r="F2372" t="inlineStr">
        <is>
          <t>SCA</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54194-2025</t>
        </is>
      </c>
      <c r="B2373" s="1" t="n">
        <v>45964.57395833333</v>
      </c>
      <c r="C2373" s="1" t="n">
        <v>46048</v>
      </c>
      <c r="D2373" t="inlineStr">
        <is>
          <t>VÄSTERNORRLANDS LÄN</t>
        </is>
      </c>
      <c r="E2373" t="inlineStr">
        <is>
          <t>SOLLEFTEÅ</t>
        </is>
      </c>
      <c r="F2373" t="inlineStr">
        <is>
          <t>SCA</t>
        </is>
      </c>
      <c r="G2373" t="n">
        <v>2.2</v>
      </c>
      <c r="H2373" t="n">
        <v>0</v>
      </c>
      <c r="I2373" t="n">
        <v>0</v>
      </c>
      <c r="J2373" t="n">
        <v>0</v>
      </c>
      <c r="K2373" t="n">
        <v>0</v>
      </c>
      <c r="L2373" t="n">
        <v>0</v>
      </c>
      <c r="M2373" t="n">
        <v>0</v>
      </c>
      <c r="N2373" t="n">
        <v>0</v>
      </c>
      <c r="O2373" t="n">
        <v>0</v>
      </c>
      <c r="P2373" t="n">
        <v>0</v>
      </c>
      <c r="Q2373" t="n">
        <v>0</v>
      </c>
      <c r="R2373" s="2" t="inlineStr"/>
    </row>
    <row r="2374" ht="15" customHeight="1">
      <c r="A2374" t="inlineStr">
        <is>
          <t>A 54271-2025</t>
        </is>
      </c>
      <c r="B2374" s="1" t="n">
        <v>45964.67839120371</v>
      </c>
      <c r="C2374" s="1" t="n">
        <v>46048</v>
      </c>
      <c r="D2374" t="inlineStr">
        <is>
          <t>VÄSTERNORRLANDS LÄN</t>
        </is>
      </c>
      <c r="E2374" t="inlineStr">
        <is>
          <t>SOLLEFTEÅ</t>
        </is>
      </c>
      <c r="F2374" t="inlineStr">
        <is>
          <t>SCA</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62181-2025</t>
        </is>
      </c>
      <c r="B2375" s="1" t="n">
        <v>46006.53164351852</v>
      </c>
      <c r="C2375" s="1" t="n">
        <v>46048</v>
      </c>
      <c r="D2375" t="inlineStr">
        <is>
          <t>VÄSTERNORRLANDS LÄN</t>
        </is>
      </c>
      <c r="E2375" t="inlineStr">
        <is>
          <t>SOLLEFTEÅ</t>
        </is>
      </c>
      <c r="F2375" t="inlineStr">
        <is>
          <t>SCA</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54471-2025</t>
        </is>
      </c>
      <c r="B2376" s="1" t="n">
        <v>45965.57357638889</v>
      </c>
      <c r="C2376" s="1" t="n">
        <v>46048</v>
      </c>
      <c r="D2376" t="inlineStr">
        <is>
          <t>VÄSTERNORRLANDS LÄN</t>
        </is>
      </c>
      <c r="E2376" t="inlineStr">
        <is>
          <t>SOLLEFTEÅ</t>
        </is>
      </c>
      <c r="F2376" t="inlineStr">
        <is>
          <t>SCA</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62494-2025</t>
        </is>
      </c>
      <c r="B2377" s="1" t="n">
        <v>46007.5735300926</v>
      </c>
      <c r="C2377" s="1" t="n">
        <v>46048</v>
      </c>
      <c r="D2377" t="inlineStr">
        <is>
          <t>VÄSTERNORRLANDS LÄN</t>
        </is>
      </c>
      <c r="E2377" t="inlineStr">
        <is>
          <t>SOLLEFTEÅ</t>
        </is>
      </c>
      <c r="F2377" t="inlineStr">
        <is>
          <t>SCA</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62544-2025</t>
        </is>
      </c>
      <c r="B2378" s="1" t="n">
        <v>46007.65690972222</v>
      </c>
      <c r="C2378" s="1" t="n">
        <v>46048</v>
      </c>
      <c r="D2378" t="inlineStr">
        <is>
          <t>VÄSTERNORRLANDS LÄN</t>
        </is>
      </c>
      <c r="E2378" t="inlineStr">
        <is>
          <t>SOLLEFTEÅ</t>
        </is>
      </c>
      <c r="F2378" t="inlineStr">
        <is>
          <t>SCA</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54397-2025</t>
        </is>
      </c>
      <c r="B2379" s="1" t="n">
        <v>45965.44869212963</v>
      </c>
      <c r="C2379" s="1" t="n">
        <v>46048</v>
      </c>
      <c r="D2379" t="inlineStr">
        <is>
          <t>VÄSTERNORRLANDS LÄN</t>
        </is>
      </c>
      <c r="E2379" t="inlineStr">
        <is>
          <t>SOLLEFTEÅ</t>
        </is>
      </c>
      <c r="F2379" t="inlineStr">
        <is>
          <t>SCA</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53466-2025</t>
        </is>
      </c>
      <c r="B2380" s="1" t="n">
        <v>45959</v>
      </c>
      <c r="C2380" s="1" t="n">
        <v>46048</v>
      </c>
      <c r="D2380" t="inlineStr">
        <is>
          <t>VÄSTERNORRLANDS LÄN</t>
        </is>
      </c>
      <c r="E2380" t="inlineStr">
        <is>
          <t>SOLLEFTEÅ</t>
        </is>
      </c>
      <c r="G2380" t="n">
        <v>4.9</v>
      </c>
      <c r="H2380" t="n">
        <v>0</v>
      </c>
      <c r="I2380" t="n">
        <v>0</v>
      </c>
      <c r="J2380" t="n">
        <v>0</v>
      </c>
      <c r="K2380" t="n">
        <v>0</v>
      </c>
      <c r="L2380" t="n">
        <v>0</v>
      </c>
      <c r="M2380" t="n">
        <v>0</v>
      </c>
      <c r="N2380" t="n">
        <v>0</v>
      </c>
      <c r="O2380" t="n">
        <v>0</v>
      </c>
      <c r="P2380" t="n">
        <v>0</v>
      </c>
      <c r="Q2380" t="n">
        <v>0</v>
      </c>
      <c r="R2380" s="2" t="inlineStr"/>
    </row>
    <row r="2381" ht="15" customHeight="1">
      <c r="A2381" t="inlineStr">
        <is>
          <t>A 54165-2025</t>
        </is>
      </c>
      <c r="B2381" s="1" t="n">
        <v>45964</v>
      </c>
      <c r="C2381" s="1" t="n">
        <v>46048</v>
      </c>
      <c r="D2381" t="inlineStr">
        <is>
          <t>VÄSTERNORRLANDS LÄN</t>
        </is>
      </c>
      <c r="E2381" t="inlineStr">
        <is>
          <t>SOLLEFTEÅ</t>
        </is>
      </c>
      <c r="G2381" t="n">
        <v>5.8</v>
      </c>
      <c r="H2381" t="n">
        <v>0</v>
      </c>
      <c r="I2381" t="n">
        <v>0</v>
      </c>
      <c r="J2381" t="n">
        <v>0</v>
      </c>
      <c r="K2381" t="n">
        <v>0</v>
      </c>
      <c r="L2381" t="n">
        <v>0</v>
      </c>
      <c r="M2381" t="n">
        <v>0</v>
      </c>
      <c r="N2381" t="n">
        <v>0</v>
      </c>
      <c r="O2381" t="n">
        <v>0</v>
      </c>
      <c r="P2381" t="n">
        <v>0</v>
      </c>
      <c r="Q2381" t="n">
        <v>0</v>
      </c>
      <c r="R2381" s="2" t="inlineStr"/>
    </row>
    <row r="2382" ht="15" customHeight="1">
      <c r="A2382" t="inlineStr">
        <is>
          <t>A 54486-2025</t>
        </is>
      </c>
      <c r="B2382" s="1" t="n">
        <v>45965.59438657408</v>
      </c>
      <c r="C2382" s="1" t="n">
        <v>46048</v>
      </c>
      <c r="D2382" t="inlineStr">
        <is>
          <t>VÄSTERNORRLANDS LÄN</t>
        </is>
      </c>
      <c r="E2382" t="inlineStr">
        <is>
          <t>SOLLEFTEÅ</t>
        </is>
      </c>
      <c r="F2382" t="inlineStr">
        <is>
          <t>SCA</t>
        </is>
      </c>
      <c r="G2382" t="n">
        <v>10</v>
      </c>
      <c r="H2382" t="n">
        <v>0</v>
      </c>
      <c r="I2382" t="n">
        <v>0</v>
      </c>
      <c r="J2382" t="n">
        <v>0</v>
      </c>
      <c r="K2382" t="n">
        <v>0</v>
      </c>
      <c r="L2382" t="n">
        <v>0</v>
      </c>
      <c r="M2382" t="n">
        <v>0</v>
      </c>
      <c r="N2382" t="n">
        <v>0</v>
      </c>
      <c r="O2382" t="n">
        <v>0</v>
      </c>
      <c r="P2382" t="n">
        <v>0</v>
      </c>
      <c r="Q2382" t="n">
        <v>0</v>
      </c>
      <c r="R2382" s="2" t="inlineStr"/>
    </row>
    <row r="2383" ht="15" customHeight="1">
      <c r="A2383" t="inlineStr">
        <is>
          <t>A 54487-2025</t>
        </is>
      </c>
      <c r="B2383" s="1" t="n">
        <v>45965.59460648148</v>
      </c>
      <c r="C2383" s="1" t="n">
        <v>46048</v>
      </c>
      <c r="D2383" t="inlineStr">
        <is>
          <t>VÄSTERNORRLANDS LÄN</t>
        </is>
      </c>
      <c r="E2383" t="inlineStr">
        <is>
          <t>SOLLEFTEÅ</t>
        </is>
      </c>
      <c r="F2383" t="inlineStr">
        <is>
          <t>SCA</t>
        </is>
      </c>
      <c r="G2383" t="n">
        <v>6</v>
      </c>
      <c r="H2383" t="n">
        <v>0</v>
      </c>
      <c r="I2383" t="n">
        <v>0</v>
      </c>
      <c r="J2383" t="n">
        <v>0</v>
      </c>
      <c r="K2383" t="n">
        <v>0</v>
      </c>
      <c r="L2383" t="n">
        <v>0</v>
      </c>
      <c r="M2383" t="n">
        <v>0</v>
      </c>
      <c r="N2383" t="n">
        <v>0</v>
      </c>
      <c r="O2383" t="n">
        <v>0</v>
      </c>
      <c r="P2383" t="n">
        <v>0</v>
      </c>
      <c r="Q2383" t="n">
        <v>0</v>
      </c>
      <c r="R2383" s="2" t="inlineStr"/>
    </row>
    <row r="2384" ht="15" customHeight="1">
      <c r="A2384" t="inlineStr">
        <is>
          <t>A 62064-2025</t>
        </is>
      </c>
      <c r="B2384" s="1" t="n">
        <v>46006.3446875</v>
      </c>
      <c r="C2384" s="1" t="n">
        <v>46048</v>
      </c>
      <c r="D2384" t="inlineStr">
        <is>
          <t>VÄSTERNORRLANDS LÄN</t>
        </is>
      </c>
      <c r="E2384" t="inlineStr">
        <is>
          <t>SOLLEFTEÅ</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54256-2025</t>
        </is>
      </c>
      <c r="B2385" s="1" t="n">
        <v>45964.65710648148</v>
      </c>
      <c r="C2385" s="1" t="n">
        <v>46048</v>
      </c>
      <c r="D2385" t="inlineStr">
        <is>
          <t>VÄSTERNORRLANDS LÄN</t>
        </is>
      </c>
      <c r="E2385" t="inlineStr">
        <is>
          <t>SOLLEFTEÅ</t>
        </is>
      </c>
      <c r="F2385" t="inlineStr">
        <is>
          <t>SCA</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62585-2025</t>
        </is>
      </c>
      <c r="B2386" s="1" t="n">
        <v>46007.84189814814</v>
      </c>
      <c r="C2386" s="1" t="n">
        <v>46048</v>
      </c>
      <c r="D2386" t="inlineStr">
        <is>
          <t>VÄSTERNORRLANDS LÄN</t>
        </is>
      </c>
      <c r="E2386" t="inlineStr">
        <is>
          <t>SOLLEFTEÅ</t>
        </is>
      </c>
      <c r="G2386" t="n">
        <v>7.1</v>
      </c>
      <c r="H2386" t="n">
        <v>0</v>
      </c>
      <c r="I2386" t="n">
        <v>0</v>
      </c>
      <c r="J2386" t="n">
        <v>0</v>
      </c>
      <c r="K2386" t="n">
        <v>0</v>
      </c>
      <c r="L2386" t="n">
        <v>0</v>
      </c>
      <c r="M2386" t="n">
        <v>0</v>
      </c>
      <c r="N2386" t="n">
        <v>0</v>
      </c>
      <c r="O2386" t="n">
        <v>0</v>
      </c>
      <c r="P2386" t="n">
        <v>0</v>
      </c>
      <c r="Q2386" t="n">
        <v>0</v>
      </c>
      <c r="R2386" s="2" t="inlineStr"/>
    </row>
    <row r="2387" ht="15" customHeight="1">
      <c r="A2387" t="inlineStr">
        <is>
          <t>A 54192-2025</t>
        </is>
      </c>
      <c r="B2387" s="1" t="n">
        <v>45964.57350694444</v>
      </c>
      <c r="C2387" s="1" t="n">
        <v>46048</v>
      </c>
      <c r="D2387" t="inlineStr">
        <is>
          <t>VÄSTERNORRLANDS LÄN</t>
        </is>
      </c>
      <c r="E2387" t="inlineStr">
        <is>
          <t>SOLLEFTEÅ</t>
        </is>
      </c>
      <c r="F2387" t="inlineStr">
        <is>
          <t>SCA</t>
        </is>
      </c>
      <c r="G2387" t="n">
        <v>3.2</v>
      </c>
      <c r="H2387" t="n">
        <v>0</v>
      </c>
      <c r="I2387" t="n">
        <v>0</v>
      </c>
      <c r="J2387" t="n">
        <v>0</v>
      </c>
      <c r="K2387" t="n">
        <v>0</v>
      </c>
      <c r="L2387" t="n">
        <v>0</v>
      </c>
      <c r="M2387" t="n">
        <v>0</v>
      </c>
      <c r="N2387" t="n">
        <v>0</v>
      </c>
      <c r="O2387" t="n">
        <v>0</v>
      </c>
      <c r="P2387" t="n">
        <v>0</v>
      </c>
      <c r="Q2387" t="n">
        <v>0</v>
      </c>
      <c r="R2387" s="2" t="inlineStr"/>
    </row>
    <row r="2388" ht="15" customHeight="1">
      <c r="A2388" t="inlineStr">
        <is>
          <t>A 53382-2025</t>
        </is>
      </c>
      <c r="B2388" s="1" t="n">
        <v>45959</v>
      </c>
      <c r="C2388" s="1" t="n">
        <v>46048</v>
      </c>
      <c r="D2388" t="inlineStr">
        <is>
          <t>VÄSTERNORRLANDS LÄN</t>
        </is>
      </c>
      <c r="E2388" t="inlineStr">
        <is>
          <t>SOLLEFTEÅ</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54255-2025</t>
        </is>
      </c>
      <c r="B2389" s="1" t="n">
        <v>45964.65692129629</v>
      </c>
      <c r="C2389" s="1" t="n">
        <v>46048</v>
      </c>
      <c r="D2389" t="inlineStr">
        <is>
          <t>VÄSTERNORRLANDS LÄN</t>
        </is>
      </c>
      <c r="E2389" t="inlineStr">
        <is>
          <t>SOLLEFTEÅ</t>
        </is>
      </c>
      <c r="F2389" t="inlineStr">
        <is>
          <t>SCA</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54272-2025</t>
        </is>
      </c>
      <c r="B2390" s="1" t="n">
        <v>45964.67846064815</v>
      </c>
      <c r="C2390" s="1" t="n">
        <v>46048</v>
      </c>
      <c r="D2390" t="inlineStr">
        <is>
          <t>VÄSTERNORRLANDS LÄN</t>
        </is>
      </c>
      <c r="E2390" t="inlineStr">
        <is>
          <t>SOLLEFTEÅ</t>
        </is>
      </c>
      <c r="F2390" t="inlineStr">
        <is>
          <t>SCA</t>
        </is>
      </c>
      <c r="G2390" t="n">
        <v>3.8</v>
      </c>
      <c r="H2390" t="n">
        <v>0</v>
      </c>
      <c r="I2390" t="n">
        <v>0</v>
      </c>
      <c r="J2390" t="n">
        <v>0</v>
      </c>
      <c r="K2390" t="n">
        <v>0</v>
      </c>
      <c r="L2390" t="n">
        <v>0</v>
      </c>
      <c r="M2390" t="n">
        <v>0</v>
      </c>
      <c r="N2390" t="n">
        <v>0</v>
      </c>
      <c r="O2390" t="n">
        <v>0</v>
      </c>
      <c r="P2390" t="n">
        <v>0</v>
      </c>
      <c r="Q2390" t="n">
        <v>0</v>
      </c>
      <c r="R2390" s="2" t="inlineStr"/>
    </row>
    <row r="2391" ht="15" customHeight="1">
      <c r="A2391" t="inlineStr">
        <is>
          <t>A 62371-2025</t>
        </is>
      </c>
      <c r="B2391" s="1" t="n">
        <v>46007.34425925926</v>
      </c>
      <c r="C2391" s="1" t="n">
        <v>46048</v>
      </c>
      <c r="D2391" t="inlineStr">
        <is>
          <t>VÄSTERNORRLANDS LÄN</t>
        </is>
      </c>
      <c r="E2391" t="inlineStr">
        <is>
          <t>SOLLEFTEÅ</t>
        </is>
      </c>
      <c r="F2391" t="inlineStr">
        <is>
          <t>SCA</t>
        </is>
      </c>
      <c r="G2391" t="n">
        <v>8.199999999999999</v>
      </c>
      <c r="H2391" t="n">
        <v>0</v>
      </c>
      <c r="I2391" t="n">
        <v>0</v>
      </c>
      <c r="J2391" t="n">
        <v>0</v>
      </c>
      <c r="K2391" t="n">
        <v>0</v>
      </c>
      <c r="L2391" t="n">
        <v>0</v>
      </c>
      <c r="M2391" t="n">
        <v>0</v>
      </c>
      <c r="N2391" t="n">
        <v>0</v>
      </c>
      <c r="O2391" t="n">
        <v>0</v>
      </c>
      <c r="P2391" t="n">
        <v>0</v>
      </c>
      <c r="Q2391" t="n">
        <v>0</v>
      </c>
      <c r="R2391" s="2" t="inlineStr"/>
    </row>
    <row r="2392" ht="15" customHeight="1">
      <c r="A2392" t="inlineStr">
        <is>
          <t>A 62312-2025</t>
        </is>
      </c>
      <c r="B2392" s="1" t="n">
        <v>46006.67767361111</v>
      </c>
      <c r="C2392" s="1" t="n">
        <v>46048</v>
      </c>
      <c r="D2392" t="inlineStr">
        <is>
          <t>VÄSTERNORRLANDS LÄN</t>
        </is>
      </c>
      <c r="E2392" t="inlineStr">
        <is>
          <t>SOLLEFTEÅ</t>
        </is>
      </c>
      <c r="G2392" t="n">
        <v>9.5</v>
      </c>
      <c r="H2392" t="n">
        <v>0</v>
      </c>
      <c r="I2392" t="n">
        <v>0</v>
      </c>
      <c r="J2392" t="n">
        <v>0</v>
      </c>
      <c r="K2392" t="n">
        <v>0</v>
      </c>
      <c r="L2392" t="n">
        <v>0</v>
      </c>
      <c r="M2392" t="n">
        <v>0</v>
      </c>
      <c r="N2392" t="n">
        <v>0</v>
      </c>
      <c r="O2392" t="n">
        <v>0</v>
      </c>
      <c r="P2392" t="n">
        <v>0</v>
      </c>
      <c r="Q2392" t="n">
        <v>0</v>
      </c>
      <c r="R2392" s="2" t="inlineStr"/>
    </row>
    <row r="2393" ht="15" customHeight="1">
      <c r="A2393" t="inlineStr">
        <is>
          <t>A 62065-2025</t>
        </is>
      </c>
      <c r="B2393" s="1" t="n">
        <v>46006.34474537037</v>
      </c>
      <c r="C2393" s="1" t="n">
        <v>46048</v>
      </c>
      <c r="D2393" t="inlineStr">
        <is>
          <t>VÄSTERNORRLANDS LÄN</t>
        </is>
      </c>
      <c r="E2393" t="inlineStr">
        <is>
          <t>SOLLEFTEÅ</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62458-2025</t>
        </is>
      </c>
      <c r="B2394" s="1" t="n">
        <v>46007.50270833333</v>
      </c>
      <c r="C2394" s="1" t="n">
        <v>46048</v>
      </c>
      <c r="D2394" t="inlineStr">
        <is>
          <t>VÄSTERNORRLANDS LÄN</t>
        </is>
      </c>
      <c r="E2394" t="inlineStr">
        <is>
          <t>SOLLEFTEÅ</t>
        </is>
      </c>
      <c r="G2394" t="n">
        <v>3.4</v>
      </c>
      <c r="H2394" t="n">
        <v>0</v>
      </c>
      <c r="I2394" t="n">
        <v>0</v>
      </c>
      <c r="J2394" t="n">
        <v>0</v>
      </c>
      <c r="K2394" t="n">
        <v>0</v>
      </c>
      <c r="L2394" t="n">
        <v>0</v>
      </c>
      <c r="M2394" t="n">
        <v>0</v>
      </c>
      <c r="N2394" t="n">
        <v>0</v>
      </c>
      <c r="O2394" t="n">
        <v>0</v>
      </c>
      <c r="P2394" t="n">
        <v>0</v>
      </c>
      <c r="Q2394" t="n">
        <v>0</v>
      </c>
      <c r="R2394" s="2" t="inlineStr"/>
    </row>
    <row r="2395" ht="15" customHeight="1">
      <c r="A2395" t="inlineStr">
        <is>
          <t>A 62283-2025</t>
        </is>
      </c>
      <c r="B2395" s="1" t="n">
        <v>46006.63672453703</v>
      </c>
      <c r="C2395" s="1" t="n">
        <v>46048</v>
      </c>
      <c r="D2395" t="inlineStr">
        <is>
          <t>VÄSTERNORRLANDS LÄN</t>
        </is>
      </c>
      <c r="E2395" t="inlineStr">
        <is>
          <t>SOLLEFTEÅ</t>
        </is>
      </c>
      <c r="G2395" t="n">
        <v>5</v>
      </c>
      <c r="H2395" t="n">
        <v>0</v>
      </c>
      <c r="I2395" t="n">
        <v>0</v>
      </c>
      <c r="J2395" t="n">
        <v>0</v>
      </c>
      <c r="K2395" t="n">
        <v>0</v>
      </c>
      <c r="L2395" t="n">
        <v>0</v>
      </c>
      <c r="M2395" t="n">
        <v>0</v>
      </c>
      <c r="N2395" t="n">
        <v>0</v>
      </c>
      <c r="O2395" t="n">
        <v>0</v>
      </c>
      <c r="P2395" t="n">
        <v>0</v>
      </c>
      <c r="Q2395" t="n">
        <v>0</v>
      </c>
      <c r="R2395" s="2" t="inlineStr"/>
    </row>
    <row r="2396" ht="15" customHeight="1">
      <c r="A2396" t="inlineStr">
        <is>
          <t>A 54472-2025</t>
        </is>
      </c>
      <c r="B2396" s="1" t="n">
        <v>45965.57381944444</v>
      </c>
      <c r="C2396" s="1" t="n">
        <v>46048</v>
      </c>
      <c r="D2396" t="inlineStr">
        <is>
          <t>VÄSTERNORRLANDS LÄN</t>
        </is>
      </c>
      <c r="E2396" t="inlineStr">
        <is>
          <t>SOLLEFTEÅ</t>
        </is>
      </c>
      <c r="F2396" t="inlineStr">
        <is>
          <t>SCA</t>
        </is>
      </c>
      <c r="G2396" t="n">
        <v>2.6</v>
      </c>
      <c r="H2396" t="n">
        <v>0</v>
      </c>
      <c r="I2396" t="n">
        <v>0</v>
      </c>
      <c r="J2396" t="n">
        <v>0</v>
      </c>
      <c r="K2396" t="n">
        <v>0</v>
      </c>
      <c r="L2396" t="n">
        <v>0</v>
      </c>
      <c r="M2396" t="n">
        <v>0</v>
      </c>
      <c r="N2396" t="n">
        <v>0</v>
      </c>
      <c r="O2396" t="n">
        <v>0</v>
      </c>
      <c r="P2396" t="n">
        <v>0</v>
      </c>
      <c r="Q2396" t="n">
        <v>0</v>
      </c>
      <c r="R2396" s="2" t="inlineStr"/>
    </row>
    <row r="2397" ht="15" customHeight="1">
      <c r="A2397" t="inlineStr">
        <is>
          <t>A 62195-2025</t>
        </is>
      </c>
      <c r="B2397" s="1" t="n">
        <v>46006.55266203704</v>
      </c>
      <c r="C2397" s="1" t="n">
        <v>46048</v>
      </c>
      <c r="D2397" t="inlineStr">
        <is>
          <t>VÄSTERNORRLANDS LÄN</t>
        </is>
      </c>
      <c r="E2397" t="inlineStr">
        <is>
          <t>SOLLEFTEÅ</t>
        </is>
      </c>
      <c r="F2397" t="inlineStr">
        <is>
          <t>SCA</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62279-2025</t>
        </is>
      </c>
      <c r="B2398" s="1" t="n">
        <v>46006.63605324074</v>
      </c>
      <c r="C2398" s="1" t="n">
        <v>46048</v>
      </c>
      <c r="D2398" t="inlineStr">
        <is>
          <t>VÄSTERNORRLANDS LÄN</t>
        </is>
      </c>
      <c r="E2398" t="inlineStr">
        <is>
          <t>SOLLEFTEÅ</t>
        </is>
      </c>
      <c r="F2398" t="inlineStr">
        <is>
          <t>SCA</t>
        </is>
      </c>
      <c r="G2398" t="n">
        <v>7.6</v>
      </c>
      <c r="H2398" t="n">
        <v>0</v>
      </c>
      <c r="I2398" t="n">
        <v>0</v>
      </c>
      <c r="J2398" t="n">
        <v>0</v>
      </c>
      <c r="K2398" t="n">
        <v>0</v>
      </c>
      <c r="L2398" t="n">
        <v>0</v>
      </c>
      <c r="M2398" t="n">
        <v>0</v>
      </c>
      <c r="N2398" t="n">
        <v>0</v>
      </c>
      <c r="O2398" t="n">
        <v>0</v>
      </c>
      <c r="P2398" t="n">
        <v>0</v>
      </c>
      <c r="Q2398" t="n">
        <v>0</v>
      </c>
      <c r="R2398" s="2" t="inlineStr"/>
    </row>
    <row r="2399" ht="15" customHeight="1">
      <c r="A2399" t="inlineStr">
        <is>
          <t>A 62526-2025</t>
        </is>
      </c>
      <c r="B2399" s="1" t="n">
        <v>46007.63583333333</v>
      </c>
      <c r="C2399" s="1" t="n">
        <v>46048</v>
      </c>
      <c r="D2399" t="inlineStr">
        <is>
          <t>VÄSTERNORRLANDS LÄN</t>
        </is>
      </c>
      <c r="E2399" t="inlineStr">
        <is>
          <t>SOLLEFTEÅ</t>
        </is>
      </c>
      <c r="F2399" t="inlineStr">
        <is>
          <t>SCA</t>
        </is>
      </c>
      <c r="G2399" t="n">
        <v>2.6</v>
      </c>
      <c r="H2399" t="n">
        <v>0</v>
      </c>
      <c r="I2399" t="n">
        <v>0</v>
      </c>
      <c r="J2399" t="n">
        <v>0</v>
      </c>
      <c r="K2399" t="n">
        <v>0</v>
      </c>
      <c r="L2399" t="n">
        <v>0</v>
      </c>
      <c r="M2399" t="n">
        <v>0</v>
      </c>
      <c r="N2399" t="n">
        <v>0</v>
      </c>
      <c r="O2399" t="n">
        <v>0</v>
      </c>
      <c r="P2399" t="n">
        <v>0</v>
      </c>
      <c r="Q2399" t="n">
        <v>0</v>
      </c>
      <c r="R2399" s="2" t="inlineStr"/>
    </row>
    <row r="2400" ht="15" customHeight="1">
      <c r="A2400" t="inlineStr">
        <is>
          <t>A 62280-2025</t>
        </is>
      </c>
      <c r="B2400" s="1" t="n">
        <v>46006.63635416667</v>
      </c>
      <c r="C2400" s="1" t="n">
        <v>46048</v>
      </c>
      <c r="D2400" t="inlineStr">
        <is>
          <t>VÄSTERNORRLANDS LÄN</t>
        </is>
      </c>
      <c r="E2400" t="inlineStr">
        <is>
          <t>SOLLEFTEÅ</t>
        </is>
      </c>
      <c r="F2400" t="inlineStr">
        <is>
          <t>SCA</t>
        </is>
      </c>
      <c r="G2400" t="n">
        <v>2.8</v>
      </c>
      <c r="H2400" t="n">
        <v>0</v>
      </c>
      <c r="I2400" t="n">
        <v>0</v>
      </c>
      <c r="J2400" t="n">
        <v>0</v>
      </c>
      <c r="K2400" t="n">
        <v>0</v>
      </c>
      <c r="L2400" t="n">
        <v>0</v>
      </c>
      <c r="M2400" t="n">
        <v>0</v>
      </c>
      <c r="N2400" t="n">
        <v>0</v>
      </c>
      <c r="O2400" t="n">
        <v>0</v>
      </c>
      <c r="P2400" t="n">
        <v>0</v>
      </c>
      <c r="Q2400" t="n">
        <v>0</v>
      </c>
      <c r="R2400" s="2" t="inlineStr"/>
    </row>
    <row r="2401" ht="15" customHeight="1">
      <c r="A2401" t="inlineStr">
        <is>
          <t>A 62311-2025</t>
        </is>
      </c>
      <c r="B2401" s="1" t="n">
        <v>46006.67753472222</v>
      </c>
      <c r="C2401" s="1" t="n">
        <v>46048</v>
      </c>
      <c r="D2401" t="inlineStr">
        <is>
          <t>VÄSTERNORRLANDS LÄN</t>
        </is>
      </c>
      <c r="E2401" t="inlineStr">
        <is>
          <t>SOLLEFTEÅ</t>
        </is>
      </c>
      <c r="F2401" t="inlineStr">
        <is>
          <t>SCA</t>
        </is>
      </c>
      <c r="G2401" t="n">
        <v>6.4</v>
      </c>
      <c r="H2401" t="n">
        <v>0</v>
      </c>
      <c r="I2401" t="n">
        <v>0</v>
      </c>
      <c r="J2401" t="n">
        <v>0</v>
      </c>
      <c r="K2401" t="n">
        <v>0</v>
      </c>
      <c r="L2401" t="n">
        <v>0</v>
      </c>
      <c r="M2401" t="n">
        <v>0</v>
      </c>
      <c r="N2401" t="n">
        <v>0</v>
      </c>
      <c r="O2401" t="n">
        <v>0</v>
      </c>
      <c r="P2401" t="n">
        <v>0</v>
      </c>
      <c r="Q2401" t="n">
        <v>0</v>
      </c>
      <c r="R2401" s="2" t="inlineStr"/>
    </row>
    <row r="2402" ht="15" customHeight="1">
      <c r="A2402" t="inlineStr">
        <is>
          <t>A 63038-2025</t>
        </is>
      </c>
      <c r="B2402" s="1" t="n">
        <v>46009.61511574074</v>
      </c>
      <c r="C2402" s="1" t="n">
        <v>46048</v>
      </c>
      <c r="D2402" t="inlineStr">
        <is>
          <t>VÄSTERNORRLANDS LÄN</t>
        </is>
      </c>
      <c r="E2402" t="inlineStr">
        <is>
          <t>SOLLEFTEÅ</t>
        </is>
      </c>
      <c r="F2402" t="inlineStr">
        <is>
          <t>SCA</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62902-2025</t>
        </is>
      </c>
      <c r="B2403" s="1" t="n">
        <v>46009.34462962963</v>
      </c>
      <c r="C2403" s="1" t="n">
        <v>46048</v>
      </c>
      <c r="D2403" t="inlineStr">
        <is>
          <t>VÄSTERNORRLANDS LÄN</t>
        </is>
      </c>
      <c r="E2403" t="inlineStr">
        <is>
          <t>SOLLEFTEÅ</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55053-2025</t>
        </is>
      </c>
      <c r="B2404" s="1" t="n">
        <v>45967.67755787037</v>
      </c>
      <c r="C2404" s="1" t="n">
        <v>46048</v>
      </c>
      <c r="D2404" t="inlineStr">
        <is>
          <t>VÄSTERNORRLANDS LÄN</t>
        </is>
      </c>
      <c r="E2404" t="inlineStr">
        <is>
          <t>SOLLEFTEÅ</t>
        </is>
      </c>
      <c r="F2404" t="inlineStr">
        <is>
          <t>SCA</t>
        </is>
      </c>
      <c r="G2404" t="n">
        <v>25</v>
      </c>
      <c r="H2404" t="n">
        <v>0</v>
      </c>
      <c r="I2404" t="n">
        <v>0</v>
      </c>
      <c r="J2404" t="n">
        <v>0</v>
      </c>
      <c r="K2404" t="n">
        <v>0</v>
      </c>
      <c r="L2404" t="n">
        <v>0</v>
      </c>
      <c r="M2404" t="n">
        <v>0</v>
      </c>
      <c r="N2404" t="n">
        <v>0</v>
      </c>
      <c r="O2404" t="n">
        <v>0</v>
      </c>
      <c r="P2404" t="n">
        <v>0</v>
      </c>
      <c r="Q2404" t="n">
        <v>0</v>
      </c>
      <c r="R2404" s="2" t="inlineStr"/>
    </row>
    <row r="2405" ht="15" customHeight="1">
      <c r="A2405" t="inlineStr">
        <is>
          <t>A 62901-2025</t>
        </is>
      </c>
      <c r="B2405" s="1" t="n">
        <v>46009.34457175926</v>
      </c>
      <c r="C2405" s="1" t="n">
        <v>46048</v>
      </c>
      <c r="D2405" t="inlineStr">
        <is>
          <t>VÄSTERNORRLANDS LÄN</t>
        </is>
      </c>
      <c r="E2405" t="inlineStr">
        <is>
          <t>SOLLEFTEÅ</t>
        </is>
      </c>
      <c r="G2405" t="n">
        <v>2.5</v>
      </c>
      <c r="H2405" t="n">
        <v>0</v>
      </c>
      <c r="I2405" t="n">
        <v>0</v>
      </c>
      <c r="J2405" t="n">
        <v>0</v>
      </c>
      <c r="K2405" t="n">
        <v>0</v>
      </c>
      <c r="L2405" t="n">
        <v>0</v>
      </c>
      <c r="M2405" t="n">
        <v>0</v>
      </c>
      <c r="N2405" t="n">
        <v>0</v>
      </c>
      <c r="O2405" t="n">
        <v>0</v>
      </c>
      <c r="P2405" t="n">
        <v>0</v>
      </c>
      <c r="Q2405" t="n">
        <v>0</v>
      </c>
      <c r="R2405" s="2" t="inlineStr"/>
    </row>
    <row r="2406" ht="15" customHeight="1">
      <c r="A2406" t="inlineStr">
        <is>
          <t>A 54934-2025</t>
        </is>
      </c>
      <c r="B2406" s="1" t="n">
        <v>45967.42795138889</v>
      </c>
      <c r="C2406" s="1" t="n">
        <v>46048</v>
      </c>
      <c r="D2406" t="inlineStr">
        <is>
          <t>VÄSTERNORRLANDS LÄN</t>
        </is>
      </c>
      <c r="E2406" t="inlineStr">
        <is>
          <t>SOLLEFTEÅ</t>
        </is>
      </c>
      <c r="F2406" t="inlineStr">
        <is>
          <t>SCA</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54950-2025</t>
        </is>
      </c>
      <c r="B2407" s="1" t="n">
        <v>45967.44888888889</v>
      </c>
      <c r="C2407" s="1" t="n">
        <v>46048</v>
      </c>
      <c r="D2407" t="inlineStr">
        <is>
          <t>VÄSTERNORRLANDS LÄN</t>
        </is>
      </c>
      <c r="E2407" t="inlineStr">
        <is>
          <t>SOLLEFTEÅ</t>
        </is>
      </c>
      <c r="F2407" t="inlineStr">
        <is>
          <t>SCA</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54697-2025</t>
        </is>
      </c>
      <c r="B2408" s="1" t="n">
        <v>45966.47638888889</v>
      </c>
      <c r="C2408" s="1" t="n">
        <v>46048</v>
      </c>
      <c r="D2408" t="inlineStr">
        <is>
          <t>VÄSTERNORRLANDS LÄN</t>
        </is>
      </c>
      <c r="E2408" t="inlineStr">
        <is>
          <t>SOLLEFTEÅ</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54936-2025</t>
        </is>
      </c>
      <c r="B2409" s="1" t="n">
        <v>45967.42828703704</v>
      </c>
      <c r="C2409" s="1" t="n">
        <v>46048</v>
      </c>
      <c r="D2409" t="inlineStr">
        <is>
          <t>VÄSTERNORRLANDS LÄN</t>
        </is>
      </c>
      <c r="E2409" t="inlineStr">
        <is>
          <t>SOLLEFTEÅ</t>
        </is>
      </c>
      <c r="F2409" t="inlineStr">
        <is>
          <t>SCA</t>
        </is>
      </c>
      <c r="G2409" t="n">
        <v>3.5</v>
      </c>
      <c r="H2409" t="n">
        <v>0</v>
      </c>
      <c r="I2409" t="n">
        <v>0</v>
      </c>
      <c r="J2409" t="n">
        <v>0</v>
      </c>
      <c r="K2409" t="n">
        <v>0</v>
      </c>
      <c r="L2409" t="n">
        <v>0</v>
      </c>
      <c r="M2409" t="n">
        <v>0</v>
      </c>
      <c r="N2409" t="n">
        <v>0</v>
      </c>
      <c r="O2409" t="n">
        <v>0</v>
      </c>
      <c r="P2409" t="n">
        <v>0</v>
      </c>
      <c r="Q2409" t="n">
        <v>0</v>
      </c>
      <c r="R2409" s="2" t="inlineStr"/>
    </row>
    <row r="2410" ht="15" customHeight="1">
      <c r="A2410" t="inlineStr">
        <is>
          <t>A 54951-2025</t>
        </is>
      </c>
      <c r="B2410" s="1" t="n">
        <v>45967.44902777778</v>
      </c>
      <c r="C2410" s="1" t="n">
        <v>46048</v>
      </c>
      <c r="D2410" t="inlineStr">
        <is>
          <t>VÄSTERNORRLANDS LÄN</t>
        </is>
      </c>
      <c r="E2410" t="inlineStr">
        <is>
          <t>SOLLEFTEÅ</t>
        </is>
      </c>
      <c r="F2410" t="inlineStr">
        <is>
          <t>Kyrkan</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54956-2025</t>
        </is>
      </c>
      <c r="B2411" s="1" t="n">
        <v>45967.46923611111</v>
      </c>
      <c r="C2411" s="1" t="n">
        <v>46048</v>
      </c>
      <c r="D2411" t="inlineStr">
        <is>
          <t>VÄSTERNORRLANDS LÄN</t>
        </is>
      </c>
      <c r="E2411" t="inlineStr">
        <is>
          <t>SOLLEFTEÅ</t>
        </is>
      </c>
      <c r="F2411" t="inlineStr">
        <is>
          <t>SCA</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54932-2025</t>
        </is>
      </c>
      <c r="B2412" s="1" t="n">
        <v>45967.42759259259</v>
      </c>
      <c r="C2412" s="1" t="n">
        <v>46048</v>
      </c>
      <c r="D2412" t="inlineStr">
        <is>
          <t>VÄSTERNORRLANDS LÄN</t>
        </is>
      </c>
      <c r="E2412" t="inlineStr">
        <is>
          <t>SOLLEFTEÅ</t>
        </is>
      </c>
      <c r="F2412" t="inlineStr">
        <is>
          <t>SCA</t>
        </is>
      </c>
      <c r="G2412" t="n">
        <v>8</v>
      </c>
      <c r="H2412" t="n">
        <v>0</v>
      </c>
      <c r="I2412" t="n">
        <v>0</v>
      </c>
      <c r="J2412" t="n">
        <v>0</v>
      </c>
      <c r="K2412" t="n">
        <v>0</v>
      </c>
      <c r="L2412" t="n">
        <v>0</v>
      </c>
      <c r="M2412" t="n">
        <v>0</v>
      </c>
      <c r="N2412" t="n">
        <v>0</v>
      </c>
      <c r="O2412" t="n">
        <v>0</v>
      </c>
      <c r="P2412" t="n">
        <v>0</v>
      </c>
      <c r="Q2412" t="n">
        <v>0</v>
      </c>
      <c r="R2412" s="2" t="inlineStr"/>
    </row>
    <row r="2413" ht="15" customHeight="1">
      <c r="A2413" t="inlineStr">
        <is>
          <t>A 54935-2025</t>
        </is>
      </c>
      <c r="B2413" s="1" t="n">
        <v>45967.428125</v>
      </c>
      <c r="C2413" s="1" t="n">
        <v>46048</v>
      </c>
      <c r="D2413" t="inlineStr">
        <is>
          <t>VÄSTERNORRLANDS LÄN</t>
        </is>
      </c>
      <c r="E2413" t="inlineStr">
        <is>
          <t>SOLLEFTEÅ</t>
        </is>
      </c>
      <c r="F2413" t="inlineStr">
        <is>
          <t>Kyrkan</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54947-2025</t>
        </is>
      </c>
      <c r="B2414" s="1" t="n">
        <v>45967.4485300926</v>
      </c>
      <c r="C2414" s="1" t="n">
        <v>46048</v>
      </c>
      <c r="D2414" t="inlineStr">
        <is>
          <t>VÄSTERNORRLANDS LÄN</t>
        </is>
      </c>
      <c r="E2414" t="inlineStr">
        <is>
          <t>SOLLEFTEÅ</t>
        </is>
      </c>
      <c r="F2414" t="inlineStr">
        <is>
          <t>SCA</t>
        </is>
      </c>
      <c r="G2414" t="n">
        <v>9.800000000000001</v>
      </c>
      <c r="H2414" t="n">
        <v>0</v>
      </c>
      <c r="I2414" t="n">
        <v>0</v>
      </c>
      <c r="J2414" t="n">
        <v>0</v>
      </c>
      <c r="K2414" t="n">
        <v>0</v>
      </c>
      <c r="L2414" t="n">
        <v>0</v>
      </c>
      <c r="M2414" t="n">
        <v>0</v>
      </c>
      <c r="N2414" t="n">
        <v>0</v>
      </c>
      <c r="O2414" t="n">
        <v>0</v>
      </c>
      <c r="P2414" t="n">
        <v>0</v>
      </c>
      <c r="Q2414" t="n">
        <v>0</v>
      </c>
      <c r="R2414" s="2" t="inlineStr"/>
    </row>
    <row r="2415" ht="15" customHeight="1">
      <c r="A2415" t="inlineStr">
        <is>
          <t>A 62903-2025</t>
        </is>
      </c>
      <c r="B2415" s="1" t="n">
        <v>46009.34466435185</v>
      </c>
      <c r="C2415" s="1" t="n">
        <v>46048</v>
      </c>
      <c r="D2415" t="inlineStr">
        <is>
          <t>VÄSTERNORRLANDS LÄN</t>
        </is>
      </c>
      <c r="E2415" t="inlineStr">
        <is>
          <t>SOLLEFTEÅ</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62982-2025</t>
        </is>
      </c>
      <c r="B2416" s="1" t="n">
        <v>46009.49017361111</v>
      </c>
      <c r="C2416" s="1" t="n">
        <v>46048</v>
      </c>
      <c r="D2416" t="inlineStr">
        <is>
          <t>VÄSTERNORRLANDS LÄN</t>
        </is>
      </c>
      <c r="E2416" t="inlineStr">
        <is>
          <t>SOLLEFTEÅ</t>
        </is>
      </c>
      <c r="G2416" t="n">
        <v>5.2</v>
      </c>
      <c r="H2416" t="n">
        <v>0</v>
      </c>
      <c r="I2416" t="n">
        <v>0</v>
      </c>
      <c r="J2416" t="n">
        <v>0</v>
      </c>
      <c r="K2416" t="n">
        <v>0</v>
      </c>
      <c r="L2416" t="n">
        <v>0</v>
      </c>
      <c r="M2416" t="n">
        <v>0</v>
      </c>
      <c r="N2416" t="n">
        <v>0</v>
      </c>
      <c r="O2416" t="n">
        <v>0</v>
      </c>
      <c r="P2416" t="n">
        <v>0</v>
      </c>
      <c r="Q2416" t="n">
        <v>0</v>
      </c>
      <c r="R2416" s="2" t="inlineStr"/>
    </row>
    <row r="2417" ht="15" customHeight="1">
      <c r="A2417" t="inlineStr">
        <is>
          <t>A 54619-2025</t>
        </is>
      </c>
      <c r="B2417" s="1" t="n">
        <v>45966.34471064815</v>
      </c>
      <c r="C2417" s="1" t="n">
        <v>46048</v>
      </c>
      <c r="D2417" t="inlineStr">
        <is>
          <t>VÄSTERNORRLANDS LÄN</t>
        </is>
      </c>
      <c r="E2417" t="inlineStr">
        <is>
          <t>SOLLEFTEÅ</t>
        </is>
      </c>
      <c r="F2417" t="inlineStr">
        <is>
          <t>SCA</t>
        </is>
      </c>
      <c r="G2417" t="n">
        <v>2.9</v>
      </c>
      <c r="H2417" t="n">
        <v>0</v>
      </c>
      <c r="I2417" t="n">
        <v>0</v>
      </c>
      <c r="J2417" t="n">
        <v>0</v>
      </c>
      <c r="K2417" t="n">
        <v>0</v>
      </c>
      <c r="L2417" t="n">
        <v>0</v>
      </c>
      <c r="M2417" t="n">
        <v>0</v>
      </c>
      <c r="N2417" t="n">
        <v>0</v>
      </c>
      <c r="O2417" t="n">
        <v>0</v>
      </c>
      <c r="P2417" t="n">
        <v>0</v>
      </c>
      <c r="Q2417" t="n">
        <v>0</v>
      </c>
      <c r="R2417" s="2" t="inlineStr"/>
    </row>
    <row r="2418" ht="15" customHeight="1">
      <c r="A2418" t="inlineStr">
        <is>
          <t>A 54946-2025</t>
        </is>
      </c>
      <c r="B2418" s="1" t="n">
        <v>45967.44832175926</v>
      </c>
      <c r="C2418" s="1" t="n">
        <v>46048</v>
      </c>
      <c r="D2418" t="inlineStr">
        <is>
          <t>VÄSTERNORRLANDS LÄN</t>
        </is>
      </c>
      <c r="E2418" t="inlineStr">
        <is>
          <t>SOLLEFTEÅ</t>
        </is>
      </c>
      <c r="F2418" t="inlineStr">
        <is>
          <t>Kyrkan</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62900-2025</t>
        </is>
      </c>
      <c r="B2419" s="1" t="n">
        <v>46009.34457175926</v>
      </c>
      <c r="C2419" s="1" t="n">
        <v>46048</v>
      </c>
      <c r="D2419" t="inlineStr">
        <is>
          <t>VÄSTERNORRLANDS LÄN</t>
        </is>
      </c>
      <c r="E2419" t="inlineStr">
        <is>
          <t>SOLLEFTEÅ</t>
        </is>
      </c>
      <c r="G2419" t="n">
        <v>0.4</v>
      </c>
      <c r="H2419" t="n">
        <v>0</v>
      </c>
      <c r="I2419" t="n">
        <v>0</v>
      </c>
      <c r="J2419" t="n">
        <v>0</v>
      </c>
      <c r="K2419" t="n">
        <v>0</v>
      </c>
      <c r="L2419" t="n">
        <v>0</v>
      </c>
      <c r="M2419" t="n">
        <v>0</v>
      </c>
      <c r="N2419" t="n">
        <v>0</v>
      </c>
      <c r="O2419" t="n">
        <v>0</v>
      </c>
      <c r="P2419" t="n">
        <v>0</v>
      </c>
      <c r="Q2419" t="n">
        <v>0</v>
      </c>
      <c r="R2419" s="2" t="inlineStr"/>
    </row>
    <row r="2420" ht="15" customHeight="1">
      <c r="A2420" t="inlineStr">
        <is>
          <t>A 62847-2025</t>
        </is>
      </c>
      <c r="B2420" s="1" t="n">
        <v>46008.69819444444</v>
      </c>
      <c r="C2420" s="1" t="n">
        <v>46048</v>
      </c>
      <c r="D2420" t="inlineStr">
        <is>
          <t>VÄSTERNORRLANDS LÄN</t>
        </is>
      </c>
      <c r="E2420" t="inlineStr">
        <is>
          <t>SOLLEFTEÅ</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55013-2025</t>
        </is>
      </c>
      <c r="B2421" s="1" t="n">
        <v>45967.61578703704</v>
      </c>
      <c r="C2421" s="1" t="n">
        <v>46048</v>
      </c>
      <c r="D2421" t="inlineStr">
        <is>
          <t>VÄSTERNORRLANDS LÄN</t>
        </is>
      </c>
      <c r="E2421" t="inlineStr">
        <is>
          <t>SOLLEFTEÅ</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55014-2025</t>
        </is>
      </c>
      <c r="B2422" s="1" t="n">
        <v>45967.61597222222</v>
      </c>
      <c r="C2422" s="1" t="n">
        <v>46048</v>
      </c>
      <c r="D2422" t="inlineStr">
        <is>
          <t>VÄSTERNORRLANDS LÄN</t>
        </is>
      </c>
      <c r="E2422" t="inlineStr">
        <is>
          <t>SOLLEFTEÅ</t>
        </is>
      </c>
      <c r="G2422" t="n">
        <v>12.5</v>
      </c>
      <c r="H2422" t="n">
        <v>0</v>
      </c>
      <c r="I2422" t="n">
        <v>0</v>
      </c>
      <c r="J2422" t="n">
        <v>0</v>
      </c>
      <c r="K2422" t="n">
        <v>0</v>
      </c>
      <c r="L2422" t="n">
        <v>0</v>
      </c>
      <c r="M2422" t="n">
        <v>0</v>
      </c>
      <c r="N2422" t="n">
        <v>0</v>
      </c>
      <c r="O2422" t="n">
        <v>0</v>
      </c>
      <c r="P2422" t="n">
        <v>0</v>
      </c>
      <c r="Q2422" t="n">
        <v>0</v>
      </c>
      <c r="R2422" s="2" t="inlineStr"/>
    </row>
    <row r="2423" ht="15" customHeight="1">
      <c r="A2423" t="inlineStr">
        <is>
          <t>A 54816-2025</t>
        </is>
      </c>
      <c r="B2423" s="1" t="n">
        <v>45966.65668981482</v>
      </c>
      <c r="C2423" s="1" t="n">
        <v>46048</v>
      </c>
      <c r="D2423" t="inlineStr">
        <is>
          <t>VÄSTERNORRLANDS LÄN</t>
        </is>
      </c>
      <c r="E2423" t="inlineStr">
        <is>
          <t>SOLLEFTEÅ</t>
        </is>
      </c>
      <c r="F2423" t="inlineStr">
        <is>
          <t>SCA</t>
        </is>
      </c>
      <c r="G2423" t="n">
        <v>11.7</v>
      </c>
      <c r="H2423" t="n">
        <v>0</v>
      </c>
      <c r="I2423" t="n">
        <v>0</v>
      </c>
      <c r="J2423" t="n">
        <v>0</v>
      </c>
      <c r="K2423" t="n">
        <v>0</v>
      </c>
      <c r="L2423" t="n">
        <v>0</v>
      </c>
      <c r="M2423" t="n">
        <v>0</v>
      </c>
      <c r="N2423" t="n">
        <v>0</v>
      </c>
      <c r="O2423" t="n">
        <v>0</v>
      </c>
      <c r="P2423" t="n">
        <v>0</v>
      </c>
      <c r="Q2423" t="n">
        <v>0</v>
      </c>
      <c r="R2423" s="2" t="inlineStr"/>
    </row>
    <row r="2424" ht="15" customHeight="1">
      <c r="A2424" t="inlineStr">
        <is>
          <t>A 54903-2025</t>
        </is>
      </c>
      <c r="B2424" s="1" t="n">
        <v>45967.36623842592</v>
      </c>
      <c r="C2424" s="1" t="n">
        <v>46048</v>
      </c>
      <c r="D2424" t="inlineStr">
        <is>
          <t>VÄSTERNORRLANDS LÄN</t>
        </is>
      </c>
      <c r="E2424" t="inlineStr">
        <is>
          <t>SOLLEFTEÅ</t>
        </is>
      </c>
      <c r="F2424" t="inlineStr">
        <is>
          <t>SCA</t>
        </is>
      </c>
      <c r="G2424" t="n">
        <v>4.8</v>
      </c>
      <c r="H2424" t="n">
        <v>0</v>
      </c>
      <c r="I2424" t="n">
        <v>0</v>
      </c>
      <c r="J2424" t="n">
        <v>0</v>
      </c>
      <c r="K2424" t="n">
        <v>0</v>
      </c>
      <c r="L2424" t="n">
        <v>0</v>
      </c>
      <c r="M2424" t="n">
        <v>0</v>
      </c>
      <c r="N2424" t="n">
        <v>0</v>
      </c>
      <c r="O2424" t="n">
        <v>0</v>
      </c>
      <c r="P2424" t="n">
        <v>0</v>
      </c>
      <c r="Q2424" t="n">
        <v>0</v>
      </c>
      <c r="R2424" s="2" t="inlineStr"/>
    </row>
    <row r="2425" ht="15" customHeight="1">
      <c r="A2425" t="inlineStr">
        <is>
          <t>A 62981-2025</t>
        </is>
      </c>
      <c r="B2425" s="1" t="n">
        <v>46009.49001157407</v>
      </c>
      <c r="C2425" s="1" t="n">
        <v>46048</v>
      </c>
      <c r="D2425" t="inlineStr">
        <is>
          <t>VÄSTERNORRLANDS LÄN</t>
        </is>
      </c>
      <c r="E2425" t="inlineStr">
        <is>
          <t>SOLLEFTEÅ</t>
        </is>
      </c>
      <c r="F2425" t="inlineStr">
        <is>
          <t>SCA</t>
        </is>
      </c>
      <c r="G2425" t="n">
        <v>6.4</v>
      </c>
      <c r="H2425" t="n">
        <v>0</v>
      </c>
      <c r="I2425" t="n">
        <v>0</v>
      </c>
      <c r="J2425" t="n">
        <v>0</v>
      </c>
      <c r="K2425" t="n">
        <v>0</v>
      </c>
      <c r="L2425" t="n">
        <v>0</v>
      </c>
      <c r="M2425" t="n">
        <v>0</v>
      </c>
      <c r="N2425" t="n">
        <v>0</v>
      </c>
      <c r="O2425" t="n">
        <v>0</v>
      </c>
      <c r="P2425" t="n">
        <v>0</v>
      </c>
      <c r="Q2425" t="n">
        <v>0</v>
      </c>
      <c r="R2425" s="2" t="inlineStr"/>
    </row>
    <row r="2426" ht="15" customHeight="1">
      <c r="A2426" t="inlineStr">
        <is>
          <t>A 54802-2025</t>
        </is>
      </c>
      <c r="B2426" s="1" t="n">
        <v>45966</v>
      </c>
      <c r="C2426" s="1" t="n">
        <v>46048</v>
      </c>
      <c r="D2426" t="inlineStr">
        <is>
          <t>VÄSTERNORRLANDS LÄN</t>
        </is>
      </c>
      <c r="E2426" t="inlineStr">
        <is>
          <t>SOLLEFTEÅ</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55068-2025</t>
        </is>
      </c>
      <c r="B2427" s="1" t="n">
        <v>45967.7225462963</v>
      </c>
      <c r="C2427" s="1" t="n">
        <v>46048</v>
      </c>
      <c r="D2427" t="inlineStr">
        <is>
          <t>VÄSTERNORRLANDS LÄN</t>
        </is>
      </c>
      <c r="E2427" t="inlineStr">
        <is>
          <t>SOLLEFTEÅ</t>
        </is>
      </c>
      <c r="F2427" t="inlineStr">
        <is>
          <t>SCA</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63456-2025</t>
        </is>
      </c>
      <c r="B2428" s="1" t="n">
        <v>46013.42209490741</v>
      </c>
      <c r="C2428" s="1" t="n">
        <v>46048</v>
      </c>
      <c r="D2428" t="inlineStr">
        <is>
          <t>VÄSTERNORRLANDS LÄN</t>
        </is>
      </c>
      <c r="E2428" t="inlineStr">
        <is>
          <t>SOLLEFTEÅ</t>
        </is>
      </c>
      <c r="G2428" t="n">
        <v>2.2</v>
      </c>
      <c r="H2428" t="n">
        <v>0</v>
      </c>
      <c r="I2428" t="n">
        <v>0</v>
      </c>
      <c r="J2428" t="n">
        <v>0</v>
      </c>
      <c r="K2428" t="n">
        <v>0</v>
      </c>
      <c r="L2428" t="n">
        <v>0</v>
      </c>
      <c r="M2428" t="n">
        <v>0</v>
      </c>
      <c r="N2428" t="n">
        <v>0</v>
      </c>
      <c r="O2428" t="n">
        <v>0</v>
      </c>
      <c r="P2428" t="n">
        <v>0</v>
      </c>
      <c r="Q2428" t="n">
        <v>0</v>
      </c>
      <c r="R2428" s="2" t="inlineStr"/>
    </row>
    <row r="2429" ht="15" customHeight="1">
      <c r="A2429" t="inlineStr">
        <is>
          <t>A 63433-2025</t>
        </is>
      </c>
      <c r="B2429" s="1" t="n">
        <v>46013.36335648148</v>
      </c>
      <c r="C2429" s="1" t="n">
        <v>46048</v>
      </c>
      <c r="D2429" t="inlineStr">
        <is>
          <t>VÄSTERNORRLANDS LÄN</t>
        </is>
      </c>
      <c r="E2429" t="inlineStr">
        <is>
          <t>SOLLEFTEÅ</t>
        </is>
      </c>
      <c r="G2429" t="n">
        <v>2.4</v>
      </c>
      <c r="H2429" t="n">
        <v>0</v>
      </c>
      <c r="I2429" t="n">
        <v>0</v>
      </c>
      <c r="J2429" t="n">
        <v>0</v>
      </c>
      <c r="K2429" t="n">
        <v>0</v>
      </c>
      <c r="L2429" t="n">
        <v>0</v>
      </c>
      <c r="M2429" t="n">
        <v>0</v>
      </c>
      <c r="N2429" t="n">
        <v>0</v>
      </c>
      <c r="O2429" t="n">
        <v>0</v>
      </c>
      <c r="P2429" t="n">
        <v>0</v>
      </c>
      <c r="Q2429" t="n">
        <v>0</v>
      </c>
      <c r="R2429" s="2" t="inlineStr"/>
    </row>
    <row r="2430" ht="15" customHeight="1">
      <c r="A2430" t="inlineStr">
        <is>
          <t>A 63442-2025</t>
        </is>
      </c>
      <c r="B2430" s="1" t="n">
        <v>46013.38599537037</v>
      </c>
      <c r="C2430" s="1" t="n">
        <v>46048</v>
      </c>
      <c r="D2430" t="inlineStr">
        <is>
          <t>VÄSTERNORRLANDS LÄN</t>
        </is>
      </c>
      <c r="E2430" t="inlineStr">
        <is>
          <t>SOLLEFTEÅ</t>
        </is>
      </c>
      <c r="G2430" t="n">
        <v>3.9</v>
      </c>
      <c r="H2430" t="n">
        <v>0</v>
      </c>
      <c r="I2430" t="n">
        <v>0</v>
      </c>
      <c r="J2430" t="n">
        <v>0</v>
      </c>
      <c r="K2430" t="n">
        <v>0</v>
      </c>
      <c r="L2430" t="n">
        <v>0</v>
      </c>
      <c r="M2430" t="n">
        <v>0</v>
      </c>
      <c r="N2430" t="n">
        <v>0</v>
      </c>
      <c r="O2430" t="n">
        <v>0</v>
      </c>
      <c r="P2430" t="n">
        <v>0</v>
      </c>
      <c r="Q2430" t="n">
        <v>0</v>
      </c>
      <c r="R2430" s="2" t="inlineStr"/>
    </row>
    <row r="2431" ht="15" customHeight="1">
      <c r="A2431" t="inlineStr">
        <is>
          <t>A 55289-2025</t>
        </is>
      </c>
      <c r="B2431" s="1" t="n">
        <v>45969.344375</v>
      </c>
      <c r="C2431" s="1" t="n">
        <v>46048</v>
      </c>
      <c r="D2431" t="inlineStr">
        <is>
          <t>VÄSTERNORRLANDS LÄN</t>
        </is>
      </c>
      <c r="E2431" t="inlineStr">
        <is>
          <t>SOLLEFTEÅ</t>
        </is>
      </c>
      <c r="F2431" t="inlineStr">
        <is>
          <t>SCA</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55096-2025</t>
        </is>
      </c>
      <c r="B2432" s="1" t="n">
        <v>45968.34510416666</v>
      </c>
      <c r="C2432" s="1" t="n">
        <v>46048</v>
      </c>
      <c r="D2432" t="inlineStr">
        <is>
          <t>VÄSTERNORRLANDS LÄN</t>
        </is>
      </c>
      <c r="E2432" t="inlineStr">
        <is>
          <t>SOLLEFTEÅ</t>
        </is>
      </c>
      <c r="F2432" t="inlineStr">
        <is>
          <t>SCA</t>
        </is>
      </c>
      <c r="G2432" t="n">
        <v>4.1</v>
      </c>
      <c r="H2432" t="n">
        <v>0</v>
      </c>
      <c r="I2432" t="n">
        <v>0</v>
      </c>
      <c r="J2432" t="n">
        <v>0</v>
      </c>
      <c r="K2432" t="n">
        <v>0</v>
      </c>
      <c r="L2432" t="n">
        <v>0</v>
      </c>
      <c r="M2432" t="n">
        <v>0</v>
      </c>
      <c r="N2432" t="n">
        <v>0</v>
      </c>
      <c r="O2432" t="n">
        <v>0</v>
      </c>
      <c r="P2432" t="n">
        <v>0</v>
      </c>
      <c r="Q2432" t="n">
        <v>0</v>
      </c>
      <c r="R2432" s="2" t="inlineStr"/>
    </row>
    <row r="2433" ht="15" customHeight="1">
      <c r="A2433" t="inlineStr">
        <is>
          <t>A 63273-2025</t>
        </is>
      </c>
      <c r="B2433" s="1" t="n">
        <v>46010.57322916666</v>
      </c>
      <c r="C2433" s="1" t="n">
        <v>46048</v>
      </c>
      <c r="D2433" t="inlineStr">
        <is>
          <t>VÄSTERNORRLANDS LÄN</t>
        </is>
      </c>
      <c r="E2433" t="inlineStr">
        <is>
          <t>SOLLEFTEÅ</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55137-2025</t>
        </is>
      </c>
      <c r="B2434" s="1" t="n">
        <v>45968.42770833334</v>
      </c>
      <c r="C2434" s="1" t="n">
        <v>46048</v>
      </c>
      <c r="D2434" t="inlineStr">
        <is>
          <t>VÄSTERNORRLANDS LÄN</t>
        </is>
      </c>
      <c r="E2434" t="inlineStr">
        <is>
          <t>SOLLEFTEÅ</t>
        </is>
      </c>
      <c r="F2434" t="inlineStr">
        <is>
          <t>SCA</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55136-2025</t>
        </is>
      </c>
      <c r="B2435" s="1" t="n">
        <v>45968.42752314815</v>
      </c>
      <c r="C2435" s="1" t="n">
        <v>46048</v>
      </c>
      <c r="D2435" t="inlineStr">
        <is>
          <t>VÄSTERNORRLANDS LÄN</t>
        </is>
      </c>
      <c r="E2435" t="inlineStr">
        <is>
          <t>SOLLEFTEÅ</t>
        </is>
      </c>
      <c r="F2435" t="inlineStr">
        <is>
          <t>SCA</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63568-2025</t>
        </is>
      </c>
      <c r="B2436" s="1" t="n">
        <v>46013.63594907407</v>
      </c>
      <c r="C2436" s="1" t="n">
        <v>46048</v>
      </c>
      <c r="D2436" t="inlineStr">
        <is>
          <t>VÄSTERNORRLANDS LÄN</t>
        </is>
      </c>
      <c r="E2436" t="inlineStr">
        <is>
          <t>SOLLEFTEÅ</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63296-2025</t>
        </is>
      </c>
      <c r="B2437" s="1" t="n">
        <v>46010.5952662037</v>
      </c>
      <c r="C2437" s="1" t="n">
        <v>46048</v>
      </c>
      <c r="D2437" t="inlineStr">
        <is>
          <t>VÄSTERNORRLANDS LÄN</t>
        </is>
      </c>
      <c r="E2437" t="inlineStr">
        <is>
          <t>SOLLEFTEÅ</t>
        </is>
      </c>
      <c r="F2437" t="inlineStr">
        <is>
          <t>Holmen skog AB</t>
        </is>
      </c>
      <c r="G2437" t="n">
        <v>6.9</v>
      </c>
      <c r="H2437" t="n">
        <v>0</v>
      </c>
      <c r="I2437" t="n">
        <v>0</v>
      </c>
      <c r="J2437" t="n">
        <v>0</v>
      </c>
      <c r="K2437" t="n">
        <v>0</v>
      </c>
      <c r="L2437" t="n">
        <v>0</v>
      </c>
      <c r="M2437" t="n">
        <v>0</v>
      </c>
      <c r="N2437" t="n">
        <v>0</v>
      </c>
      <c r="O2437" t="n">
        <v>0</v>
      </c>
      <c r="P2437" t="n">
        <v>0</v>
      </c>
      <c r="Q2437" t="n">
        <v>0</v>
      </c>
      <c r="R2437" s="2" t="inlineStr"/>
    </row>
    <row r="2438" ht="15" customHeight="1">
      <c r="A2438" t="inlineStr">
        <is>
          <t>A 63180-2025</t>
        </is>
      </c>
      <c r="B2438" s="1" t="n">
        <v>46010.42760416667</v>
      </c>
      <c r="C2438" s="1" t="n">
        <v>46048</v>
      </c>
      <c r="D2438" t="inlineStr">
        <is>
          <t>VÄSTERNORRLANDS LÄN</t>
        </is>
      </c>
      <c r="E2438" t="inlineStr">
        <is>
          <t>SOLLEFTEÅ</t>
        </is>
      </c>
      <c r="G2438" t="n">
        <v>4.4</v>
      </c>
      <c r="H2438" t="n">
        <v>0</v>
      </c>
      <c r="I2438" t="n">
        <v>0</v>
      </c>
      <c r="J2438" t="n">
        <v>0</v>
      </c>
      <c r="K2438" t="n">
        <v>0</v>
      </c>
      <c r="L2438" t="n">
        <v>0</v>
      </c>
      <c r="M2438" t="n">
        <v>0</v>
      </c>
      <c r="N2438" t="n">
        <v>0</v>
      </c>
      <c r="O2438" t="n">
        <v>0</v>
      </c>
      <c r="P2438" t="n">
        <v>0</v>
      </c>
      <c r="Q2438" t="n">
        <v>0</v>
      </c>
      <c r="R2438" s="2" t="inlineStr"/>
    </row>
    <row r="2439" ht="15" customHeight="1">
      <c r="A2439" t="inlineStr">
        <is>
          <t>A 55471-2025</t>
        </is>
      </c>
      <c r="B2439" s="1" t="n">
        <v>45971</v>
      </c>
      <c r="C2439" s="1" t="n">
        <v>46048</v>
      </c>
      <c r="D2439" t="inlineStr">
        <is>
          <t>VÄSTERNORRLANDS LÄN</t>
        </is>
      </c>
      <c r="E2439" t="inlineStr">
        <is>
          <t>SOLLEFTEÅ</t>
        </is>
      </c>
      <c r="G2439" t="n">
        <v>7.5</v>
      </c>
      <c r="H2439" t="n">
        <v>0</v>
      </c>
      <c r="I2439" t="n">
        <v>0</v>
      </c>
      <c r="J2439" t="n">
        <v>0</v>
      </c>
      <c r="K2439" t="n">
        <v>0</v>
      </c>
      <c r="L2439" t="n">
        <v>0</v>
      </c>
      <c r="M2439" t="n">
        <v>0</v>
      </c>
      <c r="N2439" t="n">
        <v>0</v>
      </c>
      <c r="O2439" t="n">
        <v>0</v>
      </c>
      <c r="P2439" t="n">
        <v>0</v>
      </c>
      <c r="Q2439" t="n">
        <v>0</v>
      </c>
      <c r="R2439" s="2" t="inlineStr"/>
    </row>
    <row r="2440" ht="15" customHeight="1">
      <c r="A2440" t="inlineStr">
        <is>
          <t>A 55529-2025</t>
        </is>
      </c>
      <c r="B2440" s="1" t="n">
        <v>45971.62087962963</v>
      </c>
      <c r="C2440" s="1" t="n">
        <v>46048</v>
      </c>
      <c r="D2440" t="inlineStr">
        <is>
          <t>VÄSTERNORRLANDS LÄN</t>
        </is>
      </c>
      <c r="E2440" t="inlineStr">
        <is>
          <t>SOLLEFTEÅ</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35042-2025</t>
        </is>
      </c>
      <c r="B2441" s="1" t="n">
        <v>45852.34447916667</v>
      </c>
      <c r="C2441" s="1" t="n">
        <v>46048</v>
      </c>
      <c r="D2441" t="inlineStr">
        <is>
          <t>VÄSTERNORRLANDS LÄN</t>
        </is>
      </c>
      <c r="E2441" t="inlineStr">
        <is>
          <t>SOLLEFTEÅ</t>
        </is>
      </c>
      <c r="F2441" t="inlineStr">
        <is>
          <t>SCA</t>
        </is>
      </c>
      <c r="G2441" t="n">
        <v>4.1</v>
      </c>
      <c r="H2441" t="n">
        <v>0</v>
      </c>
      <c r="I2441" t="n">
        <v>0</v>
      </c>
      <c r="J2441" t="n">
        <v>0</v>
      </c>
      <c r="K2441" t="n">
        <v>0</v>
      </c>
      <c r="L2441" t="n">
        <v>0</v>
      </c>
      <c r="M2441" t="n">
        <v>0</v>
      </c>
      <c r="N2441" t="n">
        <v>0</v>
      </c>
      <c r="O2441" t="n">
        <v>0</v>
      </c>
      <c r="P2441" t="n">
        <v>0</v>
      </c>
      <c r="Q2441" t="n">
        <v>0</v>
      </c>
      <c r="R2441" s="2" t="inlineStr"/>
    </row>
    <row r="2442" ht="15" customHeight="1">
      <c r="A2442" t="inlineStr">
        <is>
          <t>A 55116-2025</t>
        </is>
      </c>
      <c r="B2442" s="1" t="n">
        <v>45968.38623842593</v>
      </c>
      <c r="C2442" s="1" t="n">
        <v>46048</v>
      </c>
      <c r="D2442" t="inlineStr">
        <is>
          <t>VÄSTERNORRLANDS LÄN</t>
        </is>
      </c>
      <c r="E2442" t="inlineStr">
        <is>
          <t>SOLLEFTEÅ</t>
        </is>
      </c>
      <c r="F2442" t="inlineStr">
        <is>
          <t>SCA</t>
        </is>
      </c>
      <c r="G2442" t="n">
        <v>9.5</v>
      </c>
      <c r="H2442" t="n">
        <v>0</v>
      </c>
      <c r="I2442" t="n">
        <v>0</v>
      </c>
      <c r="J2442" t="n">
        <v>0</v>
      </c>
      <c r="K2442" t="n">
        <v>0</v>
      </c>
      <c r="L2442" t="n">
        <v>0</v>
      </c>
      <c r="M2442" t="n">
        <v>0</v>
      </c>
      <c r="N2442" t="n">
        <v>0</v>
      </c>
      <c r="O2442" t="n">
        <v>0</v>
      </c>
      <c r="P2442" t="n">
        <v>0</v>
      </c>
      <c r="Q2442" t="n">
        <v>0</v>
      </c>
      <c r="R2442" s="2" t="inlineStr"/>
    </row>
    <row r="2443" ht="15" customHeight="1">
      <c r="A2443" t="inlineStr">
        <is>
          <t>A 55583-2025</t>
        </is>
      </c>
      <c r="B2443" s="1" t="n">
        <v>45971.67804398148</v>
      </c>
      <c r="C2443" s="1" t="n">
        <v>46048</v>
      </c>
      <c r="D2443" t="inlineStr">
        <is>
          <t>VÄSTERNORRLANDS LÄN</t>
        </is>
      </c>
      <c r="E2443" t="inlineStr">
        <is>
          <t>SOLLEFTEÅ</t>
        </is>
      </c>
      <c r="F2443" t="inlineStr">
        <is>
          <t>SCA</t>
        </is>
      </c>
      <c r="G2443" t="n">
        <v>4.5</v>
      </c>
      <c r="H2443" t="n">
        <v>0</v>
      </c>
      <c r="I2443" t="n">
        <v>0</v>
      </c>
      <c r="J2443" t="n">
        <v>0</v>
      </c>
      <c r="K2443" t="n">
        <v>0</v>
      </c>
      <c r="L2443" t="n">
        <v>0</v>
      </c>
      <c r="M2443" t="n">
        <v>0</v>
      </c>
      <c r="N2443" t="n">
        <v>0</v>
      </c>
      <c r="O2443" t="n">
        <v>0</v>
      </c>
      <c r="P2443" t="n">
        <v>0</v>
      </c>
      <c r="Q2443" t="n">
        <v>0</v>
      </c>
      <c r="R2443" s="2" t="inlineStr"/>
    </row>
    <row r="2444" ht="15" customHeight="1">
      <c r="A2444" t="inlineStr">
        <is>
          <t>A 55584-2025</t>
        </is>
      </c>
      <c r="B2444" s="1" t="n">
        <v>45971.67821759259</v>
      </c>
      <c r="C2444" s="1" t="n">
        <v>46048</v>
      </c>
      <c r="D2444" t="inlineStr">
        <is>
          <t>VÄSTERNORRLANDS LÄN</t>
        </is>
      </c>
      <c r="E2444" t="inlineStr">
        <is>
          <t>SOLLEFTEÅ</t>
        </is>
      </c>
      <c r="F2444" t="inlineStr">
        <is>
          <t>SCA</t>
        </is>
      </c>
      <c r="G2444" t="n">
        <v>2.5</v>
      </c>
      <c r="H2444" t="n">
        <v>0</v>
      </c>
      <c r="I2444" t="n">
        <v>0</v>
      </c>
      <c r="J2444" t="n">
        <v>0</v>
      </c>
      <c r="K2444" t="n">
        <v>0</v>
      </c>
      <c r="L2444" t="n">
        <v>0</v>
      </c>
      <c r="M2444" t="n">
        <v>0</v>
      </c>
      <c r="N2444" t="n">
        <v>0</v>
      </c>
      <c r="O2444" t="n">
        <v>0</v>
      </c>
      <c r="P2444" t="n">
        <v>0</v>
      </c>
      <c r="Q2444" t="n">
        <v>0</v>
      </c>
      <c r="R2444" s="2" t="inlineStr"/>
    </row>
    <row r="2445" ht="15" customHeight="1">
      <c r="A2445" t="inlineStr">
        <is>
          <t>A 55585-2025</t>
        </is>
      </c>
      <c r="B2445" s="1" t="n">
        <v>45971.6784375</v>
      </c>
      <c r="C2445" s="1" t="n">
        <v>46048</v>
      </c>
      <c r="D2445" t="inlineStr">
        <is>
          <t>VÄSTERNORRLANDS LÄN</t>
        </is>
      </c>
      <c r="E2445" t="inlineStr">
        <is>
          <t>SOLLEFTEÅ</t>
        </is>
      </c>
      <c r="F2445" t="inlineStr">
        <is>
          <t>SCA</t>
        </is>
      </c>
      <c r="G2445" t="n">
        <v>11.8</v>
      </c>
      <c r="H2445" t="n">
        <v>0</v>
      </c>
      <c r="I2445" t="n">
        <v>0</v>
      </c>
      <c r="J2445" t="n">
        <v>0</v>
      </c>
      <c r="K2445" t="n">
        <v>0</v>
      </c>
      <c r="L2445" t="n">
        <v>0</v>
      </c>
      <c r="M2445" t="n">
        <v>0</v>
      </c>
      <c r="N2445" t="n">
        <v>0</v>
      </c>
      <c r="O2445" t="n">
        <v>0</v>
      </c>
      <c r="P2445" t="n">
        <v>0</v>
      </c>
      <c r="Q2445" t="n">
        <v>0</v>
      </c>
      <c r="R2445" s="2" t="inlineStr"/>
    </row>
    <row r="2446" ht="15" customHeight="1">
      <c r="A2446" t="inlineStr">
        <is>
          <t>A 63158-2025</t>
        </is>
      </c>
      <c r="B2446" s="1" t="n">
        <v>46010.36509259259</v>
      </c>
      <c r="C2446" s="1" t="n">
        <v>46048</v>
      </c>
      <c r="D2446" t="inlineStr">
        <is>
          <t>VÄSTERNORRLANDS LÄN</t>
        </is>
      </c>
      <c r="E2446" t="inlineStr">
        <is>
          <t>SOLLEFTEÅ</t>
        </is>
      </c>
      <c r="F2446" t="inlineStr">
        <is>
          <t>SCA</t>
        </is>
      </c>
      <c r="G2446" t="n">
        <v>4.1</v>
      </c>
      <c r="H2446" t="n">
        <v>0</v>
      </c>
      <c r="I2446" t="n">
        <v>0</v>
      </c>
      <c r="J2446" t="n">
        <v>0</v>
      </c>
      <c r="K2446" t="n">
        <v>0</v>
      </c>
      <c r="L2446" t="n">
        <v>0</v>
      </c>
      <c r="M2446" t="n">
        <v>0</v>
      </c>
      <c r="N2446" t="n">
        <v>0</v>
      </c>
      <c r="O2446" t="n">
        <v>0</v>
      </c>
      <c r="P2446" t="n">
        <v>0</v>
      </c>
      <c r="Q2446" t="n">
        <v>0</v>
      </c>
      <c r="R2446" s="2" t="inlineStr"/>
    </row>
    <row r="2447" ht="15" customHeight="1">
      <c r="A2447" t="inlineStr">
        <is>
          <t>A 55510-2025</t>
        </is>
      </c>
      <c r="B2447" s="1" t="n">
        <v>45971.60037037037</v>
      </c>
      <c r="C2447" s="1" t="n">
        <v>46048</v>
      </c>
      <c r="D2447" t="inlineStr">
        <is>
          <t>VÄSTERNORRLANDS LÄN</t>
        </is>
      </c>
      <c r="E2447" t="inlineStr">
        <is>
          <t>SOLLEFTEÅ</t>
        </is>
      </c>
      <c r="G2447" t="n">
        <v>4.7</v>
      </c>
      <c r="H2447" t="n">
        <v>0</v>
      </c>
      <c r="I2447" t="n">
        <v>0</v>
      </c>
      <c r="J2447" t="n">
        <v>0</v>
      </c>
      <c r="K2447" t="n">
        <v>0</v>
      </c>
      <c r="L2447" t="n">
        <v>0</v>
      </c>
      <c r="M2447" t="n">
        <v>0</v>
      </c>
      <c r="N2447" t="n">
        <v>0</v>
      </c>
      <c r="O2447" t="n">
        <v>0</v>
      </c>
      <c r="P2447" t="n">
        <v>0</v>
      </c>
      <c r="Q2447" t="n">
        <v>0</v>
      </c>
      <c r="R2447" s="2" t="inlineStr"/>
    </row>
    <row r="2448" ht="15" customHeight="1">
      <c r="A2448" t="inlineStr">
        <is>
          <t>A 55094-2025</t>
        </is>
      </c>
      <c r="B2448" s="1" t="n">
        <v>45968.34483796296</v>
      </c>
      <c r="C2448" s="1" t="n">
        <v>46048</v>
      </c>
      <c r="D2448" t="inlineStr">
        <is>
          <t>VÄSTERNORRLANDS LÄN</t>
        </is>
      </c>
      <c r="E2448" t="inlineStr">
        <is>
          <t>SOLLEFTEÅ</t>
        </is>
      </c>
      <c r="F2448" t="inlineStr">
        <is>
          <t>SCA</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63569-2025</t>
        </is>
      </c>
      <c r="B2449" s="1" t="n">
        <v>46013.63601851852</v>
      </c>
      <c r="C2449" s="1" t="n">
        <v>46048</v>
      </c>
      <c r="D2449" t="inlineStr">
        <is>
          <t>VÄSTERNORRLANDS LÄN</t>
        </is>
      </c>
      <c r="E2449" t="inlineStr">
        <is>
          <t>SOLLEFTEÅ</t>
        </is>
      </c>
      <c r="G2449" t="n">
        <v>20.6</v>
      </c>
      <c r="H2449" t="n">
        <v>0</v>
      </c>
      <c r="I2449" t="n">
        <v>0</v>
      </c>
      <c r="J2449" t="n">
        <v>0</v>
      </c>
      <c r="K2449" t="n">
        <v>0</v>
      </c>
      <c r="L2449" t="n">
        <v>0</v>
      </c>
      <c r="M2449" t="n">
        <v>0</v>
      </c>
      <c r="N2449" t="n">
        <v>0</v>
      </c>
      <c r="O2449" t="n">
        <v>0</v>
      </c>
      <c r="P2449" t="n">
        <v>0</v>
      </c>
      <c r="Q2449" t="n">
        <v>0</v>
      </c>
      <c r="R2449" s="2" t="inlineStr"/>
    </row>
    <row r="2450" ht="15" customHeight="1">
      <c r="A2450" t="inlineStr">
        <is>
          <t>A 63579-2025</t>
        </is>
      </c>
      <c r="B2450" s="1" t="n">
        <v>46013.67748842593</v>
      </c>
      <c r="C2450" s="1" t="n">
        <v>46048</v>
      </c>
      <c r="D2450" t="inlineStr">
        <is>
          <t>VÄSTERNORRLANDS LÄN</t>
        </is>
      </c>
      <c r="E2450" t="inlineStr">
        <is>
          <t>SOLLEFTEÅ</t>
        </is>
      </c>
      <c r="F2450" t="inlineStr">
        <is>
          <t>SCA</t>
        </is>
      </c>
      <c r="G2450" t="n">
        <v>0.4</v>
      </c>
      <c r="H2450" t="n">
        <v>0</v>
      </c>
      <c r="I2450" t="n">
        <v>0</v>
      </c>
      <c r="J2450" t="n">
        <v>0</v>
      </c>
      <c r="K2450" t="n">
        <v>0</v>
      </c>
      <c r="L2450" t="n">
        <v>0</v>
      </c>
      <c r="M2450" t="n">
        <v>0</v>
      </c>
      <c r="N2450" t="n">
        <v>0</v>
      </c>
      <c r="O2450" t="n">
        <v>0</v>
      </c>
      <c r="P2450" t="n">
        <v>0</v>
      </c>
      <c r="Q2450" t="n">
        <v>0</v>
      </c>
      <c r="R2450" s="2" t="inlineStr"/>
    </row>
    <row r="2451" ht="15" customHeight="1">
      <c r="A2451" t="inlineStr">
        <is>
          <t>A 55582-2025</t>
        </is>
      </c>
      <c r="B2451" s="1" t="n">
        <v>45971.67768518518</v>
      </c>
      <c r="C2451" s="1" t="n">
        <v>46048</v>
      </c>
      <c r="D2451" t="inlineStr">
        <is>
          <t>VÄSTERNORRLANDS LÄN</t>
        </is>
      </c>
      <c r="E2451" t="inlineStr">
        <is>
          <t>SOLLEFTEÅ</t>
        </is>
      </c>
      <c r="F2451" t="inlineStr">
        <is>
          <t>SCA</t>
        </is>
      </c>
      <c r="G2451" t="n">
        <v>5.3</v>
      </c>
      <c r="H2451" t="n">
        <v>0</v>
      </c>
      <c r="I2451" t="n">
        <v>0</v>
      </c>
      <c r="J2451" t="n">
        <v>0</v>
      </c>
      <c r="K2451" t="n">
        <v>0</v>
      </c>
      <c r="L2451" t="n">
        <v>0</v>
      </c>
      <c r="M2451" t="n">
        <v>0</v>
      </c>
      <c r="N2451" t="n">
        <v>0</v>
      </c>
      <c r="O2451" t="n">
        <v>0</v>
      </c>
      <c r="P2451" t="n">
        <v>0</v>
      </c>
      <c r="Q2451" t="n">
        <v>0</v>
      </c>
      <c r="R2451" s="2" t="inlineStr"/>
    </row>
    <row r="2452" ht="15" customHeight="1">
      <c r="A2452" t="inlineStr">
        <is>
          <t>A 55586-2025</t>
        </is>
      </c>
      <c r="B2452" s="1" t="n">
        <v>45971</v>
      </c>
      <c r="C2452" s="1" t="n">
        <v>46048</v>
      </c>
      <c r="D2452" t="inlineStr">
        <is>
          <t>VÄSTERNORRLANDS LÄN</t>
        </is>
      </c>
      <c r="E2452" t="inlineStr">
        <is>
          <t>SOLLEFTEÅ</t>
        </is>
      </c>
      <c r="G2452" t="n">
        <v>7.8</v>
      </c>
      <c r="H2452" t="n">
        <v>0</v>
      </c>
      <c r="I2452" t="n">
        <v>0</v>
      </c>
      <c r="J2452" t="n">
        <v>0</v>
      </c>
      <c r="K2452" t="n">
        <v>0</v>
      </c>
      <c r="L2452" t="n">
        <v>0</v>
      </c>
      <c r="M2452" t="n">
        <v>0</v>
      </c>
      <c r="N2452" t="n">
        <v>0</v>
      </c>
      <c r="O2452" t="n">
        <v>0</v>
      </c>
      <c r="P2452" t="n">
        <v>0</v>
      </c>
      <c r="Q2452" t="n">
        <v>0</v>
      </c>
      <c r="R2452" s="2" t="inlineStr"/>
    </row>
    <row r="2453" ht="15" customHeight="1">
      <c r="A2453" t="inlineStr">
        <is>
          <t>A 55115-2025</t>
        </is>
      </c>
      <c r="B2453" s="1" t="n">
        <v>45968</v>
      </c>
      <c r="C2453" s="1" t="n">
        <v>46048</v>
      </c>
      <c r="D2453" t="inlineStr">
        <is>
          <t>VÄSTERNORRLANDS LÄN</t>
        </is>
      </c>
      <c r="E2453" t="inlineStr">
        <is>
          <t>SOLLEFTEÅ</t>
        </is>
      </c>
      <c r="F2453" t="inlineStr">
        <is>
          <t>SCA</t>
        </is>
      </c>
      <c r="G2453" t="n">
        <v>9.1</v>
      </c>
      <c r="H2453" t="n">
        <v>0</v>
      </c>
      <c r="I2453" t="n">
        <v>0</v>
      </c>
      <c r="J2453" t="n">
        <v>0</v>
      </c>
      <c r="K2453" t="n">
        <v>0</v>
      </c>
      <c r="L2453" t="n">
        <v>0</v>
      </c>
      <c r="M2453" t="n">
        <v>0</v>
      </c>
      <c r="N2453" t="n">
        <v>0</v>
      </c>
      <c r="O2453" t="n">
        <v>0</v>
      </c>
      <c r="P2453" t="n">
        <v>0</v>
      </c>
      <c r="Q2453" t="n">
        <v>0</v>
      </c>
      <c r="R2453" s="2" t="inlineStr"/>
    </row>
    <row r="2454" ht="15" customHeight="1">
      <c r="A2454" t="inlineStr">
        <is>
          <t>A 63382-2025</t>
        </is>
      </c>
      <c r="B2454" s="1" t="n">
        <v>46011.34420138889</v>
      </c>
      <c r="C2454" s="1" t="n">
        <v>46048</v>
      </c>
      <c r="D2454" t="inlineStr">
        <is>
          <t>VÄSTERNORRLANDS LÄN</t>
        </is>
      </c>
      <c r="E2454" t="inlineStr">
        <is>
          <t>SOLLEFTEÅ</t>
        </is>
      </c>
      <c r="G2454" t="n">
        <v>6.3</v>
      </c>
      <c r="H2454" t="n">
        <v>0</v>
      </c>
      <c r="I2454" t="n">
        <v>0</v>
      </c>
      <c r="J2454" t="n">
        <v>0</v>
      </c>
      <c r="K2454" t="n">
        <v>0</v>
      </c>
      <c r="L2454" t="n">
        <v>0</v>
      </c>
      <c r="M2454" t="n">
        <v>0</v>
      </c>
      <c r="N2454" t="n">
        <v>0</v>
      </c>
      <c r="O2454" t="n">
        <v>0</v>
      </c>
      <c r="P2454" t="n">
        <v>0</v>
      </c>
      <c r="Q2454" t="n">
        <v>0</v>
      </c>
      <c r="R2454" s="2" t="inlineStr"/>
    </row>
    <row r="2455" ht="15" customHeight="1">
      <c r="A2455" t="inlineStr">
        <is>
          <t>A 63412-2025</t>
        </is>
      </c>
      <c r="B2455" s="1" t="n">
        <v>46013.31016203704</v>
      </c>
      <c r="C2455" s="1" t="n">
        <v>46048</v>
      </c>
      <c r="D2455" t="inlineStr">
        <is>
          <t>VÄSTERNORRLANDS LÄN</t>
        </is>
      </c>
      <c r="E2455" t="inlineStr">
        <is>
          <t>SOLLEFTEÅ</t>
        </is>
      </c>
      <c r="G2455" t="n">
        <v>10.8</v>
      </c>
      <c r="H2455" t="n">
        <v>0</v>
      </c>
      <c r="I2455" t="n">
        <v>0</v>
      </c>
      <c r="J2455" t="n">
        <v>0</v>
      </c>
      <c r="K2455" t="n">
        <v>0</v>
      </c>
      <c r="L2455" t="n">
        <v>0</v>
      </c>
      <c r="M2455" t="n">
        <v>0</v>
      </c>
      <c r="N2455" t="n">
        <v>0</v>
      </c>
      <c r="O2455" t="n">
        <v>0</v>
      </c>
      <c r="P2455" t="n">
        <v>0</v>
      </c>
      <c r="Q2455" t="n">
        <v>0</v>
      </c>
      <c r="R2455" s="2" t="inlineStr"/>
    </row>
    <row r="2456" ht="15" customHeight="1">
      <c r="A2456" t="inlineStr">
        <is>
          <t>A 63470-2025</t>
        </is>
      </c>
      <c r="B2456" s="1" t="n">
        <v>46013.4347337963</v>
      </c>
      <c r="C2456" s="1" t="n">
        <v>46048</v>
      </c>
      <c r="D2456" t="inlineStr">
        <is>
          <t>VÄSTERNORRLANDS LÄN</t>
        </is>
      </c>
      <c r="E2456" t="inlineStr">
        <is>
          <t>SOLLEFTEÅ</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63471-2025</t>
        </is>
      </c>
      <c r="B2457" s="1" t="n">
        <v>46013.43973379629</v>
      </c>
      <c r="C2457" s="1" t="n">
        <v>46048</v>
      </c>
      <c r="D2457" t="inlineStr">
        <is>
          <t>VÄSTERNORRLANDS LÄN</t>
        </is>
      </c>
      <c r="E2457" t="inlineStr">
        <is>
          <t>SOLLEFTEÅ</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63443-2025</t>
        </is>
      </c>
      <c r="B2458" s="1" t="n">
        <v>46013.38929398148</v>
      </c>
      <c r="C2458" s="1" t="n">
        <v>46048</v>
      </c>
      <c r="D2458" t="inlineStr">
        <is>
          <t>VÄSTERNORRLANDS LÄN</t>
        </is>
      </c>
      <c r="E2458" t="inlineStr">
        <is>
          <t>SOLLEFTEÅ</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55360-2025</t>
        </is>
      </c>
      <c r="B2459" s="1" t="n">
        <v>45971.38597222222</v>
      </c>
      <c r="C2459" s="1" t="n">
        <v>46048</v>
      </c>
      <c r="D2459" t="inlineStr">
        <is>
          <t>VÄSTERNORRLANDS LÄN</t>
        </is>
      </c>
      <c r="E2459" t="inlineStr">
        <is>
          <t>SOLLEFTEÅ</t>
        </is>
      </c>
      <c r="F2459" t="inlineStr">
        <is>
          <t>SCA</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63727-2025</t>
        </is>
      </c>
      <c r="B2460" s="1" t="n">
        <v>46010</v>
      </c>
      <c r="C2460" s="1" t="n">
        <v>46048</v>
      </c>
      <c r="D2460" t="inlineStr">
        <is>
          <t>VÄSTERNORRLANDS LÄN</t>
        </is>
      </c>
      <c r="E2460" t="inlineStr">
        <is>
          <t>SOLLEFTEÅ</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55950-2025</t>
        </is>
      </c>
      <c r="B2461" s="1" t="n">
        <v>45973.46942129629</v>
      </c>
      <c r="C2461" s="1" t="n">
        <v>46048</v>
      </c>
      <c r="D2461" t="inlineStr">
        <is>
          <t>VÄSTERNORRLANDS LÄN</t>
        </is>
      </c>
      <c r="E2461" t="inlineStr">
        <is>
          <t>SOLLEFTEÅ</t>
        </is>
      </c>
      <c r="G2461" t="n">
        <v>3.6</v>
      </c>
      <c r="H2461" t="n">
        <v>0</v>
      </c>
      <c r="I2461" t="n">
        <v>0</v>
      </c>
      <c r="J2461" t="n">
        <v>0</v>
      </c>
      <c r="K2461" t="n">
        <v>0</v>
      </c>
      <c r="L2461" t="n">
        <v>0</v>
      </c>
      <c r="M2461" t="n">
        <v>0</v>
      </c>
      <c r="N2461" t="n">
        <v>0</v>
      </c>
      <c r="O2461" t="n">
        <v>0</v>
      </c>
      <c r="P2461" t="n">
        <v>0</v>
      </c>
      <c r="Q2461" t="n">
        <v>0</v>
      </c>
      <c r="R2461" s="2" t="inlineStr"/>
    </row>
    <row r="2462" ht="15" customHeight="1">
      <c r="A2462" t="inlineStr">
        <is>
          <t>A 55168-2025</t>
        </is>
      </c>
      <c r="B2462" s="1" t="n">
        <v>45968</v>
      </c>
      <c r="C2462" s="1" t="n">
        <v>46048</v>
      </c>
      <c r="D2462" t="inlineStr">
        <is>
          <t>VÄSTERNORRLANDS LÄN</t>
        </is>
      </c>
      <c r="E2462" t="inlineStr">
        <is>
          <t>SOLLEFTEÅ</t>
        </is>
      </c>
      <c r="F2462" t="inlineStr">
        <is>
          <t>SCA</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63677-2025</t>
        </is>
      </c>
      <c r="B2463" s="1" t="n">
        <v>46014.48986111111</v>
      </c>
      <c r="C2463" s="1" t="n">
        <v>46048</v>
      </c>
      <c r="D2463" t="inlineStr">
        <is>
          <t>VÄSTERNORRLANDS LÄN</t>
        </is>
      </c>
      <c r="E2463" t="inlineStr">
        <is>
          <t>SOLLEFTEÅ</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63635-2025</t>
        </is>
      </c>
      <c r="B2464" s="1" t="n">
        <v>46014.38579861111</v>
      </c>
      <c r="C2464" s="1" t="n">
        <v>46048</v>
      </c>
      <c r="D2464" t="inlineStr">
        <is>
          <t>VÄSTERNORRLANDS LÄN</t>
        </is>
      </c>
      <c r="E2464" t="inlineStr">
        <is>
          <t>SOLLEFTEÅ</t>
        </is>
      </c>
      <c r="G2464" t="n">
        <v>3.3</v>
      </c>
      <c r="H2464" t="n">
        <v>0</v>
      </c>
      <c r="I2464" t="n">
        <v>0</v>
      </c>
      <c r="J2464" t="n">
        <v>0</v>
      </c>
      <c r="K2464" t="n">
        <v>0</v>
      </c>
      <c r="L2464" t="n">
        <v>0</v>
      </c>
      <c r="M2464" t="n">
        <v>0</v>
      </c>
      <c r="N2464" t="n">
        <v>0</v>
      </c>
      <c r="O2464" t="n">
        <v>0</v>
      </c>
      <c r="P2464" t="n">
        <v>0</v>
      </c>
      <c r="Q2464" t="n">
        <v>0</v>
      </c>
      <c r="R2464" s="2" t="inlineStr"/>
    </row>
    <row r="2465" ht="15" customHeight="1">
      <c r="A2465" t="inlineStr">
        <is>
          <t>A 63728-2025</t>
        </is>
      </c>
      <c r="B2465" s="1" t="n">
        <v>46010</v>
      </c>
      <c r="C2465" s="1" t="n">
        <v>46048</v>
      </c>
      <c r="D2465" t="inlineStr">
        <is>
          <t>VÄSTERNORRLANDS LÄN</t>
        </is>
      </c>
      <c r="E2465" t="inlineStr">
        <is>
          <t>SOLLEFTEÅ</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55725-2025</t>
        </is>
      </c>
      <c r="B2466" s="1" t="n">
        <v>45972.53172453704</v>
      </c>
      <c r="C2466" s="1" t="n">
        <v>46048</v>
      </c>
      <c r="D2466" t="inlineStr">
        <is>
          <t>VÄSTERNORRLANDS LÄN</t>
        </is>
      </c>
      <c r="E2466" t="inlineStr">
        <is>
          <t>SOLLEFTEÅ</t>
        </is>
      </c>
      <c r="F2466" t="inlineStr">
        <is>
          <t>SCA</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63646-2025</t>
        </is>
      </c>
      <c r="B2467" s="1" t="n">
        <v>46014.42746527777</v>
      </c>
      <c r="C2467" s="1" t="n">
        <v>46048</v>
      </c>
      <c r="D2467" t="inlineStr">
        <is>
          <t>VÄSTERNORRLANDS LÄN</t>
        </is>
      </c>
      <c r="E2467" t="inlineStr">
        <is>
          <t>SOLLEFTEÅ</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55790-2025</t>
        </is>
      </c>
      <c r="B2468" s="1" t="n">
        <v>45972.64644675926</v>
      </c>
      <c r="C2468" s="1" t="n">
        <v>46048</v>
      </c>
      <c r="D2468" t="inlineStr">
        <is>
          <t>VÄSTERNORRLANDS LÄN</t>
        </is>
      </c>
      <c r="E2468" t="inlineStr">
        <is>
          <t>SOLLEFTEÅ</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55819-2025</t>
        </is>
      </c>
      <c r="B2469" s="1" t="n">
        <v>45972</v>
      </c>
      <c r="C2469" s="1" t="n">
        <v>46048</v>
      </c>
      <c r="D2469" t="inlineStr">
        <is>
          <t>VÄSTERNORRLANDS LÄN</t>
        </is>
      </c>
      <c r="E2469" t="inlineStr">
        <is>
          <t>SOLLEFTEÅ</t>
        </is>
      </c>
      <c r="F2469" t="inlineStr">
        <is>
          <t>SCA</t>
        </is>
      </c>
      <c r="G2469" t="n">
        <v>6</v>
      </c>
      <c r="H2469" t="n">
        <v>0</v>
      </c>
      <c r="I2469" t="n">
        <v>0</v>
      </c>
      <c r="J2469" t="n">
        <v>0</v>
      </c>
      <c r="K2469" t="n">
        <v>0</v>
      </c>
      <c r="L2469" t="n">
        <v>0</v>
      </c>
      <c r="M2469" t="n">
        <v>0</v>
      </c>
      <c r="N2469" t="n">
        <v>0</v>
      </c>
      <c r="O2469" t="n">
        <v>0</v>
      </c>
      <c r="P2469" t="n">
        <v>0</v>
      </c>
      <c r="Q2469" t="n">
        <v>0</v>
      </c>
      <c r="R2469" s="2" t="inlineStr"/>
    </row>
    <row r="2470" ht="15" customHeight="1">
      <c r="A2470" t="inlineStr">
        <is>
          <t>A 55686-2025</t>
        </is>
      </c>
      <c r="B2470" s="1" t="n">
        <v>45972.42771990741</v>
      </c>
      <c r="C2470" s="1" t="n">
        <v>46048</v>
      </c>
      <c r="D2470" t="inlineStr">
        <is>
          <t>VÄSTERNORRLANDS LÄN</t>
        </is>
      </c>
      <c r="E2470" t="inlineStr">
        <is>
          <t>SOLLEFTEÅ</t>
        </is>
      </c>
      <c r="F2470" t="inlineStr">
        <is>
          <t>SCA</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55886-2025</t>
        </is>
      </c>
      <c r="B2471" s="1" t="n">
        <v>45973</v>
      </c>
      <c r="C2471" s="1" t="n">
        <v>46048</v>
      </c>
      <c r="D2471" t="inlineStr">
        <is>
          <t>VÄSTERNORRLANDS LÄN</t>
        </is>
      </c>
      <c r="E2471" t="inlineStr">
        <is>
          <t>SOLLEFTEÅ</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63694-2025</t>
        </is>
      </c>
      <c r="B2472" s="1" t="n">
        <v>46014.55245370371</v>
      </c>
      <c r="C2472" s="1" t="n">
        <v>46048</v>
      </c>
      <c r="D2472" t="inlineStr">
        <is>
          <t>VÄSTERNORRLANDS LÄN</t>
        </is>
      </c>
      <c r="E2472" t="inlineStr">
        <is>
          <t>SOLLEFTEÅ</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56076-2025</t>
        </is>
      </c>
      <c r="B2473" s="1" t="n">
        <v>45973.65740740741</v>
      </c>
      <c r="C2473" s="1" t="n">
        <v>46048</v>
      </c>
      <c r="D2473" t="inlineStr">
        <is>
          <t>VÄSTERNORRLANDS LÄN</t>
        </is>
      </c>
      <c r="E2473" t="inlineStr">
        <is>
          <t>SOLLEFTEÅ</t>
        </is>
      </c>
      <c r="F2473" t="inlineStr">
        <is>
          <t>SCA</t>
        </is>
      </c>
      <c r="G2473" t="n">
        <v>3.7</v>
      </c>
      <c r="H2473" t="n">
        <v>0</v>
      </c>
      <c r="I2473" t="n">
        <v>0</v>
      </c>
      <c r="J2473" t="n">
        <v>0</v>
      </c>
      <c r="K2473" t="n">
        <v>0</v>
      </c>
      <c r="L2473" t="n">
        <v>0</v>
      </c>
      <c r="M2473" t="n">
        <v>0</v>
      </c>
      <c r="N2473" t="n">
        <v>0</v>
      </c>
      <c r="O2473" t="n">
        <v>0</v>
      </c>
      <c r="P2473" t="n">
        <v>0</v>
      </c>
      <c r="Q2473" t="n">
        <v>0</v>
      </c>
      <c r="R2473" s="2" t="inlineStr"/>
    </row>
    <row r="2474" ht="15" customHeight="1">
      <c r="A2474" t="inlineStr">
        <is>
          <t>A 63726-2025</t>
        </is>
      </c>
      <c r="B2474" s="1" t="n">
        <v>46010</v>
      </c>
      <c r="C2474" s="1" t="n">
        <v>46048</v>
      </c>
      <c r="D2474" t="inlineStr">
        <is>
          <t>VÄSTERNORRLANDS LÄN</t>
        </is>
      </c>
      <c r="E2474" t="inlineStr">
        <is>
          <t>SOLLEFTEÅ</t>
        </is>
      </c>
      <c r="G2474" t="n">
        <v>5</v>
      </c>
      <c r="H2474" t="n">
        <v>0</v>
      </c>
      <c r="I2474" t="n">
        <v>0</v>
      </c>
      <c r="J2474" t="n">
        <v>0</v>
      </c>
      <c r="K2474" t="n">
        <v>0</v>
      </c>
      <c r="L2474" t="n">
        <v>0</v>
      </c>
      <c r="M2474" t="n">
        <v>0</v>
      </c>
      <c r="N2474" t="n">
        <v>0</v>
      </c>
      <c r="O2474" t="n">
        <v>0</v>
      </c>
      <c r="P2474" t="n">
        <v>0</v>
      </c>
      <c r="Q2474" t="n">
        <v>0</v>
      </c>
      <c r="R2474" s="2" t="inlineStr"/>
    </row>
    <row r="2475" ht="15" customHeight="1">
      <c r="A2475" t="inlineStr">
        <is>
          <t>A 56074-2025</t>
        </is>
      </c>
      <c r="B2475" s="1" t="n">
        <v>45973.65700231482</v>
      </c>
      <c r="C2475" s="1" t="n">
        <v>46048</v>
      </c>
      <c r="D2475" t="inlineStr">
        <is>
          <t>VÄSTERNORRLANDS LÄN</t>
        </is>
      </c>
      <c r="E2475" t="inlineStr">
        <is>
          <t>SOLLEFTEÅ</t>
        </is>
      </c>
      <c r="F2475" t="inlineStr">
        <is>
          <t>SCA</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56075-2025</t>
        </is>
      </c>
      <c r="B2476" s="1" t="n">
        <v>45973.65723379629</v>
      </c>
      <c r="C2476" s="1" t="n">
        <v>46048</v>
      </c>
      <c r="D2476" t="inlineStr">
        <is>
          <t>VÄSTERNORRLANDS LÄN</t>
        </is>
      </c>
      <c r="E2476" t="inlineStr">
        <is>
          <t>SOLLEFTEÅ</t>
        </is>
      </c>
      <c r="F2476" t="inlineStr">
        <is>
          <t>SCA</t>
        </is>
      </c>
      <c r="G2476" t="n">
        <v>4.1</v>
      </c>
      <c r="H2476" t="n">
        <v>0</v>
      </c>
      <c r="I2476" t="n">
        <v>0</v>
      </c>
      <c r="J2476" t="n">
        <v>0</v>
      </c>
      <c r="K2476" t="n">
        <v>0</v>
      </c>
      <c r="L2476" t="n">
        <v>0</v>
      </c>
      <c r="M2476" t="n">
        <v>0</v>
      </c>
      <c r="N2476" t="n">
        <v>0</v>
      </c>
      <c r="O2476" t="n">
        <v>0</v>
      </c>
      <c r="P2476" t="n">
        <v>0</v>
      </c>
      <c r="Q2476" t="n">
        <v>0</v>
      </c>
      <c r="R2476" s="2" t="inlineStr"/>
    </row>
    <row r="2477" ht="15" customHeight="1">
      <c r="A2477" t="inlineStr">
        <is>
          <t>A 56425-2025</t>
        </is>
      </c>
      <c r="B2477" s="1" t="n">
        <v>45975.34559027778</v>
      </c>
      <c r="C2477" s="1" t="n">
        <v>46048</v>
      </c>
      <c r="D2477" t="inlineStr">
        <is>
          <t>VÄSTERNORRLANDS LÄN</t>
        </is>
      </c>
      <c r="E2477" t="inlineStr">
        <is>
          <t>SOLLEFTEÅ</t>
        </is>
      </c>
      <c r="F2477" t="inlineStr">
        <is>
          <t>SCA</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56393-2025</t>
        </is>
      </c>
      <c r="B2478" s="1" t="n">
        <v>45974.74042824074</v>
      </c>
      <c r="C2478" s="1" t="n">
        <v>46048</v>
      </c>
      <c r="D2478" t="inlineStr">
        <is>
          <t>VÄSTERNORRLANDS LÄN</t>
        </is>
      </c>
      <c r="E2478" t="inlineStr">
        <is>
          <t>SOLLEFTEÅ</t>
        </is>
      </c>
      <c r="F2478" t="inlineStr">
        <is>
          <t>Holmen skog AB</t>
        </is>
      </c>
      <c r="G2478" t="n">
        <v>6</v>
      </c>
      <c r="H2478" t="n">
        <v>0</v>
      </c>
      <c r="I2478" t="n">
        <v>0</v>
      </c>
      <c r="J2478" t="n">
        <v>0</v>
      </c>
      <c r="K2478" t="n">
        <v>0</v>
      </c>
      <c r="L2478" t="n">
        <v>0</v>
      </c>
      <c r="M2478" t="n">
        <v>0</v>
      </c>
      <c r="N2478" t="n">
        <v>0</v>
      </c>
      <c r="O2478" t="n">
        <v>0</v>
      </c>
      <c r="P2478" t="n">
        <v>0</v>
      </c>
      <c r="Q2478" t="n">
        <v>0</v>
      </c>
      <c r="R2478" s="2" t="inlineStr"/>
    </row>
    <row r="2479" ht="15" customHeight="1">
      <c r="A2479" t="inlineStr">
        <is>
          <t>A 56438-2025</t>
        </is>
      </c>
      <c r="B2479" s="1" t="n">
        <v>45975.34724537037</v>
      </c>
      <c r="C2479" s="1" t="n">
        <v>46048</v>
      </c>
      <c r="D2479" t="inlineStr">
        <is>
          <t>VÄSTERNORRLANDS LÄN</t>
        </is>
      </c>
      <c r="E2479" t="inlineStr">
        <is>
          <t>SOLLEFTEÅ</t>
        </is>
      </c>
      <c r="F2479" t="inlineStr">
        <is>
          <t>SCA</t>
        </is>
      </c>
      <c r="G2479" t="n">
        <v>6.1</v>
      </c>
      <c r="H2479" t="n">
        <v>0</v>
      </c>
      <c r="I2479" t="n">
        <v>0</v>
      </c>
      <c r="J2479" t="n">
        <v>0</v>
      </c>
      <c r="K2479" t="n">
        <v>0</v>
      </c>
      <c r="L2479" t="n">
        <v>0</v>
      </c>
      <c r="M2479" t="n">
        <v>0</v>
      </c>
      <c r="N2479" t="n">
        <v>0</v>
      </c>
      <c r="O2479" t="n">
        <v>0</v>
      </c>
      <c r="P2479" t="n">
        <v>0</v>
      </c>
      <c r="Q2479" t="n">
        <v>0</v>
      </c>
      <c r="R2479" s="2" t="inlineStr"/>
    </row>
    <row r="2480" ht="15" customHeight="1">
      <c r="A2480" t="inlineStr">
        <is>
          <t>A 56443-2025</t>
        </is>
      </c>
      <c r="B2480" s="1" t="n">
        <v>45975.34791666667</v>
      </c>
      <c r="C2480" s="1" t="n">
        <v>46048</v>
      </c>
      <c r="D2480" t="inlineStr">
        <is>
          <t>VÄSTERNORRLANDS LÄN</t>
        </is>
      </c>
      <c r="E2480" t="inlineStr">
        <is>
          <t>SOLLEFTEÅ</t>
        </is>
      </c>
      <c r="F2480" t="inlineStr">
        <is>
          <t>SCA</t>
        </is>
      </c>
      <c r="G2480" t="n">
        <v>8.199999999999999</v>
      </c>
      <c r="H2480" t="n">
        <v>0</v>
      </c>
      <c r="I2480" t="n">
        <v>0</v>
      </c>
      <c r="J2480" t="n">
        <v>0</v>
      </c>
      <c r="K2480" t="n">
        <v>0</v>
      </c>
      <c r="L2480" t="n">
        <v>0</v>
      </c>
      <c r="M2480" t="n">
        <v>0</v>
      </c>
      <c r="N2480" t="n">
        <v>0</v>
      </c>
      <c r="O2480" t="n">
        <v>0</v>
      </c>
      <c r="P2480" t="n">
        <v>0</v>
      </c>
      <c r="Q2480" t="n">
        <v>0</v>
      </c>
      <c r="R2480" s="2" t="inlineStr"/>
    </row>
    <row r="2481" ht="15" customHeight="1">
      <c r="A2481" t="inlineStr">
        <is>
          <t>A 56458-2025</t>
        </is>
      </c>
      <c r="B2481" s="1" t="n">
        <v>45975.3650462963</v>
      </c>
      <c r="C2481" s="1" t="n">
        <v>46048</v>
      </c>
      <c r="D2481" t="inlineStr">
        <is>
          <t>VÄSTERNORRLANDS LÄN</t>
        </is>
      </c>
      <c r="E2481" t="inlineStr">
        <is>
          <t>SOLLEFTEÅ</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56631-2025</t>
        </is>
      </c>
      <c r="B2482" s="1" t="n">
        <v>45975.61549768518</v>
      </c>
      <c r="C2482" s="1" t="n">
        <v>46048</v>
      </c>
      <c r="D2482" t="inlineStr">
        <is>
          <t>VÄSTERNORRLANDS LÄN</t>
        </is>
      </c>
      <c r="E2482" t="inlineStr">
        <is>
          <t>SOLLEFTEÅ</t>
        </is>
      </c>
      <c r="F2482" t="inlineStr">
        <is>
          <t>SCA</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56632-2025</t>
        </is>
      </c>
      <c r="B2483" s="1" t="n">
        <v>45975.61571759259</v>
      </c>
      <c r="C2483" s="1" t="n">
        <v>46048</v>
      </c>
      <c r="D2483" t="inlineStr">
        <is>
          <t>VÄSTERNORRLANDS LÄN</t>
        </is>
      </c>
      <c r="E2483" t="inlineStr">
        <is>
          <t>SOLLEFTEÅ</t>
        </is>
      </c>
      <c r="F2483" t="inlineStr">
        <is>
          <t>SCA</t>
        </is>
      </c>
      <c r="G2483" t="n">
        <v>5.3</v>
      </c>
      <c r="H2483" t="n">
        <v>0</v>
      </c>
      <c r="I2483" t="n">
        <v>0</v>
      </c>
      <c r="J2483" t="n">
        <v>0</v>
      </c>
      <c r="K2483" t="n">
        <v>0</v>
      </c>
      <c r="L2483" t="n">
        <v>0</v>
      </c>
      <c r="M2483" t="n">
        <v>0</v>
      </c>
      <c r="N2483" t="n">
        <v>0</v>
      </c>
      <c r="O2483" t="n">
        <v>0</v>
      </c>
      <c r="P2483" t="n">
        <v>0</v>
      </c>
      <c r="Q2483" t="n">
        <v>0</v>
      </c>
      <c r="R2483" s="2" t="inlineStr"/>
    </row>
    <row r="2484" ht="15" customHeight="1">
      <c r="A2484" t="inlineStr">
        <is>
          <t>A 56434-2025</t>
        </is>
      </c>
      <c r="B2484" s="1" t="n">
        <v>45975.34666666666</v>
      </c>
      <c r="C2484" s="1" t="n">
        <v>46048</v>
      </c>
      <c r="D2484" t="inlineStr">
        <is>
          <t>VÄSTERNORRLANDS LÄN</t>
        </is>
      </c>
      <c r="E2484" t="inlineStr">
        <is>
          <t>SOLLEFTEÅ</t>
        </is>
      </c>
      <c r="F2484" t="inlineStr">
        <is>
          <t>SCA</t>
        </is>
      </c>
      <c r="G2484" t="n">
        <v>3.3</v>
      </c>
      <c r="H2484" t="n">
        <v>0</v>
      </c>
      <c r="I2484" t="n">
        <v>0</v>
      </c>
      <c r="J2484" t="n">
        <v>0</v>
      </c>
      <c r="K2484" t="n">
        <v>0</v>
      </c>
      <c r="L2484" t="n">
        <v>0</v>
      </c>
      <c r="M2484" t="n">
        <v>0</v>
      </c>
      <c r="N2484" t="n">
        <v>0</v>
      </c>
      <c r="O2484" t="n">
        <v>0</v>
      </c>
      <c r="P2484" t="n">
        <v>0</v>
      </c>
      <c r="Q2484" t="n">
        <v>0</v>
      </c>
      <c r="R2484" s="2" t="inlineStr"/>
    </row>
    <row r="2485" ht="15" customHeight="1">
      <c r="A2485" t="inlineStr">
        <is>
          <t>A 57224-2025</t>
        </is>
      </c>
      <c r="B2485" s="1" t="n">
        <v>45979.61547453704</v>
      </c>
      <c r="C2485" s="1" t="n">
        <v>46048</v>
      </c>
      <c r="D2485" t="inlineStr">
        <is>
          <t>VÄSTERNORRLANDS LÄN</t>
        </is>
      </c>
      <c r="E2485" t="inlineStr">
        <is>
          <t>SOLLEFTEÅ</t>
        </is>
      </c>
      <c r="F2485" t="inlineStr">
        <is>
          <t>SCA</t>
        </is>
      </c>
      <c r="G2485" t="n">
        <v>3.6</v>
      </c>
      <c r="H2485" t="n">
        <v>0</v>
      </c>
      <c r="I2485" t="n">
        <v>0</v>
      </c>
      <c r="J2485" t="n">
        <v>0</v>
      </c>
      <c r="K2485" t="n">
        <v>0</v>
      </c>
      <c r="L2485" t="n">
        <v>0</v>
      </c>
      <c r="M2485" t="n">
        <v>0</v>
      </c>
      <c r="N2485" t="n">
        <v>0</v>
      </c>
      <c r="O2485" t="n">
        <v>0</v>
      </c>
      <c r="P2485" t="n">
        <v>0</v>
      </c>
      <c r="Q2485" t="n">
        <v>0</v>
      </c>
      <c r="R2485" s="2" t="inlineStr"/>
    </row>
    <row r="2486" ht="15" customHeight="1">
      <c r="A2486" t="inlineStr">
        <is>
          <t>A 57225-2025</t>
        </is>
      </c>
      <c r="B2486" s="1" t="n">
        <v>45979.61555555555</v>
      </c>
      <c r="C2486" s="1" t="n">
        <v>46048</v>
      </c>
      <c r="D2486" t="inlineStr">
        <is>
          <t>VÄSTERNORRLANDS LÄN</t>
        </is>
      </c>
      <c r="E2486" t="inlineStr">
        <is>
          <t>SOLLEFTEÅ</t>
        </is>
      </c>
      <c r="F2486" t="inlineStr">
        <is>
          <t>SCA</t>
        </is>
      </c>
      <c r="G2486" t="n">
        <v>2.4</v>
      </c>
      <c r="H2486" t="n">
        <v>0</v>
      </c>
      <c r="I2486" t="n">
        <v>0</v>
      </c>
      <c r="J2486" t="n">
        <v>0</v>
      </c>
      <c r="K2486" t="n">
        <v>0</v>
      </c>
      <c r="L2486" t="n">
        <v>0</v>
      </c>
      <c r="M2486" t="n">
        <v>0</v>
      </c>
      <c r="N2486" t="n">
        <v>0</v>
      </c>
      <c r="O2486" t="n">
        <v>0</v>
      </c>
      <c r="P2486" t="n">
        <v>0</v>
      </c>
      <c r="Q2486" t="n">
        <v>0</v>
      </c>
      <c r="R2486" s="2" t="inlineStr"/>
    </row>
    <row r="2487" ht="15" customHeight="1">
      <c r="A2487" t="inlineStr">
        <is>
          <t>A 56987-2025</t>
        </is>
      </c>
      <c r="B2487" s="1" t="n">
        <v>45978.71915509259</v>
      </c>
      <c r="C2487" s="1" t="n">
        <v>46048</v>
      </c>
      <c r="D2487" t="inlineStr">
        <is>
          <t>VÄSTERNORRLANDS LÄN</t>
        </is>
      </c>
      <c r="E2487" t="inlineStr">
        <is>
          <t>SOLLEFTEÅ</t>
        </is>
      </c>
      <c r="G2487" t="n">
        <v>2.8</v>
      </c>
      <c r="H2487" t="n">
        <v>0</v>
      </c>
      <c r="I2487" t="n">
        <v>0</v>
      </c>
      <c r="J2487" t="n">
        <v>0</v>
      </c>
      <c r="K2487" t="n">
        <v>0</v>
      </c>
      <c r="L2487" t="n">
        <v>0</v>
      </c>
      <c r="M2487" t="n">
        <v>0</v>
      </c>
      <c r="N2487" t="n">
        <v>0</v>
      </c>
      <c r="O2487" t="n">
        <v>0</v>
      </c>
      <c r="P2487" t="n">
        <v>0</v>
      </c>
      <c r="Q2487" t="n">
        <v>0</v>
      </c>
      <c r="R2487" s="2" t="inlineStr"/>
    </row>
    <row r="2488" ht="15" customHeight="1">
      <c r="A2488" t="inlineStr">
        <is>
          <t>A 57061-2025</t>
        </is>
      </c>
      <c r="B2488" s="1" t="n">
        <v>45979.37059027778</v>
      </c>
      <c r="C2488" s="1" t="n">
        <v>46048</v>
      </c>
      <c r="D2488" t="inlineStr">
        <is>
          <t>VÄSTERNORRLANDS LÄN</t>
        </is>
      </c>
      <c r="E2488" t="inlineStr">
        <is>
          <t>SOLLEFTEÅ</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57176-2025</t>
        </is>
      </c>
      <c r="B2489" s="1" t="n">
        <v>45979.55251157407</v>
      </c>
      <c r="C2489" s="1" t="n">
        <v>46048</v>
      </c>
      <c r="D2489" t="inlineStr">
        <is>
          <t>VÄSTERNORRLANDS LÄN</t>
        </is>
      </c>
      <c r="E2489" t="inlineStr">
        <is>
          <t>SOLLEFTEÅ</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57205-2025</t>
        </is>
      </c>
      <c r="B2490" s="1" t="n">
        <v>45979.59429398148</v>
      </c>
      <c r="C2490" s="1" t="n">
        <v>46048</v>
      </c>
      <c r="D2490" t="inlineStr">
        <is>
          <t>VÄSTERNORRLANDS LÄN</t>
        </is>
      </c>
      <c r="E2490" t="inlineStr">
        <is>
          <t>SOLLEFTEÅ</t>
        </is>
      </c>
      <c r="F2490" t="inlineStr">
        <is>
          <t>SCA</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57042-2025</t>
        </is>
      </c>
      <c r="B2491" s="1" t="n">
        <v>45979.34598379629</v>
      </c>
      <c r="C2491" s="1" t="n">
        <v>46048</v>
      </c>
      <c r="D2491" t="inlineStr">
        <is>
          <t>VÄSTERNORRLANDS LÄN</t>
        </is>
      </c>
      <c r="E2491" t="inlineStr">
        <is>
          <t>SOLLEFTEÅ</t>
        </is>
      </c>
      <c r="F2491" t="inlineStr">
        <is>
          <t>SCA</t>
        </is>
      </c>
      <c r="G2491" t="n">
        <v>2.5</v>
      </c>
      <c r="H2491" t="n">
        <v>0</v>
      </c>
      <c r="I2491" t="n">
        <v>0</v>
      </c>
      <c r="J2491" t="n">
        <v>0</v>
      </c>
      <c r="K2491" t="n">
        <v>0</v>
      </c>
      <c r="L2491" t="n">
        <v>0</v>
      </c>
      <c r="M2491" t="n">
        <v>0</v>
      </c>
      <c r="N2491" t="n">
        <v>0</v>
      </c>
      <c r="O2491" t="n">
        <v>0</v>
      </c>
      <c r="P2491" t="n">
        <v>0</v>
      </c>
      <c r="Q2491" t="n">
        <v>0</v>
      </c>
      <c r="R2491" s="2" t="inlineStr"/>
    </row>
    <row r="2492" ht="15" customHeight="1">
      <c r="A2492" t="inlineStr">
        <is>
          <t>A 57019-2025</t>
        </is>
      </c>
      <c r="B2492" s="1" t="n">
        <v>45978.85565972222</v>
      </c>
      <c r="C2492" s="1" t="n">
        <v>46048</v>
      </c>
      <c r="D2492" t="inlineStr">
        <is>
          <t>VÄSTERNORRLANDS LÄN</t>
        </is>
      </c>
      <c r="E2492" t="inlineStr">
        <is>
          <t>SOLLEFTEÅ</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57373-2025</t>
        </is>
      </c>
      <c r="B2493" s="1" t="n">
        <v>45980.38606481482</v>
      </c>
      <c r="C2493" s="1" t="n">
        <v>46048</v>
      </c>
      <c r="D2493" t="inlineStr">
        <is>
          <t>VÄSTERNORRLANDS LÄN</t>
        </is>
      </c>
      <c r="E2493" t="inlineStr">
        <is>
          <t>SOLLEFTEÅ</t>
        </is>
      </c>
      <c r="G2493" t="n">
        <v>4.2</v>
      </c>
      <c r="H2493" t="n">
        <v>0</v>
      </c>
      <c r="I2493" t="n">
        <v>0</v>
      </c>
      <c r="J2493" t="n">
        <v>0</v>
      </c>
      <c r="K2493" t="n">
        <v>0</v>
      </c>
      <c r="L2493" t="n">
        <v>0</v>
      </c>
      <c r="M2493" t="n">
        <v>0</v>
      </c>
      <c r="N2493" t="n">
        <v>0</v>
      </c>
      <c r="O2493" t="n">
        <v>0</v>
      </c>
      <c r="P2493" t="n">
        <v>0</v>
      </c>
      <c r="Q2493" t="n">
        <v>0</v>
      </c>
      <c r="R2493" s="2" t="inlineStr"/>
    </row>
    <row r="2494" ht="15" customHeight="1">
      <c r="A2494" t="inlineStr">
        <is>
          <t>A 57784-2025</t>
        </is>
      </c>
      <c r="B2494" s="1" t="n">
        <v>45981.57376157407</v>
      </c>
      <c r="C2494" s="1" t="n">
        <v>46048</v>
      </c>
      <c r="D2494" t="inlineStr">
        <is>
          <t>VÄSTERNORRLANDS LÄN</t>
        </is>
      </c>
      <c r="E2494" t="inlineStr">
        <is>
          <t>SOLLEFTEÅ</t>
        </is>
      </c>
      <c r="F2494" t="inlineStr">
        <is>
          <t>SCA</t>
        </is>
      </c>
      <c r="G2494" t="n">
        <v>3.1</v>
      </c>
      <c r="H2494" t="n">
        <v>0</v>
      </c>
      <c r="I2494" t="n">
        <v>0</v>
      </c>
      <c r="J2494" t="n">
        <v>0</v>
      </c>
      <c r="K2494" t="n">
        <v>0</v>
      </c>
      <c r="L2494" t="n">
        <v>0</v>
      </c>
      <c r="M2494" t="n">
        <v>0</v>
      </c>
      <c r="N2494" t="n">
        <v>0</v>
      </c>
      <c r="O2494" t="n">
        <v>0</v>
      </c>
      <c r="P2494" t="n">
        <v>0</v>
      </c>
      <c r="Q2494" t="n">
        <v>0</v>
      </c>
      <c r="R2494" s="2" t="inlineStr"/>
    </row>
    <row r="2495" ht="15" customHeight="1">
      <c r="A2495" t="inlineStr">
        <is>
          <t>A 58151-2025</t>
        </is>
      </c>
      <c r="B2495" s="1" t="n">
        <v>45982.65255787037</v>
      </c>
      <c r="C2495" s="1" t="n">
        <v>46048</v>
      </c>
      <c r="D2495" t="inlineStr">
        <is>
          <t>VÄSTERNORRLANDS LÄN</t>
        </is>
      </c>
      <c r="E2495" t="inlineStr">
        <is>
          <t>SOLLEFTEÅ</t>
        </is>
      </c>
      <c r="G2495" t="n">
        <v>4.5</v>
      </c>
      <c r="H2495" t="n">
        <v>0</v>
      </c>
      <c r="I2495" t="n">
        <v>0</v>
      </c>
      <c r="J2495" t="n">
        <v>0</v>
      </c>
      <c r="K2495" t="n">
        <v>0</v>
      </c>
      <c r="L2495" t="n">
        <v>0</v>
      </c>
      <c r="M2495" t="n">
        <v>0</v>
      </c>
      <c r="N2495" t="n">
        <v>0</v>
      </c>
      <c r="O2495" t="n">
        <v>0</v>
      </c>
      <c r="P2495" t="n">
        <v>0</v>
      </c>
      <c r="Q2495" t="n">
        <v>0</v>
      </c>
      <c r="R2495" s="2" t="inlineStr"/>
    </row>
    <row r="2496" ht="15" customHeight="1">
      <c r="A2496" t="inlineStr">
        <is>
          <t>A 57990-2025</t>
        </is>
      </c>
      <c r="B2496" s="1" t="n">
        <v>45982.4240625</v>
      </c>
      <c r="C2496" s="1" t="n">
        <v>46048</v>
      </c>
      <c r="D2496" t="inlineStr">
        <is>
          <t>VÄSTERNORRLANDS LÄN</t>
        </is>
      </c>
      <c r="E2496" t="inlineStr">
        <is>
          <t>SOLLEFTEÅ</t>
        </is>
      </c>
      <c r="G2496" t="n">
        <v>2.8</v>
      </c>
      <c r="H2496" t="n">
        <v>0</v>
      </c>
      <c r="I2496" t="n">
        <v>0</v>
      </c>
      <c r="J2496" t="n">
        <v>0</v>
      </c>
      <c r="K2496" t="n">
        <v>0</v>
      </c>
      <c r="L2496" t="n">
        <v>0</v>
      </c>
      <c r="M2496" t="n">
        <v>0</v>
      </c>
      <c r="N2496" t="n">
        <v>0</v>
      </c>
      <c r="O2496" t="n">
        <v>0</v>
      </c>
      <c r="P2496" t="n">
        <v>0</v>
      </c>
      <c r="Q2496" t="n">
        <v>0</v>
      </c>
      <c r="R2496" s="2" t="inlineStr"/>
    </row>
    <row r="2497" ht="15" customHeight="1">
      <c r="A2497" t="inlineStr">
        <is>
          <t>A 58313-2025</t>
        </is>
      </c>
      <c r="B2497" s="1" t="n">
        <v>45985.47021990741</v>
      </c>
      <c r="C2497" s="1" t="n">
        <v>46048</v>
      </c>
      <c r="D2497" t="inlineStr">
        <is>
          <t>VÄSTERNORRLANDS LÄN</t>
        </is>
      </c>
      <c r="E2497" t="inlineStr">
        <is>
          <t>SOLLEFTEÅ</t>
        </is>
      </c>
      <c r="G2497" t="n">
        <v>6.9</v>
      </c>
      <c r="H2497" t="n">
        <v>0</v>
      </c>
      <c r="I2497" t="n">
        <v>0</v>
      </c>
      <c r="J2497" t="n">
        <v>0</v>
      </c>
      <c r="K2497" t="n">
        <v>0</v>
      </c>
      <c r="L2497" t="n">
        <v>0</v>
      </c>
      <c r="M2497" t="n">
        <v>0</v>
      </c>
      <c r="N2497" t="n">
        <v>0</v>
      </c>
      <c r="O2497" t="n">
        <v>0</v>
      </c>
      <c r="P2497" t="n">
        <v>0</v>
      </c>
      <c r="Q2497" t="n">
        <v>0</v>
      </c>
      <c r="R2497" s="2" t="inlineStr"/>
    </row>
    <row r="2498" ht="15" customHeight="1">
      <c r="A2498" t="inlineStr">
        <is>
          <t>A 58383-2025</t>
        </is>
      </c>
      <c r="B2498" s="1" t="n">
        <v>45985.54152777778</v>
      </c>
      <c r="C2498" s="1" t="n">
        <v>46048</v>
      </c>
      <c r="D2498" t="inlineStr">
        <is>
          <t>VÄSTERNORRLANDS LÄN</t>
        </is>
      </c>
      <c r="E2498" t="inlineStr">
        <is>
          <t>SOLLEFTEÅ</t>
        </is>
      </c>
      <c r="G2498" t="n">
        <v>4.1</v>
      </c>
      <c r="H2498" t="n">
        <v>0</v>
      </c>
      <c r="I2498" t="n">
        <v>0</v>
      </c>
      <c r="J2498" t="n">
        <v>0</v>
      </c>
      <c r="K2498" t="n">
        <v>0</v>
      </c>
      <c r="L2498" t="n">
        <v>0</v>
      </c>
      <c r="M2498" t="n">
        <v>0</v>
      </c>
      <c r="N2498" t="n">
        <v>0</v>
      </c>
      <c r="O2498" t="n">
        <v>0</v>
      </c>
      <c r="P2498" t="n">
        <v>0</v>
      </c>
      <c r="Q2498" t="n">
        <v>0</v>
      </c>
      <c r="R2498" s="2" t="inlineStr"/>
    </row>
    <row r="2499" ht="15" customHeight="1">
      <c r="A2499" t="inlineStr">
        <is>
          <t>A 58512-2025</t>
        </is>
      </c>
      <c r="B2499" s="1" t="n">
        <v>45982</v>
      </c>
      <c r="C2499" s="1" t="n">
        <v>46048</v>
      </c>
      <c r="D2499" t="inlineStr">
        <is>
          <t>VÄSTERNORRLANDS LÄN</t>
        </is>
      </c>
      <c r="E2499" t="inlineStr">
        <is>
          <t>SOLLEFTEÅ</t>
        </is>
      </c>
      <c r="G2499" t="n">
        <v>3</v>
      </c>
      <c r="H2499" t="n">
        <v>0</v>
      </c>
      <c r="I2499" t="n">
        <v>0</v>
      </c>
      <c r="J2499" t="n">
        <v>0</v>
      </c>
      <c r="K2499" t="n">
        <v>0</v>
      </c>
      <c r="L2499" t="n">
        <v>0</v>
      </c>
      <c r="M2499" t="n">
        <v>0</v>
      </c>
      <c r="N2499" t="n">
        <v>0</v>
      </c>
      <c r="O2499" t="n">
        <v>0</v>
      </c>
      <c r="P2499" t="n">
        <v>0</v>
      </c>
      <c r="Q2499" t="n">
        <v>0</v>
      </c>
      <c r="R2499" s="2" t="inlineStr"/>
    </row>
    <row r="2500" ht="15" customHeight="1">
      <c r="A2500" t="inlineStr">
        <is>
          <t>A 58509-2025</t>
        </is>
      </c>
      <c r="B2500" s="1" t="n">
        <v>45982</v>
      </c>
      <c r="C2500" s="1" t="n">
        <v>46048</v>
      </c>
      <c r="D2500" t="inlineStr">
        <is>
          <t>VÄSTERNORRLANDS LÄN</t>
        </is>
      </c>
      <c r="E2500" t="inlineStr">
        <is>
          <t>SOLLEFTEÅ</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58510-2025</t>
        </is>
      </c>
      <c r="B2501" s="1" t="n">
        <v>45982</v>
      </c>
      <c r="C2501" s="1" t="n">
        <v>46048</v>
      </c>
      <c r="D2501" t="inlineStr">
        <is>
          <t>VÄSTERNORRLANDS LÄN</t>
        </is>
      </c>
      <c r="E2501" t="inlineStr">
        <is>
          <t>SOLLEFTEÅ</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58032-2025</t>
        </is>
      </c>
      <c r="B2502" s="1" t="n">
        <v>45982.48753472222</v>
      </c>
      <c r="C2502" s="1" t="n">
        <v>46048</v>
      </c>
      <c r="D2502" t="inlineStr">
        <is>
          <t>VÄSTERNORRLANDS LÄN</t>
        </is>
      </c>
      <c r="E2502" t="inlineStr">
        <is>
          <t>SOLLEFTEÅ</t>
        </is>
      </c>
      <c r="G2502" t="n">
        <v>2.4</v>
      </c>
      <c r="H2502" t="n">
        <v>0</v>
      </c>
      <c r="I2502" t="n">
        <v>0</v>
      </c>
      <c r="J2502" t="n">
        <v>0</v>
      </c>
      <c r="K2502" t="n">
        <v>0</v>
      </c>
      <c r="L2502" t="n">
        <v>0</v>
      </c>
      <c r="M2502" t="n">
        <v>0</v>
      </c>
      <c r="N2502" t="n">
        <v>0</v>
      </c>
      <c r="O2502" t="n">
        <v>0</v>
      </c>
      <c r="P2502" t="n">
        <v>0</v>
      </c>
      <c r="Q2502" t="n">
        <v>0</v>
      </c>
      <c r="R2502" s="2" t="inlineStr"/>
    </row>
    <row r="2503" ht="15" customHeight="1">
      <c r="A2503" t="inlineStr">
        <is>
          <t>A 127-2026</t>
        </is>
      </c>
      <c r="B2503" s="1" t="n">
        <v>46020</v>
      </c>
      <c r="C2503" s="1" t="n">
        <v>46048</v>
      </c>
      <c r="D2503" t="inlineStr">
        <is>
          <t>VÄSTERNORRLANDS LÄN</t>
        </is>
      </c>
      <c r="E2503" t="inlineStr">
        <is>
          <t>SOLLEFTEÅ</t>
        </is>
      </c>
      <c r="G2503" t="n">
        <v>8.300000000000001</v>
      </c>
      <c r="H2503" t="n">
        <v>0</v>
      </c>
      <c r="I2503" t="n">
        <v>0</v>
      </c>
      <c r="J2503" t="n">
        <v>0</v>
      </c>
      <c r="K2503" t="n">
        <v>0</v>
      </c>
      <c r="L2503" t="n">
        <v>0</v>
      </c>
      <c r="M2503" t="n">
        <v>0</v>
      </c>
      <c r="N2503" t="n">
        <v>0</v>
      </c>
      <c r="O2503" t="n">
        <v>0</v>
      </c>
      <c r="P2503" t="n">
        <v>0</v>
      </c>
      <c r="Q2503" t="n">
        <v>0</v>
      </c>
      <c r="R2503" s="2" t="inlineStr"/>
    </row>
    <row r="2504" ht="15" customHeight="1">
      <c r="A2504" t="inlineStr">
        <is>
          <t>A 58034-2025</t>
        </is>
      </c>
      <c r="B2504" s="1" t="n">
        <v>45982.48967592593</v>
      </c>
      <c r="C2504" s="1" t="n">
        <v>46048</v>
      </c>
      <c r="D2504" t="inlineStr">
        <is>
          <t>VÄSTERNORRLANDS LÄN</t>
        </is>
      </c>
      <c r="E2504" t="inlineStr">
        <is>
          <t>SOLLEFTEÅ</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58505-2025</t>
        </is>
      </c>
      <c r="B2505" s="1" t="n">
        <v>45985.69831018519</v>
      </c>
      <c r="C2505" s="1" t="n">
        <v>46048</v>
      </c>
      <c r="D2505" t="inlineStr">
        <is>
          <t>VÄSTERNORRLANDS LÄN</t>
        </is>
      </c>
      <c r="E2505" t="inlineStr">
        <is>
          <t>SOLLEFTEÅ</t>
        </is>
      </c>
      <c r="F2505" t="inlineStr">
        <is>
          <t>SCA</t>
        </is>
      </c>
      <c r="G2505" t="n">
        <v>4.8</v>
      </c>
      <c r="H2505" t="n">
        <v>0</v>
      </c>
      <c r="I2505" t="n">
        <v>0</v>
      </c>
      <c r="J2505" t="n">
        <v>0</v>
      </c>
      <c r="K2505" t="n">
        <v>0</v>
      </c>
      <c r="L2505" t="n">
        <v>0</v>
      </c>
      <c r="M2505" t="n">
        <v>0</v>
      </c>
      <c r="N2505" t="n">
        <v>0</v>
      </c>
      <c r="O2505" t="n">
        <v>0</v>
      </c>
      <c r="P2505" t="n">
        <v>0</v>
      </c>
      <c r="Q2505" t="n">
        <v>0</v>
      </c>
      <c r="R2505" s="2" t="inlineStr"/>
    </row>
    <row r="2506" ht="15" customHeight="1">
      <c r="A2506" t="inlineStr">
        <is>
          <t>A 58511-2025</t>
        </is>
      </c>
      <c r="B2506" s="1" t="n">
        <v>45982</v>
      </c>
      <c r="C2506" s="1" t="n">
        <v>46048</v>
      </c>
      <c r="D2506" t="inlineStr">
        <is>
          <t>VÄSTERNORRLANDS LÄN</t>
        </is>
      </c>
      <c r="E2506" t="inlineStr">
        <is>
          <t>SOLLEFTEÅ</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58445-2025</t>
        </is>
      </c>
      <c r="B2507" s="1" t="n">
        <v>45985.62047453703</v>
      </c>
      <c r="C2507" s="1" t="n">
        <v>46048</v>
      </c>
      <c r="D2507" t="inlineStr">
        <is>
          <t>VÄSTERNORRLANDS LÄN</t>
        </is>
      </c>
      <c r="E2507" t="inlineStr">
        <is>
          <t>SOLLEFTEÅ</t>
        </is>
      </c>
      <c r="G2507" t="n">
        <v>0.4</v>
      </c>
      <c r="H2507" t="n">
        <v>0</v>
      </c>
      <c r="I2507" t="n">
        <v>0</v>
      </c>
      <c r="J2507" t="n">
        <v>0</v>
      </c>
      <c r="K2507" t="n">
        <v>0</v>
      </c>
      <c r="L2507" t="n">
        <v>0</v>
      </c>
      <c r="M2507" t="n">
        <v>0</v>
      </c>
      <c r="N2507" t="n">
        <v>0</v>
      </c>
      <c r="O2507" t="n">
        <v>0</v>
      </c>
      <c r="P2507" t="n">
        <v>0</v>
      </c>
      <c r="Q2507" t="n">
        <v>0</v>
      </c>
      <c r="R2507" s="2" t="inlineStr"/>
    </row>
    <row r="2508" ht="15" customHeight="1">
      <c r="A2508" t="inlineStr">
        <is>
          <t>A 58030-2025</t>
        </is>
      </c>
      <c r="B2508" s="1" t="n">
        <v>45982.48627314815</v>
      </c>
      <c r="C2508" s="1" t="n">
        <v>46048</v>
      </c>
      <c r="D2508" t="inlineStr">
        <is>
          <t>VÄSTERNORRLANDS LÄN</t>
        </is>
      </c>
      <c r="E2508" t="inlineStr">
        <is>
          <t>SOLLEFTEÅ</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58046-2025</t>
        </is>
      </c>
      <c r="B2509" s="1" t="n">
        <v>45982.50449074074</v>
      </c>
      <c r="C2509" s="1" t="n">
        <v>46048</v>
      </c>
      <c r="D2509" t="inlineStr">
        <is>
          <t>VÄSTERNORRLANDS LÄN</t>
        </is>
      </c>
      <c r="E2509" t="inlineStr">
        <is>
          <t>SOLLEFTEÅ</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58126-2025</t>
        </is>
      </c>
      <c r="B2510" s="1" t="n">
        <v>45982.61518518518</v>
      </c>
      <c r="C2510" s="1" t="n">
        <v>46048</v>
      </c>
      <c r="D2510" t="inlineStr">
        <is>
          <t>VÄSTERNORRLANDS LÄN</t>
        </is>
      </c>
      <c r="E2510" t="inlineStr">
        <is>
          <t>SOLLEFTEÅ</t>
        </is>
      </c>
      <c r="F2510" t="inlineStr">
        <is>
          <t>SCA</t>
        </is>
      </c>
      <c r="G2510" t="n">
        <v>2.9</v>
      </c>
      <c r="H2510" t="n">
        <v>0</v>
      </c>
      <c r="I2510" t="n">
        <v>0</v>
      </c>
      <c r="J2510" t="n">
        <v>0</v>
      </c>
      <c r="K2510" t="n">
        <v>0</v>
      </c>
      <c r="L2510" t="n">
        <v>0</v>
      </c>
      <c r="M2510" t="n">
        <v>0</v>
      </c>
      <c r="N2510" t="n">
        <v>0</v>
      </c>
      <c r="O2510" t="n">
        <v>0</v>
      </c>
      <c r="P2510" t="n">
        <v>0</v>
      </c>
      <c r="Q2510" t="n">
        <v>0</v>
      </c>
      <c r="R2510" s="2" t="inlineStr"/>
    </row>
    <row r="2511" ht="15" customHeight="1">
      <c r="A2511" t="inlineStr">
        <is>
          <t>A 149-2026</t>
        </is>
      </c>
      <c r="B2511" s="1" t="n">
        <v>46020</v>
      </c>
      <c r="C2511" s="1" t="n">
        <v>46048</v>
      </c>
      <c r="D2511" t="inlineStr">
        <is>
          <t>VÄSTERNORRLANDS LÄN</t>
        </is>
      </c>
      <c r="E2511" t="inlineStr">
        <is>
          <t>SOLLEFTEÅ</t>
        </is>
      </c>
      <c r="G2511" t="n">
        <v>5.6</v>
      </c>
      <c r="H2511" t="n">
        <v>0</v>
      </c>
      <c r="I2511" t="n">
        <v>0</v>
      </c>
      <c r="J2511" t="n">
        <v>0</v>
      </c>
      <c r="K2511" t="n">
        <v>0</v>
      </c>
      <c r="L2511" t="n">
        <v>0</v>
      </c>
      <c r="M2511" t="n">
        <v>0</v>
      </c>
      <c r="N2511" t="n">
        <v>0</v>
      </c>
      <c r="O2511" t="n">
        <v>0</v>
      </c>
      <c r="P2511" t="n">
        <v>0</v>
      </c>
      <c r="Q2511" t="n">
        <v>0</v>
      </c>
      <c r="R2511" s="2" t="inlineStr"/>
    </row>
    <row r="2512" ht="15" customHeight="1">
      <c r="A2512" t="inlineStr">
        <is>
          <t>A 358-2026</t>
        </is>
      </c>
      <c r="B2512" s="1" t="n">
        <v>46027.65996527778</v>
      </c>
      <c r="C2512" s="1" t="n">
        <v>46048</v>
      </c>
      <c r="D2512" t="inlineStr">
        <is>
          <t>VÄSTERNORRLANDS LÄN</t>
        </is>
      </c>
      <c r="E2512" t="inlineStr">
        <is>
          <t>SOLLEFTEÅ</t>
        </is>
      </c>
      <c r="G2512" t="n">
        <v>2.9</v>
      </c>
      <c r="H2512" t="n">
        <v>0</v>
      </c>
      <c r="I2512" t="n">
        <v>0</v>
      </c>
      <c r="J2512" t="n">
        <v>0</v>
      </c>
      <c r="K2512" t="n">
        <v>0</v>
      </c>
      <c r="L2512" t="n">
        <v>0</v>
      </c>
      <c r="M2512" t="n">
        <v>0</v>
      </c>
      <c r="N2512" t="n">
        <v>0</v>
      </c>
      <c r="O2512" t="n">
        <v>0</v>
      </c>
      <c r="P2512" t="n">
        <v>0</v>
      </c>
      <c r="Q2512" t="n">
        <v>0</v>
      </c>
      <c r="R2512" s="2" t="inlineStr"/>
    </row>
    <row r="2513" ht="15" customHeight="1">
      <c r="A2513" t="inlineStr">
        <is>
          <t>A 58384-2025</t>
        </is>
      </c>
      <c r="B2513" s="1" t="n">
        <v>45985.54319444444</v>
      </c>
      <c r="C2513" s="1" t="n">
        <v>46048</v>
      </c>
      <c r="D2513" t="inlineStr">
        <is>
          <t>VÄSTERNORRLANDS LÄN</t>
        </is>
      </c>
      <c r="E2513" t="inlineStr">
        <is>
          <t>SOLLEFTEÅ</t>
        </is>
      </c>
      <c r="G2513" t="n">
        <v>3.7</v>
      </c>
      <c r="H2513" t="n">
        <v>0</v>
      </c>
      <c r="I2513" t="n">
        <v>0</v>
      </c>
      <c r="J2513" t="n">
        <v>0</v>
      </c>
      <c r="K2513" t="n">
        <v>0</v>
      </c>
      <c r="L2513" t="n">
        <v>0</v>
      </c>
      <c r="M2513" t="n">
        <v>0</v>
      </c>
      <c r="N2513" t="n">
        <v>0</v>
      </c>
      <c r="O2513" t="n">
        <v>0</v>
      </c>
      <c r="P2513" t="n">
        <v>0</v>
      </c>
      <c r="Q2513" t="n">
        <v>0</v>
      </c>
      <c r="R2513" s="2" t="inlineStr"/>
    </row>
    <row r="2514" ht="15" customHeight="1">
      <c r="A2514" t="inlineStr">
        <is>
          <t>A 58386-2025</t>
        </is>
      </c>
      <c r="B2514" s="1" t="n">
        <v>45985.54576388889</v>
      </c>
      <c r="C2514" s="1" t="n">
        <v>46048</v>
      </c>
      <c r="D2514" t="inlineStr">
        <is>
          <t>VÄSTERNORRLANDS LÄN</t>
        </is>
      </c>
      <c r="E2514" t="inlineStr">
        <is>
          <t>SOLLEFTEÅ</t>
        </is>
      </c>
      <c r="G2514" t="n">
        <v>2.6</v>
      </c>
      <c r="H2514" t="n">
        <v>0</v>
      </c>
      <c r="I2514" t="n">
        <v>0</v>
      </c>
      <c r="J2514" t="n">
        <v>0</v>
      </c>
      <c r="K2514" t="n">
        <v>0</v>
      </c>
      <c r="L2514" t="n">
        <v>0</v>
      </c>
      <c r="M2514" t="n">
        <v>0</v>
      </c>
      <c r="N2514" t="n">
        <v>0</v>
      </c>
      <c r="O2514" t="n">
        <v>0</v>
      </c>
      <c r="P2514" t="n">
        <v>0</v>
      </c>
      <c r="Q2514" t="n">
        <v>0</v>
      </c>
      <c r="R2514" s="2" t="inlineStr"/>
    </row>
    <row r="2515" ht="15" customHeight="1">
      <c r="A2515" t="inlineStr">
        <is>
          <t>A 58314-2025</t>
        </is>
      </c>
      <c r="B2515" s="1" t="n">
        <v>45985.47027777778</v>
      </c>
      <c r="C2515" s="1" t="n">
        <v>46048</v>
      </c>
      <c r="D2515" t="inlineStr">
        <is>
          <t>VÄSTERNORRLANDS LÄN</t>
        </is>
      </c>
      <c r="E2515" t="inlineStr">
        <is>
          <t>SOLLEFTEÅ</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58205-2025</t>
        </is>
      </c>
      <c r="B2516" s="1" t="n">
        <v>45984.64722222222</v>
      </c>
      <c r="C2516" s="1" t="n">
        <v>46048</v>
      </c>
      <c r="D2516" t="inlineStr">
        <is>
          <t>VÄSTERNORRLANDS LÄN</t>
        </is>
      </c>
      <c r="E2516" t="inlineStr">
        <is>
          <t>SOLLEFTEÅ</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58152-2025</t>
        </is>
      </c>
      <c r="B2517" s="1" t="n">
        <v>45982.65260416667</v>
      </c>
      <c r="C2517" s="1" t="n">
        <v>46048</v>
      </c>
      <c r="D2517" t="inlineStr">
        <is>
          <t>VÄSTERNORRLANDS LÄN</t>
        </is>
      </c>
      <c r="E2517" t="inlineStr">
        <is>
          <t>SOLLEFTEÅ</t>
        </is>
      </c>
      <c r="G2517" t="n">
        <v>6.4</v>
      </c>
      <c r="H2517" t="n">
        <v>0</v>
      </c>
      <c r="I2517" t="n">
        <v>0</v>
      </c>
      <c r="J2517" t="n">
        <v>0</v>
      </c>
      <c r="K2517" t="n">
        <v>0</v>
      </c>
      <c r="L2517" t="n">
        <v>0</v>
      </c>
      <c r="M2517" t="n">
        <v>0</v>
      </c>
      <c r="N2517" t="n">
        <v>0</v>
      </c>
      <c r="O2517" t="n">
        <v>0</v>
      </c>
      <c r="P2517" t="n">
        <v>0</v>
      </c>
      <c r="Q2517" t="n">
        <v>0</v>
      </c>
      <c r="R2517" s="2" t="inlineStr"/>
    </row>
    <row r="2518" ht="15" customHeight="1">
      <c r="A2518" t="inlineStr">
        <is>
          <t>A 58153-2025</t>
        </is>
      </c>
      <c r="B2518" s="1" t="n">
        <v>45982.65262731481</v>
      </c>
      <c r="C2518" s="1" t="n">
        <v>46048</v>
      </c>
      <c r="D2518" t="inlineStr">
        <is>
          <t>VÄSTERNORRLANDS LÄN</t>
        </is>
      </c>
      <c r="E2518" t="inlineStr">
        <is>
          <t>SOLLEFTEÅ</t>
        </is>
      </c>
      <c r="G2518" t="n">
        <v>3.3</v>
      </c>
      <c r="H2518" t="n">
        <v>0</v>
      </c>
      <c r="I2518" t="n">
        <v>0</v>
      </c>
      <c r="J2518" t="n">
        <v>0</v>
      </c>
      <c r="K2518" t="n">
        <v>0</v>
      </c>
      <c r="L2518" t="n">
        <v>0</v>
      </c>
      <c r="M2518" t="n">
        <v>0</v>
      </c>
      <c r="N2518" t="n">
        <v>0</v>
      </c>
      <c r="O2518" t="n">
        <v>0</v>
      </c>
      <c r="P2518" t="n">
        <v>0</v>
      </c>
      <c r="Q2518" t="n">
        <v>0</v>
      </c>
      <c r="R2518" s="2" t="inlineStr"/>
    </row>
    <row r="2519" ht="15" customHeight="1">
      <c r="A2519" t="inlineStr">
        <is>
          <t>A 58027-2025</t>
        </is>
      </c>
      <c r="B2519" s="1" t="n">
        <v>45982.48417824074</v>
      </c>
      <c r="C2519" s="1" t="n">
        <v>46048</v>
      </c>
      <c r="D2519" t="inlineStr">
        <is>
          <t>VÄSTERNORRLANDS LÄN</t>
        </is>
      </c>
      <c r="E2519" t="inlineStr">
        <is>
          <t>SOLLEFTEÅ</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58315-2025</t>
        </is>
      </c>
      <c r="B2520" s="1" t="n">
        <v>45985.47033564815</v>
      </c>
      <c r="C2520" s="1" t="n">
        <v>46048</v>
      </c>
      <c r="D2520" t="inlineStr">
        <is>
          <t>VÄSTERNORRLANDS LÄN</t>
        </is>
      </c>
      <c r="E2520" t="inlineStr">
        <is>
          <t>SOLLEFTEÅ</t>
        </is>
      </c>
      <c r="G2520" t="n">
        <v>2.9</v>
      </c>
      <c r="H2520" t="n">
        <v>0</v>
      </c>
      <c r="I2520" t="n">
        <v>0</v>
      </c>
      <c r="J2520" t="n">
        <v>0</v>
      </c>
      <c r="K2520" t="n">
        <v>0</v>
      </c>
      <c r="L2520" t="n">
        <v>0</v>
      </c>
      <c r="M2520" t="n">
        <v>0</v>
      </c>
      <c r="N2520" t="n">
        <v>0</v>
      </c>
      <c r="O2520" t="n">
        <v>0</v>
      </c>
      <c r="P2520" t="n">
        <v>0</v>
      </c>
      <c r="Q2520" t="n">
        <v>0</v>
      </c>
      <c r="R2520" s="2" t="inlineStr"/>
    </row>
    <row r="2521" ht="15" customHeight="1">
      <c r="A2521" t="inlineStr">
        <is>
          <t>A 58234-2025</t>
        </is>
      </c>
      <c r="B2521" s="1" t="n">
        <v>45985.38688657407</v>
      </c>
      <c r="C2521" s="1" t="n">
        <v>46048</v>
      </c>
      <c r="D2521" t="inlineStr">
        <is>
          <t>VÄSTERNORRLANDS LÄN</t>
        </is>
      </c>
      <c r="E2521" t="inlineStr">
        <is>
          <t>SOLLEFTEÅ</t>
        </is>
      </c>
      <c r="F2521" t="inlineStr">
        <is>
          <t>SCA</t>
        </is>
      </c>
      <c r="G2521" t="n">
        <v>4.8</v>
      </c>
      <c r="H2521" t="n">
        <v>0</v>
      </c>
      <c r="I2521" t="n">
        <v>0</v>
      </c>
      <c r="J2521" t="n">
        <v>0</v>
      </c>
      <c r="K2521" t="n">
        <v>0</v>
      </c>
      <c r="L2521" t="n">
        <v>0</v>
      </c>
      <c r="M2521" t="n">
        <v>0</v>
      </c>
      <c r="N2521" t="n">
        <v>0</v>
      </c>
      <c r="O2521" t="n">
        <v>0</v>
      </c>
      <c r="P2521" t="n">
        <v>0</v>
      </c>
      <c r="Q2521" t="n">
        <v>0</v>
      </c>
      <c r="R2521" s="2" t="inlineStr"/>
    </row>
    <row r="2522" ht="15" customHeight="1">
      <c r="A2522" t="inlineStr">
        <is>
          <t>A 58845-2025</t>
        </is>
      </c>
      <c r="B2522" s="1" t="n">
        <v>45987.3859375</v>
      </c>
      <c r="C2522" s="1" t="n">
        <v>46048</v>
      </c>
      <c r="D2522" t="inlineStr">
        <is>
          <t>VÄSTERNORRLANDS LÄN</t>
        </is>
      </c>
      <c r="E2522" t="inlineStr">
        <is>
          <t>SOLLEFTEÅ</t>
        </is>
      </c>
      <c r="F2522" t="inlineStr">
        <is>
          <t>SCA</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738-2026</t>
        </is>
      </c>
      <c r="B2523" s="1" t="n">
        <v>46029.65686342592</v>
      </c>
      <c r="C2523" s="1" t="n">
        <v>46048</v>
      </c>
      <c r="D2523" t="inlineStr">
        <is>
          <t>VÄSTERNORRLANDS LÄN</t>
        </is>
      </c>
      <c r="E2523" t="inlineStr">
        <is>
          <t>SOLLEFTEÅ</t>
        </is>
      </c>
      <c r="F2523" t="inlineStr">
        <is>
          <t>SCA</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58973-2025</t>
        </is>
      </c>
      <c r="B2524" s="1" t="n">
        <v>45987</v>
      </c>
      <c r="C2524" s="1" t="n">
        <v>46048</v>
      </c>
      <c r="D2524" t="inlineStr">
        <is>
          <t>VÄSTERNORRLANDS LÄN</t>
        </is>
      </c>
      <c r="E2524" t="inlineStr">
        <is>
          <t>SOLLEFTEÅ</t>
        </is>
      </c>
      <c r="F2524" t="inlineStr">
        <is>
          <t>SCA</t>
        </is>
      </c>
      <c r="G2524" t="n">
        <v>3.6</v>
      </c>
      <c r="H2524" t="n">
        <v>0</v>
      </c>
      <c r="I2524" t="n">
        <v>0</v>
      </c>
      <c r="J2524" t="n">
        <v>0</v>
      </c>
      <c r="K2524" t="n">
        <v>0</v>
      </c>
      <c r="L2524" t="n">
        <v>0</v>
      </c>
      <c r="M2524" t="n">
        <v>0</v>
      </c>
      <c r="N2524" t="n">
        <v>0</v>
      </c>
      <c r="O2524" t="n">
        <v>0</v>
      </c>
      <c r="P2524" t="n">
        <v>0</v>
      </c>
      <c r="Q2524" t="n">
        <v>0</v>
      </c>
      <c r="R2524" s="2" t="inlineStr"/>
    </row>
    <row r="2525" ht="15" customHeight="1">
      <c r="A2525" t="inlineStr">
        <is>
          <t>A 58999-2025</t>
        </is>
      </c>
      <c r="B2525" s="1" t="n">
        <v>45987</v>
      </c>
      <c r="C2525" s="1" t="n">
        <v>46048</v>
      </c>
      <c r="D2525" t="inlineStr">
        <is>
          <t>VÄSTERNORRLANDS LÄN</t>
        </is>
      </c>
      <c r="E2525" t="inlineStr">
        <is>
          <t>SOLLEFTEÅ</t>
        </is>
      </c>
      <c r="F2525" t="inlineStr">
        <is>
          <t>SCA</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403-2026</t>
        </is>
      </c>
      <c r="B2526" s="1" t="n">
        <v>46028.66550925926</v>
      </c>
      <c r="C2526" s="1" t="n">
        <v>46048</v>
      </c>
      <c r="D2526" t="inlineStr">
        <is>
          <t>VÄSTERNORRLANDS LÄN</t>
        </is>
      </c>
      <c r="E2526" t="inlineStr">
        <is>
          <t>SOLLEFTEÅ</t>
        </is>
      </c>
      <c r="G2526" t="n">
        <v>6.4</v>
      </c>
      <c r="H2526" t="n">
        <v>0</v>
      </c>
      <c r="I2526" t="n">
        <v>0</v>
      </c>
      <c r="J2526" t="n">
        <v>0</v>
      </c>
      <c r="K2526" t="n">
        <v>0</v>
      </c>
      <c r="L2526" t="n">
        <v>0</v>
      </c>
      <c r="M2526" t="n">
        <v>0</v>
      </c>
      <c r="N2526" t="n">
        <v>0</v>
      </c>
      <c r="O2526" t="n">
        <v>0</v>
      </c>
      <c r="P2526" t="n">
        <v>0</v>
      </c>
      <c r="Q2526" t="n">
        <v>0</v>
      </c>
      <c r="R2526" s="2" t="inlineStr"/>
    </row>
    <row r="2527" ht="15" customHeight="1">
      <c r="A2527" t="inlineStr">
        <is>
          <t>A 658-2026</t>
        </is>
      </c>
      <c r="B2527" s="1" t="n">
        <v>46029.58168981481</v>
      </c>
      <c r="C2527" s="1" t="n">
        <v>46048</v>
      </c>
      <c r="D2527" t="inlineStr">
        <is>
          <t>VÄSTERNORRLANDS LÄN</t>
        </is>
      </c>
      <c r="E2527" t="inlineStr">
        <is>
          <t>SOLLEFTEÅ</t>
        </is>
      </c>
      <c r="G2527" t="n">
        <v>9</v>
      </c>
      <c r="H2527" t="n">
        <v>0</v>
      </c>
      <c r="I2527" t="n">
        <v>0</v>
      </c>
      <c r="J2527" t="n">
        <v>0</v>
      </c>
      <c r="K2527" t="n">
        <v>0</v>
      </c>
      <c r="L2527" t="n">
        <v>0</v>
      </c>
      <c r="M2527" t="n">
        <v>0</v>
      </c>
      <c r="N2527" t="n">
        <v>0</v>
      </c>
      <c r="O2527" t="n">
        <v>0</v>
      </c>
      <c r="P2527" t="n">
        <v>0</v>
      </c>
      <c r="Q2527" t="n">
        <v>0</v>
      </c>
      <c r="R2527" s="2" t="inlineStr"/>
    </row>
    <row r="2528" ht="15" customHeight="1">
      <c r="A2528" t="inlineStr">
        <is>
          <t>A 58948-2025</t>
        </is>
      </c>
      <c r="B2528" s="1" t="n">
        <v>45987</v>
      </c>
      <c r="C2528" s="1" t="n">
        <v>46048</v>
      </c>
      <c r="D2528" t="inlineStr">
        <is>
          <t>VÄSTERNORRLANDS LÄN</t>
        </is>
      </c>
      <c r="E2528" t="inlineStr">
        <is>
          <t>SOLLEFTEÅ</t>
        </is>
      </c>
      <c r="G2528" t="n">
        <v>6.5</v>
      </c>
      <c r="H2528" t="n">
        <v>0</v>
      </c>
      <c r="I2528" t="n">
        <v>0</v>
      </c>
      <c r="J2528" t="n">
        <v>0</v>
      </c>
      <c r="K2528" t="n">
        <v>0</v>
      </c>
      <c r="L2528" t="n">
        <v>0</v>
      </c>
      <c r="M2528" t="n">
        <v>0</v>
      </c>
      <c r="N2528" t="n">
        <v>0</v>
      </c>
      <c r="O2528" t="n">
        <v>0</v>
      </c>
      <c r="P2528" t="n">
        <v>0</v>
      </c>
      <c r="Q2528" t="n">
        <v>0</v>
      </c>
      <c r="R2528" s="2" t="inlineStr"/>
    </row>
    <row r="2529" ht="15" customHeight="1">
      <c r="A2529" t="inlineStr">
        <is>
          <t>A 58558-2025</t>
        </is>
      </c>
      <c r="B2529" s="1" t="n">
        <v>45986.34451388889</v>
      </c>
      <c r="C2529" s="1" t="n">
        <v>46048</v>
      </c>
      <c r="D2529" t="inlineStr">
        <is>
          <t>VÄSTERNORRLANDS LÄN</t>
        </is>
      </c>
      <c r="E2529" t="inlineStr">
        <is>
          <t>SOLLEFTEÅ</t>
        </is>
      </c>
      <c r="F2529" t="inlineStr">
        <is>
          <t>SCA</t>
        </is>
      </c>
      <c r="G2529" t="n">
        <v>6.8</v>
      </c>
      <c r="H2529" t="n">
        <v>0</v>
      </c>
      <c r="I2529" t="n">
        <v>0</v>
      </c>
      <c r="J2529" t="n">
        <v>0</v>
      </c>
      <c r="K2529" t="n">
        <v>0</v>
      </c>
      <c r="L2529" t="n">
        <v>0</v>
      </c>
      <c r="M2529" t="n">
        <v>0</v>
      </c>
      <c r="N2529" t="n">
        <v>0</v>
      </c>
      <c r="O2529" t="n">
        <v>0</v>
      </c>
      <c r="P2529" t="n">
        <v>0</v>
      </c>
      <c r="Q2529" t="n">
        <v>0</v>
      </c>
      <c r="R2529" s="2" t="inlineStr"/>
    </row>
    <row r="2530" ht="15" customHeight="1">
      <c r="A2530" t="inlineStr">
        <is>
          <t>A 58998-2025</t>
        </is>
      </c>
      <c r="B2530" s="1" t="n">
        <v>45987</v>
      </c>
      <c r="C2530" s="1" t="n">
        <v>46048</v>
      </c>
      <c r="D2530" t="inlineStr">
        <is>
          <t>VÄSTERNORRLANDS LÄN</t>
        </is>
      </c>
      <c r="E2530" t="inlineStr">
        <is>
          <t>SOLLEFTEÅ</t>
        </is>
      </c>
      <c r="F2530" t="inlineStr">
        <is>
          <t>SCA</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59002-2025</t>
        </is>
      </c>
      <c r="B2531" s="1" t="n">
        <v>45987</v>
      </c>
      <c r="C2531" s="1" t="n">
        <v>46048</v>
      </c>
      <c r="D2531" t="inlineStr">
        <is>
          <t>VÄSTERNORRLANDS LÄN</t>
        </is>
      </c>
      <c r="E2531" t="inlineStr">
        <is>
          <t>SOLLEFTEÅ</t>
        </is>
      </c>
      <c r="F2531" t="inlineStr">
        <is>
          <t>SCA</t>
        </is>
      </c>
      <c r="G2531" t="n">
        <v>3.4</v>
      </c>
      <c r="H2531" t="n">
        <v>0</v>
      </c>
      <c r="I2531" t="n">
        <v>0</v>
      </c>
      <c r="J2531" t="n">
        <v>0</v>
      </c>
      <c r="K2531" t="n">
        <v>0</v>
      </c>
      <c r="L2531" t="n">
        <v>0</v>
      </c>
      <c r="M2531" t="n">
        <v>0</v>
      </c>
      <c r="N2531" t="n">
        <v>0</v>
      </c>
      <c r="O2531" t="n">
        <v>0</v>
      </c>
      <c r="P2531" t="n">
        <v>0</v>
      </c>
      <c r="Q2531" t="n">
        <v>0</v>
      </c>
      <c r="R2531" s="2" t="inlineStr"/>
    </row>
    <row r="2532" ht="15" customHeight="1">
      <c r="A2532" t="inlineStr">
        <is>
          <t>A 58772-2025</t>
        </is>
      </c>
      <c r="B2532" s="1" t="n">
        <v>45986</v>
      </c>
      <c r="C2532" s="1" t="n">
        <v>46048</v>
      </c>
      <c r="D2532" t="inlineStr">
        <is>
          <t>VÄSTERNORRLANDS LÄN</t>
        </is>
      </c>
      <c r="E2532" t="inlineStr">
        <is>
          <t>SOLLEFTEÅ</t>
        </is>
      </c>
      <c r="G2532" t="n">
        <v>8.699999999999999</v>
      </c>
      <c r="H2532" t="n">
        <v>0</v>
      </c>
      <c r="I2532" t="n">
        <v>0</v>
      </c>
      <c r="J2532" t="n">
        <v>0</v>
      </c>
      <c r="K2532" t="n">
        <v>0</v>
      </c>
      <c r="L2532" t="n">
        <v>0</v>
      </c>
      <c r="M2532" t="n">
        <v>0</v>
      </c>
      <c r="N2532" t="n">
        <v>0</v>
      </c>
      <c r="O2532" t="n">
        <v>0</v>
      </c>
      <c r="P2532" t="n">
        <v>0</v>
      </c>
      <c r="Q2532" t="n">
        <v>0</v>
      </c>
      <c r="R2532" s="2" t="inlineStr"/>
    </row>
    <row r="2533" ht="15" customHeight="1">
      <c r="A2533" t="inlineStr">
        <is>
          <t>A 58382-2025</t>
        </is>
      </c>
      <c r="B2533" s="1" t="n">
        <v>45982</v>
      </c>
      <c r="C2533" s="1" t="n">
        <v>46048</v>
      </c>
      <c r="D2533" t="inlineStr">
        <is>
          <t>VÄSTERNORRLANDS LÄN</t>
        </is>
      </c>
      <c r="E2533" t="inlineStr">
        <is>
          <t>SOLLEFTEÅ</t>
        </is>
      </c>
      <c r="G2533" t="n">
        <v>3.7</v>
      </c>
      <c r="H2533" t="n">
        <v>0</v>
      </c>
      <c r="I2533" t="n">
        <v>0</v>
      </c>
      <c r="J2533" t="n">
        <v>0</v>
      </c>
      <c r="K2533" t="n">
        <v>0</v>
      </c>
      <c r="L2533" t="n">
        <v>0</v>
      </c>
      <c r="M2533" t="n">
        <v>0</v>
      </c>
      <c r="N2533" t="n">
        <v>0</v>
      </c>
      <c r="O2533" t="n">
        <v>0</v>
      </c>
      <c r="P2533" t="n">
        <v>0</v>
      </c>
      <c r="Q2533" t="n">
        <v>0</v>
      </c>
      <c r="R2533" s="2" t="inlineStr"/>
    </row>
    <row r="2534" ht="15" customHeight="1">
      <c r="A2534" t="inlineStr">
        <is>
          <t>A 58391-2025</t>
        </is>
      </c>
      <c r="B2534" s="1" t="n">
        <v>45982</v>
      </c>
      <c r="C2534" s="1" t="n">
        <v>46048</v>
      </c>
      <c r="D2534" t="inlineStr">
        <is>
          <t>VÄSTERNORRLANDS LÄN</t>
        </is>
      </c>
      <c r="E2534" t="inlineStr">
        <is>
          <t>SOLLEFTEÅ</t>
        </is>
      </c>
      <c r="G2534" t="n">
        <v>7</v>
      </c>
      <c r="H2534" t="n">
        <v>0</v>
      </c>
      <c r="I2534" t="n">
        <v>0</v>
      </c>
      <c r="J2534" t="n">
        <v>0</v>
      </c>
      <c r="K2534" t="n">
        <v>0</v>
      </c>
      <c r="L2534" t="n">
        <v>0</v>
      </c>
      <c r="M2534" t="n">
        <v>0</v>
      </c>
      <c r="N2534" t="n">
        <v>0</v>
      </c>
      <c r="O2534" t="n">
        <v>0</v>
      </c>
      <c r="P2534" t="n">
        <v>0</v>
      </c>
      <c r="Q2534" t="n">
        <v>0</v>
      </c>
      <c r="R2534" s="2" t="inlineStr"/>
    </row>
    <row r="2535" ht="15" customHeight="1">
      <c r="A2535" t="inlineStr">
        <is>
          <t>A 59181-2025</t>
        </is>
      </c>
      <c r="B2535" s="1" t="n">
        <v>45988.57390046296</v>
      </c>
      <c r="C2535" s="1" t="n">
        <v>46048</v>
      </c>
      <c r="D2535" t="inlineStr">
        <is>
          <t>VÄSTERNORRLANDS LÄN</t>
        </is>
      </c>
      <c r="E2535" t="inlineStr">
        <is>
          <t>SOLLEFTEÅ</t>
        </is>
      </c>
      <c r="F2535" t="inlineStr">
        <is>
          <t>SCA</t>
        </is>
      </c>
      <c r="G2535" t="n">
        <v>28.3</v>
      </c>
      <c r="H2535" t="n">
        <v>0</v>
      </c>
      <c r="I2535" t="n">
        <v>0</v>
      </c>
      <c r="J2535" t="n">
        <v>0</v>
      </c>
      <c r="K2535" t="n">
        <v>0</v>
      </c>
      <c r="L2535" t="n">
        <v>0</v>
      </c>
      <c r="M2535" t="n">
        <v>0</v>
      </c>
      <c r="N2535" t="n">
        <v>0</v>
      </c>
      <c r="O2535" t="n">
        <v>0</v>
      </c>
      <c r="P2535" t="n">
        <v>0</v>
      </c>
      <c r="Q2535" t="n">
        <v>0</v>
      </c>
      <c r="R2535" s="2" t="inlineStr"/>
    </row>
    <row r="2536" ht="15" customHeight="1">
      <c r="A2536" t="inlineStr">
        <is>
          <t>A 59402-2025</t>
        </is>
      </c>
      <c r="B2536" s="1" t="n">
        <v>45989</v>
      </c>
      <c r="C2536" s="1" t="n">
        <v>46048</v>
      </c>
      <c r="D2536" t="inlineStr">
        <is>
          <t>VÄSTERNORRLANDS LÄN</t>
        </is>
      </c>
      <c r="E2536" t="inlineStr">
        <is>
          <t>SOLLEFTEÅ</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59408-2025</t>
        </is>
      </c>
      <c r="B2537" s="1" t="n">
        <v>45989.49541666666</v>
      </c>
      <c r="C2537" s="1" t="n">
        <v>46048</v>
      </c>
      <c r="D2537" t="inlineStr">
        <is>
          <t>VÄSTERNORRLANDS LÄN</t>
        </is>
      </c>
      <c r="E2537" t="inlineStr">
        <is>
          <t>SOLLEFTEÅ</t>
        </is>
      </c>
      <c r="F2537" t="inlineStr">
        <is>
          <t>Holmen skog AB</t>
        </is>
      </c>
      <c r="G2537" t="n">
        <v>11.5</v>
      </c>
      <c r="H2537" t="n">
        <v>0</v>
      </c>
      <c r="I2537" t="n">
        <v>0</v>
      </c>
      <c r="J2537" t="n">
        <v>0</v>
      </c>
      <c r="K2537" t="n">
        <v>0</v>
      </c>
      <c r="L2537" t="n">
        <v>0</v>
      </c>
      <c r="M2537" t="n">
        <v>0</v>
      </c>
      <c r="N2537" t="n">
        <v>0</v>
      </c>
      <c r="O2537" t="n">
        <v>0</v>
      </c>
      <c r="P2537" t="n">
        <v>0</v>
      </c>
      <c r="Q2537" t="n">
        <v>0</v>
      </c>
      <c r="R2537" s="2" t="inlineStr"/>
    </row>
    <row r="2538" ht="15" customHeight="1">
      <c r="A2538" t="inlineStr">
        <is>
          <t>A 59436-2025</t>
        </is>
      </c>
      <c r="B2538" s="1" t="n">
        <v>45989.55641203704</v>
      </c>
      <c r="C2538" s="1" t="n">
        <v>46048</v>
      </c>
      <c r="D2538" t="inlineStr">
        <is>
          <t>VÄSTERNORRLANDS LÄN</t>
        </is>
      </c>
      <c r="E2538" t="inlineStr">
        <is>
          <t>SOLLEFTEÅ</t>
        </is>
      </c>
      <c r="F2538" t="inlineStr">
        <is>
          <t>Holmen skog AB</t>
        </is>
      </c>
      <c r="G2538" t="n">
        <v>20</v>
      </c>
      <c r="H2538" t="n">
        <v>0</v>
      </c>
      <c r="I2538" t="n">
        <v>0</v>
      </c>
      <c r="J2538" t="n">
        <v>0</v>
      </c>
      <c r="K2538" t="n">
        <v>0</v>
      </c>
      <c r="L2538" t="n">
        <v>0</v>
      </c>
      <c r="M2538" t="n">
        <v>0</v>
      </c>
      <c r="N2538" t="n">
        <v>0</v>
      </c>
      <c r="O2538" t="n">
        <v>0</v>
      </c>
      <c r="P2538" t="n">
        <v>0</v>
      </c>
      <c r="Q2538" t="n">
        <v>0</v>
      </c>
      <c r="R2538" s="2" t="inlineStr"/>
    </row>
    <row r="2539" ht="15" customHeight="1">
      <c r="A2539" t="inlineStr">
        <is>
          <t>A 58508-2025</t>
        </is>
      </c>
      <c r="B2539" s="1" t="n">
        <v>45982</v>
      </c>
      <c r="C2539" s="1" t="n">
        <v>46048</v>
      </c>
      <c r="D2539" t="inlineStr">
        <is>
          <t>VÄSTERNORRLANDS LÄN</t>
        </is>
      </c>
      <c r="E2539" t="inlineStr">
        <is>
          <t>SOLLEFTEÅ</t>
        </is>
      </c>
      <c r="G2539" t="n">
        <v>1.9</v>
      </c>
      <c r="H2539" t="n">
        <v>0</v>
      </c>
      <c r="I2539" t="n">
        <v>0</v>
      </c>
      <c r="J2539" t="n">
        <v>0</v>
      </c>
      <c r="K2539" t="n">
        <v>0</v>
      </c>
      <c r="L2539" t="n">
        <v>0</v>
      </c>
      <c r="M2539" t="n">
        <v>0</v>
      </c>
      <c r="N2539" t="n">
        <v>0</v>
      </c>
      <c r="O2539" t="n">
        <v>0</v>
      </c>
      <c r="P2539" t="n">
        <v>0</v>
      </c>
      <c r="Q2539" t="n">
        <v>0</v>
      </c>
      <c r="R2539" s="2" t="inlineStr"/>
    </row>
    <row r="2540" ht="15" customHeight="1">
      <c r="A2540" t="inlineStr">
        <is>
          <t>A 1066-2026</t>
        </is>
      </c>
      <c r="B2540" s="1" t="n">
        <v>46030.64322916666</v>
      </c>
      <c r="C2540" s="1" t="n">
        <v>46048</v>
      </c>
      <c r="D2540" t="inlineStr">
        <is>
          <t>VÄSTERNORRLANDS LÄN</t>
        </is>
      </c>
      <c r="E2540" t="inlineStr">
        <is>
          <t>SOLLEFTEÅ</t>
        </is>
      </c>
      <c r="G2540" t="n">
        <v>3.4</v>
      </c>
      <c r="H2540" t="n">
        <v>0</v>
      </c>
      <c r="I2540" t="n">
        <v>0</v>
      </c>
      <c r="J2540" t="n">
        <v>0</v>
      </c>
      <c r="K2540" t="n">
        <v>0</v>
      </c>
      <c r="L2540" t="n">
        <v>0</v>
      </c>
      <c r="M2540" t="n">
        <v>0</v>
      </c>
      <c r="N2540" t="n">
        <v>0</v>
      </c>
      <c r="O2540" t="n">
        <v>0</v>
      </c>
      <c r="P2540" t="n">
        <v>0</v>
      </c>
      <c r="Q2540" t="n">
        <v>0</v>
      </c>
      <c r="R2540" s="2" t="inlineStr"/>
    </row>
    <row r="2541" ht="15" customHeight="1">
      <c r="A2541" t="inlineStr">
        <is>
          <t>A 59038-2025</t>
        </is>
      </c>
      <c r="B2541" s="1" t="n">
        <v>45988.36515046296</v>
      </c>
      <c r="C2541" s="1" t="n">
        <v>46048</v>
      </c>
      <c r="D2541" t="inlineStr">
        <is>
          <t>VÄSTERNORRLANDS LÄN</t>
        </is>
      </c>
      <c r="E2541" t="inlineStr">
        <is>
          <t>SOLLEFTEÅ</t>
        </is>
      </c>
      <c r="F2541" t="inlineStr">
        <is>
          <t>SCA</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59051-2025</t>
        </is>
      </c>
      <c r="B2542" s="1" t="n">
        <v>45988.38612268519</v>
      </c>
      <c r="C2542" s="1" t="n">
        <v>46048</v>
      </c>
      <c r="D2542" t="inlineStr">
        <is>
          <t>VÄSTERNORRLANDS LÄN</t>
        </is>
      </c>
      <c r="E2542" t="inlineStr">
        <is>
          <t>SOLLEFTEÅ</t>
        </is>
      </c>
      <c r="F2542" t="inlineStr">
        <is>
          <t>SCA</t>
        </is>
      </c>
      <c r="G2542" t="n">
        <v>7.9</v>
      </c>
      <c r="H2542" t="n">
        <v>0</v>
      </c>
      <c r="I2542" t="n">
        <v>0</v>
      </c>
      <c r="J2542" t="n">
        <v>0</v>
      </c>
      <c r="K2542" t="n">
        <v>0</v>
      </c>
      <c r="L2542" t="n">
        <v>0</v>
      </c>
      <c r="M2542" t="n">
        <v>0</v>
      </c>
      <c r="N2542" t="n">
        <v>0</v>
      </c>
      <c r="O2542" t="n">
        <v>0</v>
      </c>
      <c r="P2542" t="n">
        <v>0</v>
      </c>
      <c r="Q2542" t="n">
        <v>0</v>
      </c>
      <c r="R2542" s="2" t="inlineStr"/>
    </row>
    <row r="2543" ht="15" customHeight="1">
      <c r="A2543" t="inlineStr">
        <is>
          <t>A 896-2026</t>
        </is>
      </c>
      <c r="B2543" s="1" t="n">
        <v>46030.46054398148</v>
      </c>
      <c r="C2543" s="1" t="n">
        <v>46048</v>
      </c>
      <c r="D2543" t="inlineStr">
        <is>
          <t>VÄSTERNORRLANDS LÄN</t>
        </is>
      </c>
      <c r="E2543" t="inlineStr">
        <is>
          <t>SOLLEFTEÅ</t>
        </is>
      </c>
      <c r="G2543" t="n">
        <v>7.2</v>
      </c>
      <c r="H2543" t="n">
        <v>0</v>
      </c>
      <c r="I2543" t="n">
        <v>0</v>
      </c>
      <c r="J2543" t="n">
        <v>0</v>
      </c>
      <c r="K2543" t="n">
        <v>0</v>
      </c>
      <c r="L2543" t="n">
        <v>0</v>
      </c>
      <c r="M2543" t="n">
        <v>0</v>
      </c>
      <c r="N2543" t="n">
        <v>0</v>
      </c>
      <c r="O2543" t="n">
        <v>0</v>
      </c>
      <c r="P2543" t="n">
        <v>0</v>
      </c>
      <c r="Q2543" t="n">
        <v>0</v>
      </c>
      <c r="R2543" s="2" t="inlineStr"/>
    </row>
    <row r="2544" ht="15" customHeight="1">
      <c r="A2544" t="inlineStr">
        <is>
          <t>A 1031-2026</t>
        </is>
      </c>
      <c r="B2544" s="1" t="n">
        <v>46030.61530092593</v>
      </c>
      <c r="C2544" s="1" t="n">
        <v>46048</v>
      </c>
      <c r="D2544" t="inlineStr">
        <is>
          <t>VÄSTERNORRLANDS LÄN</t>
        </is>
      </c>
      <c r="E2544" t="inlineStr">
        <is>
          <t>SOLLEFTEÅ</t>
        </is>
      </c>
      <c r="F2544" t="inlineStr">
        <is>
          <t>SCA</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59024-2025</t>
        </is>
      </c>
      <c r="B2545" s="1" t="n">
        <v>45988</v>
      </c>
      <c r="C2545" s="1" t="n">
        <v>46048</v>
      </c>
      <c r="D2545" t="inlineStr">
        <is>
          <t>VÄSTERNORRLANDS LÄN</t>
        </is>
      </c>
      <c r="E2545" t="inlineStr">
        <is>
          <t>SOLLEFTEÅ</t>
        </is>
      </c>
      <c r="F2545" t="inlineStr">
        <is>
          <t>SCA</t>
        </is>
      </c>
      <c r="G2545" t="n">
        <v>7.5</v>
      </c>
      <c r="H2545" t="n">
        <v>0</v>
      </c>
      <c r="I2545" t="n">
        <v>0</v>
      </c>
      <c r="J2545" t="n">
        <v>0</v>
      </c>
      <c r="K2545" t="n">
        <v>0</v>
      </c>
      <c r="L2545" t="n">
        <v>0</v>
      </c>
      <c r="M2545" t="n">
        <v>0</v>
      </c>
      <c r="N2545" t="n">
        <v>0</v>
      </c>
      <c r="O2545" t="n">
        <v>0</v>
      </c>
      <c r="P2545" t="n">
        <v>0</v>
      </c>
      <c r="Q2545" t="n">
        <v>0</v>
      </c>
      <c r="R2545" s="2" t="inlineStr"/>
    </row>
    <row r="2546" ht="15" customHeight="1">
      <c r="A2546" t="inlineStr">
        <is>
          <t>A 59260-2025</t>
        </is>
      </c>
      <c r="B2546" s="1" t="n">
        <v>45988.65762731482</v>
      </c>
      <c r="C2546" s="1" t="n">
        <v>46048</v>
      </c>
      <c r="D2546" t="inlineStr">
        <is>
          <t>VÄSTERNORRLANDS LÄN</t>
        </is>
      </c>
      <c r="E2546" t="inlineStr">
        <is>
          <t>SOLLEFTEÅ</t>
        </is>
      </c>
      <c r="F2546" t="inlineStr">
        <is>
          <t>SCA</t>
        </is>
      </c>
      <c r="G2546" t="n">
        <v>2.6</v>
      </c>
      <c r="H2546" t="n">
        <v>0</v>
      </c>
      <c r="I2546" t="n">
        <v>0</v>
      </c>
      <c r="J2546" t="n">
        <v>0</v>
      </c>
      <c r="K2546" t="n">
        <v>0</v>
      </c>
      <c r="L2546" t="n">
        <v>0</v>
      </c>
      <c r="M2546" t="n">
        <v>0</v>
      </c>
      <c r="N2546" t="n">
        <v>0</v>
      </c>
      <c r="O2546" t="n">
        <v>0</v>
      </c>
      <c r="P2546" t="n">
        <v>0</v>
      </c>
      <c r="Q2546" t="n">
        <v>0</v>
      </c>
      <c r="R2546" s="2" t="inlineStr"/>
    </row>
    <row r="2547" ht="15" customHeight="1">
      <c r="A2547" t="inlineStr">
        <is>
          <t>A 59648-2025</t>
        </is>
      </c>
      <c r="B2547" s="1" t="n">
        <v>45992.42827546296</v>
      </c>
      <c r="C2547" s="1" t="n">
        <v>46048</v>
      </c>
      <c r="D2547" t="inlineStr">
        <is>
          <t>VÄSTERNORRLANDS LÄN</t>
        </is>
      </c>
      <c r="E2547" t="inlineStr">
        <is>
          <t>SOLLEFTEÅ</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60063-2025</t>
        </is>
      </c>
      <c r="B2548" s="1" t="n">
        <v>45993.65711805555</v>
      </c>
      <c r="C2548" s="1" t="n">
        <v>46048</v>
      </c>
      <c r="D2548" t="inlineStr">
        <is>
          <t>VÄSTERNORRLANDS LÄN</t>
        </is>
      </c>
      <c r="E2548" t="inlineStr">
        <is>
          <t>SOLLEFTEÅ</t>
        </is>
      </c>
      <c r="F2548" t="inlineStr">
        <is>
          <t>SCA</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59865-2025</t>
        </is>
      </c>
      <c r="B2549" s="1" t="n">
        <v>45992.86313657407</v>
      </c>
      <c r="C2549" s="1" t="n">
        <v>46048</v>
      </c>
      <c r="D2549" t="inlineStr">
        <is>
          <t>VÄSTERNORRLANDS LÄN</t>
        </is>
      </c>
      <c r="E2549" t="inlineStr">
        <is>
          <t>SOLLEFTEÅ</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59766-2025</t>
        </is>
      </c>
      <c r="B2550" s="1" t="n">
        <v>45992.59480324074</v>
      </c>
      <c r="C2550" s="1" t="n">
        <v>46048</v>
      </c>
      <c r="D2550" t="inlineStr">
        <is>
          <t>VÄSTERNORRLANDS LÄN</t>
        </is>
      </c>
      <c r="E2550" t="inlineStr">
        <is>
          <t>SOLLEFTEÅ</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59999-2025</t>
        </is>
      </c>
      <c r="B2551" s="1" t="n">
        <v>45993.57372685185</v>
      </c>
      <c r="C2551" s="1" t="n">
        <v>46048</v>
      </c>
      <c r="D2551" t="inlineStr">
        <is>
          <t>VÄSTERNORRLANDS LÄN</t>
        </is>
      </c>
      <c r="E2551" t="inlineStr">
        <is>
          <t>SOLLEFTEÅ</t>
        </is>
      </c>
      <c r="F2551" t="inlineStr">
        <is>
          <t>SCA</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1812-2026</t>
        </is>
      </c>
      <c r="B2552" s="1" t="n">
        <v>46035.34425925926</v>
      </c>
      <c r="C2552" s="1" t="n">
        <v>46048</v>
      </c>
      <c r="D2552" t="inlineStr">
        <is>
          <t>VÄSTERNORRLANDS LÄN</t>
        </is>
      </c>
      <c r="E2552" t="inlineStr">
        <is>
          <t>SOLLEFTEÅ</t>
        </is>
      </c>
      <c r="F2552" t="inlineStr">
        <is>
          <t>SCA</t>
        </is>
      </c>
      <c r="G2552" t="n">
        <v>25.8</v>
      </c>
      <c r="H2552" t="n">
        <v>0</v>
      </c>
      <c r="I2552" t="n">
        <v>0</v>
      </c>
      <c r="J2552" t="n">
        <v>0</v>
      </c>
      <c r="K2552" t="n">
        <v>0</v>
      </c>
      <c r="L2552" t="n">
        <v>0</v>
      </c>
      <c r="M2552" t="n">
        <v>0</v>
      </c>
      <c r="N2552" t="n">
        <v>0</v>
      </c>
      <c r="O2552" t="n">
        <v>0</v>
      </c>
      <c r="P2552" t="n">
        <v>0</v>
      </c>
      <c r="Q2552" t="n">
        <v>0</v>
      </c>
      <c r="R2552" s="2" t="inlineStr"/>
    </row>
    <row r="2553" ht="15" customHeight="1">
      <c r="A2553" t="inlineStr">
        <is>
          <t>A 59541-2025</t>
        </is>
      </c>
      <c r="B2553" s="1" t="n">
        <v>45990.34443287037</v>
      </c>
      <c r="C2553" s="1" t="n">
        <v>46048</v>
      </c>
      <c r="D2553" t="inlineStr">
        <is>
          <t>VÄSTERNORRLANDS LÄN</t>
        </is>
      </c>
      <c r="E2553" t="inlineStr">
        <is>
          <t>SOLLEFTEÅ</t>
        </is>
      </c>
      <c r="F2553" t="inlineStr">
        <is>
          <t>SCA</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59789-2025</t>
        </is>
      </c>
      <c r="B2554" s="1" t="n">
        <v>45992.61519675926</v>
      </c>
      <c r="C2554" s="1" t="n">
        <v>46048</v>
      </c>
      <c r="D2554" t="inlineStr">
        <is>
          <t>VÄSTERNORRLANDS LÄN</t>
        </is>
      </c>
      <c r="E2554" t="inlineStr">
        <is>
          <t>SOLLEFTEÅ</t>
        </is>
      </c>
      <c r="F2554" t="inlineStr">
        <is>
          <t>SCA</t>
        </is>
      </c>
      <c r="G2554" t="n">
        <v>3.1</v>
      </c>
      <c r="H2554" t="n">
        <v>0</v>
      </c>
      <c r="I2554" t="n">
        <v>0</v>
      </c>
      <c r="J2554" t="n">
        <v>0</v>
      </c>
      <c r="K2554" t="n">
        <v>0</v>
      </c>
      <c r="L2554" t="n">
        <v>0</v>
      </c>
      <c r="M2554" t="n">
        <v>0</v>
      </c>
      <c r="N2554" t="n">
        <v>0</v>
      </c>
      <c r="O2554" t="n">
        <v>0</v>
      </c>
      <c r="P2554" t="n">
        <v>0</v>
      </c>
      <c r="Q2554" t="n">
        <v>0</v>
      </c>
      <c r="R2554" s="2" t="inlineStr"/>
    </row>
    <row r="2555" ht="15" customHeight="1">
      <c r="A2555" t="inlineStr">
        <is>
          <t>A 59842-2025</t>
        </is>
      </c>
      <c r="B2555" s="1" t="n">
        <v>45992.67807870371</v>
      </c>
      <c r="C2555" s="1" t="n">
        <v>46048</v>
      </c>
      <c r="D2555" t="inlineStr">
        <is>
          <t>VÄSTERNORRLANDS LÄN</t>
        </is>
      </c>
      <c r="E2555" t="inlineStr">
        <is>
          <t>SOLLEFTEÅ</t>
        </is>
      </c>
      <c r="F2555" t="inlineStr">
        <is>
          <t>SCA</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59849-2025</t>
        </is>
      </c>
      <c r="B2556" s="1" t="n">
        <v>45992.70704861111</v>
      </c>
      <c r="C2556" s="1" t="n">
        <v>46048</v>
      </c>
      <c r="D2556" t="inlineStr">
        <is>
          <t>VÄSTERNORRLANDS LÄN</t>
        </is>
      </c>
      <c r="E2556" t="inlineStr">
        <is>
          <t>SOLLEFTEÅ</t>
        </is>
      </c>
      <c r="F2556" t="inlineStr">
        <is>
          <t>Holmen skog AB</t>
        </is>
      </c>
      <c r="G2556" t="n">
        <v>6.9</v>
      </c>
      <c r="H2556" t="n">
        <v>0</v>
      </c>
      <c r="I2556" t="n">
        <v>0</v>
      </c>
      <c r="J2556" t="n">
        <v>0</v>
      </c>
      <c r="K2556" t="n">
        <v>0</v>
      </c>
      <c r="L2556" t="n">
        <v>0</v>
      </c>
      <c r="M2556" t="n">
        <v>0</v>
      </c>
      <c r="N2556" t="n">
        <v>0</v>
      </c>
      <c r="O2556" t="n">
        <v>0</v>
      </c>
      <c r="P2556" t="n">
        <v>0</v>
      </c>
      <c r="Q2556" t="n">
        <v>0</v>
      </c>
      <c r="R2556" s="2" t="inlineStr"/>
    </row>
    <row r="2557" ht="15" customHeight="1">
      <c r="A2557" t="inlineStr">
        <is>
          <t>A 59679-2025</t>
        </is>
      </c>
      <c r="B2557" s="1" t="n">
        <v>45992.46934027778</v>
      </c>
      <c r="C2557" s="1" t="n">
        <v>46048</v>
      </c>
      <c r="D2557" t="inlineStr">
        <is>
          <t>VÄSTERNORRLANDS LÄN</t>
        </is>
      </c>
      <c r="E2557" t="inlineStr">
        <is>
          <t>SOLLEFTEÅ</t>
        </is>
      </c>
      <c r="G2557" t="n">
        <v>3.3</v>
      </c>
      <c r="H2557" t="n">
        <v>0</v>
      </c>
      <c r="I2557" t="n">
        <v>0</v>
      </c>
      <c r="J2557" t="n">
        <v>0</v>
      </c>
      <c r="K2557" t="n">
        <v>0</v>
      </c>
      <c r="L2557" t="n">
        <v>0</v>
      </c>
      <c r="M2557" t="n">
        <v>0</v>
      </c>
      <c r="N2557" t="n">
        <v>0</v>
      </c>
      <c r="O2557" t="n">
        <v>0</v>
      </c>
      <c r="P2557" t="n">
        <v>0</v>
      </c>
      <c r="Q2557" t="n">
        <v>0</v>
      </c>
      <c r="R2557" s="2" t="inlineStr"/>
    </row>
    <row r="2558" ht="15" customHeight="1">
      <c r="A2558" t="inlineStr">
        <is>
          <t>A 59764-2025</t>
        </is>
      </c>
      <c r="B2558" s="1" t="n">
        <v>45992.59456018519</v>
      </c>
      <c r="C2558" s="1" t="n">
        <v>46048</v>
      </c>
      <c r="D2558" t="inlineStr">
        <is>
          <t>VÄSTERNORRLANDS LÄN</t>
        </is>
      </c>
      <c r="E2558" t="inlineStr">
        <is>
          <t>SOLLEFTEÅ</t>
        </is>
      </c>
      <c r="F2558" t="inlineStr">
        <is>
          <t>SCA</t>
        </is>
      </c>
      <c r="G2558" t="n">
        <v>7.5</v>
      </c>
      <c r="H2558" t="n">
        <v>0</v>
      </c>
      <c r="I2558" t="n">
        <v>0</v>
      </c>
      <c r="J2558" t="n">
        <v>0</v>
      </c>
      <c r="K2558" t="n">
        <v>0</v>
      </c>
      <c r="L2558" t="n">
        <v>0</v>
      </c>
      <c r="M2558" t="n">
        <v>0</v>
      </c>
      <c r="N2558" t="n">
        <v>0</v>
      </c>
      <c r="O2558" t="n">
        <v>0</v>
      </c>
      <c r="P2558" t="n">
        <v>0</v>
      </c>
      <c r="Q2558" t="n">
        <v>0</v>
      </c>
      <c r="R2558" s="2" t="inlineStr"/>
    </row>
    <row r="2559" ht="15" customHeight="1">
      <c r="A2559" t="inlineStr">
        <is>
          <t>A 59765-2025</t>
        </is>
      </c>
      <c r="B2559" s="1" t="n">
        <v>45992.59473379629</v>
      </c>
      <c r="C2559" s="1" t="n">
        <v>46048</v>
      </c>
      <c r="D2559" t="inlineStr">
        <is>
          <t>VÄSTERNORRLANDS LÄN</t>
        </is>
      </c>
      <c r="E2559" t="inlineStr">
        <is>
          <t>SOLLEFTEÅ</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59758-2025</t>
        </is>
      </c>
      <c r="B2560" s="1" t="n">
        <v>45992.59136574074</v>
      </c>
      <c r="C2560" s="1" t="n">
        <v>46048</v>
      </c>
      <c r="D2560" t="inlineStr">
        <is>
          <t>VÄSTERNORRLANDS LÄN</t>
        </is>
      </c>
      <c r="E2560" t="inlineStr">
        <is>
          <t>SOLLEFTEÅ</t>
        </is>
      </c>
      <c r="G2560" t="n">
        <v>2.6</v>
      </c>
      <c r="H2560" t="n">
        <v>0</v>
      </c>
      <c r="I2560" t="n">
        <v>0</v>
      </c>
      <c r="J2560" t="n">
        <v>0</v>
      </c>
      <c r="K2560" t="n">
        <v>0</v>
      </c>
      <c r="L2560" t="n">
        <v>0</v>
      </c>
      <c r="M2560" t="n">
        <v>0</v>
      </c>
      <c r="N2560" t="n">
        <v>0</v>
      </c>
      <c r="O2560" t="n">
        <v>0</v>
      </c>
      <c r="P2560" t="n">
        <v>0</v>
      </c>
      <c r="Q2560" t="n">
        <v>0</v>
      </c>
      <c r="R2560" s="2" t="inlineStr"/>
    </row>
    <row r="2561" ht="15" customHeight="1">
      <c r="A2561" t="inlineStr">
        <is>
          <t>A 59645-2025</t>
        </is>
      </c>
      <c r="B2561" s="1" t="n">
        <v>45992.42796296296</v>
      </c>
      <c r="C2561" s="1" t="n">
        <v>46048</v>
      </c>
      <c r="D2561" t="inlineStr">
        <is>
          <t>VÄSTERNORRLANDS LÄN</t>
        </is>
      </c>
      <c r="E2561" t="inlineStr">
        <is>
          <t>SOLLEFTEÅ</t>
        </is>
      </c>
      <c r="F2561" t="inlineStr">
        <is>
          <t>SCA</t>
        </is>
      </c>
      <c r="G2561" t="n">
        <v>6.4</v>
      </c>
      <c r="H2561" t="n">
        <v>0</v>
      </c>
      <c r="I2561" t="n">
        <v>0</v>
      </c>
      <c r="J2561" t="n">
        <v>0</v>
      </c>
      <c r="K2561" t="n">
        <v>0</v>
      </c>
      <c r="L2561" t="n">
        <v>0</v>
      </c>
      <c r="M2561" t="n">
        <v>0</v>
      </c>
      <c r="N2561" t="n">
        <v>0</v>
      </c>
      <c r="O2561" t="n">
        <v>0</v>
      </c>
      <c r="P2561" t="n">
        <v>0</v>
      </c>
      <c r="Q2561" t="n">
        <v>0</v>
      </c>
      <c r="R2561" s="2" t="inlineStr"/>
    </row>
    <row r="2562" ht="15" customHeight="1">
      <c r="A2562" t="inlineStr">
        <is>
          <t>A 59767-2025</t>
        </is>
      </c>
      <c r="B2562" s="1" t="n">
        <v>45992.59505787037</v>
      </c>
      <c r="C2562" s="1" t="n">
        <v>46048</v>
      </c>
      <c r="D2562" t="inlineStr">
        <is>
          <t>VÄSTERNORRLANDS LÄN</t>
        </is>
      </c>
      <c r="E2562" t="inlineStr">
        <is>
          <t>SOLLEFTEÅ</t>
        </is>
      </c>
      <c r="G2562" t="n">
        <v>0.2</v>
      </c>
      <c r="H2562" t="n">
        <v>0</v>
      </c>
      <c r="I2562" t="n">
        <v>0</v>
      </c>
      <c r="J2562" t="n">
        <v>0</v>
      </c>
      <c r="K2562" t="n">
        <v>0</v>
      </c>
      <c r="L2562" t="n">
        <v>0</v>
      </c>
      <c r="M2562" t="n">
        <v>0</v>
      </c>
      <c r="N2562" t="n">
        <v>0</v>
      </c>
      <c r="O2562" t="n">
        <v>0</v>
      </c>
      <c r="P2562" t="n">
        <v>0</v>
      </c>
      <c r="Q2562" t="n">
        <v>0</v>
      </c>
      <c r="R2562" s="2" t="inlineStr"/>
    </row>
    <row r="2563" ht="15" customHeight="1">
      <c r="A2563" t="inlineStr">
        <is>
          <t>A 2027-2026</t>
        </is>
      </c>
      <c r="B2563" s="1" t="n">
        <v>46035.72739583333</v>
      </c>
      <c r="C2563" s="1" t="n">
        <v>46048</v>
      </c>
      <c r="D2563" t="inlineStr">
        <is>
          <t>VÄSTERNORRLANDS LÄN</t>
        </is>
      </c>
      <c r="E2563" t="inlineStr">
        <is>
          <t>SOLLEFTEÅ</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1964-2026</t>
        </is>
      </c>
      <c r="B2564" s="1" t="n">
        <v>46035.63594907407</v>
      </c>
      <c r="C2564" s="1" t="n">
        <v>46048</v>
      </c>
      <c r="D2564" t="inlineStr">
        <is>
          <t>VÄSTERNORRLANDS LÄN</t>
        </is>
      </c>
      <c r="E2564" t="inlineStr">
        <is>
          <t>SOLLEFTEÅ</t>
        </is>
      </c>
      <c r="F2564" t="inlineStr">
        <is>
          <t>SCA</t>
        </is>
      </c>
      <c r="G2564" t="n">
        <v>10.8</v>
      </c>
      <c r="H2564" t="n">
        <v>0</v>
      </c>
      <c r="I2564" t="n">
        <v>0</v>
      </c>
      <c r="J2564" t="n">
        <v>0</v>
      </c>
      <c r="K2564" t="n">
        <v>0</v>
      </c>
      <c r="L2564" t="n">
        <v>0</v>
      </c>
      <c r="M2564" t="n">
        <v>0</v>
      </c>
      <c r="N2564" t="n">
        <v>0</v>
      </c>
      <c r="O2564" t="n">
        <v>0</v>
      </c>
      <c r="P2564" t="n">
        <v>0</v>
      </c>
      <c r="Q2564" t="n">
        <v>0</v>
      </c>
      <c r="R2564" s="2" t="inlineStr"/>
    </row>
    <row r="2565" ht="15" customHeight="1">
      <c r="A2565" t="inlineStr">
        <is>
          <t>A 60036-2025</t>
        </is>
      </c>
      <c r="B2565" s="1" t="n">
        <v>45993.61569444444</v>
      </c>
      <c r="C2565" s="1" t="n">
        <v>46048</v>
      </c>
      <c r="D2565" t="inlineStr">
        <is>
          <t>VÄSTERNORRLANDS LÄN</t>
        </is>
      </c>
      <c r="E2565" t="inlineStr">
        <is>
          <t>SOLLEFTEÅ</t>
        </is>
      </c>
      <c r="F2565" t="inlineStr">
        <is>
          <t>SCA</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59680-2025</t>
        </is>
      </c>
      <c r="B2566" s="1" t="n">
        <v>45992.46940972222</v>
      </c>
      <c r="C2566" s="1" t="n">
        <v>46048</v>
      </c>
      <c r="D2566" t="inlineStr">
        <is>
          <t>VÄSTERNORRLANDS LÄN</t>
        </is>
      </c>
      <c r="E2566" t="inlineStr">
        <is>
          <t>SOLLEFTEÅ</t>
        </is>
      </c>
      <c r="G2566" t="n">
        <v>3.8</v>
      </c>
      <c r="H2566" t="n">
        <v>0</v>
      </c>
      <c r="I2566" t="n">
        <v>0</v>
      </c>
      <c r="J2566" t="n">
        <v>0</v>
      </c>
      <c r="K2566" t="n">
        <v>0</v>
      </c>
      <c r="L2566" t="n">
        <v>0</v>
      </c>
      <c r="M2566" t="n">
        <v>0</v>
      </c>
      <c r="N2566" t="n">
        <v>0</v>
      </c>
      <c r="O2566" t="n">
        <v>0</v>
      </c>
      <c r="P2566" t="n">
        <v>0</v>
      </c>
      <c r="Q2566" t="n">
        <v>0</v>
      </c>
      <c r="R2566" s="2" t="inlineStr"/>
    </row>
    <row r="2567" ht="15" customHeight="1">
      <c r="A2567" t="inlineStr">
        <is>
          <t>A 1601-2026</t>
        </is>
      </c>
      <c r="B2567" s="1" t="n">
        <v>46034.45820601852</v>
      </c>
      <c r="C2567" s="1" t="n">
        <v>46048</v>
      </c>
      <c r="D2567" t="inlineStr">
        <is>
          <t>VÄSTERNORRLANDS LÄN</t>
        </is>
      </c>
      <c r="E2567" t="inlineStr">
        <is>
          <t>SOLLEFTEÅ</t>
        </is>
      </c>
      <c r="G2567" t="n">
        <v>4.5</v>
      </c>
      <c r="H2567" t="n">
        <v>0</v>
      </c>
      <c r="I2567" t="n">
        <v>0</v>
      </c>
      <c r="J2567" t="n">
        <v>0</v>
      </c>
      <c r="K2567" t="n">
        <v>0</v>
      </c>
      <c r="L2567" t="n">
        <v>0</v>
      </c>
      <c r="M2567" t="n">
        <v>0</v>
      </c>
      <c r="N2567" t="n">
        <v>0</v>
      </c>
      <c r="O2567" t="n">
        <v>0</v>
      </c>
      <c r="P2567" t="n">
        <v>0</v>
      </c>
      <c r="Q2567" t="n">
        <v>0</v>
      </c>
      <c r="R2567" s="2" t="inlineStr"/>
    </row>
    <row r="2568" ht="15" customHeight="1">
      <c r="A2568" t="inlineStr">
        <is>
          <t>A 59866-2025</t>
        </is>
      </c>
      <c r="B2568" s="1" t="n">
        <v>45992.86497685185</v>
      </c>
      <c r="C2568" s="1" t="n">
        <v>46048</v>
      </c>
      <c r="D2568" t="inlineStr">
        <is>
          <t>VÄSTERNORRLANDS LÄN</t>
        </is>
      </c>
      <c r="E2568" t="inlineStr">
        <is>
          <t>SOLLEFTEÅ</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59592-2025</t>
        </is>
      </c>
      <c r="B2569" s="1" t="n">
        <v>45992.34443287037</v>
      </c>
      <c r="C2569" s="1" t="n">
        <v>46048</v>
      </c>
      <c r="D2569" t="inlineStr">
        <is>
          <t>VÄSTERNORRLANDS LÄN</t>
        </is>
      </c>
      <c r="E2569" t="inlineStr">
        <is>
          <t>SOLLEFTEÅ</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2023-2026</t>
        </is>
      </c>
      <c r="B2570" s="1" t="n">
        <v>46035.72098379629</v>
      </c>
      <c r="C2570" s="1" t="n">
        <v>46048</v>
      </c>
      <c r="D2570" t="inlineStr">
        <is>
          <t>VÄSTERNORRLANDS LÄN</t>
        </is>
      </c>
      <c r="E2570" t="inlineStr">
        <is>
          <t>SOLLEFTEÅ</t>
        </is>
      </c>
      <c r="G2570" t="n">
        <v>4.4</v>
      </c>
      <c r="H2570" t="n">
        <v>0</v>
      </c>
      <c r="I2570" t="n">
        <v>0</v>
      </c>
      <c r="J2570" t="n">
        <v>0</v>
      </c>
      <c r="K2570" t="n">
        <v>0</v>
      </c>
      <c r="L2570" t="n">
        <v>0</v>
      </c>
      <c r="M2570" t="n">
        <v>0</v>
      </c>
      <c r="N2570" t="n">
        <v>0</v>
      </c>
      <c r="O2570" t="n">
        <v>0</v>
      </c>
      <c r="P2570" t="n">
        <v>0</v>
      </c>
      <c r="Q2570" t="n">
        <v>0</v>
      </c>
      <c r="R2570" s="2" t="inlineStr"/>
    </row>
    <row r="2571" ht="15" customHeight="1">
      <c r="A2571" t="inlineStr">
        <is>
          <t>A 1999-2026</t>
        </is>
      </c>
      <c r="B2571" s="1" t="n">
        <v>46035.67773148148</v>
      </c>
      <c r="C2571" s="1" t="n">
        <v>46048</v>
      </c>
      <c r="D2571" t="inlineStr">
        <is>
          <t>VÄSTERNORRLANDS LÄN</t>
        </is>
      </c>
      <c r="E2571" t="inlineStr">
        <is>
          <t>SOLLEFTEÅ</t>
        </is>
      </c>
      <c r="G2571" t="n">
        <v>5.7</v>
      </c>
      <c r="H2571" t="n">
        <v>0</v>
      </c>
      <c r="I2571" t="n">
        <v>0</v>
      </c>
      <c r="J2571" t="n">
        <v>0</v>
      </c>
      <c r="K2571" t="n">
        <v>0</v>
      </c>
      <c r="L2571" t="n">
        <v>0</v>
      </c>
      <c r="M2571" t="n">
        <v>0</v>
      </c>
      <c r="N2571" t="n">
        <v>0</v>
      </c>
      <c r="O2571" t="n">
        <v>0</v>
      </c>
      <c r="P2571" t="n">
        <v>0</v>
      </c>
      <c r="Q2571" t="n">
        <v>0</v>
      </c>
      <c r="R2571" s="2" t="inlineStr"/>
    </row>
    <row r="2572" ht="15" customHeight="1">
      <c r="A2572" t="inlineStr">
        <is>
          <t>A 59896-2025</t>
        </is>
      </c>
      <c r="B2572" s="1" t="n">
        <v>45993.34427083333</v>
      </c>
      <c r="C2572" s="1" t="n">
        <v>46048</v>
      </c>
      <c r="D2572" t="inlineStr">
        <is>
          <t>VÄSTERNORRLANDS LÄN</t>
        </is>
      </c>
      <c r="E2572" t="inlineStr">
        <is>
          <t>SOLLEFTEÅ</t>
        </is>
      </c>
      <c r="F2572" t="inlineStr">
        <is>
          <t>SCA</t>
        </is>
      </c>
      <c r="G2572" t="n">
        <v>16.1</v>
      </c>
      <c r="H2572" t="n">
        <v>0</v>
      </c>
      <c r="I2572" t="n">
        <v>0</v>
      </c>
      <c r="J2572" t="n">
        <v>0</v>
      </c>
      <c r="K2572" t="n">
        <v>0</v>
      </c>
      <c r="L2572" t="n">
        <v>0</v>
      </c>
      <c r="M2572" t="n">
        <v>0</v>
      </c>
      <c r="N2572" t="n">
        <v>0</v>
      </c>
      <c r="O2572" t="n">
        <v>0</v>
      </c>
      <c r="P2572" t="n">
        <v>0</v>
      </c>
      <c r="Q2572" t="n">
        <v>0</v>
      </c>
      <c r="R2572" s="2" t="inlineStr"/>
    </row>
    <row r="2573" ht="15" customHeight="1">
      <c r="A2573" t="inlineStr">
        <is>
          <t>A 2391-2026</t>
        </is>
      </c>
      <c r="B2573" s="1" t="n">
        <v>46035</v>
      </c>
      <c r="C2573" s="1" t="n">
        <v>46048</v>
      </c>
      <c r="D2573" t="inlineStr">
        <is>
          <t>VÄSTERNORRLANDS LÄN</t>
        </is>
      </c>
      <c r="E2573" t="inlineStr">
        <is>
          <t>SOLLEFTEÅ</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2453-2026</t>
        </is>
      </c>
      <c r="B2574" s="1" t="n">
        <v>46037.34457175926</v>
      </c>
      <c r="C2574" s="1" t="n">
        <v>46048</v>
      </c>
      <c r="D2574" t="inlineStr">
        <is>
          <t>VÄSTERNORRLANDS LÄN</t>
        </is>
      </c>
      <c r="E2574" t="inlineStr">
        <is>
          <t>SOLLEFTEÅ</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60515-2025</t>
        </is>
      </c>
      <c r="B2575" s="1" t="n">
        <v>45995</v>
      </c>
      <c r="C2575" s="1" t="n">
        <v>46048</v>
      </c>
      <c r="D2575" t="inlineStr">
        <is>
          <t>VÄSTERNORRLANDS LÄN</t>
        </is>
      </c>
      <c r="E2575" t="inlineStr">
        <is>
          <t>SOLLEFTEÅ</t>
        </is>
      </c>
      <c r="F2575" t="inlineStr">
        <is>
          <t>SCA</t>
        </is>
      </c>
      <c r="G2575" t="n">
        <v>5.6</v>
      </c>
      <c r="H2575" t="n">
        <v>0</v>
      </c>
      <c r="I2575" t="n">
        <v>0</v>
      </c>
      <c r="J2575" t="n">
        <v>0</v>
      </c>
      <c r="K2575" t="n">
        <v>0</v>
      </c>
      <c r="L2575" t="n">
        <v>0</v>
      </c>
      <c r="M2575" t="n">
        <v>0</v>
      </c>
      <c r="N2575" t="n">
        <v>0</v>
      </c>
      <c r="O2575" t="n">
        <v>0</v>
      </c>
      <c r="P2575" t="n">
        <v>0</v>
      </c>
      <c r="Q2575" t="n">
        <v>0</v>
      </c>
      <c r="R2575" s="2" t="inlineStr"/>
    </row>
    <row r="2576" ht="15" customHeight="1">
      <c r="A2576" t="inlineStr">
        <is>
          <t>A 2376-2026</t>
        </is>
      </c>
      <c r="B2576" s="1" t="n">
        <v>46036.65675925926</v>
      </c>
      <c r="C2576" s="1" t="n">
        <v>46048</v>
      </c>
      <c r="D2576" t="inlineStr">
        <is>
          <t>VÄSTERNORRLANDS LÄN</t>
        </is>
      </c>
      <c r="E2576" t="inlineStr">
        <is>
          <t>SOLLEFTEÅ</t>
        </is>
      </c>
      <c r="F2576" t="inlineStr">
        <is>
          <t>SCA</t>
        </is>
      </c>
      <c r="G2576" t="n">
        <v>6.3</v>
      </c>
      <c r="H2576" t="n">
        <v>0</v>
      </c>
      <c r="I2576" t="n">
        <v>0</v>
      </c>
      <c r="J2576" t="n">
        <v>0</v>
      </c>
      <c r="K2576" t="n">
        <v>0</v>
      </c>
      <c r="L2576" t="n">
        <v>0</v>
      </c>
      <c r="M2576" t="n">
        <v>0</v>
      </c>
      <c r="N2576" t="n">
        <v>0</v>
      </c>
      <c r="O2576" t="n">
        <v>0</v>
      </c>
      <c r="P2576" t="n">
        <v>0</v>
      </c>
      <c r="Q2576" t="n">
        <v>0</v>
      </c>
      <c r="R2576" s="2" t="inlineStr"/>
    </row>
    <row r="2577" ht="15" customHeight="1">
      <c r="A2577" t="inlineStr">
        <is>
          <t>A 2459-2026</t>
        </is>
      </c>
      <c r="B2577" s="1" t="n">
        <v>46035</v>
      </c>
      <c r="C2577" s="1" t="n">
        <v>46048</v>
      </c>
      <c r="D2577" t="inlineStr">
        <is>
          <t>VÄSTERNORRLANDS LÄN</t>
        </is>
      </c>
      <c r="E2577" t="inlineStr">
        <is>
          <t>SOLLEFTEÅ</t>
        </is>
      </c>
      <c r="G2577" t="n">
        <v>4.6</v>
      </c>
      <c r="H2577" t="n">
        <v>0</v>
      </c>
      <c r="I2577" t="n">
        <v>0</v>
      </c>
      <c r="J2577" t="n">
        <v>0</v>
      </c>
      <c r="K2577" t="n">
        <v>0</v>
      </c>
      <c r="L2577" t="n">
        <v>0</v>
      </c>
      <c r="M2577" t="n">
        <v>0</v>
      </c>
      <c r="N2577" t="n">
        <v>0</v>
      </c>
      <c r="O2577" t="n">
        <v>0</v>
      </c>
      <c r="P2577" t="n">
        <v>0</v>
      </c>
      <c r="Q2577" t="n">
        <v>0</v>
      </c>
      <c r="R2577" s="2" t="inlineStr"/>
    </row>
    <row r="2578" ht="15" customHeight="1">
      <c r="A2578" t="inlineStr">
        <is>
          <t>A 60514-2025</t>
        </is>
      </c>
      <c r="B2578" s="1" t="n">
        <v>45995.63584490741</v>
      </c>
      <c r="C2578" s="1" t="n">
        <v>46048</v>
      </c>
      <c r="D2578" t="inlineStr">
        <is>
          <t>VÄSTERNORRLANDS LÄN</t>
        </is>
      </c>
      <c r="E2578" t="inlineStr">
        <is>
          <t>SOLLEFTEÅ</t>
        </is>
      </c>
      <c r="F2578" t="inlineStr">
        <is>
          <t>SCA</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60516-2025</t>
        </is>
      </c>
      <c r="B2579" s="1" t="n">
        <v>45995.63630787037</v>
      </c>
      <c r="C2579" s="1" t="n">
        <v>46048</v>
      </c>
      <c r="D2579" t="inlineStr">
        <is>
          <t>VÄSTERNORRLANDS LÄN</t>
        </is>
      </c>
      <c r="E2579" t="inlineStr">
        <is>
          <t>SOLLEFTEÅ</t>
        </is>
      </c>
      <c r="F2579" t="inlineStr">
        <is>
          <t>SCA</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2263-2026</t>
        </is>
      </c>
      <c r="B2580" s="1" t="n">
        <v>46036.56760416667</v>
      </c>
      <c r="C2580" s="1" t="n">
        <v>46048</v>
      </c>
      <c r="D2580" t="inlineStr">
        <is>
          <t>VÄSTERNORRLANDS LÄN</t>
        </is>
      </c>
      <c r="E2580" t="inlineStr">
        <is>
          <t>SOLLEFTEÅ</t>
        </is>
      </c>
      <c r="G2580" t="n">
        <v>14.3</v>
      </c>
      <c r="H2580" t="n">
        <v>0</v>
      </c>
      <c r="I2580" t="n">
        <v>0</v>
      </c>
      <c r="J2580" t="n">
        <v>0</v>
      </c>
      <c r="K2580" t="n">
        <v>0</v>
      </c>
      <c r="L2580" t="n">
        <v>0</v>
      </c>
      <c r="M2580" t="n">
        <v>0</v>
      </c>
      <c r="N2580" t="n">
        <v>0</v>
      </c>
      <c r="O2580" t="n">
        <v>0</v>
      </c>
      <c r="P2580" t="n">
        <v>0</v>
      </c>
      <c r="Q2580" t="n">
        <v>0</v>
      </c>
      <c r="R2580" s="2" t="inlineStr"/>
    </row>
    <row r="2581" ht="15" customHeight="1">
      <c r="A2581" t="inlineStr">
        <is>
          <t>A 2074-2026</t>
        </is>
      </c>
      <c r="B2581" s="1" t="n">
        <v>46036.34439814815</v>
      </c>
      <c r="C2581" s="1" t="n">
        <v>46048</v>
      </c>
      <c r="D2581" t="inlineStr">
        <is>
          <t>VÄSTERNORRLANDS LÄN</t>
        </is>
      </c>
      <c r="E2581" t="inlineStr">
        <is>
          <t>SOLLEFTEÅ</t>
        </is>
      </c>
      <c r="F2581" t="inlineStr">
        <is>
          <t>SCA</t>
        </is>
      </c>
      <c r="G2581" t="n">
        <v>6.8</v>
      </c>
      <c r="H2581" t="n">
        <v>0</v>
      </c>
      <c r="I2581" t="n">
        <v>0</v>
      </c>
      <c r="J2581" t="n">
        <v>0</v>
      </c>
      <c r="K2581" t="n">
        <v>0</v>
      </c>
      <c r="L2581" t="n">
        <v>0</v>
      </c>
      <c r="M2581" t="n">
        <v>0</v>
      </c>
      <c r="N2581" t="n">
        <v>0</v>
      </c>
      <c r="O2581" t="n">
        <v>0</v>
      </c>
      <c r="P2581" t="n">
        <v>0</v>
      </c>
      <c r="Q2581" t="n">
        <v>0</v>
      </c>
      <c r="R2581" s="2" t="inlineStr"/>
    </row>
    <row r="2582" ht="15" customHeight="1">
      <c r="A2582" t="inlineStr">
        <is>
          <t>A 60410-2025</t>
        </is>
      </c>
      <c r="B2582" s="1" t="n">
        <v>45995.44840277778</v>
      </c>
      <c r="C2582" s="1" t="n">
        <v>46048</v>
      </c>
      <c r="D2582" t="inlineStr">
        <is>
          <t>VÄSTERNORRLANDS LÄN</t>
        </is>
      </c>
      <c r="E2582" t="inlineStr">
        <is>
          <t>SOLLEFTEÅ</t>
        </is>
      </c>
      <c r="F2582" t="inlineStr">
        <is>
          <t>SCA</t>
        </is>
      </c>
      <c r="G2582" t="n">
        <v>4.2</v>
      </c>
      <c r="H2582" t="n">
        <v>0</v>
      </c>
      <c r="I2582" t="n">
        <v>0</v>
      </c>
      <c r="J2582" t="n">
        <v>0</v>
      </c>
      <c r="K2582" t="n">
        <v>0</v>
      </c>
      <c r="L2582" t="n">
        <v>0</v>
      </c>
      <c r="M2582" t="n">
        <v>0</v>
      </c>
      <c r="N2582" t="n">
        <v>0</v>
      </c>
      <c r="O2582" t="n">
        <v>0</v>
      </c>
      <c r="P2582" t="n">
        <v>0</v>
      </c>
      <c r="Q2582" t="n">
        <v>0</v>
      </c>
      <c r="R2582" s="2" t="inlineStr"/>
    </row>
    <row r="2583" ht="15" customHeight="1">
      <c r="A2583" t="inlineStr">
        <is>
          <t>A 60123-2025</t>
        </is>
      </c>
      <c r="B2583" s="1" t="n">
        <v>45994.33506944445</v>
      </c>
      <c r="C2583" s="1" t="n">
        <v>46048</v>
      </c>
      <c r="D2583" t="inlineStr">
        <is>
          <t>VÄSTERNORRLANDS LÄN</t>
        </is>
      </c>
      <c r="E2583" t="inlineStr">
        <is>
          <t>SOLLEFTEÅ</t>
        </is>
      </c>
      <c r="G2583" t="n">
        <v>5.6</v>
      </c>
      <c r="H2583" t="n">
        <v>0</v>
      </c>
      <c r="I2583" t="n">
        <v>0</v>
      </c>
      <c r="J2583" t="n">
        <v>0</v>
      </c>
      <c r="K2583" t="n">
        <v>0</v>
      </c>
      <c r="L2583" t="n">
        <v>0</v>
      </c>
      <c r="M2583" t="n">
        <v>0</v>
      </c>
      <c r="N2583" t="n">
        <v>0</v>
      </c>
      <c r="O2583" t="n">
        <v>0</v>
      </c>
      <c r="P2583" t="n">
        <v>0</v>
      </c>
      <c r="Q2583" t="n">
        <v>0</v>
      </c>
      <c r="R2583" s="2" t="inlineStr"/>
    </row>
    <row r="2584" ht="15" customHeight="1">
      <c r="A2584" t="inlineStr">
        <is>
          <t>A 2080-2026</t>
        </is>
      </c>
      <c r="B2584" s="1" t="n">
        <v>46036.35287037037</v>
      </c>
      <c r="C2584" s="1" t="n">
        <v>46048</v>
      </c>
      <c r="D2584" t="inlineStr">
        <is>
          <t>VÄSTERNORRLANDS LÄN</t>
        </is>
      </c>
      <c r="E2584" t="inlineStr">
        <is>
          <t>SOLLEFTEÅ</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59635-2025</t>
        </is>
      </c>
      <c r="B2585" s="1" t="n">
        <v>45992.4065625</v>
      </c>
      <c r="C2585" s="1" t="n">
        <v>46048</v>
      </c>
      <c r="D2585" t="inlineStr">
        <is>
          <t>VÄSTERNORRLANDS LÄN</t>
        </is>
      </c>
      <c r="E2585" t="inlineStr">
        <is>
          <t>SOLLEFTEÅ</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60645-2025</t>
        </is>
      </c>
      <c r="B2586" s="1" t="n">
        <v>45996.44834490741</v>
      </c>
      <c r="C2586" s="1" t="n">
        <v>46048</v>
      </c>
      <c r="D2586" t="inlineStr">
        <is>
          <t>VÄSTERNORRLANDS LÄN</t>
        </is>
      </c>
      <c r="E2586" t="inlineStr">
        <is>
          <t>SOLLEFTEÅ</t>
        </is>
      </c>
      <c r="G2586" t="n">
        <v>11.8</v>
      </c>
      <c r="H2586" t="n">
        <v>0</v>
      </c>
      <c r="I2586" t="n">
        <v>0</v>
      </c>
      <c r="J2586" t="n">
        <v>0</v>
      </c>
      <c r="K2586" t="n">
        <v>0</v>
      </c>
      <c r="L2586" t="n">
        <v>0</v>
      </c>
      <c r="M2586" t="n">
        <v>0</v>
      </c>
      <c r="N2586" t="n">
        <v>0</v>
      </c>
      <c r="O2586" t="n">
        <v>0</v>
      </c>
      <c r="P2586" t="n">
        <v>0</v>
      </c>
      <c r="Q2586" t="n">
        <v>0</v>
      </c>
      <c r="R2586" s="2" t="inlineStr"/>
    </row>
    <row r="2587" ht="15" customHeight="1">
      <c r="A2587" t="inlineStr">
        <is>
          <t>A 60764-2025</t>
        </is>
      </c>
      <c r="B2587" s="1" t="n">
        <v>45999.38659722222</v>
      </c>
      <c r="C2587" s="1" t="n">
        <v>46048</v>
      </c>
      <c r="D2587" t="inlineStr">
        <is>
          <t>VÄSTERNORRLANDS LÄN</t>
        </is>
      </c>
      <c r="E2587" t="inlineStr">
        <is>
          <t>SOLLEFTEÅ</t>
        </is>
      </c>
      <c r="F2587" t="inlineStr">
        <is>
          <t>SCA</t>
        </is>
      </c>
      <c r="G2587" t="n">
        <v>3.1</v>
      </c>
      <c r="H2587" t="n">
        <v>0</v>
      </c>
      <c r="I2587" t="n">
        <v>0</v>
      </c>
      <c r="J2587" t="n">
        <v>0</v>
      </c>
      <c r="K2587" t="n">
        <v>0</v>
      </c>
      <c r="L2587" t="n">
        <v>0</v>
      </c>
      <c r="M2587" t="n">
        <v>0</v>
      </c>
      <c r="N2587" t="n">
        <v>0</v>
      </c>
      <c r="O2587" t="n">
        <v>0</v>
      </c>
      <c r="P2587" t="n">
        <v>0</v>
      </c>
      <c r="Q2587" t="n">
        <v>0</v>
      </c>
      <c r="R2587" s="2" t="inlineStr"/>
    </row>
    <row r="2588" ht="15" customHeight="1">
      <c r="A2588" t="inlineStr">
        <is>
          <t>A 60854-2025</t>
        </is>
      </c>
      <c r="B2588" s="1" t="n">
        <v>45999</v>
      </c>
      <c r="C2588" s="1" t="n">
        <v>46048</v>
      </c>
      <c r="D2588" t="inlineStr">
        <is>
          <t>VÄSTERNORRLANDS LÄN</t>
        </is>
      </c>
      <c r="E2588" t="inlineStr">
        <is>
          <t>SOLLEFTEÅ</t>
        </is>
      </c>
      <c r="F2588" t="inlineStr">
        <is>
          <t>SCA</t>
        </is>
      </c>
      <c r="G2588" t="n">
        <v>5.6</v>
      </c>
      <c r="H2588" t="n">
        <v>0</v>
      </c>
      <c r="I2588" t="n">
        <v>0</v>
      </c>
      <c r="J2588" t="n">
        <v>0</v>
      </c>
      <c r="K2588" t="n">
        <v>0</v>
      </c>
      <c r="L2588" t="n">
        <v>0</v>
      </c>
      <c r="M2588" t="n">
        <v>0</v>
      </c>
      <c r="N2588" t="n">
        <v>0</v>
      </c>
      <c r="O2588" t="n">
        <v>0</v>
      </c>
      <c r="P2588" t="n">
        <v>0</v>
      </c>
      <c r="Q2588" t="n">
        <v>0</v>
      </c>
      <c r="R2588" s="2" t="inlineStr"/>
    </row>
    <row r="2589" ht="15" customHeight="1">
      <c r="A2589" t="inlineStr">
        <is>
          <t>A 60591-2025</t>
        </is>
      </c>
      <c r="B2589" s="1" t="n">
        <v>45996.34302083333</v>
      </c>
      <c r="C2589" s="1" t="n">
        <v>46048</v>
      </c>
      <c r="D2589" t="inlineStr">
        <is>
          <t>VÄSTERNORRLANDS LÄN</t>
        </is>
      </c>
      <c r="E2589" t="inlineStr">
        <is>
          <t>SOLLEFTEÅ</t>
        </is>
      </c>
      <c r="G2589" t="n">
        <v>3.3</v>
      </c>
      <c r="H2589" t="n">
        <v>0</v>
      </c>
      <c r="I2589" t="n">
        <v>0</v>
      </c>
      <c r="J2589" t="n">
        <v>0</v>
      </c>
      <c r="K2589" t="n">
        <v>0</v>
      </c>
      <c r="L2589" t="n">
        <v>0</v>
      </c>
      <c r="M2589" t="n">
        <v>0</v>
      </c>
      <c r="N2589" t="n">
        <v>0</v>
      </c>
      <c r="O2589" t="n">
        <v>0</v>
      </c>
      <c r="P2589" t="n">
        <v>0</v>
      </c>
      <c r="Q2589" t="n">
        <v>0</v>
      </c>
      <c r="R2589" s="2" t="inlineStr"/>
    </row>
    <row r="2590" ht="15" customHeight="1">
      <c r="A2590" t="inlineStr">
        <is>
          <t>A 3179-2026</t>
        </is>
      </c>
      <c r="B2590" s="1" t="n">
        <v>46041.44837962963</v>
      </c>
      <c r="C2590" s="1" t="n">
        <v>46048</v>
      </c>
      <c r="D2590" t="inlineStr">
        <is>
          <t>VÄSTERNORRLANDS LÄN</t>
        </is>
      </c>
      <c r="E2590" t="inlineStr">
        <is>
          <t>SOLLEFTEÅ</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60803-2025</t>
        </is>
      </c>
      <c r="B2591" s="1" t="n">
        <v>45999.43230324074</v>
      </c>
      <c r="C2591" s="1" t="n">
        <v>46048</v>
      </c>
      <c r="D2591" t="inlineStr">
        <is>
          <t>VÄSTERNORRLANDS LÄN</t>
        </is>
      </c>
      <c r="E2591" t="inlineStr">
        <is>
          <t>SOLLEFTEÅ</t>
        </is>
      </c>
      <c r="F2591" t="inlineStr">
        <is>
          <t>Holmen skog AB</t>
        </is>
      </c>
      <c r="G2591" t="n">
        <v>4</v>
      </c>
      <c r="H2591" t="n">
        <v>0</v>
      </c>
      <c r="I2591" t="n">
        <v>0</v>
      </c>
      <c r="J2591" t="n">
        <v>0</v>
      </c>
      <c r="K2591" t="n">
        <v>0</v>
      </c>
      <c r="L2591" t="n">
        <v>0</v>
      </c>
      <c r="M2591" t="n">
        <v>0</v>
      </c>
      <c r="N2591" t="n">
        <v>0</v>
      </c>
      <c r="O2591" t="n">
        <v>0</v>
      </c>
      <c r="P2591" t="n">
        <v>0</v>
      </c>
      <c r="Q2591" t="n">
        <v>0</v>
      </c>
      <c r="R2591" s="2" t="inlineStr"/>
    </row>
    <row r="2592" ht="15" customHeight="1">
      <c r="A2592" t="inlineStr">
        <is>
          <t>A 60956-2025</t>
        </is>
      </c>
      <c r="B2592" s="1" t="n">
        <v>45999.65674768519</v>
      </c>
      <c r="C2592" s="1" t="n">
        <v>46048</v>
      </c>
      <c r="D2592" t="inlineStr">
        <is>
          <t>VÄSTERNORRLANDS LÄN</t>
        </is>
      </c>
      <c r="E2592" t="inlineStr">
        <is>
          <t>SOLLEFTEÅ</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3210-2026</t>
        </is>
      </c>
      <c r="B2593" s="1" t="n">
        <v>46041.48989583334</v>
      </c>
      <c r="C2593" s="1" t="n">
        <v>46048</v>
      </c>
      <c r="D2593" t="inlineStr">
        <is>
          <t>VÄSTERNORRLANDS LÄN</t>
        </is>
      </c>
      <c r="E2593" t="inlineStr">
        <is>
          <t>SOLLEFTEÅ</t>
        </is>
      </c>
      <c r="G2593" t="n">
        <v>3.6</v>
      </c>
      <c r="H2593" t="n">
        <v>0</v>
      </c>
      <c r="I2593" t="n">
        <v>0</v>
      </c>
      <c r="J2593" t="n">
        <v>0</v>
      </c>
      <c r="K2593" t="n">
        <v>0</v>
      </c>
      <c r="L2593" t="n">
        <v>0</v>
      </c>
      <c r="M2593" t="n">
        <v>0</v>
      </c>
      <c r="N2593" t="n">
        <v>0</v>
      </c>
      <c r="O2593" t="n">
        <v>0</v>
      </c>
      <c r="P2593" t="n">
        <v>0</v>
      </c>
      <c r="Q2593" t="n">
        <v>0</v>
      </c>
      <c r="R2593" s="2" t="inlineStr"/>
    </row>
    <row r="2594" ht="15" customHeight="1">
      <c r="A2594" t="inlineStr">
        <is>
          <t>A 3052-2026</t>
        </is>
      </c>
      <c r="B2594" s="1" t="n">
        <v>46039.26511574074</v>
      </c>
      <c r="C2594" s="1" t="n">
        <v>46048</v>
      </c>
      <c r="D2594" t="inlineStr">
        <is>
          <t>VÄSTERNORRLANDS LÄN</t>
        </is>
      </c>
      <c r="E2594" t="inlineStr">
        <is>
          <t>SOLLEFTEÅ</t>
        </is>
      </c>
      <c r="G2594" t="n">
        <v>6.1</v>
      </c>
      <c r="H2594" t="n">
        <v>0</v>
      </c>
      <c r="I2594" t="n">
        <v>0</v>
      </c>
      <c r="J2594" t="n">
        <v>0</v>
      </c>
      <c r="K2594" t="n">
        <v>0</v>
      </c>
      <c r="L2594" t="n">
        <v>0</v>
      </c>
      <c r="M2594" t="n">
        <v>0</v>
      </c>
      <c r="N2594" t="n">
        <v>0</v>
      </c>
      <c r="O2594" t="n">
        <v>0</v>
      </c>
      <c r="P2594" t="n">
        <v>0</v>
      </c>
      <c r="Q2594" t="n">
        <v>0</v>
      </c>
      <c r="R2594" s="2" t="inlineStr"/>
    </row>
    <row r="2595" ht="15" customHeight="1">
      <c r="A2595" t="inlineStr">
        <is>
          <t>A 2834-2026</t>
        </is>
      </c>
      <c r="B2595" s="1" t="n">
        <v>46036</v>
      </c>
      <c r="C2595" s="1" t="n">
        <v>46048</v>
      </c>
      <c r="D2595" t="inlineStr">
        <is>
          <t>VÄSTERNORRLANDS LÄN</t>
        </is>
      </c>
      <c r="E2595" t="inlineStr">
        <is>
          <t>SOLLEFTEÅ</t>
        </is>
      </c>
      <c r="G2595" t="n">
        <v>2.3</v>
      </c>
      <c r="H2595" t="n">
        <v>0</v>
      </c>
      <c r="I2595" t="n">
        <v>0</v>
      </c>
      <c r="J2595" t="n">
        <v>0</v>
      </c>
      <c r="K2595" t="n">
        <v>0</v>
      </c>
      <c r="L2595" t="n">
        <v>0</v>
      </c>
      <c r="M2595" t="n">
        <v>0</v>
      </c>
      <c r="N2595" t="n">
        <v>0</v>
      </c>
      <c r="O2595" t="n">
        <v>0</v>
      </c>
      <c r="P2595" t="n">
        <v>0</v>
      </c>
      <c r="Q2595" t="n">
        <v>0</v>
      </c>
      <c r="R2595" s="2" t="inlineStr"/>
    </row>
    <row r="2596" ht="15" customHeight="1">
      <c r="A2596" t="inlineStr">
        <is>
          <t>A 60761-2025</t>
        </is>
      </c>
      <c r="B2596" s="1" t="n">
        <v>45999.3862037037</v>
      </c>
      <c r="C2596" s="1" t="n">
        <v>46048</v>
      </c>
      <c r="D2596" t="inlineStr">
        <is>
          <t>VÄSTERNORRLANDS LÄN</t>
        </is>
      </c>
      <c r="E2596" t="inlineStr">
        <is>
          <t>SOLLEFTEÅ</t>
        </is>
      </c>
      <c r="F2596" t="inlineStr">
        <is>
          <t>SCA</t>
        </is>
      </c>
      <c r="G2596" t="n">
        <v>3</v>
      </c>
      <c r="H2596" t="n">
        <v>0</v>
      </c>
      <c r="I2596" t="n">
        <v>0</v>
      </c>
      <c r="J2596" t="n">
        <v>0</v>
      </c>
      <c r="K2596" t="n">
        <v>0</v>
      </c>
      <c r="L2596" t="n">
        <v>0</v>
      </c>
      <c r="M2596" t="n">
        <v>0</v>
      </c>
      <c r="N2596" t="n">
        <v>0</v>
      </c>
      <c r="O2596" t="n">
        <v>0</v>
      </c>
      <c r="P2596" t="n">
        <v>0</v>
      </c>
      <c r="Q2596" t="n">
        <v>0</v>
      </c>
      <c r="R2596" s="2" t="inlineStr"/>
    </row>
    <row r="2597" ht="15" customHeight="1">
      <c r="A2597" t="inlineStr">
        <is>
          <t>A 60709-2025</t>
        </is>
      </c>
      <c r="B2597" s="1" t="n">
        <v>45996.62238425926</v>
      </c>
      <c r="C2597" s="1" t="n">
        <v>46048</v>
      </c>
      <c r="D2597" t="inlineStr">
        <is>
          <t>VÄSTERNORRLANDS LÄN</t>
        </is>
      </c>
      <c r="E2597" t="inlineStr">
        <is>
          <t>SOLLEFTEÅ</t>
        </is>
      </c>
      <c r="F2597" t="inlineStr">
        <is>
          <t>Holmen skog AB</t>
        </is>
      </c>
      <c r="G2597" t="n">
        <v>5.2</v>
      </c>
      <c r="H2597" t="n">
        <v>0</v>
      </c>
      <c r="I2597" t="n">
        <v>0</v>
      </c>
      <c r="J2597" t="n">
        <v>0</v>
      </c>
      <c r="K2597" t="n">
        <v>0</v>
      </c>
      <c r="L2597" t="n">
        <v>0</v>
      </c>
      <c r="M2597" t="n">
        <v>0</v>
      </c>
      <c r="N2597" t="n">
        <v>0</v>
      </c>
      <c r="O2597" t="n">
        <v>0</v>
      </c>
      <c r="P2597" t="n">
        <v>0</v>
      </c>
      <c r="Q2597" t="n">
        <v>0</v>
      </c>
      <c r="R2597" s="2" t="inlineStr"/>
    </row>
    <row r="2598" ht="15" customHeight="1">
      <c r="A2598" t="inlineStr">
        <is>
          <t>A 2987-2026</t>
        </is>
      </c>
      <c r="B2598" s="1" t="n">
        <v>46038.63591435185</v>
      </c>
      <c r="C2598" s="1" t="n">
        <v>46048</v>
      </c>
      <c r="D2598" t="inlineStr">
        <is>
          <t>VÄSTERNORRLANDS LÄN</t>
        </is>
      </c>
      <c r="E2598" t="inlineStr">
        <is>
          <t>SOLLEFTEÅ</t>
        </is>
      </c>
      <c r="F2598" t="inlineStr">
        <is>
          <t>SCA</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3229-2026</t>
        </is>
      </c>
      <c r="B2599" s="1" t="n">
        <v>46041.55244212963</v>
      </c>
      <c r="C2599" s="1" t="n">
        <v>46048</v>
      </c>
      <c r="D2599" t="inlineStr">
        <is>
          <t>VÄSTERNORRLANDS LÄN</t>
        </is>
      </c>
      <c r="E2599" t="inlineStr">
        <is>
          <t>SOLLEFTEÅ</t>
        </is>
      </c>
      <c r="G2599" t="n">
        <v>3.7</v>
      </c>
      <c r="H2599" t="n">
        <v>0</v>
      </c>
      <c r="I2599" t="n">
        <v>0</v>
      </c>
      <c r="J2599" t="n">
        <v>0</v>
      </c>
      <c r="K2599" t="n">
        <v>0</v>
      </c>
      <c r="L2599" t="n">
        <v>0</v>
      </c>
      <c r="M2599" t="n">
        <v>0</v>
      </c>
      <c r="N2599" t="n">
        <v>0</v>
      </c>
      <c r="O2599" t="n">
        <v>0</v>
      </c>
      <c r="P2599" t="n">
        <v>0</v>
      </c>
      <c r="Q2599" t="n">
        <v>0</v>
      </c>
      <c r="R2599" s="2" t="inlineStr"/>
    </row>
    <row r="2600" ht="15" customHeight="1">
      <c r="A2600" t="inlineStr">
        <is>
          <t>A 2836-2026</t>
        </is>
      </c>
      <c r="B2600" s="1" t="n">
        <v>46036</v>
      </c>
      <c r="C2600" s="1" t="n">
        <v>46048</v>
      </c>
      <c r="D2600" t="inlineStr">
        <is>
          <t>VÄSTERNORRLANDS LÄN</t>
        </is>
      </c>
      <c r="E2600" t="inlineStr">
        <is>
          <t>SOLLEFTEÅ</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60597-2025</t>
        </is>
      </c>
      <c r="B2601" s="1" t="n">
        <v>45996</v>
      </c>
      <c r="C2601" s="1" t="n">
        <v>46048</v>
      </c>
      <c r="D2601" t="inlineStr">
        <is>
          <t>VÄSTERNORRLANDS LÄN</t>
        </is>
      </c>
      <c r="E2601" t="inlineStr">
        <is>
          <t>SOLLEFTEÅ</t>
        </is>
      </c>
      <c r="G2601" t="n">
        <v>4</v>
      </c>
      <c r="H2601" t="n">
        <v>0</v>
      </c>
      <c r="I2601" t="n">
        <v>0</v>
      </c>
      <c r="J2601" t="n">
        <v>0</v>
      </c>
      <c r="K2601" t="n">
        <v>0</v>
      </c>
      <c r="L2601" t="n">
        <v>0</v>
      </c>
      <c r="M2601" t="n">
        <v>0</v>
      </c>
      <c r="N2601" t="n">
        <v>0</v>
      </c>
      <c r="O2601" t="n">
        <v>0</v>
      </c>
      <c r="P2601" t="n">
        <v>0</v>
      </c>
      <c r="Q2601" t="n">
        <v>0</v>
      </c>
      <c r="R2601" s="2" t="inlineStr"/>
    </row>
    <row r="2602" ht="15" customHeight="1">
      <c r="A2602" t="inlineStr">
        <is>
          <t>A 60677-2025</t>
        </is>
      </c>
      <c r="B2602" s="1" t="n">
        <v>45996.56097222222</v>
      </c>
      <c r="C2602" s="1" t="n">
        <v>46048</v>
      </c>
      <c r="D2602" t="inlineStr">
        <is>
          <t>VÄSTERNORRLANDS LÄN</t>
        </is>
      </c>
      <c r="E2602" t="inlineStr">
        <is>
          <t>SOLLEFTEÅ</t>
        </is>
      </c>
      <c r="G2602" t="n">
        <v>6.7</v>
      </c>
      <c r="H2602" t="n">
        <v>0</v>
      </c>
      <c r="I2602" t="n">
        <v>0</v>
      </c>
      <c r="J2602" t="n">
        <v>0</v>
      </c>
      <c r="K2602" t="n">
        <v>0</v>
      </c>
      <c r="L2602" t="n">
        <v>0</v>
      </c>
      <c r="M2602" t="n">
        <v>0</v>
      </c>
      <c r="N2602" t="n">
        <v>0</v>
      </c>
      <c r="O2602" t="n">
        <v>0</v>
      </c>
      <c r="P2602" t="n">
        <v>0</v>
      </c>
      <c r="Q2602" t="n">
        <v>0</v>
      </c>
      <c r="R2602" s="2" t="inlineStr"/>
    </row>
    <row r="2603" ht="15" customHeight="1">
      <c r="A2603" t="inlineStr">
        <is>
          <t>A 3274-2026</t>
        </is>
      </c>
      <c r="B2603" s="1" t="n">
        <v>46041.61489583334</v>
      </c>
      <c r="C2603" s="1" t="n">
        <v>46048</v>
      </c>
      <c r="D2603" t="inlineStr">
        <is>
          <t>VÄSTERNORRLANDS LÄN</t>
        </is>
      </c>
      <c r="E2603" t="inlineStr">
        <is>
          <t>SOLLEFTEÅ</t>
        </is>
      </c>
      <c r="G2603" t="n">
        <v>14.7</v>
      </c>
      <c r="H2603" t="n">
        <v>0</v>
      </c>
      <c r="I2603" t="n">
        <v>0</v>
      </c>
      <c r="J2603" t="n">
        <v>0</v>
      </c>
      <c r="K2603" t="n">
        <v>0</v>
      </c>
      <c r="L2603" t="n">
        <v>0</v>
      </c>
      <c r="M2603" t="n">
        <v>0</v>
      </c>
      <c r="N2603" t="n">
        <v>0</v>
      </c>
      <c r="O2603" t="n">
        <v>0</v>
      </c>
      <c r="P2603" t="n">
        <v>0</v>
      </c>
      <c r="Q2603" t="n">
        <v>0</v>
      </c>
      <c r="R2603" s="2" t="inlineStr"/>
    </row>
    <row r="2604" ht="15" customHeight="1">
      <c r="A2604" t="inlineStr">
        <is>
          <t>A 3314-2026</t>
        </is>
      </c>
      <c r="B2604" s="1" t="n">
        <v>46041</v>
      </c>
      <c r="C2604" s="1" t="n">
        <v>46048</v>
      </c>
      <c r="D2604" t="inlineStr">
        <is>
          <t>VÄSTERNORRLANDS LÄN</t>
        </is>
      </c>
      <c r="E2604" t="inlineStr">
        <is>
          <t>SOLLEFTEÅ</t>
        </is>
      </c>
      <c r="G2604" t="n">
        <v>10.5</v>
      </c>
      <c r="H2604" t="n">
        <v>0</v>
      </c>
      <c r="I2604" t="n">
        <v>0</v>
      </c>
      <c r="J2604" t="n">
        <v>0</v>
      </c>
      <c r="K2604" t="n">
        <v>0</v>
      </c>
      <c r="L2604" t="n">
        <v>0</v>
      </c>
      <c r="M2604" t="n">
        <v>0</v>
      </c>
      <c r="N2604" t="n">
        <v>0</v>
      </c>
      <c r="O2604" t="n">
        <v>0</v>
      </c>
      <c r="P2604" t="n">
        <v>0</v>
      </c>
      <c r="Q2604" t="n">
        <v>0</v>
      </c>
      <c r="R2604" s="2" t="inlineStr"/>
    </row>
    <row r="2605" ht="15" customHeight="1">
      <c r="A2605" t="inlineStr">
        <is>
          <t>A 60601-2025</t>
        </is>
      </c>
      <c r="B2605" s="1" t="n">
        <v>45996.3521412037</v>
      </c>
      <c r="C2605" s="1" t="n">
        <v>46048</v>
      </c>
      <c r="D2605" t="inlineStr">
        <is>
          <t>VÄSTERNORRLANDS LÄN</t>
        </is>
      </c>
      <c r="E2605" t="inlineStr">
        <is>
          <t>SOLLEFTEÅ</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3398-2026</t>
        </is>
      </c>
      <c r="B2606" s="1" t="n">
        <v>46042.38586805556</v>
      </c>
      <c r="C2606" s="1" t="n">
        <v>46048</v>
      </c>
      <c r="D2606" t="inlineStr">
        <is>
          <t>VÄSTERNORRLANDS LÄN</t>
        </is>
      </c>
      <c r="E2606" t="inlineStr">
        <is>
          <t>SOLLEFTEÅ</t>
        </is>
      </c>
      <c r="F2606" t="inlineStr">
        <is>
          <t>SCA</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3400-2026</t>
        </is>
      </c>
      <c r="B2607" s="1" t="n">
        <v>46042.38619212963</v>
      </c>
      <c r="C2607" s="1" t="n">
        <v>46048</v>
      </c>
      <c r="D2607" t="inlineStr">
        <is>
          <t>VÄSTERNORRLANDS LÄN</t>
        </is>
      </c>
      <c r="E2607" t="inlineStr">
        <is>
          <t>SOLLEFTEÅ</t>
        </is>
      </c>
      <c r="G2607" t="n">
        <v>2.1</v>
      </c>
      <c r="H2607" t="n">
        <v>0</v>
      </c>
      <c r="I2607" t="n">
        <v>0</v>
      </c>
      <c r="J2607" t="n">
        <v>0</v>
      </c>
      <c r="K2607" t="n">
        <v>0</v>
      </c>
      <c r="L2607" t="n">
        <v>0</v>
      </c>
      <c r="M2607" t="n">
        <v>0</v>
      </c>
      <c r="N2607" t="n">
        <v>0</v>
      </c>
      <c r="O2607" t="n">
        <v>0</v>
      </c>
      <c r="P2607" t="n">
        <v>0</v>
      </c>
      <c r="Q2607" t="n">
        <v>0</v>
      </c>
      <c r="R2607" s="2" t="inlineStr"/>
    </row>
    <row r="2608" ht="15" customHeight="1">
      <c r="A2608" t="inlineStr">
        <is>
          <t>A 56252-2024</t>
        </is>
      </c>
      <c r="B2608" s="1" t="n">
        <v>45624</v>
      </c>
      <c r="C2608" s="1" t="n">
        <v>46048</v>
      </c>
      <c r="D2608" t="inlineStr">
        <is>
          <t>VÄSTERNORRLANDS LÄN</t>
        </is>
      </c>
      <c r="E2608" t="inlineStr">
        <is>
          <t>SOLLEFTEÅ</t>
        </is>
      </c>
      <c r="G2608" t="n">
        <v>4</v>
      </c>
      <c r="H2608" t="n">
        <v>0</v>
      </c>
      <c r="I2608" t="n">
        <v>0</v>
      </c>
      <c r="J2608" t="n">
        <v>0</v>
      </c>
      <c r="K2608" t="n">
        <v>0</v>
      </c>
      <c r="L2608" t="n">
        <v>0</v>
      </c>
      <c r="M2608" t="n">
        <v>0</v>
      </c>
      <c r="N2608" t="n">
        <v>0</v>
      </c>
      <c r="O2608" t="n">
        <v>0</v>
      </c>
      <c r="P2608" t="n">
        <v>0</v>
      </c>
      <c r="Q2608" t="n">
        <v>0</v>
      </c>
      <c r="R2608" s="2" t="inlineStr"/>
    </row>
    <row r="2609" ht="15" customHeight="1">
      <c r="A2609" t="inlineStr">
        <is>
          <t>A 3495-2026</t>
        </is>
      </c>
      <c r="B2609" s="1" t="n">
        <v>46042</v>
      </c>
      <c r="C2609" s="1" t="n">
        <v>46048</v>
      </c>
      <c r="D2609" t="inlineStr">
        <is>
          <t>VÄSTERNORRLANDS LÄN</t>
        </is>
      </c>
      <c r="E2609" t="inlineStr">
        <is>
          <t>SOLLEFTEÅ</t>
        </is>
      </c>
      <c r="F2609" t="inlineStr">
        <is>
          <t>Kyrkan</t>
        </is>
      </c>
      <c r="G2609" t="n">
        <v>10.5</v>
      </c>
      <c r="H2609" t="n">
        <v>0</v>
      </c>
      <c r="I2609" t="n">
        <v>0</v>
      </c>
      <c r="J2609" t="n">
        <v>0</v>
      </c>
      <c r="K2609" t="n">
        <v>0</v>
      </c>
      <c r="L2609" t="n">
        <v>0</v>
      </c>
      <c r="M2609" t="n">
        <v>0</v>
      </c>
      <c r="N2609" t="n">
        <v>0</v>
      </c>
      <c r="O2609" t="n">
        <v>0</v>
      </c>
      <c r="P2609" t="n">
        <v>0</v>
      </c>
      <c r="Q2609" t="n">
        <v>0</v>
      </c>
      <c r="R2609" s="2" t="inlineStr"/>
    </row>
    <row r="2610" ht="15" customHeight="1">
      <c r="A2610" t="inlineStr">
        <is>
          <t>A 62285-2025</t>
        </is>
      </c>
      <c r="B2610" s="1" t="n">
        <v>46006</v>
      </c>
      <c r="C2610" s="1" t="n">
        <v>46048</v>
      </c>
      <c r="D2610" t="inlineStr">
        <is>
          <t>VÄSTERNORRLANDS LÄN</t>
        </is>
      </c>
      <c r="E2610" t="inlineStr">
        <is>
          <t>SOLLEFTEÅ</t>
        </is>
      </c>
      <c r="G2610" t="n">
        <v>5.1</v>
      </c>
      <c r="H2610" t="n">
        <v>0</v>
      </c>
      <c r="I2610" t="n">
        <v>0</v>
      </c>
      <c r="J2610" t="n">
        <v>0</v>
      </c>
      <c r="K2610" t="n">
        <v>0</v>
      </c>
      <c r="L2610" t="n">
        <v>0</v>
      </c>
      <c r="M2610" t="n">
        <v>0</v>
      </c>
      <c r="N2610" t="n">
        <v>0</v>
      </c>
      <c r="O2610" t="n">
        <v>0</v>
      </c>
      <c r="P2610" t="n">
        <v>0</v>
      </c>
      <c r="Q2610" t="n">
        <v>0</v>
      </c>
      <c r="R2610" s="2" t="inlineStr"/>
    </row>
    <row r="2611" ht="15" customHeight="1">
      <c r="A2611" t="inlineStr">
        <is>
          <t>A 3805-2026</t>
        </is>
      </c>
      <c r="B2611" s="1" t="n">
        <v>46043.58320601852</v>
      </c>
      <c r="C2611" s="1" t="n">
        <v>46048</v>
      </c>
      <c r="D2611" t="inlineStr">
        <is>
          <t>VÄSTERNORRLANDS LÄN</t>
        </is>
      </c>
      <c r="E2611" t="inlineStr">
        <is>
          <t>SOLLEFTEÅ</t>
        </is>
      </c>
      <c r="F2611" t="inlineStr">
        <is>
          <t>SCA</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3426-2026</t>
        </is>
      </c>
      <c r="B2612" s="1" t="n">
        <v>46042.44835648148</v>
      </c>
      <c r="C2612" s="1" t="n">
        <v>46048</v>
      </c>
      <c r="D2612" t="inlineStr">
        <is>
          <t>VÄSTERNORRLANDS LÄN</t>
        </is>
      </c>
      <c r="E2612" t="inlineStr">
        <is>
          <t>SOLLEFTEÅ</t>
        </is>
      </c>
      <c r="G2612" t="n">
        <v>9.9</v>
      </c>
      <c r="H2612" t="n">
        <v>0</v>
      </c>
      <c r="I2612" t="n">
        <v>0</v>
      </c>
      <c r="J2612" t="n">
        <v>0</v>
      </c>
      <c r="K2612" t="n">
        <v>0</v>
      </c>
      <c r="L2612" t="n">
        <v>0</v>
      </c>
      <c r="M2612" t="n">
        <v>0</v>
      </c>
      <c r="N2612" t="n">
        <v>0</v>
      </c>
      <c r="O2612" t="n">
        <v>0</v>
      </c>
      <c r="P2612" t="n">
        <v>0</v>
      </c>
      <c r="Q2612" t="n">
        <v>0</v>
      </c>
      <c r="R2612" s="2" t="inlineStr"/>
    </row>
    <row r="2613" ht="15" customHeight="1">
      <c r="A2613" t="inlineStr">
        <is>
          <t>A 3496-2026</t>
        </is>
      </c>
      <c r="B2613" s="1" t="n">
        <v>46042</v>
      </c>
      <c r="C2613" s="1" t="n">
        <v>46048</v>
      </c>
      <c r="D2613" t="inlineStr">
        <is>
          <t>VÄSTERNORRLANDS LÄN</t>
        </is>
      </c>
      <c r="E2613" t="inlineStr">
        <is>
          <t>SOLLEFTEÅ</t>
        </is>
      </c>
      <c r="F2613" t="inlineStr">
        <is>
          <t>Kyrkan</t>
        </is>
      </c>
      <c r="G2613" t="n">
        <v>2.2</v>
      </c>
      <c r="H2613" t="n">
        <v>0</v>
      </c>
      <c r="I2613" t="n">
        <v>0</v>
      </c>
      <c r="J2613" t="n">
        <v>0</v>
      </c>
      <c r="K2613" t="n">
        <v>0</v>
      </c>
      <c r="L2613" t="n">
        <v>0</v>
      </c>
      <c r="M2613" t="n">
        <v>0</v>
      </c>
      <c r="N2613" t="n">
        <v>0</v>
      </c>
      <c r="O2613" t="n">
        <v>0</v>
      </c>
      <c r="P2613" t="n">
        <v>0</v>
      </c>
      <c r="Q2613" t="n">
        <v>0</v>
      </c>
      <c r="R2613" s="2" t="inlineStr"/>
    </row>
    <row r="2614" ht="15" customHeight="1">
      <c r="A2614" t="inlineStr">
        <is>
          <t>A 61488-2025</t>
        </is>
      </c>
      <c r="B2614" s="1" t="n">
        <v>46001.63652777778</v>
      </c>
      <c r="C2614" s="1" t="n">
        <v>46048</v>
      </c>
      <c r="D2614" t="inlineStr">
        <is>
          <t>VÄSTERNORRLANDS LÄN</t>
        </is>
      </c>
      <c r="E2614" t="inlineStr">
        <is>
          <t>SOLLEFTEÅ</t>
        </is>
      </c>
      <c r="F2614" t="inlineStr">
        <is>
          <t>SCA</t>
        </is>
      </c>
      <c r="G2614" t="n">
        <v>3.2</v>
      </c>
      <c r="H2614" t="n">
        <v>0</v>
      </c>
      <c r="I2614" t="n">
        <v>0</v>
      </c>
      <c r="J2614" t="n">
        <v>0</v>
      </c>
      <c r="K2614" t="n">
        <v>0</v>
      </c>
      <c r="L2614" t="n">
        <v>0</v>
      </c>
      <c r="M2614" t="n">
        <v>0</v>
      </c>
      <c r="N2614" t="n">
        <v>0</v>
      </c>
      <c r="O2614" t="n">
        <v>0</v>
      </c>
      <c r="P2614" t="n">
        <v>0</v>
      </c>
      <c r="Q2614" t="n">
        <v>0</v>
      </c>
      <c r="R2614" s="2" t="inlineStr"/>
    </row>
    <row r="2615" ht="15" customHeight="1">
      <c r="A2615" t="inlineStr">
        <is>
          <t>A 61523-2025</t>
        </is>
      </c>
      <c r="B2615" s="1" t="n">
        <v>46001.68748842592</v>
      </c>
      <c r="C2615" s="1" t="n">
        <v>46048</v>
      </c>
      <c r="D2615" t="inlineStr">
        <is>
          <t>VÄSTERNORRLANDS LÄN</t>
        </is>
      </c>
      <c r="E2615" t="inlineStr">
        <is>
          <t>SOLLEFTEÅ</t>
        </is>
      </c>
      <c r="F2615" t="inlineStr">
        <is>
          <t>SCA</t>
        </is>
      </c>
      <c r="G2615" t="n">
        <v>2.9</v>
      </c>
      <c r="H2615" t="n">
        <v>0</v>
      </c>
      <c r="I2615" t="n">
        <v>0</v>
      </c>
      <c r="J2615" t="n">
        <v>0</v>
      </c>
      <c r="K2615" t="n">
        <v>0</v>
      </c>
      <c r="L2615" t="n">
        <v>0</v>
      </c>
      <c r="M2615" t="n">
        <v>0</v>
      </c>
      <c r="N2615" t="n">
        <v>0</v>
      </c>
      <c r="O2615" t="n">
        <v>0</v>
      </c>
      <c r="P2615" t="n">
        <v>0</v>
      </c>
      <c r="Q2615" t="n">
        <v>0</v>
      </c>
      <c r="R2615" s="2" t="inlineStr"/>
    </row>
    <row r="2616" ht="15" customHeight="1">
      <c r="A2616" t="inlineStr">
        <is>
          <t>A 61265-2025</t>
        </is>
      </c>
      <c r="B2616" s="1" t="n">
        <v>46000.67771990741</v>
      </c>
      <c r="C2616" s="1" t="n">
        <v>46048</v>
      </c>
      <c r="D2616" t="inlineStr">
        <is>
          <t>VÄSTERNORRLANDS LÄN</t>
        </is>
      </c>
      <c r="E2616" t="inlineStr">
        <is>
          <t>SOLLEFTEÅ</t>
        </is>
      </c>
      <c r="F2616" t="inlineStr">
        <is>
          <t>SCA</t>
        </is>
      </c>
      <c r="G2616" t="n">
        <v>3</v>
      </c>
      <c r="H2616" t="n">
        <v>0</v>
      </c>
      <c r="I2616" t="n">
        <v>0</v>
      </c>
      <c r="J2616" t="n">
        <v>0</v>
      </c>
      <c r="K2616" t="n">
        <v>0</v>
      </c>
      <c r="L2616" t="n">
        <v>0</v>
      </c>
      <c r="M2616" t="n">
        <v>0</v>
      </c>
      <c r="N2616" t="n">
        <v>0</v>
      </c>
      <c r="O2616" t="n">
        <v>0</v>
      </c>
      <c r="P2616" t="n">
        <v>0</v>
      </c>
      <c r="Q2616" t="n">
        <v>0</v>
      </c>
      <c r="R2616" s="2" t="inlineStr"/>
    </row>
    <row r="2617" ht="15" customHeight="1">
      <c r="A2617" t="inlineStr">
        <is>
          <t>A 61347-2025</t>
        </is>
      </c>
      <c r="B2617" s="1" t="n">
        <v>46001.3863425926</v>
      </c>
      <c r="C2617" s="1" t="n">
        <v>46048</v>
      </c>
      <c r="D2617" t="inlineStr">
        <is>
          <t>VÄSTERNORRLANDS LÄN</t>
        </is>
      </c>
      <c r="E2617" t="inlineStr">
        <is>
          <t>SOLLEFTEÅ</t>
        </is>
      </c>
      <c r="F2617" t="inlineStr">
        <is>
          <t>SCA</t>
        </is>
      </c>
      <c r="G2617" t="n">
        <v>5.8</v>
      </c>
      <c r="H2617" t="n">
        <v>0</v>
      </c>
      <c r="I2617" t="n">
        <v>0</v>
      </c>
      <c r="J2617" t="n">
        <v>0</v>
      </c>
      <c r="K2617" t="n">
        <v>0</v>
      </c>
      <c r="L2617" t="n">
        <v>0</v>
      </c>
      <c r="M2617" t="n">
        <v>0</v>
      </c>
      <c r="N2617" t="n">
        <v>0</v>
      </c>
      <c r="O2617" t="n">
        <v>0</v>
      </c>
      <c r="P2617" t="n">
        <v>0</v>
      </c>
      <c r="Q2617" t="n">
        <v>0</v>
      </c>
      <c r="R2617" s="2" t="inlineStr"/>
    </row>
    <row r="2618" ht="15" customHeight="1">
      <c r="A2618" t="inlineStr">
        <is>
          <t>A 3807-2026</t>
        </is>
      </c>
      <c r="B2618" s="1" t="n">
        <v>46043.5834375</v>
      </c>
      <c r="C2618" s="1" t="n">
        <v>46048</v>
      </c>
      <c r="D2618" t="inlineStr">
        <is>
          <t>VÄSTERNORRLANDS LÄN</t>
        </is>
      </c>
      <c r="E2618" t="inlineStr">
        <is>
          <t>SOLLEFTEÅ</t>
        </is>
      </c>
      <c r="F2618" t="inlineStr">
        <is>
          <t>SCA</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61485-2025</t>
        </is>
      </c>
      <c r="B2619" s="1" t="n">
        <v>46001.63587962963</v>
      </c>
      <c r="C2619" s="1" t="n">
        <v>46048</v>
      </c>
      <c r="D2619" t="inlineStr">
        <is>
          <t>VÄSTERNORRLANDS LÄN</t>
        </is>
      </c>
      <c r="E2619" t="inlineStr">
        <is>
          <t>SOLLEFTEÅ</t>
        </is>
      </c>
      <c r="F2619" t="inlineStr">
        <is>
          <t>SCA</t>
        </is>
      </c>
      <c r="G2619" t="n">
        <v>3.6</v>
      </c>
      <c r="H2619" t="n">
        <v>0</v>
      </c>
      <c r="I2619" t="n">
        <v>0</v>
      </c>
      <c r="J2619" t="n">
        <v>0</v>
      </c>
      <c r="K2619" t="n">
        <v>0</v>
      </c>
      <c r="L2619" t="n">
        <v>0</v>
      </c>
      <c r="M2619" t="n">
        <v>0</v>
      </c>
      <c r="N2619" t="n">
        <v>0</v>
      </c>
      <c r="O2619" t="n">
        <v>0</v>
      </c>
      <c r="P2619" t="n">
        <v>0</v>
      </c>
      <c r="Q2619" t="n">
        <v>0</v>
      </c>
      <c r="R2619" s="2" t="inlineStr"/>
    </row>
    <row r="2620" ht="15" customHeight="1">
      <c r="A2620" t="inlineStr">
        <is>
          <t>A 3812-2026</t>
        </is>
      </c>
      <c r="B2620" s="1" t="n">
        <v>46043.58417824074</v>
      </c>
      <c r="C2620" s="1" t="n">
        <v>46048</v>
      </c>
      <c r="D2620" t="inlineStr">
        <is>
          <t>VÄSTERNORRLANDS LÄN</t>
        </is>
      </c>
      <c r="E2620" t="inlineStr">
        <is>
          <t>SOLLEFTEÅ</t>
        </is>
      </c>
      <c r="F2620" t="inlineStr">
        <is>
          <t>SCA</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51711-2025</t>
        </is>
      </c>
      <c r="B2621" s="1" t="n">
        <v>45951.57133101852</v>
      </c>
      <c r="C2621" s="1" t="n">
        <v>46048</v>
      </c>
      <c r="D2621" t="inlineStr">
        <is>
          <t>VÄSTERNORRLANDS LÄN</t>
        </is>
      </c>
      <c r="E2621" t="inlineStr">
        <is>
          <t>SOLLEFTEÅ</t>
        </is>
      </c>
      <c r="G2621" t="n">
        <v>5.3</v>
      </c>
      <c r="H2621" t="n">
        <v>0</v>
      </c>
      <c r="I2621" t="n">
        <v>0</v>
      </c>
      <c r="J2621" t="n">
        <v>0</v>
      </c>
      <c r="K2621" t="n">
        <v>0</v>
      </c>
      <c r="L2621" t="n">
        <v>0</v>
      </c>
      <c r="M2621" t="n">
        <v>0</v>
      </c>
      <c r="N2621" t="n">
        <v>0</v>
      </c>
      <c r="O2621" t="n">
        <v>0</v>
      </c>
      <c r="P2621" t="n">
        <v>0</v>
      </c>
      <c r="Q2621" t="n">
        <v>0</v>
      </c>
      <c r="R2621" s="2" t="inlineStr"/>
    </row>
    <row r="2622" ht="15" customHeight="1">
      <c r="A2622" t="inlineStr">
        <is>
          <t>A 3320-2026</t>
        </is>
      </c>
      <c r="B2622" s="1" t="n">
        <v>46041</v>
      </c>
      <c r="C2622" s="1" t="n">
        <v>46048</v>
      </c>
      <c r="D2622" t="inlineStr">
        <is>
          <t>VÄSTERNORRLANDS LÄN</t>
        </is>
      </c>
      <c r="E2622" t="inlineStr">
        <is>
          <t>SOLLEFTEÅ</t>
        </is>
      </c>
      <c r="F2622" t="inlineStr">
        <is>
          <t>Övriga statliga verk och myndigheter</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61062-2025</t>
        </is>
      </c>
      <c r="B2623" s="1" t="n">
        <v>46000.36528935185</v>
      </c>
      <c r="C2623" s="1" t="n">
        <v>46048</v>
      </c>
      <c r="D2623" t="inlineStr">
        <is>
          <t>VÄSTERNORRLANDS LÄN</t>
        </is>
      </c>
      <c r="E2623" t="inlineStr">
        <is>
          <t>SOLLEFTEÅ</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3425-2026</t>
        </is>
      </c>
      <c r="B2624" s="1" t="n">
        <v>46042.44827546296</v>
      </c>
      <c r="C2624" s="1" t="n">
        <v>46048</v>
      </c>
      <c r="D2624" t="inlineStr">
        <is>
          <t>VÄSTERNORRLANDS LÄN</t>
        </is>
      </c>
      <c r="E2624" t="inlineStr">
        <is>
          <t>SOLLEFTEÅ</t>
        </is>
      </c>
      <c r="G2624" t="n">
        <v>9</v>
      </c>
      <c r="H2624" t="n">
        <v>0</v>
      </c>
      <c r="I2624" t="n">
        <v>0</v>
      </c>
      <c r="J2624" t="n">
        <v>0</v>
      </c>
      <c r="K2624" t="n">
        <v>0</v>
      </c>
      <c r="L2624" t="n">
        <v>0</v>
      </c>
      <c r="M2624" t="n">
        <v>0</v>
      </c>
      <c r="N2624" t="n">
        <v>0</v>
      </c>
      <c r="O2624" t="n">
        <v>0</v>
      </c>
      <c r="P2624" t="n">
        <v>0</v>
      </c>
      <c r="Q2624" t="n">
        <v>0</v>
      </c>
      <c r="R2624" s="2" t="inlineStr"/>
    </row>
    <row r="2625" ht="15" customHeight="1">
      <c r="A2625" t="inlineStr">
        <is>
          <t>A 3583-2026</t>
        </is>
      </c>
      <c r="B2625" s="1" t="n">
        <v>46042.72951388889</v>
      </c>
      <c r="C2625" s="1" t="n">
        <v>46048</v>
      </c>
      <c r="D2625" t="inlineStr">
        <is>
          <t>VÄSTERNORRLANDS LÄN</t>
        </is>
      </c>
      <c r="E2625" t="inlineStr">
        <is>
          <t>SOLLEFTEÅ</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61428-2025</t>
        </is>
      </c>
      <c r="B2626" s="1" t="n">
        <v>46001.55237268518</v>
      </c>
      <c r="C2626" s="1" t="n">
        <v>46048</v>
      </c>
      <c r="D2626" t="inlineStr">
        <is>
          <t>VÄSTERNORRLANDS LÄN</t>
        </is>
      </c>
      <c r="E2626" t="inlineStr">
        <is>
          <t>SOLLEFTEÅ</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61429-2025</t>
        </is>
      </c>
      <c r="B2627" s="1" t="n">
        <v>46001.55243055556</v>
      </c>
      <c r="C2627" s="1" t="n">
        <v>46048</v>
      </c>
      <c r="D2627" t="inlineStr">
        <is>
          <t>VÄSTERNORRLANDS LÄN</t>
        </is>
      </c>
      <c r="E2627" t="inlineStr">
        <is>
          <t>SOLLEFTEÅ</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3584-2026</t>
        </is>
      </c>
      <c r="B2628" s="1" t="n">
        <v>46042.73206018518</v>
      </c>
      <c r="C2628" s="1" t="n">
        <v>46048</v>
      </c>
      <c r="D2628" t="inlineStr">
        <is>
          <t>VÄSTERNORRLANDS LÄN</t>
        </is>
      </c>
      <c r="E2628" t="inlineStr">
        <is>
          <t>SOLLEFTEÅ</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61442-2025</t>
        </is>
      </c>
      <c r="B2629" s="1" t="n">
        <v>46001</v>
      </c>
      <c r="C2629" s="1" t="n">
        <v>46048</v>
      </c>
      <c r="D2629" t="inlineStr">
        <is>
          <t>VÄSTERNORRLANDS LÄN</t>
        </is>
      </c>
      <c r="E2629" t="inlineStr">
        <is>
          <t>SOLLEFTEÅ</t>
        </is>
      </c>
      <c r="F2629" t="inlineStr">
        <is>
          <t>SCA</t>
        </is>
      </c>
      <c r="G2629" t="n">
        <v>12.8</v>
      </c>
      <c r="H2629" t="n">
        <v>0</v>
      </c>
      <c r="I2629" t="n">
        <v>0</v>
      </c>
      <c r="J2629" t="n">
        <v>0</v>
      </c>
      <c r="K2629" t="n">
        <v>0</v>
      </c>
      <c r="L2629" t="n">
        <v>0</v>
      </c>
      <c r="M2629" t="n">
        <v>0</v>
      </c>
      <c r="N2629" t="n">
        <v>0</v>
      </c>
      <c r="O2629" t="n">
        <v>0</v>
      </c>
      <c r="P2629" t="n">
        <v>0</v>
      </c>
      <c r="Q2629" t="n">
        <v>0</v>
      </c>
      <c r="R2629" s="2" t="inlineStr"/>
    </row>
    <row r="2630" ht="15" customHeight="1">
      <c r="A2630" t="inlineStr">
        <is>
          <t>A 61061-2025</t>
        </is>
      </c>
      <c r="B2630" s="1" t="n">
        <v>46000.36512731481</v>
      </c>
      <c r="C2630" s="1" t="n">
        <v>46048</v>
      </c>
      <c r="D2630" t="inlineStr">
        <is>
          <t>VÄSTERNORRLANDS LÄN</t>
        </is>
      </c>
      <c r="E2630" t="inlineStr">
        <is>
          <t>SOLLEFTEÅ</t>
        </is>
      </c>
      <c r="F2630" t="inlineStr">
        <is>
          <t>SCA</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61278-2025</t>
        </is>
      </c>
      <c r="B2631" s="1" t="n">
        <v>46000.69827546296</v>
      </c>
      <c r="C2631" s="1" t="n">
        <v>46048</v>
      </c>
      <c r="D2631" t="inlineStr">
        <is>
          <t>VÄSTERNORRLANDS LÄN</t>
        </is>
      </c>
      <c r="E2631" t="inlineStr">
        <is>
          <t>SOLLEFTEÅ</t>
        </is>
      </c>
      <c r="F2631" t="inlineStr">
        <is>
          <t>SCA</t>
        </is>
      </c>
      <c r="G2631" t="n">
        <v>3.1</v>
      </c>
      <c r="H2631" t="n">
        <v>0</v>
      </c>
      <c r="I2631" t="n">
        <v>0</v>
      </c>
      <c r="J2631" t="n">
        <v>0</v>
      </c>
      <c r="K2631" t="n">
        <v>0</v>
      </c>
      <c r="L2631" t="n">
        <v>0</v>
      </c>
      <c r="M2631" t="n">
        <v>0</v>
      </c>
      <c r="N2631" t="n">
        <v>0</v>
      </c>
      <c r="O2631" t="n">
        <v>0</v>
      </c>
      <c r="P2631" t="n">
        <v>0</v>
      </c>
      <c r="Q2631" t="n">
        <v>0</v>
      </c>
      <c r="R2631" s="2" t="inlineStr"/>
    </row>
    <row r="2632" ht="15" customHeight="1">
      <c r="A2632" t="inlineStr">
        <is>
          <t>A 61280-2025</t>
        </is>
      </c>
      <c r="B2632" s="1" t="n">
        <v>46000.6985300926</v>
      </c>
      <c r="C2632" s="1" t="n">
        <v>46048</v>
      </c>
      <c r="D2632" t="inlineStr">
        <is>
          <t>VÄSTERNORRLANDS LÄN</t>
        </is>
      </c>
      <c r="E2632" t="inlineStr">
        <is>
          <t>SOLLEFTEÅ</t>
        </is>
      </c>
      <c r="F2632" t="inlineStr">
        <is>
          <t>SCA</t>
        </is>
      </c>
      <c r="G2632" t="n">
        <v>3.2</v>
      </c>
      <c r="H2632" t="n">
        <v>0</v>
      </c>
      <c r="I2632" t="n">
        <v>0</v>
      </c>
      <c r="J2632" t="n">
        <v>0</v>
      </c>
      <c r="K2632" t="n">
        <v>0</v>
      </c>
      <c r="L2632" t="n">
        <v>0</v>
      </c>
      <c r="M2632" t="n">
        <v>0</v>
      </c>
      <c r="N2632" t="n">
        <v>0</v>
      </c>
      <c r="O2632" t="n">
        <v>0</v>
      </c>
      <c r="P2632" t="n">
        <v>0</v>
      </c>
      <c r="Q2632" t="n">
        <v>0</v>
      </c>
      <c r="R2632" s="2" t="inlineStr"/>
    </row>
    <row r="2633" ht="15" customHeight="1">
      <c r="A2633" t="inlineStr">
        <is>
          <t>A 61507-2025</t>
        </is>
      </c>
      <c r="B2633" s="1" t="n">
        <v>46001.68109953704</v>
      </c>
      <c r="C2633" s="1" t="n">
        <v>46048</v>
      </c>
      <c r="D2633" t="inlineStr">
        <is>
          <t>VÄSTERNORRLANDS LÄN</t>
        </is>
      </c>
      <c r="E2633" t="inlineStr">
        <is>
          <t>SOLLEFTEÅ</t>
        </is>
      </c>
      <c r="F2633" t="inlineStr">
        <is>
          <t>SCA</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3435-2026</t>
        </is>
      </c>
      <c r="B2634" s="1" t="n">
        <v>46042.46942129629</v>
      </c>
      <c r="C2634" s="1" t="n">
        <v>46048</v>
      </c>
      <c r="D2634" t="inlineStr">
        <is>
          <t>VÄSTERNORRLANDS LÄN</t>
        </is>
      </c>
      <c r="E2634" t="inlineStr">
        <is>
          <t>SOLLEFTEÅ</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3436-2026</t>
        </is>
      </c>
      <c r="B2635" s="1" t="n">
        <v>46042.46947916667</v>
      </c>
      <c r="C2635" s="1" t="n">
        <v>46048</v>
      </c>
      <c r="D2635" t="inlineStr">
        <is>
          <t>VÄSTERNORRLANDS LÄN</t>
        </is>
      </c>
      <c r="E2635" t="inlineStr">
        <is>
          <t>SOLLEFTEÅ</t>
        </is>
      </c>
      <c r="G2635" t="n">
        <v>18.4</v>
      </c>
      <c r="H2635" t="n">
        <v>0</v>
      </c>
      <c r="I2635" t="n">
        <v>0</v>
      </c>
      <c r="J2635" t="n">
        <v>0</v>
      </c>
      <c r="K2635" t="n">
        <v>0</v>
      </c>
      <c r="L2635" t="n">
        <v>0</v>
      </c>
      <c r="M2635" t="n">
        <v>0</v>
      </c>
      <c r="N2635" t="n">
        <v>0</v>
      </c>
      <c r="O2635" t="n">
        <v>0</v>
      </c>
      <c r="P2635" t="n">
        <v>0</v>
      </c>
      <c r="Q2635" t="n">
        <v>0</v>
      </c>
      <c r="R2635" s="2" t="inlineStr"/>
    </row>
    <row r="2636" ht="15" customHeight="1">
      <c r="A2636" t="inlineStr">
        <is>
          <t>A 61242-2025</t>
        </is>
      </c>
      <c r="B2636" s="1" t="n">
        <v>46000</v>
      </c>
      <c r="C2636" s="1" t="n">
        <v>46048</v>
      </c>
      <c r="D2636" t="inlineStr">
        <is>
          <t>VÄSTERNORRLANDS LÄN</t>
        </is>
      </c>
      <c r="E2636" t="inlineStr">
        <is>
          <t>SOLLEFTEÅ</t>
        </is>
      </c>
      <c r="G2636" t="n">
        <v>3</v>
      </c>
      <c r="H2636" t="n">
        <v>0</v>
      </c>
      <c r="I2636" t="n">
        <v>0</v>
      </c>
      <c r="J2636" t="n">
        <v>0</v>
      </c>
      <c r="K2636" t="n">
        <v>0</v>
      </c>
      <c r="L2636" t="n">
        <v>0</v>
      </c>
      <c r="M2636" t="n">
        <v>0</v>
      </c>
      <c r="N2636" t="n">
        <v>0</v>
      </c>
      <c r="O2636" t="n">
        <v>0</v>
      </c>
      <c r="P2636" t="n">
        <v>0</v>
      </c>
      <c r="Q2636" t="n">
        <v>0</v>
      </c>
      <c r="R2636" s="2" t="inlineStr"/>
    </row>
    <row r="2637" ht="15" customHeight="1">
      <c r="A2637" t="inlineStr">
        <is>
          <t>A 61333-2025</t>
        </is>
      </c>
      <c r="B2637" s="1" t="n">
        <v>46001.34421296296</v>
      </c>
      <c r="C2637" s="1" t="n">
        <v>46048</v>
      </c>
      <c r="D2637" t="inlineStr">
        <is>
          <t>VÄSTERNORRLANDS LÄN</t>
        </is>
      </c>
      <c r="E2637" t="inlineStr">
        <is>
          <t>SOLLEFTEÅ</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4211-2026</t>
        </is>
      </c>
      <c r="B2638" s="1" t="n">
        <v>46044</v>
      </c>
      <c r="C2638" s="1" t="n">
        <v>46048</v>
      </c>
      <c r="D2638" t="inlineStr">
        <is>
          <t>VÄSTERNORRLANDS LÄN</t>
        </is>
      </c>
      <c r="E2638" t="inlineStr">
        <is>
          <t>SOLLEFTEÅ</t>
        </is>
      </c>
      <c r="F2638" t="inlineStr">
        <is>
          <t>Kommuner</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4052-2026</t>
        </is>
      </c>
      <c r="B2639" s="1" t="n">
        <v>46044.47467592593</v>
      </c>
      <c r="C2639" s="1" t="n">
        <v>46048</v>
      </c>
      <c r="D2639" t="inlineStr">
        <is>
          <t>VÄSTERNORRLANDS LÄN</t>
        </is>
      </c>
      <c r="E2639" t="inlineStr">
        <is>
          <t>SOLLEFTEÅ</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61832-2025</t>
        </is>
      </c>
      <c r="B2640" s="1" t="n">
        <v>46003.34456018519</v>
      </c>
      <c r="C2640" s="1" t="n">
        <v>46048</v>
      </c>
      <c r="D2640" t="inlineStr">
        <is>
          <t>VÄSTERNORRLANDS LÄN</t>
        </is>
      </c>
      <c r="E2640" t="inlineStr">
        <is>
          <t>SOLLEFTEÅ</t>
        </is>
      </c>
      <c r="G2640" t="n">
        <v>2.2</v>
      </c>
      <c r="H2640" t="n">
        <v>0</v>
      </c>
      <c r="I2640" t="n">
        <v>0</v>
      </c>
      <c r="J2640" t="n">
        <v>0</v>
      </c>
      <c r="K2640" t="n">
        <v>0</v>
      </c>
      <c r="L2640" t="n">
        <v>0</v>
      </c>
      <c r="M2640" t="n">
        <v>0</v>
      </c>
      <c r="N2640" t="n">
        <v>0</v>
      </c>
      <c r="O2640" t="n">
        <v>0</v>
      </c>
      <c r="P2640" t="n">
        <v>0</v>
      </c>
      <c r="Q2640" t="n">
        <v>0</v>
      </c>
      <c r="R2640" s="2" t="inlineStr"/>
    </row>
    <row r="2641" ht="15" customHeight="1">
      <c r="A2641" t="inlineStr">
        <is>
          <t>A 61915-2025</t>
        </is>
      </c>
      <c r="B2641" s="1" t="n">
        <v>46003.49025462963</v>
      </c>
      <c r="C2641" s="1" t="n">
        <v>46048</v>
      </c>
      <c r="D2641" t="inlineStr">
        <is>
          <t>VÄSTERNORRLANDS LÄN</t>
        </is>
      </c>
      <c r="E2641" t="inlineStr">
        <is>
          <t>SOLLEFTEÅ</t>
        </is>
      </c>
      <c r="G2641" t="n">
        <v>6.6</v>
      </c>
      <c r="H2641" t="n">
        <v>0</v>
      </c>
      <c r="I2641" t="n">
        <v>0</v>
      </c>
      <c r="J2641" t="n">
        <v>0</v>
      </c>
      <c r="K2641" t="n">
        <v>0</v>
      </c>
      <c r="L2641" t="n">
        <v>0</v>
      </c>
      <c r="M2641" t="n">
        <v>0</v>
      </c>
      <c r="N2641" t="n">
        <v>0</v>
      </c>
      <c r="O2641" t="n">
        <v>0</v>
      </c>
      <c r="P2641" t="n">
        <v>0</v>
      </c>
      <c r="Q2641" t="n">
        <v>0</v>
      </c>
      <c r="R2641" s="2" t="inlineStr"/>
    </row>
    <row r="2642" ht="15" customHeight="1">
      <c r="A2642" t="inlineStr">
        <is>
          <t>A 61920-2025</t>
        </is>
      </c>
      <c r="B2642" s="1" t="n">
        <v>46003.51108796296</v>
      </c>
      <c r="C2642" s="1" t="n">
        <v>46048</v>
      </c>
      <c r="D2642" t="inlineStr">
        <is>
          <t>VÄSTERNORRLANDS LÄN</t>
        </is>
      </c>
      <c r="E2642" t="inlineStr">
        <is>
          <t>SOLLEFTEÅ</t>
        </is>
      </c>
      <c r="F2642" t="inlineStr">
        <is>
          <t>SCA</t>
        </is>
      </c>
      <c r="G2642" t="n">
        <v>7.5</v>
      </c>
      <c r="H2642" t="n">
        <v>0</v>
      </c>
      <c r="I2642" t="n">
        <v>0</v>
      </c>
      <c r="J2642" t="n">
        <v>0</v>
      </c>
      <c r="K2642" t="n">
        <v>0</v>
      </c>
      <c r="L2642" t="n">
        <v>0</v>
      </c>
      <c r="M2642" t="n">
        <v>0</v>
      </c>
      <c r="N2642" t="n">
        <v>0</v>
      </c>
      <c r="O2642" t="n">
        <v>0</v>
      </c>
      <c r="P2642" t="n">
        <v>0</v>
      </c>
      <c r="Q2642" t="n">
        <v>0</v>
      </c>
      <c r="R2642" s="2" t="inlineStr"/>
    </row>
    <row r="2643" ht="15" customHeight="1">
      <c r="A2643" t="inlineStr">
        <is>
          <t>A 60426-2025</t>
        </is>
      </c>
      <c r="B2643" s="1" t="n">
        <v>45995.46984953704</v>
      </c>
      <c r="C2643" s="1" t="n">
        <v>46048</v>
      </c>
      <c r="D2643" t="inlineStr">
        <is>
          <t>VÄSTERNORRLANDS LÄN</t>
        </is>
      </c>
      <c r="E2643" t="inlineStr">
        <is>
          <t>SOLLEFTEÅ</t>
        </is>
      </c>
      <c r="G2643" t="n">
        <v>3.2</v>
      </c>
      <c r="H2643" t="n">
        <v>0</v>
      </c>
      <c r="I2643" t="n">
        <v>0</v>
      </c>
      <c r="J2643" t="n">
        <v>0</v>
      </c>
      <c r="K2643" t="n">
        <v>0</v>
      </c>
      <c r="L2643" t="n">
        <v>0</v>
      </c>
      <c r="M2643" t="n">
        <v>0</v>
      </c>
      <c r="N2643" t="n">
        <v>0</v>
      </c>
      <c r="O2643" t="n">
        <v>0</v>
      </c>
      <c r="P2643" t="n">
        <v>0</v>
      </c>
      <c r="Q2643" t="n">
        <v>0</v>
      </c>
      <c r="R2643" s="2" t="inlineStr"/>
    </row>
    <row r="2644" ht="15" customHeight="1">
      <c r="A2644" t="inlineStr">
        <is>
          <t>A 4461-2026</t>
        </is>
      </c>
      <c r="B2644" s="1" t="n">
        <v>46045.65018518519</v>
      </c>
      <c r="C2644" s="1" t="n">
        <v>46048</v>
      </c>
      <c r="D2644" t="inlineStr">
        <is>
          <t>VÄSTERNORRLANDS LÄN</t>
        </is>
      </c>
      <c r="E2644" t="inlineStr">
        <is>
          <t>SOLLEFTEÅ</t>
        </is>
      </c>
      <c r="G2644" t="n">
        <v>5.6</v>
      </c>
      <c r="H2644" t="n">
        <v>0</v>
      </c>
      <c r="I2644" t="n">
        <v>0</v>
      </c>
      <c r="J2644" t="n">
        <v>0</v>
      </c>
      <c r="K2644" t="n">
        <v>0</v>
      </c>
      <c r="L2644" t="n">
        <v>0</v>
      </c>
      <c r="M2644" t="n">
        <v>0</v>
      </c>
      <c r="N2644" t="n">
        <v>0</v>
      </c>
      <c r="O2644" t="n">
        <v>0</v>
      </c>
      <c r="P2644" t="n">
        <v>0</v>
      </c>
      <c r="Q2644" t="n">
        <v>0</v>
      </c>
      <c r="R2644" s="2" t="inlineStr"/>
    </row>
    <row r="2645" ht="15" customHeight="1">
      <c r="A2645" t="inlineStr">
        <is>
          <t>A 61953-2025</t>
        </is>
      </c>
      <c r="B2645" s="1" t="n">
        <v>46003.57358796296</v>
      </c>
      <c r="C2645" s="1" t="n">
        <v>46048</v>
      </c>
      <c r="D2645" t="inlineStr">
        <is>
          <t>VÄSTERNORRLANDS LÄN</t>
        </is>
      </c>
      <c r="E2645" t="inlineStr">
        <is>
          <t>SOLLEFTEÅ</t>
        </is>
      </c>
      <c r="F2645" t="inlineStr">
        <is>
          <t>SCA</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61980-2025</t>
        </is>
      </c>
      <c r="B2646" s="1" t="n">
        <v>46003.61520833334</v>
      </c>
      <c r="C2646" s="1" t="n">
        <v>46048</v>
      </c>
      <c r="D2646" t="inlineStr">
        <is>
          <t>VÄSTERNORRLANDS LÄN</t>
        </is>
      </c>
      <c r="E2646" t="inlineStr">
        <is>
          <t>SOLLEFTEÅ</t>
        </is>
      </c>
      <c r="F2646" t="inlineStr">
        <is>
          <t>SCA</t>
        </is>
      </c>
      <c r="G2646" t="n">
        <v>3.4</v>
      </c>
      <c r="H2646" t="n">
        <v>0</v>
      </c>
      <c r="I2646" t="n">
        <v>0</v>
      </c>
      <c r="J2646" t="n">
        <v>0</v>
      </c>
      <c r="K2646" t="n">
        <v>0</v>
      </c>
      <c r="L2646" t="n">
        <v>0</v>
      </c>
      <c r="M2646" t="n">
        <v>0</v>
      </c>
      <c r="N2646" t="n">
        <v>0</v>
      </c>
      <c r="O2646" t="n">
        <v>0</v>
      </c>
      <c r="P2646" t="n">
        <v>0</v>
      </c>
      <c r="Q2646" t="n">
        <v>0</v>
      </c>
      <c r="R2646" s="2" t="inlineStr"/>
    </row>
    <row r="2647" ht="15" customHeight="1">
      <c r="A2647" t="inlineStr">
        <is>
          <t>A 61861-2025</t>
        </is>
      </c>
      <c r="B2647" s="1" t="n">
        <v>46003.3868287037</v>
      </c>
      <c r="C2647" s="1" t="n">
        <v>46048</v>
      </c>
      <c r="D2647" t="inlineStr">
        <is>
          <t>VÄSTERNORRLANDS LÄN</t>
        </is>
      </c>
      <c r="E2647" t="inlineStr">
        <is>
          <t>SOLLEFTEÅ</t>
        </is>
      </c>
      <c r="F2647" t="inlineStr">
        <is>
          <t>SCA</t>
        </is>
      </c>
      <c r="G2647" t="n">
        <v>3.5</v>
      </c>
      <c r="H2647" t="n">
        <v>0</v>
      </c>
      <c r="I2647" t="n">
        <v>0</v>
      </c>
      <c r="J2647" t="n">
        <v>0</v>
      </c>
      <c r="K2647" t="n">
        <v>0</v>
      </c>
      <c r="L2647" t="n">
        <v>0</v>
      </c>
      <c r="M2647" t="n">
        <v>0</v>
      </c>
      <c r="N2647" t="n">
        <v>0</v>
      </c>
      <c r="O2647" t="n">
        <v>0</v>
      </c>
      <c r="P2647" t="n">
        <v>0</v>
      </c>
      <c r="Q2647" t="n">
        <v>0</v>
      </c>
      <c r="R2647" s="2" t="inlineStr"/>
    </row>
    <row r="2648" ht="15" customHeight="1">
      <c r="A2648" t="inlineStr">
        <is>
          <t>A 2076-2026</t>
        </is>
      </c>
      <c r="B2648" s="1" t="n">
        <v>46036</v>
      </c>
      <c r="C2648" s="1" t="n">
        <v>46048</v>
      </c>
      <c r="D2648" t="inlineStr">
        <is>
          <t>VÄSTERNORRLANDS LÄN</t>
        </is>
      </c>
      <c r="E2648" t="inlineStr">
        <is>
          <t>SOLLEFTEÅ</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61775-2025</t>
        </is>
      </c>
      <c r="B2649" s="1" t="n">
        <v>46002.65674768519</v>
      </c>
      <c r="C2649" s="1" t="n">
        <v>46048</v>
      </c>
      <c r="D2649" t="inlineStr">
        <is>
          <t>VÄSTERNORRLANDS LÄN</t>
        </is>
      </c>
      <c r="E2649" t="inlineStr">
        <is>
          <t>SOLLEFTEÅ</t>
        </is>
      </c>
      <c r="F2649" t="inlineStr">
        <is>
          <t>SCA</t>
        </is>
      </c>
      <c r="G2649" t="n">
        <v>4.7</v>
      </c>
      <c r="H2649" t="n">
        <v>0</v>
      </c>
      <c r="I2649" t="n">
        <v>0</v>
      </c>
      <c r="J2649" t="n">
        <v>0</v>
      </c>
      <c r="K2649" t="n">
        <v>0</v>
      </c>
      <c r="L2649" t="n">
        <v>0</v>
      </c>
      <c r="M2649" t="n">
        <v>0</v>
      </c>
      <c r="N2649" t="n">
        <v>0</v>
      </c>
      <c r="O2649" t="n">
        <v>0</v>
      </c>
      <c r="P2649" t="n">
        <v>0</v>
      </c>
      <c r="Q2649" t="n">
        <v>0</v>
      </c>
      <c r="R2649" s="2" t="inlineStr"/>
    </row>
    <row r="2650" ht="15" customHeight="1">
      <c r="A2650" t="inlineStr">
        <is>
          <t>A 61914-2025</t>
        </is>
      </c>
      <c r="B2650" s="1" t="n">
        <v>46003.49018518518</v>
      </c>
      <c r="C2650" s="1" t="n">
        <v>46048</v>
      </c>
      <c r="D2650" t="inlineStr">
        <is>
          <t>VÄSTERNORRLANDS LÄN</t>
        </is>
      </c>
      <c r="E2650" t="inlineStr">
        <is>
          <t>SOLLEFTEÅ</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62001-2025</t>
        </is>
      </c>
      <c r="B2651" s="1" t="n">
        <v>46003.65665509259</v>
      </c>
      <c r="C2651" s="1" t="n">
        <v>46048</v>
      </c>
      <c r="D2651" t="inlineStr">
        <is>
          <t>VÄSTERNORRLANDS LÄN</t>
        </is>
      </c>
      <c r="E2651" t="inlineStr">
        <is>
          <t>SOLLEFTEÅ</t>
        </is>
      </c>
      <c r="F2651" t="inlineStr">
        <is>
          <t>SCA</t>
        </is>
      </c>
      <c r="G2651" t="n">
        <v>3.9</v>
      </c>
      <c r="H2651" t="n">
        <v>0</v>
      </c>
      <c r="I2651" t="n">
        <v>0</v>
      </c>
      <c r="J2651" t="n">
        <v>0</v>
      </c>
      <c r="K2651" t="n">
        <v>0</v>
      </c>
      <c r="L2651" t="n">
        <v>0</v>
      </c>
      <c r="M2651" t="n">
        <v>0</v>
      </c>
      <c r="N2651" t="n">
        <v>0</v>
      </c>
      <c r="O2651" t="n">
        <v>0</v>
      </c>
      <c r="P2651" t="n">
        <v>0</v>
      </c>
      <c r="Q2651" t="n">
        <v>0</v>
      </c>
      <c r="R2651" s="2" t="inlineStr"/>
    </row>
    <row r="2652" ht="15" customHeight="1">
      <c r="A2652" t="inlineStr">
        <is>
          <t>A 4149-2026</t>
        </is>
      </c>
      <c r="B2652" s="1" t="n">
        <v>46044.64534722222</v>
      </c>
      <c r="C2652" s="1" t="n">
        <v>46048</v>
      </c>
      <c r="D2652" t="inlineStr">
        <is>
          <t>VÄSTERNORRLANDS LÄN</t>
        </is>
      </c>
      <c r="E2652" t="inlineStr">
        <is>
          <t>SOLLEFTEÅ</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61732-2025</t>
        </is>
      </c>
      <c r="B2653" s="1" t="n">
        <v>46002.59408564815</v>
      </c>
      <c r="C2653" s="1" t="n">
        <v>46048</v>
      </c>
      <c r="D2653" t="inlineStr">
        <is>
          <t>VÄSTERNORRLANDS LÄN</t>
        </is>
      </c>
      <c r="E2653" t="inlineStr">
        <is>
          <t>SOLLEFTEÅ</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61733-2025</t>
        </is>
      </c>
      <c r="B2654" s="1" t="n">
        <v>46002.59412037037</v>
      </c>
      <c r="C2654" s="1" t="n">
        <v>46048</v>
      </c>
      <c r="D2654" t="inlineStr">
        <is>
          <t>VÄSTERNORRLANDS LÄN</t>
        </is>
      </c>
      <c r="E2654" t="inlineStr">
        <is>
          <t>SOLLEFTEÅ</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60430-2025</t>
        </is>
      </c>
      <c r="B2655" s="1" t="n">
        <v>45995.47020833333</v>
      </c>
      <c r="C2655" s="1" t="n">
        <v>46048</v>
      </c>
      <c r="D2655" t="inlineStr">
        <is>
          <t>VÄSTERNORRLANDS LÄN</t>
        </is>
      </c>
      <c r="E2655" t="inlineStr">
        <is>
          <t>SOLLEFTEÅ</t>
        </is>
      </c>
      <c r="G2655" t="n">
        <v>8.1</v>
      </c>
      <c r="H2655" t="n">
        <v>0</v>
      </c>
      <c r="I2655" t="n">
        <v>0</v>
      </c>
      <c r="J2655" t="n">
        <v>0</v>
      </c>
      <c r="K2655" t="n">
        <v>0</v>
      </c>
      <c r="L2655" t="n">
        <v>0</v>
      </c>
      <c r="M2655" t="n">
        <v>0</v>
      </c>
      <c r="N2655" t="n">
        <v>0</v>
      </c>
      <c r="O2655" t="n">
        <v>0</v>
      </c>
      <c r="P2655" t="n">
        <v>0</v>
      </c>
      <c r="Q2655" t="n">
        <v>0</v>
      </c>
      <c r="R2655" s="2" t="inlineStr"/>
    </row>
    <row r="2656" ht="15" customHeight="1">
      <c r="A2656" t="inlineStr">
        <is>
          <t>A 4208-2026</t>
        </is>
      </c>
      <c r="B2656" s="1" t="n">
        <v>46044</v>
      </c>
      <c r="C2656" s="1" t="n">
        <v>46048</v>
      </c>
      <c r="D2656" t="inlineStr">
        <is>
          <t>VÄSTERNORRLANDS LÄN</t>
        </is>
      </c>
      <c r="E2656" t="inlineStr">
        <is>
          <t>SOLLEFTEÅ</t>
        </is>
      </c>
      <c r="F2656" t="inlineStr">
        <is>
          <t>Kommuner</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61588-2025</t>
        </is>
      </c>
      <c r="B2657" s="1" t="n">
        <v>46002.34503472222</v>
      </c>
      <c r="C2657" s="1" t="n">
        <v>46048</v>
      </c>
      <c r="D2657" t="inlineStr">
        <is>
          <t>VÄSTERNORRLANDS LÄN</t>
        </is>
      </c>
      <c r="E2657" t="inlineStr">
        <is>
          <t>SOLLEFTEÅ</t>
        </is>
      </c>
      <c r="F2657" t="inlineStr">
        <is>
          <t>SCA</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4181-2026</t>
        </is>
      </c>
      <c r="B2658" s="1" t="n">
        <v>46044</v>
      </c>
      <c r="C2658" s="1" t="n">
        <v>46048</v>
      </c>
      <c r="D2658" t="inlineStr">
        <is>
          <t>VÄSTERNORRLANDS LÄN</t>
        </is>
      </c>
      <c r="E2658" t="inlineStr">
        <is>
          <t>SOLLEFTEÅ</t>
        </is>
      </c>
      <c r="F2658" t="inlineStr">
        <is>
          <t>Kommuner</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4212-2026</t>
        </is>
      </c>
      <c r="B2659" s="1" t="n">
        <v>46044</v>
      </c>
      <c r="C2659" s="1" t="n">
        <v>46048</v>
      </c>
      <c r="D2659" t="inlineStr">
        <is>
          <t>VÄSTERNORRLANDS LÄN</t>
        </is>
      </c>
      <c r="E2659" t="inlineStr">
        <is>
          <t>SOLLEFTEÅ</t>
        </is>
      </c>
      <c r="F2659" t="inlineStr">
        <is>
          <t>Kommuner</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4064-2026</t>
        </is>
      </c>
      <c r="B2660" s="1" t="n">
        <v>46044.5109837963</v>
      </c>
      <c r="C2660" s="1" t="n">
        <v>46048</v>
      </c>
      <c r="D2660" t="inlineStr">
        <is>
          <t>VÄSTERNORRLANDS LÄN</t>
        </is>
      </c>
      <c r="E2660" t="inlineStr">
        <is>
          <t>SOLLEFTEÅ</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4058-2026</t>
        </is>
      </c>
      <c r="B2661" s="1" t="n">
        <v>46044.49015046296</v>
      </c>
      <c r="C2661" s="1" t="n">
        <v>46048</v>
      </c>
      <c r="D2661" t="inlineStr">
        <is>
          <t>VÄSTERNORRLANDS LÄN</t>
        </is>
      </c>
      <c r="E2661" t="inlineStr">
        <is>
          <t>SOLLEFTEÅ</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61663-2025</t>
        </is>
      </c>
      <c r="B2662" s="1" t="n">
        <v>46002.46935185185</v>
      </c>
      <c r="C2662" s="1" t="n">
        <v>46048</v>
      </c>
      <c r="D2662" t="inlineStr">
        <is>
          <t>VÄSTERNORRLANDS LÄN</t>
        </is>
      </c>
      <c r="E2662" t="inlineStr">
        <is>
          <t>SOLLEFTEÅ</t>
        </is>
      </c>
      <c r="F2662" t="inlineStr">
        <is>
          <t>SCA</t>
        </is>
      </c>
      <c r="G2662" t="n">
        <v>3</v>
      </c>
      <c r="H2662" t="n">
        <v>0</v>
      </c>
      <c r="I2662" t="n">
        <v>0</v>
      </c>
      <c r="J2662" t="n">
        <v>0</v>
      </c>
      <c r="K2662" t="n">
        <v>0</v>
      </c>
      <c r="L2662" t="n">
        <v>0</v>
      </c>
      <c r="M2662" t="n">
        <v>0</v>
      </c>
      <c r="N2662" t="n">
        <v>0</v>
      </c>
      <c r="O2662" t="n">
        <v>0</v>
      </c>
      <c r="P2662" t="n">
        <v>0</v>
      </c>
      <c r="Q2662" t="n">
        <v>0</v>
      </c>
      <c r="R2662" s="2" t="inlineStr"/>
    </row>
    <row r="2663" ht="15" customHeight="1">
      <c r="A2663" t="inlineStr">
        <is>
          <t>A 61967-2025</t>
        </is>
      </c>
      <c r="B2663" s="1" t="n">
        <v>46003.59440972222</v>
      </c>
      <c r="C2663" s="1" t="n">
        <v>46048</v>
      </c>
      <c r="D2663" t="inlineStr">
        <is>
          <t>VÄSTERNORRLANDS LÄN</t>
        </is>
      </c>
      <c r="E2663" t="inlineStr">
        <is>
          <t>SOLLEFTEÅ</t>
        </is>
      </c>
      <c r="F2663" t="inlineStr">
        <is>
          <t>SCA</t>
        </is>
      </c>
      <c r="G2663" t="n">
        <v>1.7</v>
      </c>
      <c r="H2663" t="n">
        <v>0</v>
      </c>
      <c r="I2663" t="n">
        <v>0</v>
      </c>
      <c r="J2663" t="n">
        <v>0</v>
      </c>
      <c r="K2663" t="n">
        <v>0</v>
      </c>
      <c r="L2663" t="n">
        <v>0</v>
      </c>
      <c r="M2663" t="n">
        <v>0</v>
      </c>
      <c r="N2663" t="n">
        <v>0</v>
      </c>
      <c r="O2663" t="n">
        <v>0</v>
      </c>
      <c r="P2663" t="n">
        <v>0</v>
      </c>
      <c r="Q2663" t="n">
        <v>0</v>
      </c>
      <c r="R2663" s="2" t="inlineStr"/>
    </row>
    <row r="2664">
      <c r="A2664" t="inlineStr">
        <is>
          <t>A 61669-2025</t>
        </is>
      </c>
      <c r="B2664" s="1" t="n">
        <v>46002.46998842592</v>
      </c>
      <c r="C2664" s="1" t="n">
        <v>46048</v>
      </c>
      <c r="D2664" t="inlineStr">
        <is>
          <t>VÄSTERNORRLANDS LÄN</t>
        </is>
      </c>
      <c r="E2664" t="inlineStr">
        <is>
          <t>SOLLEFTEÅ</t>
        </is>
      </c>
      <c r="G2664" t="n">
        <v>7.4</v>
      </c>
      <c r="H2664" t="n">
        <v>0</v>
      </c>
      <c r="I2664" t="n">
        <v>0</v>
      </c>
      <c r="J2664" t="n">
        <v>0</v>
      </c>
      <c r="K2664" t="n">
        <v>0</v>
      </c>
      <c r="L2664" t="n">
        <v>0</v>
      </c>
      <c r="M2664" t="n">
        <v>0</v>
      </c>
      <c r="N2664" t="n">
        <v>0</v>
      </c>
      <c r="O2664" t="n">
        <v>0</v>
      </c>
      <c r="P2664" t="n">
        <v>0</v>
      </c>
      <c r="Q2664" t="n">
        <v>0</v>
      </c>
      <c r="R26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2026-01-26T11:03:13Z</dcterms:created>
  <dcterms:modified xmlns:dcterms="http://purl.org/dc/terms/" xmlns:xsi="http://www.w3.org/2001/XMLSchema-instance" xsi:type="dcterms:W3CDTF">2026-01-26T11:03:15Z</dcterms:modified>
</cp:coreProperties>
</file>