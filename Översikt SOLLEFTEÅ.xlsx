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45337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45337</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45337</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45337</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45337</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45337</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45337</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45337</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45337</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45337</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45337</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45337</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45337</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45337</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45337</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45337</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45337</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45337</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45337</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45337</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45337</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45337</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45337</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45337</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45337</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45337</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45337</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45337</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45337</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45337</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45337</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45337</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45337</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45337</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45337</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45337</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45337</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45337</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45337</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45337</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45337</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45337</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45337</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45337</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45337</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45337</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45337</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45337</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45337</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45337</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45337</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45337</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45337</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45337</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45337</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45337</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45337</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45337</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45337</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45337</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45337</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45337</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45337</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45337</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45337</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45337</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45337</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45337</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45337</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45337</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45337</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45337</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45337</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45337</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45337</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45337</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45337</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45337</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45337</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45337</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45337</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45337</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45337</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45337</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45337</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45337</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45337</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45337</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45337</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45337</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45337</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45337</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45337</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45337</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45337</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45337</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45337</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45337</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10776-2023</t>
        </is>
      </c>
      <c r="B101" s="1" t="n">
        <v>44988</v>
      </c>
      <c r="C101" s="1" t="n">
        <v>45337</v>
      </c>
      <c r="D101" t="inlineStr">
        <is>
          <t>VÄSTERNORRLANDS LÄN</t>
        </is>
      </c>
      <c r="E101" t="inlineStr">
        <is>
          <t>SOLLEFTEÅ</t>
        </is>
      </c>
      <c r="F101" t="inlineStr">
        <is>
          <t>SCA</t>
        </is>
      </c>
      <c r="G101" t="n">
        <v>6.2</v>
      </c>
      <c r="H101" t="n">
        <v>0</v>
      </c>
      <c r="I101" t="n">
        <v>0</v>
      </c>
      <c r="J101" t="n">
        <v>4</v>
      </c>
      <c r="K101" t="n">
        <v>0</v>
      </c>
      <c r="L101" t="n">
        <v>0</v>
      </c>
      <c r="M101" t="n">
        <v>0</v>
      </c>
      <c r="N101" t="n">
        <v>0</v>
      </c>
      <c r="O101" t="n">
        <v>4</v>
      </c>
      <c r="P101" t="n">
        <v>0</v>
      </c>
      <c r="Q101" t="n">
        <v>4</v>
      </c>
      <c r="R101" s="2" t="inlineStr">
        <is>
          <t>Granticka
Rosenticka
Ullticka
Vedskivlav</t>
        </is>
      </c>
      <c r="S101">
        <f>HYPERLINK("https://klasma.github.io/Logging_2283/artfynd/A 10776-2023 artfynd.xlsx", "A 10776-2023")</f>
        <v/>
      </c>
      <c r="T101">
        <f>HYPERLINK("https://klasma.github.io/Logging_2283/kartor/A 10776-2023 karta.png", "A 10776-2023")</f>
        <v/>
      </c>
      <c r="V101">
        <f>HYPERLINK("https://klasma.github.io/Logging_2283/klagomål/A 10776-2023 FSC-klagomål.docx", "A 10776-2023")</f>
        <v/>
      </c>
      <c r="W101">
        <f>HYPERLINK("https://klasma.github.io/Logging_2283/klagomålsmail/A 10776-2023 FSC-klagomål mail.docx", "A 10776-2023")</f>
        <v/>
      </c>
      <c r="X101">
        <f>HYPERLINK("https://klasma.github.io/Logging_2283/tillsyn/A 10776-2023 tillsynsbegäran.docx", "A 10776-2023")</f>
        <v/>
      </c>
      <c r="Y101">
        <f>HYPERLINK("https://klasma.github.io/Logging_2283/tillsynsmail/A 10776-2023 tillsynsbegäran mail.docx", "A 10776-2023")</f>
        <v/>
      </c>
    </row>
    <row r="102" ht="15" customHeight="1">
      <c r="A102" t="inlineStr">
        <is>
          <t>A 12365-2023</t>
        </is>
      </c>
      <c r="B102" s="1" t="n">
        <v>44999</v>
      </c>
      <c r="C102" s="1" t="n">
        <v>45337</v>
      </c>
      <c r="D102" t="inlineStr">
        <is>
          <t>VÄSTERNORRLANDS LÄN</t>
        </is>
      </c>
      <c r="E102" t="inlineStr">
        <is>
          <t>SOLLEFTEÅ</t>
        </is>
      </c>
      <c r="F102" t="inlineStr">
        <is>
          <t>Kommuner</t>
        </is>
      </c>
      <c r="G102" t="n">
        <v>2.2</v>
      </c>
      <c r="H102" t="n">
        <v>0</v>
      </c>
      <c r="I102" t="n">
        <v>2</v>
      </c>
      <c r="J102" t="n">
        <v>2</v>
      </c>
      <c r="K102" t="n">
        <v>0</v>
      </c>
      <c r="L102" t="n">
        <v>0</v>
      </c>
      <c r="M102" t="n">
        <v>0</v>
      </c>
      <c r="N102" t="n">
        <v>0</v>
      </c>
      <c r="O102" t="n">
        <v>2</v>
      </c>
      <c r="P102" t="n">
        <v>0</v>
      </c>
      <c r="Q102" t="n">
        <v>4</v>
      </c>
      <c r="R102" s="2" t="inlineStr">
        <is>
          <t>Rosenticka
Ullticka
Mörk husmossa
Skinnlav</t>
        </is>
      </c>
      <c r="S102">
        <f>HYPERLINK("https://klasma.github.io/Logging_2283/artfynd/A 12365-2023 artfynd.xlsx", "A 12365-2023")</f>
        <v/>
      </c>
      <c r="T102">
        <f>HYPERLINK("https://klasma.github.io/Logging_2283/kartor/A 12365-2023 karta.png", "A 12365-2023")</f>
        <v/>
      </c>
      <c r="U102">
        <f>HYPERLINK("https://klasma.github.io/Logging_2283/knärot/A 12365-2023 karta knärot.png", "A 12365-2023")</f>
        <v/>
      </c>
      <c r="V102">
        <f>HYPERLINK("https://klasma.github.io/Logging_2283/klagomål/A 12365-2023 FSC-klagomål.docx", "A 12365-2023")</f>
        <v/>
      </c>
      <c r="W102">
        <f>HYPERLINK("https://klasma.github.io/Logging_2283/klagomålsmail/A 12365-2023 FSC-klagomål mail.docx", "A 12365-2023")</f>
        <v/>
      </c>
      <c r="X102">
        <f>HYPERLINK("https://klasma.github.io/Logging_2283/tillsyn/A 12365-2023 tillsynsbegäran.docx", "A 12365-2023")</f>
        <v/>
      </c>
      <c r="Y102">
        <f>HYPERLINK("https://klasma.github.io/Logging_2283/tillsynsmail/A 12365-2023 tillsynsbegäran mail.docx", "A 12365-2023")</f>
        <v/>
      </c>
    </row>
    <row r="103" ht="15" customHeight="1">
      <c r="A103" t="inlineStr">
        <is>
          <t>A 18066-2023</t>
        </is>
      </c>
      <c r="B103" s="1" t="n">
        <v>45040</v>
      </c>
      <c r="C103" s="1" t="n">
        <v>45337</v>
      </c>
      <c r="D103" t="inlineStr">
        <is>
          <t>VÄSTERNORRLANDS LÄN</t>
        </is>
      </c>
      <c r="E103" t="inlineStr">
        <is>
          <t>SOLLEFTEÅ</t>
        </is>
      </c>
      <c r="G103" t="n">
        <v>0.8</v>
      </c>
      <c r="H103" t="n">
        <v>1</v>
      </c>
      <c r="I103" t="n">
        <v>0</v>
      </c>
      <c r="J103" t="n">
        <v>3</v>
      </c>
      <c r="K103" t="n">
        <v>1</v>
      </c>
      <c r="L103" t="n">
        <v>0</v>
      </c>
      <c r="M103" t="n">
        <v>0</v>
      </c>
      <c r="N103" t="n">
        <v>0</v>
      </c>
      <c r="O103" t="n">
        <v>4</v>
      </c>
      <c r="P103" t="n">
        <v>1</v>
      </c>
      <c r="Q103" t="n">
        <v>4</v>
      </c>
      <c r="R103" s="2" t="inlineStr">
        <is>
          <t>Knärot
Garnlav
Rosenticka
Ullticka</t>
        </is>
      </c>
      <c r="S103">
        <f>HYPERLINK("https://klasma.github.io/Logging_2283/artfynd/A 18066-2023 artfynd.xlsx", "A 18066-2023")</f>
        <v/>
      </c>
      <c r="T103">
        <f>HYPERLINK("https://klasma.github.io/Logging_2283/kartor/A 18066-2023 karta.png", "A 18066-2023")</f>
        <v/>
      </c>
      <c r="U103">
        <f>HYPERLINK("https://klasma.github.io/Logging_2283/knärot/A 18066-2023 karta knärot.png", "A 18066-2023")</f>
        <v/>
      </c>
      <c r="V103">
        <f>HYPERLINK("https://klasma.github.io/Logging_2283/klagomål/A 18066-2023 FSC-klagomål.docx", "A 18066-2023")</f>
        <v/>
      </c>
      <c r="W103">
        <f>HYPERLINK("https://klasma.github.io/Logging_2283/klagomålsmail/A 18066-2023 FSC-klagomål mail.docx", "A 18066-2023")</f>
        <v/>
      </c>
      <c r="X103">
        <f>HYPERLINK("https://klasma.github.io/Logging_2283/tillsyn/A 18066-2023 tillsynsbegäran.docx", "A 18066-2023")</f>
        <v/>
      </c>
      <c r="Y103">
        <f>HYPERLINK("https://klasma.github.io/Logging_2283/tillsynsmail/A 18066-2023 tillsynsbegäran mail.docx", "A 18066-2023")</f>
        <v/>
      </c>
    </row>
    <row r="104" ht="15" customHeight="1">
      <c r="A104" t="inlineStr">
        <is>
          <t>A 50839-2023</t>
        </is>
      </c>
      <c r="B104" s="1" t="n">
        <v>45217</v>
      </c>
      <c r="C104" s="1" t="n">
        <v>45337</v>
      </c>
      <c r="D104" t="inlineStr">
        <is>
          <t>VÄSTERNORRLANDS LÄN</t>
        </is>
      </c>
      <c r="E104" t="inlineStr">
        <is>
          <t>SOLLEFTEÅ</t>
        </is>
      </c>
      <c r="F104" t="inlineStr">
        <is>
          <t>SCA</t>
        </is>
      </c>
      <c r="G104" t="n">
        <v>2.8</v>
      </c>
      <c r="H104" t="n">
        <v>0</v>
      </c>
      <c r="I104" t="n">
        <v>1</v>
      </c>
      <c r="J104" t="n">
        <v>3</v>
      </c>
      <c r="K104" t="n">
        <v>0</v>
      </c>
      <c r="L104" t="n">
        <v>0</v>
      </c>
      <c r="M104" t="n">
        <v>0</v>
      </c>
      <c r="N104" t="n">
        <v>0</v>
      </c>
      <c r="O104" t="n">
        <v>3</v>
      </c>
      <c r="P104" t="n">
        <v>0</v>
      </c>
      <c r="Q104" t="n">
        <v>4</v>
      </c>
      <c r="R104" s="2" t="inlineStr">
        <is>
          <t>Garnlav
Granticka
Vitskaftad svartspik
Gulnål</t>
        </is>
      </c>
      <c r="S104">
        <f>HYPERLINK("https://klasma.github.io/Logging_2283/artfynd/A 50839-2023 artfynd.xlsx", "A 50839-2023")</f>
        <v/>
      </c>
      <c r="T104">
        <f>HYPERLINK("https://klasma.github.io/Logging_2283/kartor/A 50839-2023 karta.png", "A 50839-2023")</f>
        <v/>
      </c>
      <c r="V104">
        <f>HYPERLINK("https://klasma.github.io/Logging_2283/klagomål/A 50839-2023 FSC-klagomål.docx", "A 50839-2023")</f>
        <v/>
      </c>
      <c r="W104">
        <f>HYPERLINK("https://klasma.github.io/Logging_2283/klagomålsmail/A 50839-2023 FSC-klagomål mail.docx", "A 50839-2023")</f>
        <v/>
      </c>
      <c r="X104">
        <f>HYPERLINK("https://klasma.github.io/Logging_2283/tillsyn/A 50839-2023 tillsynsbegäran.docx", "A 50839-2023")</f>
        <v/>
      </c>
      <c r="Y104">
        <f>HYPERLINK("https://klasma.github.io/Logging_2283/tillsynsmail/A 50839-2023 tillsynsbegäran mail.docx", "A 50839-2023")</f>
        <v/>
      </c>
    </row>
    <row r="105" ht="15" customHeight="1">
      <c r="A105" t="inlineStr">
        <is>
          <t>A 52088-2023</t>
        </is>
      </c>
      <c r="B105" s="1" t="n">
        <v>45223</v>
      </c>
      <c r="C105" s="1" t="n">
        <v>45337</v>
      </c>
      <c r="D105" t="inlineStr">
        <is>
          <t>VÄSTERNORRLANDS LÄN</t>
        </is>
      </c>
      <c r="E105" t="inlineStr">
        <is>
          <t>SOLLEFTEÅ</t>
        </is>
      </c>
      <c r="G105" t="n">
        <v>6.4</v>
      </c>
      <c r="H105" t="n">
        <v>0</v>
      </c>
      <c r="I105" t="n">
        <v>1</v>
      </c>
      <c r="J105" t="n">
        <v>3</v>
      </c>
      <c r="K105" t="n">
        <v>0</v>
      </c>
      <c r="L105" t="n">
        <v>0</v>
      </c>
      <c r="M105" t="n">
        <v>0</v>
      </c>
      <c r="N105" t="n">
        <v>0</v>
      </c>
      <c r="O105" t="n">
        <v>3</v>
      </c>
      <c r="P105" t="n">
        <v>0</v>
      </c>
      <c r="Q105" t="n">
        <v>4</v>
      </c>
      <c r="R105" s="2" t="inlineStr">
        <is>
          <t>Granticka
Lunglav
Rosenticka
Vedticka</t>
        </is>
      </c>
      <c r="S105">
        <f>HYPERLINK("https://klasma.github.io/Logging_2283/artfynd/A 52088-2023 artfynd.xlsx", "A 52088-2023")</f>
        <v/>
      </c>
      <c r="T105">
        <f>HYPERLINK("https://klasma.github.io/Logging_2283/kartor/A 52088-2023 karta.png", "A 52088-2023")</f>
        <v/>
      </c>
      <c r="V105">
        <f>HYPERLINK("https://klasma.github.io/Logging_2283/klagomål/A 52088-2023 FSC-klagomål.docx", "A 52088-2023")</f>
        <v/>
      </c>
      <c r="W105">
        <f>HYPERLINK("https://klasma.github.io/Logging_2283/klagomålsmail/A 52088-2023 FSC-klagomål mail.docx", "A 52088-2023")</f>
        <v/>
      </c>
      <c r="X105">
        <f>HYPERLINK("https://klasma.github.io/Logging_2283/tillsyn/A 52088-2023 tillsynsbegäran.docx", "A 52088-2023")</f>
        <v/>
      </c>
      <c r="Y105">
        <f>HYPERLINK("https://klasma.github.io/Logging_2283/tillsynsmail/A 52088-2023 tillsynsbegäran mail.docx", "A 52088-2023")</f>
        <v/>
      </c>
    </row>
    <row r="106" ht="15" customHeight="1">
      <c r="A106" t="inlineStr">
        <is>
          <t>A 53566-2023</t>
        </is>
      </c>
      <c r="B106" s="1" t="n">
        <v>45223</v>
      </c>
      <c r="C106" s="1" t="n">
        <v>45337</v>
      </c>
      <c r="D106" t="inlineStr">
        <is>
          <t>VÄSTERNORRLANDS LÄN</t>
        </is>
      </c>
      <c r="E106" t="inlineStr">
        <is>
          <t>SOLLEFTEÅ</t>
        </is>
      </c>
      <c r="G106" t="n">
        <v>9</v>
      </c>
      <c r="H106" t="n">
        <v>2</v>
      </c>
      <c r="I106" t="n">
        <v>0</v>
      </c>
      <c r="J106" t="n">
        <v>2</v>
      </c>
      <c r="K106" t="n">
        <v>0</v>
      </c>
      <c r="L106" t="n">
        <v>0</v>
      </c>
      <c r="M106" t="n">
        <v>0</v>
      </c>
      <c r="N106" t="n">
        <v>0</v>
      </c>
      <c r="O106" t="n">
        <v>2</v>
      </c>
      <c r="P106" t="n">
        <v>0</v>
      </c>
      <c r="Q106" t="n">
        <v>4</v>
      </c>
      <c r="R106" s="2" t="inlineStr">
        <is>
          <t>Garnlav
Lunglav
Fläcknycklar
Revlummer</t>
        </is>
      </c>
      <c r="S106">
        <f>HYPERLINK("https://klasma.github.io/Logging_2283/artfynd/A 53566-2023 artfynd.xlsx", "A 53566-2023")</f>
        <v/>
      </c>
      <c r="T106">
        <f>HYPERLINK("https://klasma.github.io/Logging_2283/kartor/A 53566-2023 karta.png", "A 53566-2023")</f>
        <v/>
      </c>
      <c r="V106">
        <f>HYPERLINK("https://klasma.github.io/Logging_2283/klagomål/A 53566-2023 FSC-klagomål.docx", "A 53566-2023")</f>
        <v/>
      </c>
      <c r="W106">
        <f>HYPERLINK("https://klasma.github.io/Logging_2283/klagomålsmail/A 53566-2023 FSC-klagomål mail.docx", "A 53566-2023")</f>
        <v/>
      </c>
      <c r="X106">
        <f>HYPERLINK("https://klasma.github.io/Logging_2283/tillsyn/A 53566-2023 tillsynsbegäran.docx", "A 53566-2023")</f>
        <v/>
      </c>
      <c r="Y106">
        <f>HYPERLINK("https://klasma.github.io/Logging_2283/tillsynsmail/A 53566-2023 tillsynsbegäran mail.docx", "A 53566-2023")</f>
        <v/>
      </c>
    </row>
    <row r="107" ht="15" customHeight="1">
      <c r="A107" t="inlineStr">
        <is>
          <t>A 56248-2023</t>
        </is>
      </c>
      <c r="B107" s="1" t="n">
        <v>45240</v>
      </c>
      <c r="C107" s="1" t="n">
        <v>45337</v>
      </c>
      <c r="D107" t="inlineStr">
        <is>
          <t>VÄSTERNORRLANDS LÄN</t>
        </is>
      </c>
      <c r="E107" t="inlineStr">
        <is>
          <t>SOLLEFTEÅ</t>
        </is>
      </c>
      <c r="F107" t="inlineStr">
        <is>
          <t>SCA</t>
        </is>
      </c>
      <c r="G107" t="n">
        <v>12.2</v>
      </c>
      <c r="H107" t="n">
        <v>3</v>
      </c>
      <c r="I107" t="n">
        <v>0</v>
      </c>
      <c r="J107" t="n">
        <v>3</v>
      </c>
      <c r="K107" t="n">
        <v>0</v>
      </c>
      <c r="L107" t="n">
        <v>0</v>
      </c>
      <c r="M107" t="n">
        <v>0</v>
      </c>
      <c r="N107" t="n">
        <v>0</v>
      </c>
      <c r="O107" t="n">
        <v>3</v>
      </c>
      <c r="P107" t="n">
        <v>0</v>
      </c>
      <c r="Q107" t="n">
        <v>4</v>
      </c>
      <c r="R107" s="2" t="inlineStr">
        <is>
          <t>Granticka
Mindre hackspett
Tretåig hackspett
Lavskrika</t>
        </is>
      </c>
      <c r="S107">
        <f>HYPERLINK("https://klasma.github.io/Logging_2283/artfynd/A 56248-2023 artfynd.xlsx", "A 56248-2023")</f>
        <v/>
      </c>
      <c r="T107">
        <f>HYPERLINK("https://klasma.github.io/Logging_2283/kartor/A 56248-2023 karta.png", "A 56248-2023")</f>
        <v/>
      </c>
      <c r="V107">
        <f>HYPERLINK("https://klasma.github.io/Logging_2283/klagomål/A 56248-2023 FSC-klagomål.docx", "A 56248-2023")</f>
        <v/>
      </c>
      <c r="W107">
        <f>HYPERLINK("https://klasma.github.io/Logging_2283/klagomålsmail/A 56248-2023 FSC-klagomål mail.docx", "A 56248-2023")</f>
        <v/>
      </c>
      <c r="X107">
        <f>HYPERLINK("https://klasma.github.io/Logging_2283/tillsyn/A 56248-2023 tillsynsbegäran.docx", "A 56248-2023")</f>
        <v/>
      </c>
      <c r="Y107">
        <f>HYPERLINK("https://klasma.github.io/Logging_2283/tillsynsmail/A 56248-2023 tillsynsbegäran mail.docx", "A 56248-2023")</f>
        <v/>
      </c>
      <c r="Z107">
        <f>HYPERLINK("https://klasma.github.io/Logging_2283/fåglar/A 56248-2023 prioriterade fågelarter.docx", "A 56248-2023")</f>
        <v/>
      </c>
    </row>
    <row r="108" ht="15" customHeight="1">
      <c r="A108" t="inlineStr">
        <is>
          <t>A 44334-2018</t>
        </is>
      </c>
      <c r="B108" s="1" t="n">
        <v>43360</v>
      </c>
      <c r="C108" s="1" t="n">
        <v>45337</v>
      </c>
      <c r="D108" t="inlineStr">
        <is>
          <t>VÄSTERNORRLANDS LÄN</t>
        </is>
      </c>
      <c r="E108" t="inlineStr">
        <is>
          <t>SOLLEFTEÅ</t>
        </is>
      </c>
      <c r="G108" t="n">
        <v>6.7</v>
      </c>
      <c r="H108" t="n">
        <v>0</v>
      </c>
      <c r="I108" t="n">
        <v>0</v>
      </c>
      <c r="J108" t="n">
        <v>2</v>
      </c>
      <c r="K108" t="n">
        <v>1</v>
      </c>
      <c r="L108" t="n">
        <v>0</v>
      </c>
      <c r="M108" t="n">
        <v>0</v>
      </c>
      <c r="N108" t="n">
        <v>0</v>
      </c>
      <c r="O108" t="n">
        <v>3</v>
      </c>
      <c r="P108" t="n">
        <v>1</v>
      </c>
      <c r="Q108" t="n">
        <v>3</v>
      </c>
      <c r="R108" s="2" t="inlineStr">
        <is>
          <t>Rynkskinn
Granticka
Ullticka</t>
        </is>
      </c>
      <c r="S108">
        <f>HYPERLINK("https://klasma.github.io/Logging_2283/artfynd/A 44334-2018 artfynd.xlsx", "A 44334-2018")</f>
        <v/>
      </c>
      <c r="T108">
        <f>HYPERLINK("https://klasma.github.io/Logging_2283/kartor/A 44334-2018 karta.png", "A 44334-2018")</f>
        <v/>
      </c>
      <c r="V108">
        <f>HYPERLINK("https://klasma.github.io/Logging_2283/klagomål/A 44334-2018 FSC-klagomål.docx", "A 44334-2018")</f>
        <v/>
      </c>
      <c r="W108">
        <f>HYPERLINK("https://klasma.github.io/Logging_2283/klagomålsmail/A 44334-2018 FSC-klagomål mail.docx", "A 44334-2018")</f>
        <v/>
      </c>
      <c r="X108">
        <f>HYPERLINK("https://klasma.github.io/Logging_2283/tillsyn/A 44334-2018 tillsynsbegäran.docx", "A 44334-2018")</f>
        <v/>
      </c>
      <c r="Y108">
        <f>HYPERLINK("https://klasma.github.io/Logging_2283/tillsynsmail/A 44334-2018 tillsynsbegäran mail.docx", "A 44334-2018")</f>
        <v/>
      </c>
    </row>
    <row r="109" ht="15" customHeight="1">
      <c r="A109" t="inlineStr">
        <is>
          <t>A 57649-2018</t>
        </is>
      </c>
      <c r="B109" s="1" t="n">
        <v>43404</v>
      </c>
      <c r="C109" s="1" t="n">
        <v>45337</v>
      </c>
      <c r="D109" t="inlineStr">
        <is>
          <t>VÄSTERNORRLANDS LÄN</t>
        </is>
      </c>
      <c r="E109" t="inlineStr">
        <is>
          <t>SOLLEFTEÅ</t>
        </is>
      </c>
      <c r="F109" t="inlineStr">
        <is>
          <t>SCA</t>
        </is>
      </c>
      <c r="G109" t="n">
        <v>4.2</v>
      </c>
      <c r="H109" t="n">
        <v>0</v>
      </c>
      <c r="I109" t="n">
        <v>0</v>
      </c>
      <c r="J109" t="n">
        <v>2</v>
      </c>
      <c r="K109" t="n">
        <v>1</v>
      </c>
      <c r="L109" t="n">
        <v>0</v>
      </c>
      <c r="M109" t="n">
        <v>0</v>
      </c>
      <c r="N109" t="n">
        <v>0</v>
      </c>
      <c r="O109" t="n">
        <v>3</v>
      </c>
      <c r="P109" t="n">
        <v>1</v>
      </c>
      <c r="Q109" t="n">
        <v>3</v>
      </c>
      <c r="R109" s="2" t="inlineStr">
        <is>
          <t>Läderlappslav
Stiftgelélav
Violettgrå tagellav</t>
        </is>
      </c>
      <c r="S109">
        <f>HYPERLINK("https://klasma.github.io/Logging_2283/artfynd/A 57649-2018 artfynd.xlsx", "A 57649-2018")</f>
        <v/>
      </c>
      <c r="T109">
        <f>HYPERLINK("https://klasma.github.io/Logging_2283/kartor/A 57649-2018 karta.png", "A 57649-2018")</f>
        <v/>
      </c>
      <c r="V109">
        <f>HYPERLINK("https://klasma.github.io/Logging_2283/klagomål/A 57649-2018 FSC-klagomål.docx", "A 57649-2018")</f>
        <v/>
      </c>
      <c r="W109">
        <f>HYPERLINK("https://klasma.github.io/Logging_2283/klagomålsmail/A 57649-2018 FSC-klagomål mail.docx", "A 57649-2018")</f>
        <v/>
      </c>
      <c r="X109">
        <f>HYPERLINK("https://klasma.github.io/Logging_2283/tillsyn/A 57649-2018 tillsynsbegäran.docx", "A 57649-2018")</f>
        <v/>
      </c>
      <c r="Y109">
        <f>HYPERLINK("https://klasma.github.io/Logging_2283/tillsynsmail/A 57649-2018 tillsynsbegäran mail.docx", "A 57649-2018")</f>
        <v/>
      </c>
    </row>
    <row r="110" ht="15" customHeight="1">
      <c r="A110" t="inlineStr">
        <is>
          <t>A 71518-2018</t>
        </is>
      </c>
      <c r="B110" s="1" t="n">
        <v>43454</v>
      </c>
      <c r="C110" s="1" t="n">
        <v>45337</v>
      </c>
      <c r="D110" t="inlineStr">
        <is>
          <t>VÄSTERNORRLANDS LÄN</t>
        </is>
      </c>
      <c r="E110" t="inlineStr">
        <is>
          <t>SOLLEFTEÅ</t>
        </is>
      </c>
      <c r="G110" t="n">
        <v>2</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HYPERLINK("https://klasma.github.io/Logging_2283/artfynd/A 71518-2018 artfynd.xlsx", "A 71518-2018")</f>
        <v/>
      </c>
      <c r="T110">
        <f>HYPERLINK("https://klasma.github.io/Logging_2283/kartor/A 71518-2018 karta.png", "A 71518-2018")</f>
        <v/>
      </c>
      <c r="V110">
        <f>HYPERLINK("https://klasma.github.io/Logging_2283/klagomål/A 71518-2018 FSC-klagomål.docx", "A 71518-2018")</f>
        <v/>
      </c>
      <c r="W110">
        <f>HYPERLINK("https://klasma.github.io/Logging_2283/klagomålsmail/A 71518-2018 FSC-klagomål mail.docx", "A 71518-2018")</f>
        <v/>
      </c>
      <c r="X110">
        <f>HYPERLINK("https://klasma.github.io/Logging_2283/tillsyn/A 71518-2018 tillsynsbegäran.docx", "A 71518-2018")</f>
        <v/>
      </c>
      <c r="Y110">
        <f>HYPERLINK("https://klasma.github.io/Logging_2283/tillsynsmail/A 71518-2018 tillsynsbegäran mail.docx", "A 71518-2018")</f>
        <v/>
      </c>
    </row>
    <row r="111" ht="15" customHeight="1">
      <c r="A111" t="inlineStr">
        <is>
          <t>A 55683-2019</t>
        </is>
      </c>
      <c r="B111" s="1" t="n">
        <v>43760</v>
      </c>
      <c r="C111" s="1" t="n">
        <v>45337</v>
      </c>
      <c r="D111" t="inlineStr">
        <is>
          <t>VÄSTERNORRLANDS LÄN</t>
        </is>
      </c>
      <c r="E111" t="inlineStr">
        <is>
          <t>SOLLEFTEÅ</t>
        </is>
      </c>
      <c r="F111" t="inlineStr">
        <is>
          <t>SCA</t>
        </is>
      </c>
      <c r="G111" t="n">
        <v>2.9</v>
      </c>
      <c r="H111" t="n">
        <v>0</v>
      </c>
      <c r="I111" t="n">
        <v>0</v>
      </c>
      <c r="J111" t="n">
        <v>2</v>
      </c>
      <c r="K111" t="n">
        <v>1</v>
      </c>
      <c r="L111" t="n">
        <v>0</v>
      </c>
      <c r="M111" t="n">
        <v>0</v>
      </c>
      <c r="N111" t="n">
        <v>0</v>
      </c>
      <c r="O111" t="n">
        <v>3</v>
      </c>
      <c r="P111" t="n">
        <v>1</v>
      </c>
      <c r="Q111" t="n">
        <v>3</v>
      </c>
      <c r="R111" s="2" t="inlineStr">
        <is>
          <t>Rynkskinn
Granticka
Rosenticka</t>
        </is>
      </c>
      <c r="S111">
        <f>HYPERLINK("https://klasma.github.io/Logging_2283/artfynd/A 55683-2019 artfynd.xlsx", "A 55683-2019")</f>
        <v/>
      </c>
      <c r="T111">
        <f>HYPERLINK("https://klasma.github.io/Logging_2283/kartor/A 55683-2019 karta.png", "A 55683-2019")</f>
        <v/>
      </c>
      <c r="V111">
        <f>HYPERLINK("https://klasma.github.io/Logging_2283/klagomål/A 55683-2019 FSC-klagomål.docx", "A 55683-2019")</f>
        <v/>
      </c>
      <c r="W111">
        <f>HYPERLINK("https://klasma.github.io/Logging_2283/klagomålsmail/A 55683-2019 FSC-klagomål mail.docx", "A 55683-2019")</f>
        <v/>
      </c>
      <c r="X111">
        <f>HYPERLINK("https://klasma.github.io/Logging_2283/tillsyn/A 55683-2019 tillsynsbegäran.docx", "A 55683-2019")</f>
        <v/>
      </c>
      <c r="Y111">
        <f>HYPERLINK("https://klasma.github.io/Logging_2283/tillsynsmail/A 55683-2019 tillsynsbegäran mail.docx", "A 55683-2019")</f>
        <v/>
      </c>
    </row>
    <row r="112" ht="15" customHeight="1">
      <c r="A112" t="inlineStr">
        <is>
          <t>A 24219-2020</t>
        </is>
      </c>
      <c r="B112" s="1" t="n">
        <v>43973</v>
      </c>
      <c r="C112" s="1" t="n">
        <v>45337</v>
      </c>
      <c r="D112" t="inlineStr">
        <is>
          <t>VÄSTERNORRLANDS LÄN</t>
        </is>
      </c>
      <c r="E112" t="inlineStr">
        <is>
          <t>SOLLEFTEÅ</t>
        </is>
      </c>
      <c r="G112" t="n">
        <v>11.9</v>
      </c>
      <c r="H112" t="n">
        <v>0</v>
      </c>
      <c r="I112" t="n">
        <v>0</v>
      </c>
      <c r="J112" t="n">
        <v>3</v>
      </c>
      <c r="K112" t="n">
        <v>0</v>
      </c>
      <c r="L112" t="n">
        <v>0</v>
      </c>
      <c r="M112" t="n">
        <v>0</v>
      </c>
      <c r="N112" t="n">
        <v>0</v>
      </c>
      <c r="O112" t="n">
        <v>3</v>
      </c>
      <c r="P112" t="n">
        <v>0</v>
      </c>
      <c r="Q112" t="n">
        <v>3</v>
      </c>
      <c r="R112" s="2" t="inlineStr">
        <is>
          <t>Garnlav
Lunglav
Rosenticka</t>
        </is>
      </c>
      <c r="S112">
        <f>HYPERLINK("https://klasma.github.io/Logging_2283/artfynd/A 24219-2020 artfynd.xlsx", "A 24219-2020")</f>
        <v/>
      </c>
      <c r="T112">
        <f>HYPERLINK("https://klasma.github.io/Logging_2283/kartor/A 24219-2020 karta.png", "A 24219-2020")</f>
        <v/>
      </c>
      <c r="V112">
        <f>HYPERLINK("https://klasma.github.io/Logging_2283/klagomål/A 24219-2020 FSC-klagomål.docx", "A 24219-2020")</f>
        <v/>
      </c>
      <c r="W112">
        <f>HYPERLINK("https://klasma.github.io/Logging_2283/klagomålsmail/A 24219-2020 FSC-klagomål mail.docx", "A 24219-2020")</f>
        <v/>
      </c>
      <c r="X112">
        <f>HYPERLINK("https://klasma.github.io/Logging_2283/tillsyn/A 24219-2020 tillsynsbegäran.docx", "A 24219-2020")</f>
        <v/>
      </c>
      <c r="Y112">
        <f>HYPERLINK("https://klasma.github.io/Logging_2283/tillsynsmail/A 24219-2020 tillsynsbegäran mail.docx", "A 24219-2020")</f>
        <v/>
      </c>
    </row>
    <row r="113" ht="15" customHeight="1">
      <c r="A113" t="inlineStr">
        <is>
          <t>A 31640-2020</t>
        </is>
      </c>
      <c r="B113" s="1" t="n">
        <v>44013</v>
      </c>
      <c r="C113" s="1" t="n">
        <v>45337</v>
      </c>
      <c r="D113" t="inlineStr">
        <is>
          <t>VÄSTERNORRLANDS LÄN</t>
        </is>
      </c>
      <c r="E113" t="inlineStr">
        <is>
          <t>SOLLEFTEÅ</t>
        </is>
      </c>
      <c r="F113" t="inlineStr">
        <is>
          <t>SCA</t>
        </is>
      </c>
      <c r="G113" t="n">
        <v>27.4</v>
      </c>
      <c r="H113" t="n">
        <v>1</v>
      </c>
      <c r="I113" t="n">
        <v>0</v>
      </c>
      <c r="J113" t="n">
        <v>2</v>
      </c>
      <c r="K113" t="n">
        <v>1</v>
      </c>
      <c r="L113" t="n">
        <v>0</v>
      </c>
      <c r="M113" t="n">
        <v>0</v>
      </c>
      <c r="N113" t="n">
        <v>0</v>
      </c>
      <c r="O113" t="n">
        <v>3</v>
      </c>
      <c r="P113" t="n">
        <v>1</v>
      </c>
      <c r="Q113" t="n">
        <v>3</v>
      </c>
      <c r="R113" s="2" t="inlineStr">
        <is>
          <t>Doftticka
Lunglav
Skrovellav</t>
        </is>
      </c>
      <c r="S113">
        <f>HYPERLINK("https://klasma.github.io/Logging_2283/artfynd/A 31640-2020 artfynd.xlsx", "A 31640-2020")</f>
        <v/>
      </c>
      <c r="T113">
        <f>HYPERLINK("https://klasma.github.io/Logging_2283/kartor/A 31640-2020 karta.png", "A 31640-2020")</f>
        <v/>
      </c>
      <c r="V113">
        <f>HYPERLINK("https://klasma.github.io/Logging_2283/klagomål/A 31640-2020 FSC-klagomål.docx", "A 31640-2020")</f>
        <v/>
      </c>
      <c r="W113">
        <f>HYPERLINK("https://klasma.github.io/Logging_2283/klagomålsmail/A 31640-2020 FSC-klagomål mail.docx", "A 31640-2020")</f>
        <v/>
      </c>
      <c r="X113">
        <f>HYPERLINK("https://klasma.github.io/Logging_2283/tillsyn/A 31640-2020 tillsynsbegäran.docx", "A 31640-2020")</f>
        <v/>
      </c>
      <c r="Y113">
        <f>HYPERLINK("https://klasma.github.io/Logging_2283/tillsynsmail/A 31640-2020 tillsynsbegäran mail.docx", "A 31640-2020")</f>
        <v/>
      </c>
    </row>
    <row r="114" ht="15" customHeight="1">
      <c r="A114" t="inlineStr">
        <is>
          <t>A 44599-2021</t>
        </is>
      </c>
      <c r="B114" s="1" t="n">
        <v>44436</v>
      </c>
      <c r="C114" s="1" t="n">
        <v>45337</v>
      </c>
      <c r="D114" t="inlineStr">
        <is>
          <t>VÄSTERNORRLANDS LÄN</t>
        </is>
      </c>
      <c r="E114" t="inlineStr">
        <is>
          <t>SOLLEFTEÅ</t>
        </is>
      </c>
      <c r="F114" t="inlineStr">
        <is>
          <t>SCA</t>
        </is>
      </c>
      <c r="G114" t="n">
        <v>6.1</v>
      </c>
      <c r="H114" t="n">
        <v>0</v>
      </c>
      <c r="I114" t="n">
        <v>2</v>
      </c>
      <c r="J114" t="n">
        <v>1</v>
      </c>
      <c r="K114" t="n">
        <v>0</v>
      </c>
      <c r="L114" t="n">
        <v>0</v>
      </c>
      <c r="M114" t="n">
        <v>0</v>
      </c>
      <c r="N114" t="n">
        <v>0</v>
      </c>
      <c r="O114" t="n">
        <v>1</v>
      </c>
      <c r="P114" t="n">
        <v>0</v>
      </c>
      <c r="Q114" t="n">
        <v>3</v>
      </c>
      <c r="R114" s="2" t="inlineStr">
        <is>
          <t>Rosenticka
Strutbräken
Stuplav</t>
        </is>
      </c>
      <c r="S114">
        <f>HYPERLINK("https://klasma.github.io/Logging_2283/artfynd/A 44599-2021 artfynd.xlsx", "A 44599-2021")</f>
        <v/>
      </c>
      <c r="T114">
        <f>HYPERLINK("https://klasma.github.io/Logging_2283/kartor/A 44599-2021 karta.png", "A 44599-2021")</f>
        <v/>
      </c>
      <c r="V114">
        <f>HYPERLINK("https://klasma.github.io/Logging_2283/klagomål/A 44599-2021 FSC-klagomål.docx", "A 44599-2021")</f>
        <v/>
      </c>
      <c r="W114">
        <f>HYPERLINK("https://klasma.github.io/Logging_2283/klagomålsmail/A 44599-2021 FSC-klagomål mail.docx", "A 44599-2021")</f>
        <v/>
      </c>
      <c r="X114">
        <f>HYPERLINK("https://klasma.github.io/Logging_2283/tillsyn/A 44599-2021 tillsynsbegäran.docx", "A 44599-2021")</f>
        <v/>
      </c>
      <c r="Y114">
        <f>HYPERLINK("https://klasma.github.io/Logging_2283/tillsynsmail/A 44599-2021 tillsynsbegäran mail.docx", "A 44599-2021")</f>
        <v/>
      </c>
    </row>
    <row r="115" ht="15" customHeight="1">
      <c r="A115" t="inlineStr">
        <is>
          <t>A 61481-2021</t>
        </is>
      </c>
      <c r="B115" s="1" t="n">
        <v>44500</v>
      </c>
      <c r="C115" s="1" t="n">
        <v>45337</v>
      </c>
      <c r="D115" t="inlineStr">
        <is>
          <t>VÄSTERNORRLANDS LÄN</t>
        </is>
      </c>
      <c r="E115" t="inlineStr">
        <is>
          <t>SOLLEFTEÅ</t>
        </is>
      </c>
      <c r="F115" t="inlineStr">
        <is>
          <t>SCA</t>
        </is>
      </c>
      <c r="G115" t="n">
        <v>6.8</v>
      </c>
      <c r="H115" t="n">
        <v>0</v>
      </c>
      <c r="I115" t="n">
        <v>1</v>
      </c>
      <c r="J115" t="n">
        <v>2</v>
      </c>
      <c r="K115" t="n">
        <v>0</v>
      </c>
      <c r="L115" t="n">
        <v>0</v>
      </c>
      <c r="M115" t="n">
        <v>0</v>
      </c>
      <c r="N115" t="n">
        <v>0</v>
      </c>
      <c r="O115" t="n">
        <v>2</v>
      </c>
      <c r="P115" t="n">
        <v>0</v>
      </c>
      <c r="Q115" t="n">
        <v>3</v>
      </c>
      <c r="R115" s="2" t="inlineStr">
        <is>
          <t>Lunglav
Skrovellav
Kambräken</t>
        </is>
      </c>
      <c r="S115">
        <f>HYPERLINK("https://klasma.github.io/Logging_2283/artfynd/A 61481-2021 artfynd.xlsx", "A 61481-2021")</f>
        <v/>
      </c>
      <c r="T115">
        <f>HYPERLINK("https://klasma.github.io/Logging_2283/kartor/A 61481-2021 karta.png", "A 61481-2021")</f>
        <v/>
      </c>
      <c r="V115">
        <f>HYPERLINK("https://klasma.github.io/Logging_2283/klagomål/A 61481-2021 FSC-klagomål.docx", "A 61481-2021")</f>
        <v/>
      </c>
      <c r="W115">
        <f>HYPERLINK("https://klasma.github.io/Logging_2283/klagomålsmail/A 61481-2021 FSC-klagomål mail.docx", "A 61481-2021")</f>
        <v/>
      </c>
      <c r="X115">
        <f>HYPERLINK("https://klasma.github.io/Logging_2283/tillsyn/A 61481-2021 tillsynsbegäran.docx", "A 61481-2021")</f>
        <v/>
      </c>
      <c r="Y115">
        <f>HYPERLINK("https://klasma.github.io/Logging_2283/tillsynsmail/A 61481-2021 tillsynsbegäran mail.docx", "A 61481-2021")</f>
        <v/>
      </c>
    </row>
    <row r="116" ht="15" customHeight="1">
      <c r="A116" t="inlineStr">
        <is>
          <t>A 18012-2022</t>
        </is>
      </c>
      <c r="B116" s="1" t="n">
        <v>44683</v>
      </c>
      <c r="C116" s="1" t="n">
        <v>45337</v>
      </c>
      <c r="D116" t="inlineStr">
        <is>
          <t>VÄSTERNORRLANDS LÄN</t>
        </is>
      </c>
      <c r="E116" t="inlineStr">
        <is>
          <t>SOLLEFTEÅ</t>
        </is>
      </c>
      <c r="F116" t="inlineStr">
        <is>
          <t>SCA</t>
        </is>
      </c>
      <c r="G116" t="n">
        <v>1.7</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HYPERLINK("https://klasma.github.io/Logging_2283/artfynd/A 18012-2022 artfynd.xlsx", "A 18012-2022")</f>
        <v/>
      </c>
      <c r="T116">
        <f>HYPERLINK("https://klasma.github.io/Logging_2283/kartor/A 18012-2022 karta.png", "A 18012-2022")</f>
        <v/>
      </c>
      <c r="U116">
        <f>HYPERLINK("https://klasma.github.io/Logging_2283/knärot/A 18012-2022 karta knärot.png", "A 18012-2022")</f>
        <v/>
      </c>
      <c r="V116">
        <f>HYPERLINK("https://klasma.github.io/Logging_2283/klagomål/A 18012-2022 FSC-klagomål.docx", "A 18012-2022")</f>
        <v/>
      </c>
      <c r="W116">
        <f>HYPERLINK("https://klasma.github.io/Logging_2283/klagomålsmail/A 18012-2022 FSC-klagomål mail.docx", "A 18012-2022")</f>
        <v/>
      </c>
      <c r="X116">
        <f>HYPERLINK("https://klasma.github.io/Logging_2283/tillsyn/A 18012-2022 tillsynsbegäran.docx", "A 18012-2022")</f>
        <v/>
      </c>
      <c r="Y116">
        <f>HYPERLINK("https://klasma.github.io/Logging_2283/tillsynsmail/A 18012-2022 tillsynsbegäran mail.docx", "A 18012-2022")</f>
        <v/>
      </c>
      <c r="Z116">
        <f>HYPERLINK("https://klasma.github.io/Logging_2283/fåglar/A 18012-2022 prioriterade fågelarter.docx", "A 18012-2022")</f>
        <v/>
      </c>
    </row>
    <row r="117" ht="15" customHeight="1">
      <c r="A117" t="inlineStr">
        <is>
          <t>A 34528-2022</t>
        </is>
      </c>
      <c r="B117" s="1" t="n">
        <v>44792</v>
      </c>
      <c r="C117" s="1" t="n">
        <v>45337</v>
      </c>
      <c r="D117" t="inlineStr">
        <is>
          <t>VÄSTERNORRLANDS LÄN</t>
        </is>
      </c>
      <c r="E117" t="inlineStr">
        <is>
          <t>SOLLEFTEÅ</t>
        </is>
      </c>
      <c r="F117" t="inlineStr">
        <is>
          <t>SCA</t>
        </is>
      </c>
      <c r="G117" t="n">
        <v>1.8</v>
      </c>
      <c r="H117" t="n">
        <v>0</v>
      </c>
      <c r="I117" t="n">
        <v>0</v>
      </c>
      <c r="J117" t="n">
        <v>3</v>
      </c>
      <c r="K117" t="n">
        <v>0</v>
      </c>
      <c r="L117" t="n">
        <v>0</v>
      </c>
      <c r="M117" t="n">
        <v>0</v>
      </c>
      <c r="N117" t="n">
        <v>0</v>
      </c>
      <c r="O117" t="n">
        <v>3</v>
      </c>
      <c r="P117" t="n">
        <v>0</v>
      </c>
      <c r="Q117" t="n">
        <v>3</v>
      </c>
      <c r="R117" s="2" t="inlineStr">
        <is>
          <t>Garnlav
Mörk kolflarnlav
Rosenticka</t>
        </is>
      </c>
      <c r="S117">
        <f>HYPERLINK("https://klasma.github.io/Logging_2283/artfynd/A 34528-2022 artfynd.xlsx", "A 34528-2022")</f>
        <v/>
      </c>
      <c r="T117">
        <f>HYPERLINK("https://klasma.github.io/Logging_2283/kartor/A 34528-2022 karta.png", "A 34528-2022")</f>
        <v/>
      </c>
      <c r="V117">
        <f>HYPERLINK("https://klasma.github.io/Logging_2283/klagomål/A 34528-2022 FSC-klagomål.docx", "A 34528-2022")</f>
        <v/>
      </c>
      <c r="W117">
        <f>HYPERLINK("https://klasma.github.io/Logging_2283/klagomålsmail/A 34528-2022 FSC-klagomål mail.docx", "A 34528-2022")</f>
        <v/>
      </c>
      <c r="X117">
        <f>HYPERLINK("https://klasma.github.io/Logging_2283/tillsyn/A 34528-2022 tillsynsbegäran.docx", "A 34528-2022")</f>
        <v/>
      </c>
      <c r="Y117">
        <f>HYPERLINK("https://klasma.github.io/Logging_2283/tillsynsmail/A 34528-2022 tillsynsbegäran mail.docx", "A 34528-2022")</f>
        <v/>
      </c>
    </row>
    <row r="118" ht="15" customHeight="1">
      <c r="A118" t="inlineStr">
        <is>
          <t>A 20781-2023</t>
        </is>
      </c>
      <c r="B118" s="1" t="n">
        <v>45058</v>
      </c>
      <c r="C118" s="1" t="n">
        <v>45337</v>
      </c>
      <c r="D118" t="inlineStr">
        <is>
          <t>VÄSTERNORRLANDS LÄN</t>
        </is>
      </c>
      <c r="E118" t="inlineStr">
        <is>
          <t>SOLLEFTEÅ</t>
        </is>
      </c>
      <c r="F118" t="inlineStr">
        <is>
          <t>Kyrkan</t>
        </is>
      </c>
      <c r="G118" t="n">
        <v>11.1</v>
      </c>
      <c r="H118" t="n">
        <v>1</v>
      </c>
      <c r="I118" t="n">
        <v>0</v>
      </c>
      <c r="J118" t="n">
        <v>2</v>
      </c>
      <c r="K118" t="n">
        <v>1</v>
      </c>
      <c r="L118" t="n">
        <v>0</v>
      </c>
      <c r="M118" t="n">
        <v>0</v>
      </c>
      <c r="N118" t="n">
        <v>0</v>
      </c>
      <c r="O118" t="n">
        <v>3</v>
      </c>
      <c r="P118" t="n">
        <v>1</v>
      </c>
      <c r="Q118" t="n">
        <v>3</v>
      </c>
      <c r="R118" s="2" t="inlineStr">
        <is>
          <t>Knärot
Garnlav
Ullticka</t>
        </is>
      </c>
      <c r="S118">
        <f>HYPERLINK("https://klasma.github.io/Logging_2283/artfynd/A 20781-2023 artfynd.xlsx", "A 20781-2023")</f>
        <v/>
      </c>
      <c r="T118">
        <f>HYPERLINK("https://klasma.github.io/Logging_2283/kartor/A 20781-2023 karta.png", "A 20781-2023")</f>
        <v/>
      </c>
      <c r="U118">
        <f>HYPERLINK("https://klasma.github.io/Logging_2283/knärot/A 20781-2023 karta knärot.png", "A 20781-2023")</f>
        <v/>
      </c>
      <c r="V118">
        <f>HYPERLINK("https://klasma.github.io/Logging_2283/klagomål/A 20781-2023 FSC-klagomål.docx", "A 20781-2023")</f>
        <v/>
      </c>
      <c r="W118">
        <f>HYPERLINK("https://klasma.github.io/Logging_2283/klagomålsmail/A 20781-2023 FSC-klagomål mail.docx", "A 20781-2023")</f>
        <v/>
      </c>
      <c r="X118">
        <f>HYPERLINK("https://klasma.github.io/Logging_2283/tillsyn/A 20781-2023 tillsynsbegäran.docx", "A 20781-2023")</f>
        <v/>
      </c>
      <c r="Y118">
        <f>HYPERLINK("https://klasma.github.io/Logging_2283/tillsynsmail/A 20781-2023 tillsynsbegäran mail.docx", "A 20781-2023")</f>
        <v/>
      </c>
    </row>
    <row r="119" ht="15" customHeight="1">
      <c r="A119" t="inlineStr">
        <is>
          <t>A 21342-2023</t>
        </is>
      </c>
      <c r="B119" s="1" t="n">
        <v>45062</v>
      </c>
      <c r="C119" s="1" t="n">
        <v>45337</v>
      </c>
      <c r="D119" t="inlineStr">
        <is>
          <t>VÄSTERNORRLANDS LÄN</t>
        </is>
      </c>
      <c r="E119" t="inlineStr">
        <is>
          <t>SOLLEFTEÅ</t>
        </is>
      </c>
      <c r="F119" t="inlineStr">
        <is>
          <t>SCA</t>
        </is>
      </c>
      <c r="G119" t="n">
        <v>4.3</v>
      </c>
      <c r="H119" t="n">
        <v>1</v>
      </c>
      <c r="I119" t="n">
        <v>1</v>
      </c>
      <c r="J119" t="n">
        <v>2</v>
      </c>
      <c r="K119" t="n">
        <v>0</v>
      </c>
      <c r="L119" t="n">
        <v>0</v>
      </c>
      <c r="M119" t="n">
        <v>0</v>
      </c>
      <c r="N119" t="n">
        <v>0</v>
      </c>
      <c r="O119" t="n">
        <v>2</v>
      </c>
      <c r="P119" t="n">
        <v>0</v>
      </c>
      <c r="Q119" t="n">
        <v>3</v>
      </c>
      <c r="R119" s="2" t="inlineStr">
        <is>
          <t>Dvärgbägarlav
Kolflarnlav
Plattlummer</t>
        </is>
      </c>
      <c r="S119">
        <f>HYPERLINK("https://klasma.github.io/Logging_2283/artfynd/A 21342-2023 artfynd.xlsx", "A 21342-2023")</f>
        <v/>
      </c>
      <c r="T119">
        <f>HYPERLINK("https://klasma.github.io/Logging_2283/kartor/A 21342-2023 karta.png", "A 21342-2023")</f>
        <v/>
      </c>
      <c r="V119">
        <f>HYPERLINK("https://klasma.github.io/Logging_2283/klagomål/A 21342-2023 FSC-klagomål.docx", "A 21342-2023")</f>
        <v/>
      </c>
      <c r="W119">
        <f>HYPERLINK("https://klasma.github.io/Logging_2283/klagomålsmail/A 21342-2023 FSC-klagomål mail.docx", "A 21342-2023")</f>
        <v/>
      </c>
      <c r="X119">
        <f>HYPERLINK("https://klasma.github.io/Logging_2283/tillsyn/A 21342-2023 tillsynsbegäran.docx", "A 21342-2023")</f>
        <v/>
      </c>
      <c r="Y119">
        <f>HYPERLINK("https://klasma.github.io/Logging_2283/tillsynsmail/A 21342-2023 tillsynsbegäran mail.docx", "A 21342-2023")</f>
        <v/>
      </c>
    </row>
    <row r="120" ht="15" customHeight="1">
      <c r="A120" t="inlineStr">
        <is>
          <t>A 21343-2023</t>
        </is>
      </c>
      <c r="B120" s="1" t="n">
        <v>45062</v>
      </c>
      <c r="C120" s="1" t="n">
        <v>45337</v>
      </c>
      <c r="D120" t="inlineStr">
        <is>
          <t>VÄSTERNORRLANDS LÄN</t>
        </is>
      </c>
      <c r="E120" t="inlineStr">
        <is>
          <t>SOLLEFTEÅ</t>
        </is>
      </c>
      <c r="F120" t="inlineStr">
        <is>
          <t>SCA</t>
        </is>
      </c>
      <c r="G120" t="n">
        <v>4.8</v>
      </c>
      <c r="H120" t="n">
        <v>0</v>
      </c>
      <c r="I120" t="n">
        <v>0</v>
      </c>
      <c r="J120" t="n">
        <v>3</v>
      </c>
      <c r="K120" t="n">
        <v>0</v>
      </c>
      <c r="L120" t="n">
        <v>0</v>
      </c>
      <c r="M120" t="n">
        <v>0</v>
      </c>
      <c r="N120" t="n">
        <v>0</v>
      </c>
      <c r="O120" t="n">
        <v>3</v>
      </c>
      <c r="P120" t="n">
        <v>0</v>
      </c>
      <c r="Q120" t="n">
        <v>3</v>
      </c>
      <c r="R120" s="2" t="inlineStr">
        <is>
          <t>Garnlav
Kolflarnlav
Vedskivlav</t>
        </is>
      </c>
      <c r="S120">
        <f>HYPERLINK("https://klasma.github.io/Logging_2283/artfynd/A 21343-2023 artfynd.xlsx", "A 21343-2023")</f>
        <v/>
      </c>
      <c r="T120">
        <f>HYPERLINK("https://klasma.github.io/Logging_2283/kartor/A 21343-2023 karta.png", "A 21343-2023")</f>
        <v/>
      </c>
      <c r="V120">
        <f>HYPERLINK("https://klasma.github.io/Logging_2283/klagomål/A 21343-2023 FSC-klagomål.docx", "A 21343-2023")</f>
        <v/>
      </c>
      <c r="W120">
        <f>HYPERLINK("https://klasma.github.io/Logging_2283/klagomålsmail/A 21343-2023 FSC-klagomål mail.docx", "A 21343-2023")</f>
        <v/>
      </c>
      <c r="X120">
        <f>HYPERLINK("https://klasma.github.io/Logging_2283/tillsyn/A 21343-2023 tillsynsbegäran.docx", "A 21343-2023")</f>
        <v/>
      </c>
      <c r="Y120">
        <f>HYPERLINK("https://klasma.github.io/Logging_2283/tillsynsmail/A 21343-2023 tillsynsbegäran mail.docx", "A 21343-2023")</f>
        <v/>
      </c>
    </row>
    <row r="121" ht="15" customHeight="1">
      <c r="A121" t="inlineStr">
        <is>
          <t>A 23782-2023</t>
        </is>
      </c>
      <c r="B121" s="1" t="n">
        <v>45077</v>
      </c>
      <c r="C121" s="1" t="n">
        <v>45337</v>
      </c>
      <c r="D121" t="inlineStr">
        <is>
          <t>VÄSTERNORRLANDS LÄN</t>
        </is>
      </c>
      <c r="E121" t="inlineStr">
        <is>
          <t>SOLLEFTEÅ</t>
        </is>
      </c>
      <c r="F121" t="inlineStr">
        <is>
          <t>SCA</t>
        </is>
      </c>
      <c r="G121" t="n">
        <v>6.3</v>
      </c>
      <c r="H121" t="n">
        <v>0</v>
      </c>
      <c r="I121" t="n">
        <v>2</v>
      </c>
      <c r="J121" t="n">
        <v>1</v>
      </c>
      <c r="K121" t="n">
        <v>0</v>
      </c>
      <c r="L121" t="n">
        <v>0</v>
      </c>
      <c r="M121" t="n">
        <v>0</v>
      </c>
      <c r="N121" t="n">
        <v>0</v>
      </c>
      <c r="O121" t="n">
        <v>1</v>
      </c>
      <c r="P121" t="n">
        <v>0</v>
      </c>
      <c r="Q121" t="n">
        <v>3</v>
      </c>
      <c r="R121" s="2" t="inlineStr">
        <is>
          <t>Garnlav
Bollvitmossa
Norrlandslav</t>
        </is>
      </c>
      <c r="S121">
        <f>HYPERLINK("https://klasma.github.io/Logging_2283/artfynd/A 23782-2023 artfynd.xlsx", "A 23782-2023")</f>
        <v/>
      </c>
      <c r="T121">
        <f>HYPERLINK("https://klasma.github.io/Logging_2283/kartor/A 23782-2023 karta.png", "A 23782-2023")</f>
        <v/>
      </c>
      <c r="V121">
        <f>HYPERLINK("https://klasma.github.io/Logging_2283/klagomål/A 23782-2023 FSC-klagomål.docx", "A 23782-2023")</f>
        <v/>
      </c>
      <c r="W121">
        <f>HYPERLINK("https://klasma.github.io/Logging_2283/klagomålsmail/A 23782-2023 FSC-klagomål mail.docx", "A 23782-2023")</f>
        <v/>
      </c>
      <c r="X121">
        <f>HYPERLINK("https://klasma.github.io/Logging_2283/tillsyn/A 23782-2023 tillsynsbegäran.docx", "A 23782-2023")</f>
        <v/>
      </c>
      <c r="Y121">
        <f>HYPERLINK("https://klasma.github.io/Logging_2283/tillsynsmail/A 23782-2023 tillsynsbegäran mail.docx", "A 23782-2023")</f>
        <v/>
      </c>
    </row>
    <row r="122" ht="15" customHeight="1">
      <c r="A122" t="inlineStr">
        <is>
          <t>A 26374-2023</t>
        </is>
      </c>
      <c r="B122" s="1" t="n">
        <v>45092</v>
      </c>
      <c r="C122" s="1" t="n">
        <v>45337</v>
      </c>
      <c r="D122" t="inlineStr">
        <is>
          <t>VÄSTERNORRLANDS LÄN</t>
        </is>
      </c>
      <c r="E122" t="inlineStr">
        <is>
          <t>SOLLEFTEÅ</t>
        </is>
      </c>
      <c r="F122" t="inlineStr">
        <is>
          <t>SCA</t>
        </is>
      </c>
      <c r="G122" t="n">
        <v>0.9</v>
      </c>
      <c r="H122" t="n">
        <v>0</v>
      </c>
      <c r="I122" t="n">
        <v>0</v>
      </c>
      <c r="J122" t="n">
        <v>2</v>
      </c>
      <c r="K122" t="n">
        <v>1</v>
      </c>
      <c r="L122" t="n">
        <v>0</v>
      </c>
      <c r="M122" t="n">
        <v>0</v>
      </c>
      <c r="N122" t="n">
        <v>0</v>
      </c>
      <c r="O122" t="n">
        <v>3</v>
      </c>
      <c r="P122" t="n">
        <v>1</v>
      </c>
      <c r="Q122" t="n">
        <v>3</v>
      </c>
      <c r="R122" s="2" t="inlineStr">
        <is>
          <t>Blackticka
Granticka
Ullticka</t>
        </is>
      </c>
      <c r="S122">
        <f>HYPERLINK("https://klasma.github.io/Logging_2283/artfynd/A 26374-2023 artfynd.xlsx", "A 26374-2023")</f>
        <v/>
      </c>
      <c r="T122">
        <f>HYPERLINK("https://klasma.github.io/Logging_2283/kartor/A 26374-2023 karta.png", "A 26374-2023")</f>
        <v/>
      </c>
      <c r="V122">
        <f>HYPERLINK("https://klasma.github.io/Logging_2283/klagomål/A 26374-2023 FSC-klagomål.docx", "A 26374-2023")</f>
        <v/>
      </c>
      <c r="W122">
        <f>HYPERLINK("https://klasma.github.io/Logging_2283/klagomålsmail/A 26374-2023 FSC-klagomål mail.docx", "A 26374-2023")</f>
        <v/>
      </c>
      <c r="X122">
        <f>HYPERLINK("https://klasma.github.io/Logging_2283/tillsyn/A 26374-2023 tillsynsbegäran.docx", "A 26374-2023")</f>
        <v/>
      </c>
      <c r="Y122">
        <f>HYPERLINK("https://klasma.github.io/Logging_2283/tillsynsmail/A 26374-2023 tillsynsbegäran mail.docx", "A 26374-2023")</f>
        <v/>
      </c>
    </row>
    <row r="123" ht="15" customHeight="1">
      <c r="A123" t="inlineStr">
        <is>
          <t>A 45006-2023</t>
        </is>
      </c>
      <c r="B123" s="1" t="n">
        <v>45190</v>
      </c>
      <c r="C123" s="1" t="n">
        <v>45337</v>
      </c>
      <c r="D123" t="inlineStr">
        <is>
          <t>VÄSTERNORRLANDS LÄN</t>
        </is>
      </c>
      <c r="E123" t="inlineStr">
        <is>
          <t>SOLLEFTEÅ</t>
        </is>
      </c>
      <c r="F123" t="inlineStr">
        <is>
          <t>SCA</t>
        </is>
      </c>
      <c r="G123" t="n">
        <v>5.1</v>
      </c>
      <c r="H123" t="n">
        <v>0</v>
      </c>
      <c r="I123" t="n">
        <v>0</v>
      </c>
      <c r="J123" t="n">
        <v>2</v>
      </c>
      <c r="K123" t="n">
        <v>1</v>
      </c>
      <c r="L123" t="n">
        <v>0</v>
      </c>
      <c r="M123" t="n">
        <v>0</v>
      </c>
      <c r="N123" t="n">
        <v>0</v>
      </c>
      <c r="O123" t="n">
        <v>3</v>
      </c>
      <c r="P123" t="n">
        <v>1</v>
      </c>
      <c r="Q123" t="n">
        <v>3</v>
      </c>
      <c r="R123" s="2" t="inlineStr">
        <is>
          <t>Rynkskinn
Gammelgransskål
Rosenticka</t>
        </is>
      </c>
      <c r="S123">
        <f>HYPERLINK("https://klasma.github.io/Logging_2283/artfynd/A 45006-2023 artfynd.xlsx", "A 45006-2023")</f>
        <v/>
      </c>
      <c r="T123">
        <f>HYPERLINK("https://klasma.github.io/Logging_2283/kartor/A 45006-2023 karta.png", "A 45006-2023")</f>
        <v/>
      </c>
      <c r="V123">
        <f>HYPERLINK("https://klasma.github.io/Logging_2283/klagomål/A 45006-2023 FSC-klagomål.docx", "A 45006-2023")</f>
        <v/>
      </c>
      <c r="W123">
        <f>HYPERLINK("https://klasma.github.io/Logging_2283/klagomålsmail/A 45006-2023 FSC-klagomål mail.docx", "A 45006-2023")</f>
        <v/>
      </c>
      <c r="X123">
        <f>HYPERLINK("https://klasma.github.io/Logging_2283/tillsyn/A 45006-2023 tillsynsbegäran.docx", "A 45006-2023")</f>
        <v/>
      </c>
      <c r="Y123">
        <f>HYPERLINK("https://klasma.github.io/Logging_2283/tillsynsmail/A 45006-2023 tillsynsbegäran mail.docx", "A 45006-2023")</f>
        <v/>
      </c>
    </row>
    <row r="124" ht="15" customHeight="1">
      <c r="A124" t="inlineStr">
        <is>
          <t>A 50838-2023</t>
        </is>
      </c>
      <c r="B124" s="1" t="n">
        <v>45217</v>
      </c>
      <c r="C124" s="1" t="n">
        <v>45337</v>
      </c>
      <c r="D124" t="inlineStr">
        <is>
          <t>VÄSTERNORRLANDS LÄN</t>
        </is>
      </c>
      <c r="E124" t="inlineStr">
        <is>
          <t>SOLLEFTEÅ</t>
        </is>
      </c>
      <c r="F124" t="inlineStr">
        <is>
          <t>SCA</t>
        </is>
      </c>
      <c r="G124" t="n">
        <v>2.1</v>
      </c>
      <c r="H124" t="n">
        <v>2</v>
      </c>
      <c r="I124" t="n">
        <v>0</v>
      </c>
      <c r="J124" t="n">
        <v>1</v>
      </c>
      <c r="K124" t="n">
        <v>2</v>
      </c>
      <c r="L124" t="n">
        <v>0</v>
      </c>
      <c r="M124" t="n">
        <v>0</v>
      </c>
      <c r="N124" t="n">
        <v>0</v>
      </c>
      <c r="O124" t="n">
        <v>3</v>
      </c>
      <c r="P124" t="n">
        <v>2</v>
      </c>
      <c r="Q124" t="n">
        <v>3</v>
      </c>
      <c r="R124" s="2" t="inlineStr">
        <is>
          <t>Doftticka
Knärot
Lunglav</t>
        </is>
      </c>
      <c r="S124">
        <f>HYPERLINK("https://klasma.github.io/Logging_2283/artfynd/A 50838-2023 artfynd.xlsx", "A 50838-2023")</f>
        <v/>
      </c>
      <c r="T124">
        <f>HYPERLINK("https://klasma.github.io/Logging_2283/kartor/A 50838-2023 karta.png", "A 50838-2023")</f>
        <v/>
      </c>
      <c r="U124">
        <f>HYPERLINK("https://klasma.github.io/Logging_2283/knärot/A 50838-2023 karta knärot.png", "A 50838-2023")</f>
        <v/>
      </c>
      <c r="V124">
        <f>HYPERLINK("https://klasma.github.io/Logging_2283/klagomål/A 50838-2023 FSC-klagomål.docx", "A 50838-2023")</f>
        <v/>
      </c>
      <c r="W124">
        <f>HYPERLINK("https://klasma.github.io/Logging_2283/klagomålsmail/A 50838-2023 FSC-klagomål mail.docx", "A 50838-2023")</f>
        <v/>
      </c>
      <c r="X124">
        <f>HYPERLINK("https://klasma.github.io/Logging_2283/tillsyn/A 50838-2023 tillsynsbegäran.docx", "A 50838-2023")</f>
        <v/>
      </c>
      <c r="Y124">
        <f>HYPERLINK("https://klasma.github.io/Logging_2283/tillsynsmail/A 50838-2023 tillsynsbegäran mail.docx", "A 50838-2023")</f>
        <v/>
      </c>
    </row>
    <row r="125" ht="15" customHeight="1">
      <c r="A125" t="inlineStr">
        <is>
          <t>A 52762-2023</t>
        </is>
      </c>
      <c r="B125" s="1" t="n">
        <v>45225</v>
      </c>
      <c r="C125" s="1" t="n">
        <v>45337</v>
      </c>
      <c r="D125" t="inlineStr">
        <is>
          <t>VÄSTERNORRLANDS LÄN</t>
        </is>
      </c>
      <c r="E125" t="inlineStr">
        <is>
          <t>SOLLEFTEÅ</t>
        </is>
      </c>
      <c r="F125" t="inlineStr">
        <is>
          <t>SCA</t>
        </is>
      </c>
      <c r="G125" t="n">
        <v>6.3</v>
      </c>
      <c r="H125" t="n">
        <v>1</v>
      </c>
      <c r="I125" t="n">
        <v>0</v>
      </c>
      <c r="J125" t="n">
        <v>2</v>
      </c>
      <c r="K125" t="n">
        <v>0</v>
      </c>
      <c r="L125" t="n">
        <v>0</v>
      </c>
      <c r="M125" t="n">
        <v>0</v>
      </c>
      <c r="N125" t="n">
        <v>0</v>
      </c>
      <c r="O125" t="n">
        <v>2</v>
      </c>
      <c r="P125" t="n">
        <v>0</v>
      </c>
      <c r="Q125" t="n">
        <v>3</v>
      </c>
      <c r="R125" s="2" t="inlineStr">
        <is>
          <t>Rosenticka
Ullticka
Fläcknycklar</t>
        </is>
      </c>
      <c r="S125">
        <f>HYPERLINK("https://klasma.github.io/Logging_2283/artfynd/A 52762-2023 artfynd.xlsx", "A 52762-2023")</f>
        <v/>
      </c>
      <c r="T125">
        <f>HYPERLINK("https://klasma.github.io/Logging_2283/kartor/A 52762-2023 karta.png", "A 52762-2023")</f>
        <v/>
      </c>
      <c r="V125">
        <f>HYPERLINK("https://klasma.github.io/Logging_2283/klagomål/A 52762-2023 FSC-klagomål.docx", "A 52762-2023")</f>
        <v/>
      </c>
      <c r="W125">
        <f>HYPERLINK("https://klasma.github.io/Logging_2283/klagomålsmail/A 52762-2023 FSC-klagomål mail.docx", "A 52762-2023")</f>
        <v/>
      </c>
      <c r="X125">
        <f>HYPERLINK("https://klasma.github.io/Logging_2283/tillsyn/A 52762-2023 tillsynsbegäran.docx", "A 52762-2023")</f>
        <v/>
      </c>
      <c r="Y125">
        <f>HYPERLINK("https://klasma.github.io/Logging_2283/tillsynsmail/A 52762-2023 tillsynsbegäran mail.docx", "A 52762-2023")</f>
        <v/>
      </c>
    </row>
    <row r="126" ht="15" customHeight="1">
      <c r="A126" t="inlineStr">
        <is>
          <t>A 58579-2018</t>
        </is>
      </c>
      <c r="B126" s="1" t="n">
        <v>43409</v>
      </c>
      <c r="C126" s="1" t="n">
        <v>45337</v>
      </c>
      <c r="D126" t="inlineStr">
        <is>
          <t>VÄSTERNORRLANDS LÄN</t>
        </is>
      </c>
      <c r="E126" t="inlineStr">
        <is>
          <t>SOLLEFTEÅ</t>
        </is>
      </c>
      <c r="G126" t="n">
        <v>2.3</v>
      </c>
      <c r="H126" t="n">
        <v>0</v>
      </c>
      <c r="I126" t="n">
        <v>0</v>
      </c>
      <c r="J126" t="n">
        <v>2</v>
      </c>
      <c r="K126" t="n">
        <v>0</v>
      </c>
      <c r="L126" t="n">
        <v>0</v>
      </c>
      <c r="M126" t="n">
        <v>0</v>
      </c>
      <c r="N126" t="n">
        <v>0</v>
      </c>
      <c r="O126" t="n">
        <v>2</v>
      </c>
      <c r="P126" t="n">
        <v>0</v>
      </c>
      <c r="Q126" t="n">
        <v>2</v>
      </c>
      <c r="R126" s="2" t="inlineStr">
        <is>
          <t>Garnlav
Ullticka</t>
        </is>
      </c>
      <c r="S126">
        <f>HYPERLINK("https://klasma.github.io/Logging_2283/artfynd/A 58579-2018 artfynd.xlsx", "A 58579-2018")</f>
        <v/>
      </c>
      <c r="T126">
        <f>HYPERLINK("https://klasma.github.io/Logging_2283/kartor/A 58579-2018 karta.png", "A 58579-2018")</f>
        <v/>
      </c>
      <c r="V126">
        <f>HYPERLINK("https://klasma.github.io/Logging_2283/klagomål/A 58579-2018 FSC-klagomål.docx", "A 58579-2018")</f>
        <v/>
      </c>
      <c r="W126">
        <f>HYPERLINK("https://klasma.github.io/Logging_2283/klagomålsmail/A 58579-2018 FSC-klagomål mail.docx", "A 58579-2018")</f>
        <v/>
      </c>
      <c r="X126">
        <f>HYPERLINK("https://klasma.github.io/Logging_2283/tillsyn/A 58579-2018 tillsynsbegäran.docx", "A 58579-2018")</f>
        <v/>
      </c>
      <c r="Y126">
        <f>HYPERLINK("https://klasma.github.io/Logging_2283/tillsynsmail/A 58579-2018 tillsynsbegäran mail.docx", "A 58579-2018")</f>
        <v/>
      </c>
    </row>
    <row r="127" ht="15" customHeight="1">
      <c r="A127" t="inlineStr">
        <is>
          <t>A 3782-2019</t>
        </is>
      </c>
      <c r="B127" s="1" t="n">
        <v>43481</v>
      </c>
      <c r="C127" s="1" t="n">
        <v>45337</v>
      </c>
      <c r="D127" t="inlineStr">
        <is>
          <t>VÄSTERNORRLANDS LÄN</t>
        </is>
      </c>
      <c r="E127" t="inlineStr">
        <is>
          <t>SOLLEFTEÅ</t>
        </is>
      </c>
      <c r="F127" t="inlineStr">
        <is>
          <t>SCA</t>
        </is>
      </c>
      <c r="G127" t="n">
        <v>3.7</v>
      </c>
      <c r="H127" t="n">
        <v>2</v>
      </c>
      <c r="I127" t="n">
        <v>0</v>
      </c>
      <c r="J127" t="n">
        <v>2</v>
      </c>
      <c r="K127" t="n">
        <v>0</v>
      </c>
      <c r="L127" t="n">
        <v>0</v>
      </c>
      <c r="M127" t="n">
        <v>0</v>
      </c>
      <c r="N127" t="n">
        <v>0</v>
      </c>
      <c r="O127" t="n">
        <v>2</v>
      </c>
      <c r="P127" t="n">
        <v>0</v>
      </c>
      <c r="Q127" t="n">
        <v>2</v>
      </c>
      <c r="R127" s="2" t="inlineStr">
        <is>
          <t>Drillsnäppa
Rödvingetrast</t>
        </is>
      </c>
      <c r="S127">
        <f>HYPERLINK("https://klasma.github.io/Logging_2283/artfynd/A 3782-2019 artfynd.xlsx", "A 3782-2019")</f>
        <v/>
      </c>
      <c r="T127">
        <f>HYPERLINK("https://klasma.github.io/Logging_2283/kartor/A 3782-2019 karta.png", "A 3782-2019")</f>
        <v/>
      </c>
      <c r="V127">
        <f>HYPERLINK("https://klasma.github.io/Logging_2283/klagomål/A 3782-2019 FSC-klagomål.docx", "A 3782-2019")</f>
        <v/>
      </c>
      <c r="W127">
        <f>HYPERLINK("https://klasma.github.io/Logging_2283/klagomålsmail/A 3782-2019 FSC-klagomål mail.docx", "A 3782-2019")</f>
        <v/>
      </c>
      <c r="X127">
        <f>HYPERLINK("https://klasma.github.io/Logging_2283/tillsyn/A 3782-2019 tillsynsbegäran.docx", "A 3782-2019")</f>
        <v/>
      </c>
      <c r="Y127">
        <f>HYPERLINK("https://klasma.github.io/Logging_2283/tillsynsmail/A 3782-2019 tillsynsbegäran mail.docx", "A 3782-2019")</f>
        <v/>
      </c>
      <c r="Z127">
        <f>HYPERLINK("https://klasma.github.io/Logging_2283/fåglar/A 3782-2019 prioriterade fågelarter.docx", "A 3782-2019")</f>
        <v/>
      </c>
    </row>
    <row r="128" ht="15" customHeight="1">
      <c r="A128" t="inlineStr">
        <is>
          <t>A 34918-2019</t>
        </is>
      </c>
      <c r="B128" s="1" t="n">
        <v>43658</v>
      </c>
      <c r="C128" s="1" t="n">
        <v>45337</v>
      </c>
      <c r="D128" t="inlineStr">
        <is>
          <t>VÄSTERNORRLANDS LÄN</t>
        </is>
      </c>
      <c r="E128" t="inlineStr">
        <is>
          <t>SOLLEFTEÅ</t>
        </is>
      </c>
      <c r="G128" t="n">
        <v>2.7</v>
      </c>
      <c r="H128" t="n">
        <v>0</v>
      </c>
      <c r="I128" t="n">
        <v>0</v>
      </c>
      <c r="J128" t="n">
        <v>2</v>
      </c>
      <c r="K128" t="n">
        <v>0</v>
      </c>
      <c r="L128" t="n">
        <v>0</v>
      </c>
      <c r="M128" t="n">
        <v>0</v>
      </c>
      <c r="N128" t="n">
        <v>0</v>
      </c>
      <c r="O128" t="n">
        <v>2</v>
      </c>
      <c r="P128" t="n">
        <v>0</v>
      </c>
      <c r="Q128" t="n">
        <v>2</v>
      </c>
      <c r="R128" s="2" t="inlineStr">
        <is>
          <t>Granticka
Ullticka</t>
        </is>
      </c>
      <c r="S128">
        <f>HYPERLINK("https://klasma.github.io/Logging_2283/artfynd/A 34918-2019 artfynd.xlsx", "A 34918-2019")</f>
        <v/>
      </c>
      <c r="T128">
        <f>HYPERLINK("https://klasma.github.io/Logging_2283/kartor/A 34918-2019 karta.png", "A 34918-2019")</f>
        <v/>
      </c>
      <c r="V128">
        <f>HYPERLINK("https://klasma.github.io/Logging_2283/klagomål/A 34918-2019 FSC-klagomål.docx", "A 34918-2019")</f>
        <v/>
      </c>
      <c r="W128">
        <f>HYPERLINK("https://klasma.github.io/Logging_2283/klagomålsmail/A 34918-2019 FSC-klagomål mail.docx", "A 34918-2019")</f>
        <v/>
      </c>
      <c r="X128">
        <f>HYPERLINK("https://klasma.github.io/Logging_2283/tillsyn/A 34918-2019 tillsynsbegäran.docx", "A 34918-2019")</f>
        <v/>
      </c>
      <c r="Y128">
        <f>HYPERLINK("https://klasma.github.io/Logging_2283/tillsynsmail/A 34918-2019 tillsynsbegäran mail.docx", "A 34918-2019")</f>
        <v/>
      </c>
    </row>
    <row r="129" ht="15" customHeight="1">
      <c r="A129" t="inlineStr">
        <is>
          <t>A 66366-2019</t>
        </is>
      </c>
      <c r="B129" s="1" t="n">
        <v>43808</v>
      </c>
      <c r="C129" s="1" t="n">
        <v>45337</v>
      </c>
      <c r="D129" t="inlineStr">
        <is>
          <t>VÄSTERNORRLANDS LÄN</t>
        </is>
      </c>
      <c r="E129" t="inlineStr">
        <is>
          <t>SOLLEFTEÅ</t>
        </is>
      </c>
      <c r="G129" t="n">
        <v>2.9</v>
      </c>
      <c r="H129" t="n">
        <v>0</v>
      </c>
      <c r="I129" t="n">
        <v>1</v>
      </c>
      <c r="J129" t="n">
        <v>1</v>
      </c>
      <c r="K129" t="n">
        <v>0</v>
      </c>
      <c r="L129" t="n">
        <v>0</v>
      </c>
      <c r="M129" t="n">
        <v>0</v>
      </c>
      <c r="N129" t="n">
        <v>0</v>
      </c>
      <c r="O129" t="n">
        <v>1</v>
      </c>
      <c r="P129" t="n">
        <v>0</v>
      </c>
      <c r="Q129" t="n">
        <v>2</v>
      </c>
      <c r="R129" s="2" t="inlineStr">
        <is>
          <t>Lunglav
Stor aspticka</t>
        </is>
      </c>
      <c r="S129">
        <f>HYPERLINK("https://klasma.github.io/Logging_2283/artfynd/A 66366-2019 artfynd.xlsx", "A 66366-2019")</f>
        <v/>
      </c>
      <c r="T129">
        <f>HYPERLINK("https://klasma.github.io/Logging_2283/kartor/A 66366-2019 karta.png", "A 66366-2019")</f>
        <v/>
      </c>
      <c r="V129">
        <f>HYPERLINK("https://klasma.github.io/Logging_2283/klagomål/A 66366-2019 FSC-klagomål.docx", "A 66366-2019")</f>
        <v/>
      </c>
      <c r="W129">
        <f>HYPERLINK("https://klasma.github.io/Logging_2283/klagomålsmail/A 66366-2019 FSC-klagomål mail.docx", "A 66366-2019")</f>
        <v/>
      </c>
      <c r="X129">
        <f>HYPERLINK("https://klasma.github.io/Logging_2283/tillsyn/A 66366-2019 tillsynsbegäran.docx", "A 66366-2019")</f>
        <v/>
      </c>
      <c r="Y129">
        <f>HYPERLINK("https://klasma.github.io/Logging_2283/tillsynsmail/A 66366-2019 tillsynsbegäran mail.docx", "A 66366-2019")</f>
        <v/>
      </c>
    </row>
    <row r="130" ht="15" customHeight="1">
      <c r="A130" t="inlineStr">
        <is>
          <t>A 5314-2020</t>
        </is>
      </c>
      <c r="B130" s="1" t="n">
        <v>43857</v>
      </c>
      <c r="C130" s="1" t="n">
        <v>45337</v>
      </c>
      <c r="D130" t="inlineStr">
        <is>
          <t>VÄSTERNORRLANDS LÄN</t>
        </is>
      </c>
      <c r="E130" t="inlineStr">
        <is>
          <t>SOLLEFTEÅ</t>
        </is>
      </c>
      <c r="G130" t="n">
        <v>1.1</v>
      </c>
      <c r="H130" t="n">
        <v>0</v>
      </c>
      <c r="I130" t="n">
        <v>0</v>
      </c>
      <c r="J130" t="n">
        <v>2</v>
      </c>
      <c r="K130" t="n">
        <v>0</v>
      </c>
      <c r="L130" t="n">
        <v>0</v>
      </c>
      <c r="M130" t="n">
        <v>0</v>
      </c>
      <c r="N130" t="n">
        <v>0</v>
      </c>
      <c r="O130" t="n">
        <v>2</v>
      </c>
      <c r="P130" t="n">
        <v>0</v>
      </c>
      <c r="Q130" t="n">
        <v>2</v>
      </c>
      <c r="R130" s="2" t="inlineStr">
        <is>
          <t>Kolflarnlav
Vedskivlav</t>
        </is>
      </c>
      <c r="S130">
        <f>HYPERLINK("https://klasma.github.io/Logging_2283/artfynd/A 5314-2020 artfynd.xlsx", "A 5314-2020")</f>
        <v/>
      </c>
      <c r="T130">
        <f>HYPERLINK("https://klasma.github.io/Logging_2283/kartor/A 5314-2020 karta.png", "A 5314-2020")</f>
        <v/>
      </c>
      <c r="V130">
        <f>HYPERLINK("https://klasma.github.io/Logging_2283/klagomål/A 5314-2020 FSC-klagomål.docx", "A 5314-2020")</f>
        <v/>
      </c>
      <c r="W130">
        <f>HYPERLINK("https://klasma.github.io/Logging_2283/klagomålsmail/A 5314-2020 FSC-klagomål mail.docx", "A 5314-2020")</f>
        <v/>
      </c>
      <c r="X130">
        <f>HYPERLINK("https://klasma.github.io/Logging_2283/tillsyn/A 5314-2020 tillsynsbegäran.docx", "A 5314-2020")</f>
        <v/>
      </c>
      <c r="Y130">
        <f>HYPERLINK("https://klasma.github.io/Logging_2283/tillsynsmail/A 5314-2020 tillsynsbegäran mail.docx", "A 5314-2020")</f>
        <v/>
      </c>
    </row>
    <row r="131" ht="15" customHeight="1">
      <c r="A131" t="inlineStr">
        <is>
          <t>A 29505-2020</t>
        </is>
      </c>
      <c r="B131" s="1" t="n">
        <v>44004</v>
      </c>
      <c r="C131" s="1" t="n">
        <v>45337</v>
      </c>
      <c r="D131" t="inlineStr">
        <is>
          <t>VÄSTERNORRLANDS LÄN</t>
        </is>
      </c>
      <c r="E131" t="inlineStr">
        <is>
          <t>SOLLEFTEÅ</t>
        </is>
      </c>
      <c r="F131" t="inlineStr">
        <is>
          <t>SCA</t>
        </is>
      </c>
      <c r="G131" t="n">
        <v>1.9</v>
      </c>
      <c r="H131" t="n">
        <v>0</v>
      </c>
      <c r="I131" t="n">
        <v>1</v>
      </c>
      <c r="J131" t="n">
        <v>1</v>
      </c>
      <c r="K131" t="n">
        <v>0</v>
      </c>
      <c r="L131" t="n">
        <v>0</v>
      </c>
      <c r="M131" t="n">
        <v>0</v>
      </c>
      <c r="N131" t="n">
        <v>0</v>
      </c>
      <c r="O131" t="n">
        <v>1</v>
      </c>
      <c r="P131" t="n">
        <v>0</v>
      </c>
      <c r="Q131" t="n">
        <v>2</v>
      </c>
      <c r="R131" s="2" t="inlineStr">
        <is>
          <t>Lunglav
Bårdlav</t>
        </is>
      </c>
      <c r="S131">
        <f>HYPERLINK("https://klasma.github.io/Logging_2283/artfynd/A 29505-2020 artfynd.xlsx", "A 29505-2020")</f>
        <v/>
      </c>
      <c r="T131">
        <f>HYPERLINK("https://klasma.github.io/Logging_2283/kartor/A 29505-2020 karta.png", "A 29505-2020")</f>
        <v/>
      </c>
      <c r="V131">
        <f>HYPERLINK("https://klasma.github.io/Logging_2283/klagomål/A 29505-2020 FSC-klagomål.docx", "A 29505-2020")</f>
        <v/>
      </c>
      <c r="W131">
        <f>HYPERLINK("https://klasma.github.io/Logging_2283/klagomålsmail/A 29505-2020 FSC-klagomål mail.docx", "A 29505-2020")</f>
        <v/>
      </c>
      <c r="X131">
        <f>HYPERLINK("https://klasma.github.io/Logging_2283/tillsyn/A 29505-2020 tillsynsbegäran.docx", "A 29505-2020")</f>
        <v/>
      </c>
      <c r="Y131">
        <f>HYPERLINK("https://klasma.github.io/Logging_2283/tillsynsmail/A 29505-2020 tillsynsbegäran mail.docx", "A 29505-2020")</f>
        <v/>
      </c>
    </row>
    <row r="132" ht="15" customHeight="1">
      <c r="A132" t="inlineStr">
        <is>
          <t>A 34085-2020</t>
        </is>
      </c>
      <c r="B132" s="1" t="n">
        <v>44028</v>
      </c>
      <c r="C132" s="1" t="n">
        <v>45337</v>
      </c>
      <c r="D132" t="inlineStr">
        <is>
          <t>VÄSTERNORRLANDS LÄN</t>
        </is>
      </c>
      <c r="E132" t="inlineStr">
        <is>
          <t>SOLLEFTEÅ</t>
        </is>
      </c>
      <c r="F132" t="inlineStr">
        <is>
          <t>SCA</t>
        </is>
      </c>
      <c r="G132" t="n">
        <v>3.7</v>
      </c>
      <c r="H132" t="n">
        <v>1</v>
      </c>
      <c r="I132" t="n">
        <v>0</v>
      </c>
      <c r="J132" t="n">
        <v>1</v>
      </c>
      <c r="K132" t="n">
        <v>1</v>
      </c>
      <c r="L132" t="n">
        <v>0</v>
      </c>
      <c r="M132" t="n">
        <v>0</v>
      </c>
      <c r="N132" t="n">
        <v>0</v>
      </c>
      <c r="O132" t="n">
        <v>2</v>
      </c>
      <c r="P132" t="n">
        <v>1</v>
      </c>
      <c r="Q132" t="n">
        <v>2</v>
      </c>
      <c r="R132" s="2" t="inlineStr">
        <is>
          <t>Knärot
Lunglav</t>
        </is>
      </c>
      <c r="S132">
        <f>HYPERLINK("https://klasma.github.io/Logging_2283/artfynd/A 34085-2020 artfynd.xlsx", "A 34085-2020")</f>
        <v/>
      </c>
      <c r="T132">
        <f>HYPERLINK("https://klasma.github.io/Logging_2283/kartor/A 34085-2020 karta.png", "A 34085-2020")</f>
        <v/>
      </c>
      <c r="U132">
        <f>HYPERLINK("https://klasma.github.io/Logging_2283/knärot/A 34085-2020 karta knärot.png", "A 34085-2020")</f>
        <v/>
      </c>
      <c r="V132">
        <f>HYPERLINK("https://klasma.github.io/Logging_2283/klagomål/A 34085-2020 FSC-klagomål.docx", "A 34085-2020")</f>
        <v/>
      </c>
      <c r="W132">
        <f>HYPERLINK("https://klasma.github.io/Logging_2283/klagomålsmail/A 34085-2020 FSC-klagomål mail.docx", "A 34085-2020")</f>
        <v/>
      </c>
      <c r="X132">
        <f>HYPERLINK("https://klasma.github.io/Logging_2283/tillsyn/A 34085-2020 tillsynsbegäran.docx", "A 34085-2020")</f>
        <v/>
      </c>
      <c r="Y132">
        <f>HYPERLINK("https://klasma.github.io/Logging_2283/tillsynsmail/A 34085-2020 tillsynsbegäran mail.docx", "A 34085-2020")</f>
        <v/>
      </c>
    </row>
    <row r="133" ht="15" customHeight="1">
      <c r="A133" t="inlineStr">
        <is>
          <t>A 2309-2021</t>
        </is>
      </c>
      <c r="B133" s="1" t="n">
        <v>44213</v>
      </c>
      <c r="C133" s="1" t="n">
        <v>45337</v>
      </c>
      <c r="D133" t="inlineStr">
        <is>
          <t>VÄSTERNORRLANDS LÄN</t>
        </is>
      </c>
      <c r="E133" t="inlineStr">
        <is>
          <t>SOLLEFTEÅ</t>
        </is>
      </c>
      <c r="G133" t="n">
        <v>2.1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HYPERLINK("https://klasma.github.io/Logging_2283/artfynd/A 2309-2021 artfynd.xlsx", "A 2309-2021")</f>
        <v/>
      </c>
      <c r="T133">
        <f>HYPERLINK("https://klasma.github.io/Logging_2283/kartor/A 2309-2021 karta.png", "A 2309-2021")</f>
        <v/>
      </c>
      <c r="V133">
        <f>HYPERLINK("https://klasma.github.io/Logging_2283/klagomål/A 2309-2021 FSC-klagomål.docx", "A 2309-2021")</f>
        <v/>
      </c>
      <c r="W133">
        <f>HYPERLINK("https://klasma.github.io/Logging_2283/klagomålsmail/A 2309-2021 FSC-klagomål mail.docx", "A 2309-2021")</f>
        <v/>
      </c>
      <c r="X133">
        <f>HYPERLINK("https://klasma.github.io/Logging_2283/tillsyn/A 2309-2021 tillsynsbegäran.docx", "A 2309-2021")</f>
        <v/>
      </c>
      <c r="Y133">
        <f>HYPERLINK("https://klasma.github.io/Logging_2283/tillsynsmail/A 2309-2021 tillsynsbegäran mail.docx", "A 2309-2021")</f>
        <v/>
      </c>
      <c r="Z133">
        <f>HYPERLINK("https://klasma.github.io/Logging_2283/fåglar/A 2309-2021 prioriterade fågelarter.docx", "A 2309-2021")</f>
        <v/>
      </c>
    </row>
    <row r="134" ht="15" customHeight="1">
      <c r="A134" t="inlineStr">
        <is>
          <t>A 20836-2021</t>
        </is>
      </c>
      <c r="B134" s="1" t="n">
        <v>44318</v>
      </c>
      <c r="C134" s="1" t="n">
        <v>45337</v>
      </c>
      <c r="D134" t="inlineStr">
        <is>
          <t>VÄSTERNORRLANDS LÄN</t>
        </is>
      </c>
      <c r="E134" t="inlineStr">
        <is>
          <t>SOLLEFTEÅ</t>
        </is>
      </c>
      <c r="F134" t="inlineStr">
        <is>
          <t>SCA</t>
        </is>
      </c>
      <c r="G134" t="n">
        <v>4.8</v>
      </c>
      <c r="H134" t="n">
        <v>1</v>
      </c>
      <c r="I134" t="n">
        <v>0</v>
      </c>
      <c r="J134" t="n">
        <v>2</v>
      </c>
      <c r="K134" t="n">
        <v>0</v>
      </c>
      <c r="L134" t="n">
        <v>0</v>
      </c>
      <c r="M134" t="n">
        <v>0</v>
      </c>
      <c r="N134" t="n">
        <v>0</v>
      </c>
      <c r="O134" t="n">
        <v>2</v>
      </c>
      <c r="P134" t="n">
        <v>0</v>
      </c>
      <c r="Q134" t="n">
        <v>2</v>
      </c>
      <c r="R134" s="2" t="inlineStr">
        <is>
          <t>Garnlav
Talltita</t>
        </is>
      </c>
      <c r="S134">
        <f>HYPERLINK("https://klasma.github.io/Logging_2283/artfynd/A 20836-2021 artfynd.xlsx", "A 20836-2021")</f>
        <v/>
      </c>
      <c r="T134">
        <f>HYPERLINK("https://klasma.github.io/Logging_2283/kartor/A 20836-2021 karta.png", "A 20836-2021")</f>
        <v/>
      </c>
      <c r="V134">
        <f>HYPERLINK("https://klasma.github.io/Logging_2283/klagomål/A 20836-2021 FSC-klagomål.docx", "A 20836-2021")</f>
        <v/>
      </c>
      <c r="W134">
        <f>HYPERLINK("https://klasma.github.io/Logging_2283/klagomålsmail/A 20836-2021 FSC-klagomål mail.docx", "A 20836-2021")</f>
        <v/>
      </c>
      <c r="X134">
        <f>HYPERLINK("https://klasma.github.io/Logging_2283/tillsyn/A 20836-2021 tillsynsbegäran.docx", "A 20836-2021")</f>
        <v/>
      </c>
      <c r="Y134">
        <f>HYPERLINK("https://klasma.github.io/Logging_2283/tillsynsmail/A 20836-2021 tillsynsbegäran mail.docx", "A 20836-2021")</f>
        <v/>
      </c>
      <c r="Z134">
        <f>HYPERLINK("https://klasma.github.io/Logging_2283/fåglar/A 20836-2021 prioriterade fågelarter.docx", "A 20836-2021")</f>
        <v/>
      </c>
    </row>
    <row r="135" ht="15" customHeight="1">
      <c r="A135" t="inlineStr">
        <is>
          <t>A 27983-2021</t>
        </is>
      </c>
      <c r="B135" s="1" t="n">
        <v>44354</v>
      </c>
      <c r="C135" s="1" t="n">
        <v>45337</v>
      </c>
      <c r="D135" t="inlineStr">
        <is>
          <t>VÄSTERNORRLANDS LÄN</t>
        </is>
      </c>
      <c r="E135" t="inlineStr">
        <is>
          <t>SOLLEFTEÅ</t>
        </is>
      </c>
      <c r="F135" t="inlineStr">
        <is>
          <t>SCA</t>
        </is>
      </c>
      <c r="G135" t="n">
        <v>5.4</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27983-2021 artfynd.xlsx", "A 27983-2021")</f>
        <v/>
      </c>
      <c r="T135">
        <f>HYPERLINK("https://klasma.github.io/Logging_2283/kartor/A 27983-2021 karta.png", "A 27983-2021")</f>
        <v/>
      </c>
      <c r="V135">
        <f>HYPERLINK("https://klasma.github.io/Logging_2283/klagomål/A 27983-2021 FSC-klagomål.docx", "A 27983-2021")</f>
        <v/>
      </c>
      <c r="W135">
        <f>HYPERLINK("https://klasma.github.io/Logging_2283/klagomålsmail/A 27983-2021 FSC-klagomål mail.docx", "A 27983-2021")</f>
        <v/>
      </c>
      <c r="X135">
        <f>HYPERLINK("https://klasma.github.io/Logging_2283/tillsyn/A 27983-2021 tillsynsbegäran.docx", "A 27983-2021")</f>
        <v/>
      </c>
      <c r="Y135">
        <f>HYPERLINK("https://klasma.github.io/Logging_2283/tillsynsmail/A 27983-2021 tillsynsbegäran mail.docx", "A 27983-2021")</f>
        <v/>
      </c>
    </row>
    <row r="136" ht="15" customHeight="1">
      <c r="A136" t="inlineStr">
        <is>
          <t>A 39329-2021</t>
        </is>
      </c>
      <c r="B136" s="1" t="n">
        <v>44414</v>
      </c>
      <c r="C136" s="1" t="n">
        <v>45337</v>
      </c>
      <c r="D136" t="inlineStr">
        <is>
          <t>VÄSTERNORRLANDS LÄN</t>
        </is>
      </c>
      <c r="E136" t="inlineStr">
        <is>
          <t>SOLLEFTEÅ</t>
        </is>
      </c>
      <c r="F136" t="inlineStr">
        <is>
          <t>SCA</t>
        </is>
      </c>
      <c r="G136" t="n">
        <v>2.7</v>
      </c>
      <c r="H136" t="n">
        <v>0</v>
      </c>
      <c r="I136" t="n">
        <v>1</v>
      </c>
      <c r="J136" t="n">
        <v>1</v>
      </c>
      <c r="K136" t="n">
        <v>0</v>
      </c>
      <c r="L136" t="n">
        <v>0</v>
      </c>
      <c r="M136" t="n">
        <v>0</v>
      </c>
      <c r="N136" t="n">
        <v>0</v>
      </c>
      <c r="O136" t="n">
        <v>1</v>
      </c>
      <c r="P136" t="n">
        <v>0</v>
      </c>
      <c r="Q136" t="n">
        <v>2</v>
      </c>
      <c r="R136" s="2" t="inlineStr">
        <is>
          <t>Mörk kolflarnlav
Bollvitmossa</t>
        </is>
      </c>
      <c r="S136">
        <f>HYPERLINK("https://klasma.github.io/Logging_2283/artfynd/A 39329-2021 artfynd.xlsx", "A 39329-2021")</f>
        <v/>
      </c>
      <c r="T136">
        <f>HYPERLINK("https://klasma.github.io/Logging_2283/kartor/A 39329-2021 karta.png", "A 39329-2021")</f>
        <v/>
      </c>
      <c r="V136">
        <f>HYPERLINK("https://klasma.github.io/Logging_2283/klagomål/A 39329-2021 FSC-klagomål.docx", "A 39329-2021")</f>
        <v/>
      </c>
      <c r="W136">
        <f>HYPERLINK("https://klasma.github.io/Logging_2283/klagomålsmail/A 39329-2021 FSC-klagomål mail.docx", "A 39329-2021")</f>
        <v/>
      </c>
      <c r="X136">
        <f>HYPERLINK("https://klasma.github.io/Logging_2283/tillsyn/A 39329-2021 tillsynsbegäran.docx", "A 39329-2021")</f>
        <v/>
      </c>
      <c r="Y136">
        <f>HYPERLINK("https://klasma.github.io/Logging_2283/tillsynsmail/A 39329-2021 tillsynsbegäran mail.docx", "A 39329-2021")</f>
        <v/>
      </c>
    </row>
    <row r="137" ht="15" customHeight="1">
      <c r="A137" t="inlineStr">
        <is>
          <t>A 47858-2021</t>
        </is>
      </c>
      <c r="B137" s="1" t="n">
        <v>44448</v>
      </c>
      <c r="C137" s="1" t="n">
        <v>45337</v>
      </c>
      <c r="D137" t="inlineStr">
        <is>
          <t>VÄSTERNORRLANDS LÄN</t>
        </is>
      </c>
      <c r="E137" t="inlineStr">
        <is>
          <t>SOLLEFTEÅ</t>
        </is>
      </c>
      <c r="G137" t="n">
        <v>7.7</v>
      </c>
      <c r="H137" t="n">
        <v>0</v>
      </c>
      <c r="I137" t="n">
        <v>0</v>
      </c>
      <c r="J137" t="n">
        <v>2</v>
      </c>
      <c r="K137" t="n">
        <v>0</v>
      </c>
      <c r="L137" t="n">
        <v>0</v>
      </c>
      <c r="M137" t="n">
        <v>0</v>
      </c>
      <c r="N137" t="n">
        <v>0</v>
      </c>
      <c r="O137" t="n">
        <v>2</v>
      </c>
      <c r="P137" t="n">
        <v>0</v>
      </c>
      <c r="Q137" t="n">
        <v>2</v>
      </c>
      <c r="R137" s="2" t="inlineStr">
        <is>
          <t>Rosenticka
Ullticka</t>
        </is>
      </c>
      <c r="S137">
        <f>HYPERLINK("https://klasma.github.io/Logging_2283/artfynd/A 47858-2021 artfynd.xlsx", "A 47858-2021")</f>
        <v/>
      </c>
      <c r="T137">
        <f>HYPERLINK("https://klasma.github.io/Logging_2283/kartor/A 47858-2021 karta.png", "A 47858-2021")</f>
        <v/>
      </c>
      <c r="V137">
        <f>HYPERLINK("https://klasma.github.io/Logging_2283/klagomål/A 47858-2021 FSC-klagomål.docx", "A 47858-2021")</f>
        <v/>
      </c>
      <c r="W137">
        <f>HYPERLINK("https://klasma.github.io/Logging_2283/klagomålsmail/A 47858-2021 FSC-klagomål mail.docx", "A 47858-2021")</f>
        <v/>
      </c>
      <c r="X137">
        <f>HYPERLINK("https://klasma.github.io/Logging_2283/tillsyn/A 47858-2021 tillsynsbegäran.docx", "A 47858-2021")</f>
        <v/>
      </c>
      <c r="Y137">
        <f>HYPERLINK("https://klasma.github.io/Logging_2283/tillsynsmail/A 47858-2021 tillsynsbegäran mail.docx", "A 47858-2021")</f>
        <v/>
      </c>
    </row>
    <row r="138" ht="15" customHeight="1">
      <c r="A138" t="inlineStr">
        <is>
          <t>A 51024-2021</t>
        </is>
      </c>
      <c r="B138" s="1" t="n">
        <v>44461</v>
      </c>
      <c r="C138" s="1" t="n">
        <v>45337</v>
      </c>
      <c r="D138" t="inlineStr">
        <is>
          <t>VÄSTERNORRLANDS LÄN</t>
        </is>
      </c>
      <c r="E138" t="inlineStr">
        <is>
          <t>SOLLEFTEÅ</t>
        </is>
      </c>
      <c r="F138" t="inlineStr">
        <is>
          <t>SCA</t>
        </is>
      </c>
      <c r="G138" t="n">
        <v>7.1</v>
      </c>
      <c r="H138" t="n">
        <v>0</v>
      </c>
      <c r="I138" t="n">
        <v>0</v>
      </c>
      <c r="J138" t="n">
        <v>2</v>
      </c>
      <c r="K138" t="n">
        <v>0</v>
      </c>
      <c r="L138" t="n">
        <v>0</v>
      </c>
      <c r="M138" t="n">
        <v>0</v>
      </c>
      <c r="N138" t="n">
        <v>0</v>
      </c>
      <c r="O138" t="n">
        <v>2</v>
      </c>
      <c r="P138" t="n">
        <v>0</v>
      </c>
      <c r="Q138" t="n">
        <v>2</v>
      </c>
      <c r="R138" s="2" t="inlineStr">
        <is>
          <t>Tallticka
Ullticka</t>
        </is>
      </c>
      <c r="S138">
        <f>HYPERLINK("https://klasma.github.io/Logging_2283/artfynd/A 51024-2021 artfynd.xlsx", "A 51024-2021")</f>
        <v/>
      </c>
      <c r="T138">
        <f>HYPERLINK("https://klasma.github.io/Logging_2283/kartor/A 51024-2021 karta.png", "A 51024-2021")</f>
        <v/>
      </c>
      <c r="V138">
        <f>HYPERLINK("https://klasma.github.io/Logging_2283/klagomål/A 51024-2021 FSC-klagomål.docx", "A 51024-2021")</f>
        <v/>
      </c>
      <c r="W138">
        <f>HYPERLINK("https://klasma.github.io/Logging_2283/klagomålsmail/A 51024-2021 FSC-klagomål mail.docx", "A 51024-2021")</f>
        <v/>
      </c>
      <c r="X138">
        <f>HYPERLINK("https://klasma.github.io/Logging_2283/tillsyn/A 51024-2021 tillsynsbegäran.docx", "A 51024-2021")</f>
        <v/>
      </c>
      <c r="Y138">
        <f>HYPERLINK("https://klasma.github.io/Logging_2283/tillsynsmail/A 51024-2021 tillsynsbegäran mail.docx", "A 51024-2021")</f>
        <v/>
      </c>
    </row>
    <row r="139" ht="15" customHeight="1">
      <c r="A139" t="inlineStr">
        <is>
          <t>A 54153-2021</t>
        </is>
      </c>
      <c r="B139" s="1" t="n">
        <v>44469</v>
      </c>
      <c r="C139" s="1" t="n">
        <v>45337</v>
      </c>
      <c r="D139" t="inlineStr">
        <is>
          <t>VÄSTERNORRLANDS LÄN</t>
        </is>
      </c>
      <c r="E139" t="inlineStr">
        <is>
          <t>SOLLEFTEÅ</t>
        </is>
      </c>
      <c r="G139" t="n">
        <v>1.4</v>
      </c>
      <c r="H139" t="n">
        <v>0</v>
      </c>
      <c r="I139" t="n">
        <v>0</v>
      </c>
      <c r="J139" t="n">
        <v>2</v>
      </c>
      <c r="K139" t="n">
        <v>0</v>
      </c>
      <c r="L139" t="n">
        <v>0</v>
      </c>
      <c r="M139" t="n">
        <v>0</v>
      </c>
      <c r="N139" t="n">
        <v>0</v>
      </c>
      <c r="O139" t="n">
        <v>2</v>
      </c>
      <c r="P139" t="n">
        <v>0</v>
      </c>
      <c r="Q139" t="n">
        <v>2</v>
      </c>
      <c r="R139" s="2" t="inlineStr">
        <is>
          <t>Garnlav
Rosenticka</t>
        </is>
      </c>
      <c r="S139">
        <f>HYPERLINK("https://klasma.github.io/Logging_2283/artfynd/A 54153-2021 artfynd.xlsx", "A 54153-2021")</f>
        <v/>
      </c>
      <c r="T139">
        <f>HYPERLINK("https://klasma.github.io/Logging_2283/kartor/A 54153-2021 karta.png", "A 54153-2021")</f>
        <v/>
      </c>
      <c r="V139">
        <f>HYPERLINK("https://klasma.github.io/Logging_2283/klagomål/A 54153-2021 FSC-klagomål.docx", "A 54153-2021")</f>
        <v/>
      </c>
      <c r="W139">
        <f>HYPERLINK("https://klasma.github.io/Logging_2283/klagomålsmail/A 54153-2021 FSC-klagomål mail.docx", "A 54153-2021")</f>
        <v/>
      </c>
      <c r="X139">
        <f>HYPERLINK("https://klasma.github.io/Logging_2283/tillsyn/A 54153-2021 tillsynsbegäran.docx", "A 54153-2021")</f>
        <v/>
      </c>
      <c r="Y139">
        <f>HYPERLINK("https://klasma.github.io/Logging_2283/tillsynsmail/A 54153-2021 tillsynsbegäran mail.docx", "A 54153-2021")</f>
        <v/>
      </c>
    </row>
    <row r="140" ht="15" customHeight="1">
      <c r="A140" t="inlineStr">
        <is>
          <t>A 9583-2022</t>
        </is>
      </c>
      <c r="B140" s="1" t="n">
        <v>44617</v>
      </c>
      <c r="C140" s="1" t="n">
        <v>45337</v>
      </c>
      <c r="D140" t="inlineStr">
        <is>
          <t>VÄSTERNORRLANDS LÄN</t>
        </is>
      </c>
      <c r="E140" t="inlineStr">
        <is>
          <t>SOLLEFTEÅ</t>
        </is>
      </c>
      <c r="F140" t="inlineStr">
        <is>
          <t>Övriga Aktiebolag</t>
        </is>
      </c>
      <c r="G140" t="n">
        <v>2.3</v>
      </c>
      <c r="H140" t="n">
        <v>0</v>
      </c>
      <c r="I140" t="n">
        <v>0</v>
      </c>
      <c r="J140" t="n">
        <v>2</v>
      </c>
      <c r="K140" t="n">
        <v>0</v>
      </c>
      <c r="L140" t="n">
        <v>0</v>
      </c>
      <c r="M140" t="n">
        <v>0</v>
      </c>
      <c r="N140" t="n">
        <v>0</v>
      </c>
      <c r="O140" t="n">
        <v>2</v>
      </c>
      <c r="P140" t="n">
        <v>0</v>
      </c>
      <c r="Q140" t="n">
        <v>2</v>
      </c>
      <c r="R140" s="2" t="inlineStr">
        <is>
          <t>Garnlav
Lunglav</t>
        </is>
      </c>
      <c r="S140">
        <f>HYPERLINK("https://klasma.github.io/Logging_2283/artfynd/A 9583-2022 artfynd.xlsx", "A 9583-2022")</f>
        <v/>
      </c>
      <c r="T140">
        <f>HYPERLINK("https://klasma.github.io/Logging_2283/kartor/A 9583-2022 karta.png", "A 9583-2022")</f>
        <v/>
      </c>
      <c r="V140">
        <f>HYPERLINK("https://klasma.github.io/Logging_2283/klagomål/A 9583-2022 FSC-klagomål.docx", "A 9583-2022")</f>
        <v/>
      </c>
      <c r="W140">
        <f>HYPERLINK("https://klasma.github.io/Logging_2283/klagomålsmail/A 9583-2022 FSC-klagomål mail.docx", "A 9583-2022")</f>
        <v/>
      </c>
      <c r="X140">
        <f>HYPERLINK("https://klasma.github.io/Logging_2283/tillsyn/A 9583-2022 tillsynsbegäran.docx", "A 9583-2022")</f>
        <v/>
      </c>
      <c r="Y140">
        <f>HYPERLINK("https://klasma.github.io/Logging_2283/tillsynsmail/A 9583-2022 tillsynsbegäran mail.docx", "A 9583-2022")</f>
        <v/>
      </c>
    </row>
    <row r="141" ht="15" customHeight="1">
      <c r="A141" t="inlineStr">
        <is>
          <t>A 13059-2022</t>
        </is>
      </c>
      <c r="B141" s="1" t="n">
        <v>44643</v>
      </c>
      <c r="C141" s="1" t="n">
        <v>45337</v>
      </c>
      <c r="D141" t="inlineStr">
        <is>
          <t>VÄSTERNORRLANDS LÄN</t>
        </is>
      </c>
      <c r="E141" t="inlineStr">
        <is>
          <t>SOLLEFTEÅ</t>
        </is>
      </c>
      <c r="G141" t="n">
        <v>9.9</v>
      </c>
      <c r="H141" t="n">
        <v>0</v>
      </c>
      <c r="I141" t="n">
        <v>0</v>
      </c>
      <c r="J141" t="n">
        <v>2</v>
      </c>
      <c r="K141" t="n">
        <v>0</v>
      </c>
      <c r="L141" t="n">
        <v>0</v>
      </c>
      <c r="M141" t="n">
        <v>0</v>
      </c>
      <c r="N141" t="n">
        <v>0</v>
      </c>
      <c r="O141" t="n">
        <v>2</v>
      </c>
      <c r="P141" t="n">
        <v>0</v>
      </c>
      <c r="Q141" t="n">
        <v>2</v>
      </c>
      <c r="R141" s="2" t="inlineStr">
        <is>
          <t>Garnlav
Ullticka</t>
        </is>
      </c>
      <c r="S141">
        <f>HYPERLINK("https://klasma.github.io/Logging_2283/artfynd/A 13059-2022 artfynd.xlsx", "A 13059-2022")</f>
        <v/>
      </c>
      <c r="T141">
        <f>HYPERLINK("https://klasma.github.io/Logging_2283/kartor/A 13059-2022 karta.png", "A 13059-2022")</f>
        <v/>
      </c>
      <c r="V141">
        <f>HYPERLINK("https://klasma.github.io/Logging_2283/klagomål/A 13059-2022 FSC-klagomål.docx", "A 13059-2022")</f>
        <v/>
      </c>
      <c r="W141">
        <f>HYPERLINK("https://klasma.github.io/Logging_2283/klagomålsmail/A 13059-2022 FSC-klagomål mail.docx", "A 13059-2022")</f>
        <v/>
      </c>
      <c r="X141">
        <f>HYPERLINK("https://klasma.github.io/Logging_2283/tillsyn/A 13059-2022 tillsynsbegäran.docx", "A 13059-2022")</f>
        <v/>
      </c>
      <c r="Y141">
        <f>HYPERLINK("https://klasma.github.io/Logging_2283/tillsynsmail/A 13059-2022 tillsynsbegäran mail.docx", "A 13059-2022")</f>
        <v/>
      </c>
    </row>
    <row r="142" ht="15" customHeight="1">
      <c r="A142" t="inlineStr">
        <is>
          <t>A 20956-2022</t>
        </is>
      </c>
      <c r="B142" s="1" t="n">
        <v>44701</v>
      </c>
      <c r="C142" s="1" t="n">
        <v>45337</v>
      </c>
      <c r="D142" t="inlineStr">
        <is>
          <t>VÄSTERNORRLANDS LÄN</t>
        </is>
      </c>
      <c r="E142" t="inlineStr">
        <is>
          <t>SOLLEFTEÅ</t>
        </is>
      </c>
      <c r="F142" t="inlineStr">
        <is>
          <t>SCA</t>
        </is>
      </c>
      <c r="G142" t="n">
        <v>2.5</v>
      </c>
      <c r="H142" t="n">
        <v>0</v>
      </c>
      <c r="I142" t="n">
        <v>0</v>
      </c>
      <c r="J142" t="n">
        <v>2</v>
      </c>
      <c r="K142" t="n">
        <v>0</v>
      </c>
      <c r="L142" t="n">
        <v>0</v>
      </c>
      <c r="M142" t="n">
        <v>0</v>
      </c>
      <c r="N142" t="n">
        <v>0</v>
      </c>
      <c r="O142" t="n">
        <v>2</v>
      </c>
      <c r="P142" t="n">
        <v>0</v>
      </c>
      <c r="Q142" t="n">
        <v>2</v>
      </c>
      <c r="R142" s="2" t="inlineStr">
        <is>
          <t>Kandelabersvamp
Stiftgelélav</t>
        </is>
      </c>
      <c r="S142">
        <f>HYPERLINK("https://klasma.github.io/Logging_2283/artfynd/A 20956-2022 artfynd.xlsx", "A 20956-2022")</f>
        <v/>
      </c>
      <c r="T142">
        <f>HYPERLINK("https://klasma.github.io/Logging_2283/kartor/A 20956-2022 karta.png", "A 20956-2022")</f>
        <v/>
      </c>
      <c r="V142">
        <f>HYPERLINK("https://klasma.github.io/Logging_2283/klagomål/A 20956-2022 FSC-klagomål.docx", "A 20956-2022")</f>
        <v/>
      </c>
      <c r="W142">
        <f>HYPERLINK("https://klasma.github.io/Logging_2283/klagomålsmail/A 20956-2022 FSC-klagomål mail.docx", "A 20956-2022")</f>
        <v/>
      </c>
      <c r="X142">
        <f>HYPERLINK("https://klasma.github.io/Logging_2283/tillsyn/A 20956-2022 tillsynsbegäran.docx", "A 20956-2022")</f>
        <v/>
      </c>
      <c r="Y142">
        <f>HYPERLINK("https://klasma.github.io/Logging_2283/tillsynsmail/A 20956-2022 tillsynsbegäran mail.docx", "A 20956-2022")</f>
        <v/>
      </c>
    </row>
    <row r="143" ht="15" customHeight="1">
      <c r="A143" t="inlineStr">
        <is>
          <t>A 24321-2022</t>
        </is>
      </c>
      <c r="B143" s="1" t="n">
        <v>44725</v>
      </c>
      <c r="C143" s="1" t="n">
        <v>45337</v>
      </c>
      <c r="D143" t="inlineStr">
        <is>
          <t>VÄSTERNORRLANDS LÄN</t>
        </is>
      </c>
      <c r="E143" t="inlineStr">
        <is>
          <t>SOLLEFTEÅ</t>
        </is>
      </c>
      <c r="F143" t="inlineStr">
        <is>
          <t>SCA</t>
        </is>
      </c>
      <c r="G143" t="n">
        <v>1.1</v>
      </c>
      <c r="H143" t="n">
        <v>1</v>
      </c>
      <c r="I143" t="n">
        <v>0</v>
      </c>
      <c r="J143" t="n">
        <v>1</v>
      </c>
      <c r="K143" t="n">
        <v>1</v>
      </c>
      <c r="L143" t="n">
        <v>0</v>
      </c>
      <c r="M143" t="n">
        <v>0</v>
      </c>
      <c r="N143" t="n">
        <v>0</v>
      </c>
      <c r="O143" t="n">
        <v>2</v>
      </c>
      <c r="P143" t="n">
        <v>1</v>
      </c>
      <c r="Q143" t="n">
        <v>2</v>
      </c>
      <c r="R143" s="2" t="inlineStr">
        <is>
          <t>Knärot
Garnlav</t>
        </is>
      </c>
      <c r="S143">
        <f>HYPERLINK("https://klasma.github.io/Logging_2283/artfynd/A 24321-2022 artfynd.xlsx", "A 24321-2022")</f>
        <v/>
      </c>
      <c r="T143">
        <f>HYPERLINK("https://klasma.github.io/Logging_2283/kartor/A 24321-2022 karta.png", "A 24321-2022")</f>
        <v/>
      </c>
      <c r="U143">
        <f>HYPERLINK("https://klasma.github.io/Logging_2283/knärot/A 24321-2022 karta knärot.png", "A 24321-2022")</f>
        <v/>
      </c>
      <c r="V143">
        <f>HYPERLINK("https://klasma.github.io/Logging_2283/klagomål/A 24321-2022 FSC-klagomål.docx", "A 24321-2022")</f>
        <v/>
      </c>
      <c r="W143">
        <f>HYPERLINK("https://klasma.github.io/Logging_2283/klagomålsmail/A 24321-2022 FSC-klagomål mail.docx", "A 24321-2022")</f>
        <v/>
      </c>
      <c r="X143">
        <f>HYPERLINK("https://klasma.github.io/Logging_2283/tillsyn/A 24321-2022 tillsynsbegäran.docx", "A 24321-2022")</f>
        <v/>
      </c>
      <c r="Y143">
        <f>HYPERLINK("https://klasma.github.io/Logging_2283/tillsynsmail/A 24321-2022 tillsynsbegäran mail.docx", "A 24321-2022")</f>
        <v/>
      </c>
    </row>
    <row r="144" ht="15" customHeight="1">
      <c r="A144" t="inlineStr">
        <is>
          <t>A 29549-2022</t>
        </is>
      </c>
      <c r="B144" s="1" t="n">
        <v>44753</v>
      </c>
      <c r="C144" s="1" t="n">
        <v>45337</v>
      </c>
      <c r="D144" t="inlineStr">
        <is>
          <t>VÄSTERNORRLANDS LÄN</t>
        </is>
      </c>
      <c r="E144" t="inlineStr">
        <is>
          <t>SOLLEFTEÅ</t>
        </is>
      </c>
      <c r="F144" t="inlineStr">
        <is>
          <t>SCA</t>
        </is>
      </c>
      <c r="G144" t="n">
        <v>36.7</v>
      </c>
      <c r="H144" t="n">
        <v>0</v>
      </c>
      <c r="I144" t="n">
        <v>0</v>
      </c>
      <c r="J144" t="n">
        <v>2</v>
      </c>
      <c r="K144" t="n">
        <v>0</v>
      </c>
      <c r="L144" t="n">
        <v>0</v>
      </c>
      <c r="M144" t="n">
        <v>0</v>
      </c>
      <c r="N144" t="n">
        <v>0</v>
      </c>
      <c r="O144" t="n">
        <v>2</v>
      </c>
      <c r="P144" t="n">
        <v>0</v>
      </c>
      <c r="Q144" t="n">
        <v>2</v>
      </c>
      <c r="R144" s="2" t="inlineStr">
        <is>
          <t>Kolflarnlav
Skrovlig taggsvamp</t>
        </is>
      </c>
      <c r="S144">
        <f>HYPERLINK("https://klasma.github.io/Logging_2283/artfynd/A 29549-2022 artfynd.xlsx", "A 29549-2022")</f>
        <v/>
      </c>
      <c r="T144">
        <f>HYPERLINK("https://klasma.github.io/Logging_2283/kartor/A 29549-2022 karta.png", "A 29549-2022")</f>
        <v/>
      </c>
      <c r="V144">
        <f>HYPERLINK("https://klasma.github.io/Logging_2283/klagomål/A 29549-2022 FSC-klagomål.docx", "A 29549-2022")</f>
        <v/>
      </c>
      <c r="W144">
        <f>HYPERLINK("https://klasma.github.io/Logging_2283/klagomålsmail/A 29549-2022 FSC-klagomål mail.docx", "A 29549-2022")</f>
        <v/>
      </c>
      <c r="X144">
        <f>HYPERLINK("https://klasma.github.io/Logging_2283/tillsyn/A 29549-2022 tillsynsbegäran.docx", "A 29549-2022")</f>
        <v/>
      </c>
      <c r="Y144">
        <f>HYPERLINK("https://klasma.github.io/Logging_2283/tillsynsmail/A 29549-2022 tillsynsbegäran mail.docx", "A 29549-2022")</f>
        <v/>
      </c>
    </row>
    <row r="145" ht="15" customHeight="1">
      <c r="A145" t="inlineStr">
        <is>
          <t>A 30235-2022</t>
        </is>
      </c>
      <c r="B145" s="1" t="n">
        <v>44757</v>
      </c>
      <c r="C145" s="1" t="n">
        <v>45337</v>
      </c>
      <c r="D145" t="inlineStr">
        <is>
          <t>VÄSTERNORRLANDS LÄN</t>
        </is>
      </c>
      <c r="E145" t="inlineStr">
        <is>
          <t>SOLLEFTEÅ</t>
        </is>
      </c>
      <c r="F145" t="inlineStr">
        <is>
          <t>SCA</t>
        </is>
      </c>
      <c r="G145" t="n">
        <v>4.7</v>
      </c>
      <c r="H145" t="n">
        <v>2</v>
      </c>
      <c r="I145" t="n">
        <v>0</v>
      </c>
      <c r="J145" t="n">
        <v>0</v>
      </c>
      <c r="K145" t="n">
        <v>2</v>
      </c>
      <c r="L145" t="n">
        <v>0</v>
      </c>
      <c r="M145" t="n">
        <v>0</v>
      </c>
      <c r="N145" t="n">
        <v>0</v>
      </c>
      <c r="O145" t="n">
        <v>2</v>
      </c>
      <c r="P145" t="n">
        <v>2</v>
      </c>
      <c r="Q145" t="n">
        <v>2</v>
      </c>
      <c r="R145" s="2" t="inlineStr">
        <is>
          <t>Doftticka
Knärot</t>
        </is>
      </c>
      <c r="S145">
        <f>HYPERLINK("https://klasma.github.io/Logging_2283/artfynd/A 30235-2022 artfynd.xlsx", "A 30235-2022")</f>
        <v/>
      </c>
      <c r="T145">
        <f>HYPERLINK("https://klasma.github.io/Logging_2283/kartor/A 30235-2022 karta.png", "A 30235-2022")</f>
        <v/>
      </c>
      <c r="U145">
        <f>HYPERLINK("https://klasma.github.io/Logging_2283/knärot/A 30235-2022 karta knärot.png", "A 30235-2022")</f>
        <v/>
      </c>
      <c r="V145">
        <f>HYPERLINK("https://klasma.github.io/Logging_2283/klagomål/A 30235-2022 FSC-klagomål.docx", "A 30235-2022")</f>
        <v/>
      </c>
      <c r="W145">
        <f>HYPERLINK("https://klasma.github.io/Logging_2283/klagomålsmail/A 30235-2022 FSC-klagomål mail.docx", "A 30235-2022")</f>
        <v/>
      </c>
      <c r="X145">
        <f>HYPERLINK("https://klasma.github.io/Logging_2283/tillsyn/A 30235-2022 tillsynsbegäran.docx", "A 30235-2022")</f>
        <v/>
      </c>
      <c r="Y145">
        <f>HYPERLINK("https://klasma.github.io/Logging_2283/tillsynsmail/A 30235-2022 tillsynsbegäran mail.docx", "A 30235-2022")</f>
        <v/>
      </c>
    </row>
    <row r="146" ht="15" customHeight="1">
      <c r="A146" t="inlineStr">
        <is>
          <t>A 33087-2022</t>
        </is>
      </c>
      <c r="B146" s="1" t="n">
        <v>44785</v>
      </c>
      <c r="C146" s="1" t="n">
        <v>45337</v>
      </c>
      <c r="D146" t="inlineStr">
        <is>
          <t>VÄSTERNORRLANDS LÄN</t>
        </is>
      </c>
      <c r="E146" t="inlineStr">
        <is>
          <t>SOLLEFTEÅ</t>
        </is>
      </c>
      <c r="G146" t="n">
        <v>0.5</v>
      </c>
      <c r="H146" t="n">
        <v>0</v>
      </c>
      <c r="I146" t="n">
        <v>0</v>
      </c>
      <c r="J146" t="n">
        <v>2</v>
      </c>
      <c r="K146" t="n">
        <v>0</v>
      </c>
      <c r="L146" t="n">
        <v>0</v>
      </c>
      <c r="M146" t="n">
        <v>0</v>
      </c>
      <c r="N146" t="n">
        <v>0</v>
      </c>
      <c r="O146" t="n">
        <v>2</v>
      </c>
      <c r="P146" t="n">
        <v>0</v>
      </c>
      <c r="Q146" t="n">
        <v>2</v>
      </c>
      <c r="R146" s="2" t="inlineStr">
        <is>
          <t>Garnlav
Lunglav</t>
        </is>
      </c>
      <c r="S146">
        <f>HYPERLINK("https://klasma.github.io/Logging_2283/artfynd/A 33087-2022 artfynd.xlsx", "A 33087-2022")</f>
        <v/>
      </c>
      <c r="T146">
        <f>HYPERLINK("https://klasma.github.io/Logging_2283/kartor/A 33087-2022 karta.png", "A 33087-2022")</f>
        <v/>
      </c>
      <c r="V146">
        <f>HYPERLINK("https://klasma.github.io/Logging_2283/klagomål/A 33087-2022 FSC-klagomål.docx", "A 33087-2022")</f>
        <v/>
      </c>
      <c r="W146">
        <f>HYPERLINK("https://klasma.github.io/Logging_2283/klagomålsmail/A 33087-2022 FSC-klagomål mail.docx", "A 33087-2022")</f>
        <v/>
      </c>
      <c r="X146">
        <f>HYPERLINK("https://klasma.github.io/Logging_2283/tillsyn/A 33087-2022 tillsynsbegäran.docx", "A 33087-2022")</f>
        <v/>
      </c>
      <c r="Y146">
        <f>HYPERLINK("https://klasma.github.io/Logging_2283/tillsynsmail/A 33087-2022 tillsynsbegäran mail.docx", "A 33087-2022")</f>
        <v/>
      </c>
    </row>
    <row r="147" ht="15" customHeight="1">
      <c r="A147" t="inlineStr">
        <is>
          <t>A 34526-2022</t>
        </is>
      </c>
      <c r="B147" s="1" t="n">
        <v>44792</v>
      </c>
      <c r="C147" s="1" t="n">
        <v>45337</v>
      </c>
      <c r="D147" t="inlineStr">
        <is>
          <t>VÄSTERNORRLANDS LÄN</t>
        </is>
      </c>
      <c r="E147" t="inlineStr">
        <is>
          <t>SOLLEFTEÅ</t>
        </is>
      </c>
      <c r="F147" t="inlineStr">
        <is>
          <t>SCA</t>
        </is>
      </c>
      <c r="G147" t="n">
        <v>1.4</v>
      </c>
      <c r="H147" t="n">
        <v>0</v>
      </c>
      <c r="I147" t="n">
        <v>0</v>
      </c>
      <c r="J147" t="n">
        <v>2</v>
      </c>
      <c r="K147" t="n">
        <v>0</v>
      </c>
      <c r="L147" t="n">
        <v>0</v>
      </c>
      <c r="M147" t="n">
        <v>0</v>
      </c>
      <c r="N147" t="n">
        <v>0</v>
      </c>
      <c r="O147" t="n">
        <v>2</v>
      </c>
      <c r="P147" t="n">
        <v>0</v>
      </c>
      <c r="Q147" t="n">
        <v>2</v>
      </c>
      <c r="R147" s="2" t="inlineStr">
        <is>
          <t>Garnlav
Mörk kolflarnlav</t>
        </is>
      </c>
      <c r="S147">
        <f>HYPERLINK("https://klasma.github.io/Logging_2283/artfynd/A 34526-2022 artfynd.xlsx", "A 34526-2022")</f>
        <v/>
      </c>
      <c r="T147">
        <f>HYPERLINK("https://klasma.github.io/Logging_2283/kartor/A 34526-2022 karta.png", "A 34526-2022")</f>
        <v/>
      </c>
      <c r="V147">
        <f>HYPERLINK("https://klasma.github.io/Logging_2283/klagomål/A 34526-2022 FSC-klagomål.docx", "A 34526-2022")</f>
        <v/>
      </c>
      <c r="W147">
        <f>HYPERLINK("https://klasma.github.io/Logging_2283/klagomålsmail/A 34526-2022 FSC-klagomål mail.docx", "A 34526-2022")</f>
        <v/>
      </c>
      <c r="X147">
        <f>HYPERLINK("https://klasma.github.io/Logging_2283/tillsyn/A 34526-2022 tillsynsbegäran.docx", "A 34526-2022")</f>
        <v/>
      </c>
      <c r="Y147">
        <f>HYPERLINK("https://klasma.github.io/Logging_2283/tillsynsmail/A 34526-2022 tillsynsbegäran mail.docx", "A 34526-2022")</f>
        <v/>
      </c>
    </row>
    <row r="148" ht="15" customHeight="1">
      <c r="A148" t="inlineStr">
        <is>
          <t>A 37243-2022</t>
        </is>
      </c>
      <c r="B148" s="1" t="n">
        <v>44806</v>
      </c>
      <c r="C148" s="1" t="n">
        <v>45337</v>
      </c>
      <c r="D148" t="inlineStr">
        <is>
          <t>VÄSTERNORRLANDS LÄN</t>
        </is>
      </c>
      <c r="E148" t="inlineStr">
        <is>
          <t>SOLLEFTEÅ</t>
        </is>
      </c>
      <c r="F148" t="inlineStr">
        <is>
          <t>SCA</t>
        </is>
      </c>
      <c r="G148" t="n">
        <v>7.1</v>
      </c>
      <c r="H148" t="n">
        <v>0</v>
      </c>
      <c r="I148" t="n">
        <v>1</v>
      </c>
      <c r="J148" t="n">
        <v>1</v>
      </c>
      <c r="K148" t="n">
        <v>0</v>
      </c>
      <c r="L148" t="n">
        <v>0</v>
      </c>
      <c r="M148" t="n">
        <v>0</v>
      </c>
      <c r="N148" t="n">
        <v>0</v>
      </c>
      <c r="O148" t="n">
        <v>1</v>
      </c>
      <c r="P148" t="n">
        <v>0</v>
      </c>
      <c r="Q148" t="n">
        <v>2</v>
      </c>
      <c r="R148" s="2" t="inlineStr">
        <is>
          <t>Violettgrå tagellav
Dropptaggsvamp</t>
        </is>
      </c>
      <c r="S148">
        <f>HYPERLINK("https://klasma.github.io/Logging_2283/artfynd/A 37243-2022 artfynd.xlsx", "A 37243-2022")</f>
        <v/>
      </c>
      <c r="T148">
        <f>HYPERLINK("https://klasma.github.io/Logging_2283/kartor/A 37243-2022 karta.png", "A 37243-2022")</f>
        <v/>
      </c>
      <c r="V148">
        <f>HYPERLINK("https://klasma.github.io/Logging_2283/klagomål/A 37243-2022 FSC-klagomål.docx", "A 37243-2022")</f>
        <v/>
      </c>
      <c r="W148">
        <f>HYPERLINK("https://klasma.github.io/Logging_2283/klagomålsmail/A 37243-2022 FSC-klagomål mail.docx", "A 37243-2022")</f>
        <v/>
      </c>
      <c r="X148">
        <f>HYPERLINK("https://klasma.github.io/Logging_2283/tillsyn/A 37243-2022 tillsynsbegäran.docx", "A 37243-2022")</f>
        <v/>
      </c>
      <c r="Y148">
        <f>HYPERLINK("https://klasma.github.io/Logging_2283/tillsynsmail/A 37243-2022 tillsynsbegäran mail.docx", "A 37243-2022")</f>
        <v/>
      </c>
    </row>
    <row r="149" ht="15" customHeight="1">
      <c r="A149" t="inlineStr">
        <is>
          <t>A 45083-2022</t>
        </is>
      </c>
      <c r="B149" s="1" t="n">
        <v>44841</v>
      </c>
      <c r="C149" s="1" t="n">
        <v>45337</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45083-2022 artfynd.xlsx", "A 45083-2022")</f>
        <v/>
      </c>
      <c r="T149">
        <f>HYPERLINK("https://klasma.github.io/Logging_2283/kartor/A 45083-2022 karta.png", "A 45083-2022")</f>
        <v/>
      </c>
      <c r="V149">
        <f>HYPERLINK("https://klasma.github.io/Logging_2283/klagomål/A 45083-2022 FSC-klagomål.docx", "A 45083-2022")</f>
        <v/>
      </c>
      <c r="W149">
        <f>HYPERLINK("https://klasma.github.io/Logging_2283/klagomålsmail/A 45083-2022 FSC-klagomål mail.docx", "A 45083-2022")</f>
        <v/>
      </c>
      <c r="X149">
        <f>HYPERLINK("https://klasma.github.io/Logging_2283/tillsyn/A 45083-2022 tillsynsbegäran.docx", "A 45083-2022")</f>
        <v/>
      </c>
      <c r="Y149">
        <f>HYPERLINK("https://klasma.github.io/Logging_2283/tillsynsmail/A 45083-2022 tillsynsbegäran mail.docx", "A 45083-2022")</f>
        <v/>
      </c>
      <c r="Z149">
        <f>HYPERLINK("https://klasma.github.io/Logging_2283/fåglar/A 45083-2022 prioriterade fågelarter.docx", "A 45083-2022")</f>
        <v/>
      </c>
    </row>
    <row r="150" ht="15" customHeight="1">
      <c r="A150" t="inlineStr">
        <is>
          <t>A 45084-2022</t>
        </is>
      </c>
      <c r="B150" s="1" t="n">
        <v>44841</v>
      </c>
      <c r="C150" s="1" t="n">
        <v>45337</v>
      </c>
      <c r="D150" t="inlineStr">
        <is>
          <t>VÄSTERNORRLANDS LÄN</t>
        </is>
      </c>
      <c r="E150" t="inlineStr">
        <is>
          <t>SOLLEFTEÅ</t>
        </is>
      </c>
      <c r="F150" t="inlineStr">
        <is>
          <t>SCA</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45084-2022 artfynd.xlsx", "A 45084-2022")</f>
        <v/>
      </c>
      <c r="T150">
        <f>HYPERLINK("https://klasma.github.io/Logging_2283/kartor/A 45084-2022 karta.png", "A 45084-2022")</f>
        <v/>
      </c>
      <c r="V150">
        <f>HYPERLINK("https://klasma.github.io/Logging_2283/klagomål/A 45084-2022 FSC-klagomål.docx", "A 45084-2022")</f>
        <v/>
      </c>
      <c r="W150">
        <f>HYPERLINK("https://klasma.github.io/Logging_2283/klagomålsmail/A 45084-2022 FSC-klagomål mail.docx", "A 45084-2022")</f>
        <v/>
      </c>
      <c r="X150">
        <f>HYPERLINK("https://klasma.github.io/Logging_2283/tillsyn/A 45084-2022 tillsynsbegäran.docx", "A 45084-2022")</f>
        <v/>
      </c>
      <c r="Y150">
        <f>HYPERLINK("https://klasma.github.io/Logging_2283/tillsynsmail/A 45084-2022 tillsynsbegäran mail.docx", "A 45084-2022")</f>
        <v/>
      </c>
    </row>
    <row r="151" ht="15" customHeight="1">
      <c r="A151" t="inlineStr">
        <is>
          <t>A 48073-2022</t>
        </is>
      </c>
      <c r="B151" s="1" t="n">
        <v>44855</v>
      </c>
      <c r="C151" s="1" t="n">
        <v>45337</v>
      </c>
      <c r="D151" t="inlineStr">
        <is>
          <t>VÄSTERNORRLANDS LÄN</t>
        </is>
      </c>
      <c r="E151" t="inlineStr">
        <is>
          <t>SOLLEFTEÅ</t>
        </is>
      </c>
      <c r="F151" t="inlineStr">
        <is>
          <t>SCA</t>
        </is>
      </c>
      <c r="G151" t="n">
        <v>4.3</v>
      </c>
      <c r="H151" t="n">
        <v>2</v>
      </c>
      <c r="I151" t="n">
        <v>0</v>
      </c>
      <c r="J151" t="n">
        <v>1</v>
      </c>
      <c r="K151" t="n">
        <v>0</v>
      </c>
      <c r="L151" t="n">
        <v>0</v>
      </c>
      <c r="M151" t="n">
        <v>0</v>
      </c>
      <c r="N151" t="n">
        <v>0</v>
      </c>
      <c r="O151" t="n">
        <v>1</v>
      </c>
      <c r="P151" t="n">
        <v>0</v>
      </c>
      <c r="Q151" t="n">
        <v>2</v>
      </c>
      <c r="R151" s="2" t="inlineStr">
        <is>
          <t>Talltita
Blåsippa</t>
        </is>
      </c>
      <c r="S151">
        <f>HYPERLINK("https://klasma.github.io/Logging_2283/artfynd/A 48073-2022 artfynd.xlsx", "A 48073-2022")</f>
        <v/>
      </c>
      <c r="T151">
        <f>HYPERLINK("https://klasma.github.io/Logging_2283/kartor/A 48073-2022 karta.png", "A 48073-2022")</f>
        <v/>
      </c>
      <c r="V151">
        <f>HYPERLINK("https://klasma.github.io/Logging_2283/klagomål/A 48073-2022 FSC-klagomål.docx", "A 48073-2022")</f>
        <v/>
      </c>
      <c r="W151">
        <f>HYPERLINK("https://klasma.github.io/Logging_2283/klagomålsmail/A 48073-2022 FSC-klagomål mail.docx", "A 48073-2022")</f>
        <v/>
      </c>
      <c r="X151">
        <f>HYPERLINK("https://klasma.github.io/Logging_2283/tillsyn/A 48073-2022 tillsynsbegäran.docx", "A 48073-2022")</f>
        <v/>
      </c>
      <c r="Y151">
        <f>HYPERLINK("https://klasma.github.io/Logging_2283/tillsynsmail/A 48073-2022 tillsynsbegäran mail.docx", "A 48073-2022")</f>
        <v/>
      </c>
      <c r="Z151">
        <f>HYPERLINK("https://klasma.github.io/Logging_2283/fåglar/A 48073-2022 prioriterade fågelarter.docx", "A 48073-2022")</f>
        <v/>
      </c>
    </row>
    <row r="152" ht="15" customHeight="1">
      <c r="A152" t="inlineStr">
        <is>
          <t>A 53130-2022</t>
        </is>
      </c>
      <c r="B152" s="1" t="n">
        <v>44873</v>
      </c>
      <c r="C152" s="1" t="n">
        <v>45337</v>
      </c>
      <c r="D152" t="inlineStr">
        <is>
          <t>VÄSTERNORRLANDS LÄN</t>
        </is>
      </c>
      <c r="E152" t="inlineStr">
        <is>
          <t>SOLLEFTEÅ</t>
        </is>
      </c>
      <c r="G152" t="n">
        <v>19.8</v>
      </c>
      <c r="H152" t="n">
        <v>2</v>
      </c>
      <c r="I152" t="n">
        <v>0</v>
      </c>
      <c r="J152" t="n">
        <v>1</v>
      </c>
      <c r="K152" t="n">
        <v>0</v>
      </c>
      <c r="L152" t="n">
        <v>0</v>
      </c>
      <c r="M152" t="n">
        <v>0</v>
      </c>
      <c r="N152" t="n">
        <v>0</v>
      </c>
      <c r="O152" t="n">
        <v>1</v>
      </c>
      <c r="P152" t="n">
        <v>0</v>
      </c>
      <c r="Q152" t="n">
        <v>2</v>
      </c>
      <c r="R152" s="2" t="inlineStr">
        <is>
          <t>Myrbräcka
Fläcknycklar</t>
        </is>
      </c>
      <c r="S152">
        <f>HYPERLINK("https://klasma.github.io/Logging_2283/artfynd/A 53130-2022 artfynd.xlsx", "A 53130-2022")</f>
        <v/>
      </c>
      <c r="T152">
        <f>HYPERLINK("https://klasma.github.io/Logging_2283/kartor/A 53130-2022 karta.png", "A 53130-2022")</f>
        <v/>
      </c>
      <c r="V152">
        <f>HYPERLINK("https://klasma.github.io/Logging_2283/klagomål/A 53130-2022 FSC-klagomål.docx", "A 53130-2022")</f>
        <v/>
      </c>
      <c r="W152">
        <f>HYPERLINK("https://klasma.github.io/Logging_2283/klagomålsmail/A 53130-2022 FSC-klagomål mail.docx", "A 53130-2022")</f>
        <v/>
      </c>
      <c r="X152">
        <f>HYPERLINK("https://klasma.github.io/Logging_2283/tillsyn/A 53130-2022 tillsynsbegäran.docx", "A 53130-2022")</f>
        <v/>
      </c>
      <c r="Y152">
        <f>HYPERLINK("https://klasma.github.io/Logging_2283/tillsynsmail/A 53130-2022 tillsynsbegäran mail.docx", "A 53130-2022")</f>
        <v/>
      </c>
    </row>
    <row r="153" ht="15" customHeight="1">
      <c r="A153" t="inlineStr">
        <is>
          <t>A 55727-2022</t>
        </is>
      </c>
      <c r="B153" s="1" t="n">
        <v>44883</v>
      </c>
      <c r="C153" s="1" t="n">
        <v>45337</v>
      </c>
      <c r="D153" t="inlineStr">
        <is>
          <t>VÄSTERNORRLANDS LÄN</t>
        </is>
      </c>
      <c r="E153" t="inlineStr">
        <is>
          <t>SOLLEFTEÅ</t>
        </is>
      </c>
      <c r="G153" t="n">
        <v>16.7</v>
      </c>
      <c r="H153" t="n">
        <v>1</v>
      </c>
      <c r="I153" t="n">
        <v>0</v>
      </c>
      <c r="J153" t="n">
        <v>2</v>
      </c>
      <c r="K153" t="n">
        <v>0</v>
      </c>
      <c r="L153" t="n">
        <v>0</v>
      </c>
      <c r="M153" t="n">
        <v>0</v>
      </c>
      <c r="N153" t="n">
        <v>0</v>
      </c>
      <c r="O153" t="n">
        <v>2</v>
      </c>
      <c r="P153" t="n">
        <v>0</v>
      </c>
      <c r="Q153" t="n">
        <v>2</v>
      </c>
      <c r="R153" s="2" t="inlineStr">
        <is>
          <t>Rosenticka
Tretåig hackspett</t>
        </is>
      </c>
      <c r="S153">
        <f>HYPERLINK("https://klasma.github.io/Logging_2283/artfynd/A 55727-2022 artfynd.xlsx", "A 55727-2022")</f>
        <v/>
      </c>
      <c r="T153">
        <f>HYPERLINK("https://klasma.github.io/Logging_2283/kartor/A 55727-2022 karta.png", "A 55727-2022")</f>
        <v/>
      </c>
      <c r="V153">
        <f>HYPERLINK("https://klasma.github.io/Logging_2283/klagomål/A 55727-2022 FSC-klagomål.docx", "A 55727-2022")</f>
        <v/>
      </c>
      <c r="W153">
        <f>HYPERLINK("https://klasma.github.io/Logging_2283/klagomålsmail/A 55727-2022 FSC-klagomål mail.docx", "A 55727-2022")</f>
        <v/>
      </c>
      <c r="X153">
        <f>HYPERLINK("https://klasma.github.io/Logging_2283/tillsyn/A 55727-2022 tillsynsbegäran.docx", "A 55727-2022")</f>
        <v/>
      </c>
      <c r="Y153">
        <f>HYPERLINK("https://klasma.github.io/Logging_2283/tillsynsmail/A 55727-2022 tillsynsbegäran mail.docx", "A 55727-2022")</f>
        <v/>
      </c>
      <c r="Z153">
        <f>HYPERLINK("https://klasma.github.io/Logging_2283/fåglar/A 55727-2022 prioriterade fågelarter.docx", "A 55727-2022")</f>
        <v/>
      </c>
    </row>
    <row r="154" ht="15" customHeight="1">
      <c r="A154" t="inlineStr">
        <is>
          <t>A 59046-2022</t>
        </is>
      </c>
      <c r="B154" s="1" t="n">
        <v>44903</v>
      </c>
      <c r="C154" s="1" t="n">
        <v>45337</v>
      </c>
      <c r="D154" t="inlineStr">
        <is>
          <t>VÄSTERNORRLANDS LÄN</t>
        </is>
      </c>
      <c r="E154" t="inlineStr">
        <is>
          <t>SOLLEFTEÅ</t>
        </is>
      </c>
      <c r="F154" t="inlineStr">
        <is>
          <t>SCA</t>
        </is>
      </c>
      <c r="G154" t="n">
        <v>10.3</v>
      </c>
      <c r="H154" t="n">
        <v>1</v>
      </c>
      <c r="I154" t="n">
        <v>0</v>
      </c>
      <c r="J154" t="n">
        <v>2</v>
      </c>
      <c r="K154" t="n">
        <v>0</v>
      </c>
      <c r="L154" t="n">
        <v>0</v>
      </c>
      <c r="M154" t="n">
        <v>0</v>
      </c>
      <c r="N154" t="n">
        <v>0</v>
      </c>
      <c r="O154" t="n">
        <v>2</v>
      </c>
      <c r="P154" t="n">
        <v>0</v>
      </c>
      <c r="Q154" t="n">
        <v>2</v>
      </c>
      <c r="R154" s="2" t="inlineStr">
        <is>
          <t>Lunglav
Tretåig hackspett</t>
        </is>
      </c>
      <c r="S154">
        <f>HYPERLINK("https://klasma.github.io/Logging_2283/artfynd/A 59046-2022 artfynd.xlsx", "A 59046-2022")</f>
        <v/>
      </c>
      <c r="T154">
        <f>HYPERLINK("https://klasma.github.io/Logging_2283/kartor/A 59046-2022 karta.png", "A 59046-2022")</f>
        <v/>
      </c>
      <c r="V154">
        <f>HYPERLINK("https://klasma.github.io/Logging_2283/klagomål/A 59046-2022 FSC-klagomål.docx", "A 59046-2022")</f>
        <v/>
      </c>
      <c r="W154">
        <f>HYPERLINK("https://klasma.github.io/Logging_2283/klagomålsmail/A 59046-2022 FSC-klagomål mail.docx", "A 59046-2022")</f>
        <v/>
      </c>
      <c r="X154">
        <f>HYPERLINK("https://klasma.github.io/Logging_2283/tillsyn/A 59046-2022 tillsynsbegäran.docx", "A 59046-2022")</f>
        <v/>
      </c>
      <c r="Y154">
        <f>HYPERLINK("https://klasma.github.io/Logging_2283/tillsynsmail/A 59046-2022 tillsynsbegäran mail.docx", "A 59046-2022")</f>
        <v/>
      </c>
      <c r="Z154">
        <f>HYPERLINK("https://klasma.github.io/Logging_2283/fåglar/A 59046-2022 prioriterade fågelarter.docx", "A 59046-2022")</f>
        <v/>
      </c>
    </row>
    <row r="155" ht="15" customHeight="1">
      <c r="A155" t="inlineStr">
        <is>
          <t>A 3017-2023</t>
        </is>
      </c>
      <c r="B155" s="1" t="n">
        <v>44945</v>
      </c>
      <c r="C155" s="1" t="n">
        <v>45337</v>
      </c>
      <c r="D155" t="inlineStr">
        <is>
          <t>VÄSTERNORRLANDS LÄN</t>
        </is>
      </c>
      <c r="E155" t="inlineStr">
        <is>
          <t>SOLLEFTEÅ</t>
        </is>
      </c>
      <c r="G155" t="n">
        <v>3.6</v>
      </c>
      <c r="H155" t="n">
        <v>0</v>
      </c>
      <c r="I155" t="n">
        <v>0</v>
      </c>
      <c r="J155" t="n">
        <v>2</v>
      </c>
      <c r="K155" t="n">
        <v>0</v>
      </c>
      <c r="L155" t="n">
        <v>0</v>
      </c>
      <c r="M155" t="n">
        <v>0</v>
      </c>
      <c r="N155" t="n">
        <v>0</v>
      </c>
      <c r="O155" t="n">
        <v>2</v>
      </c>
      <c r="P155" t="n">
        <v>0</v>
      </c>
      <c r="Q155" t="n">
        <v>2</v>
      </c>
      <c r="R155" s="2" t="inlineStr">
        <is>
          <t>Harticka
Ullticka</t>
        </is>
      </c>
      <c r="S155">
        <f>HYPERLINK("https://klasma.github.io/Logging_2283/artfynd/A 3017-2023 artfynd.xlsx", "A 3017-2023")</f>
        <v/>
      </c>
      <c r="T155">
        <f>HYPERLINK("https://klasma.github.io/Logging_2283/kartor/A 3017-2023 karta.png", "A 3017-2023")</f>
        <v/>
      </c>
      <c r="V155">
        <f>HYPERLINK("https://klasma.github.io/Logging_2283/klagomål/A 3017-2023 FSC-klagomål.docx", "A 3017-2023")</f>
        <v/>
      </c>
      <c r="W155">
        <f>HYPERLINK("https://klasma.github.io/Logging_2283/klagomålsmail/A 3017-2023 FSC-klagomål mail.docx", "A 3017-2023")</f>
        <v/>
      </c>
      <c r="X155">
        <f>HYPERLINK("https://klasma.github.io/Logging_2283/tillsyn/A 3017-2023 tillsynsbegäran.docx", "A 3017-2023")</f>
        <v/>
      </c>
      <c r="Y155">
        <f>HYPERLINK("https://klasma.github.io/Logging_2283/tillsynsmail/A 3017-2023 tillsynsbegäran mail.docx", "A 3017-2023")</f>
        <v/>
      </c>
    </row>
    <row r="156" ht="15" customHeight="1">
      <c r="A156" t="inlineStr">
        <is>
          <t>A 8669-2023</t>
        </is>
      </c>
      <c r="B156" s="1" t="n">
        <v>44977</v>
      </c>
      <c r="C156" s="1" t="n">
        <v>45337</v>
      </c>
      <c r="D156" t="inlineStr">
        <is>
          <t>VÄSTERNORRLANDS LÄN</t>
        </is>
      </c>
      <c r="E156" t="inlineStr">
        <is>
          <t>SOLLEFTEÅ</t>
        </is>
      </c>
      <c r="F156" t="inlineStr">
        <is>
          <t>SCA</t>
        </is>
      </c>
      <c r="G156" t="n">
        <v>2.3</v>
      </c>
      <c r="H156" t="n">
        <v>1</v>
      </c>
      <c r="I156" t="n">
        <v>1</v>
      </c>
      <c r="J156" t="n">
        <v>1</v>
      </c>
      <c r="K156" t="n">
        <v>0</v>
      </c>
      <c r="L156" t="n">
        <v>0</v>
      </c>
      <c r="M156" t="n">
        <v>0</v>
      </c>
      <c r="N156" t="n">
        <v>0</v>
      </c>
      <c r="O156" t="n">
        <v>1</v>
      </c>
      <c r="P156" t="n">
        <v>0</v>
      </c>
      <c r="Q156" t="n">
        <v>2</v>
      </c>
      <c r="R156" s="2" t="inlineStr">
        <is>
          <t>Garnlav
Lappranunkel</t>
        </is>
      </c>
      <c r="S156">
        <f>HYPERLINK("https://klasma.github.io/Logging_2283/artfynd/A 8669-2023 artfynd.xlsx", "A 8669-2023")</f>
        <v/>
      </c>
      <c r="T156">
        <f>HYPERLINK("https://klasma.github.io/Logging_2283/kartor/A 8669-2023 karta.png", "A 8669-2023")</f>
        <v/>
      </c>
      <c r="V156">
        <f>HYPERLINK("https://klasma.github.io/Logging_2283/klagomål/A 8669-2023 FSC-klagomål.docx", "A 8669-2023")</f>
        <v/>
      </c>
      <c r="W156">
        <f>HYPERLINK("https://klasma.github.io/Logging_2283/klagomålsmail/A 8669-2023 FSC-klagomål mail.docx", "A 8669-2023")</f>
        <v/>
      </c>
      <c r="X156">
        <f>HYPERLINK("https://klasma.github.io/Logging_2283/tillsyn/A 8669-2023 tillsynsbegäran.docx", "A 8669-2023")</f>
        <v/>
      </c>
      <c r="Y156">
        <f>HYPERLINK("https://klasma.github.io/Logging_2283/tillsynsmail/A 8669-2023 tillsynsbegäran mail.docx", "A 8669-2023")</f>
        <v/>
      </c>
    </row>
    <row r="157" ht="15" customHeight="1">
      <c r="A157" t="inlineStr">
        <is>
          <t>A 13000-2023</t>
        </is>
      </c>
      <c r="B157" s="1" t="n">
        <v>45002</v>
      </c>
      <c r="C157" s="1" t="n">
        <v>45337</v>
      </c>
      <c r="D157" t="inlineStr">
        <is>
          <t>VÄSTERNORRLANDS LÄN</t>
        </is>
      </c>
      <c r="E157" t="inlineStr">
        <is>
          <t>SOLLEFTEÅ</t>
        </is>
      </c>
      <c r="F157" t="inlineStr">
        <is>
          <t>SCA</t>
        </is>
      </c>
      <c r="G157" t="n">
        <v>93.5</v>
      </c>
      <c r="H157" t="n">
        <v>1</v>
      </c>
      <c r="I157" t="n">
        <v>0</v>
      </c>
      <c r="J157" t="n">
        <v>1</v>
      </c>
      <c r="K157" t="n">
        <v>0</v>
      </c>
      <c r="L157" t="n">
        <v>0</v>
      </c>
      <c r="M157" t="n">
        <v>0</v>
      </c>
      <c r="N157" t="n">
        <v>0</v>
      </c>
      <c r="O157" t="n">
        <v>1</v>
      </c>
      <c r="P157" t="n">
        <v>0</v>
      </c>
      <c r="Q157" t="n">
        <v>2</v>
      </c>
      <c r="R157" s="2" t="inlineStr">
        <is>
          <t>Månlåsbräken
Fläcknycklar</t>
        </is>
      </c>
      <c r="S157">
        <f>HYPERLINK("https://klasma.github.io/Logging_2283/artfynd/A 13000-2023 artfynd.xlsx", "A 13000-2023")</f>
        <v/>
      </c>
      <c r="T157">
        <f>HYPERLINK("https://klasma.github.io/Logging_2283/kartor/A 13000-2023 karta.png", "A 13000-2023")</f>
        <v/>
      </c>
      <c r="V157">
        <f>HYPERLINK("https://klasma.github.io/Logging_2283/klagomål/A 13000-2023 FSC-klagomål.docx", "A 13000-2023")</f>
        <v/>
      </c>
      <c r="W157">
        <f>HYPERLINK("https://klasma.github.io/Logging_2283/klagomålsmail/A 13000-2023 FSC-klagomål mail.docx", "A 13000-2023")</f>
        <v/>
      </c>
      <c r="X157">
        <f>HYPERLINK("https://klasma.github.io/Logging_2283/tillsyn/A 13000-2023 tillsynsbegäran.docx", "A 13000-2023")</f>
        <v/>
      </c>
      <c r="Y157">
        <f>HYPERLINK("https://klasma.github.io/Logging_2283/tillsynsmail/A 13000-2023 tillsynsbegäran mail.docx", "A 13000-2023")</f>
        <v/>
      </c>
    </row>
    <row r="158" ht="15" customHeight="1">
      <c r="A158" t="inlineStr">
        <is>
          <t>A 33036-2023</t>
        </is>
      </c>
      <c r="B158" s="1" t="n">
        <v>45125</v>
      </c>
      <c r="C158" s="1" t="n">
        <v>45337</v>
      </c>
      <c r="D158" t="inlineStr">
        <is>
          <t>VÄSTERNORRLANDS LÄN</t>
        </is>
      </c>
      <c r="E158" t="inlineStr">
        <is>
          <t>SOLLEFTEÅ</t>
        </is>
      </c>
      <c r="F158" t="inlineStr">
        <is>
          <t>SCA</t>
        </is>
      </c>
      <c r="G158" t="n">
        <v>12</v>
      </c>
      <c r="H158" t="n">
        <v>0</v>
      </c>
      <c r="I158" t="n">
        <v>1</v>
      </c>
      <c r="J158" t="n">
        <v>1</v>
      </c>
      <c r="K158" t="n">
        <v>0</v>
      </c>
      <c r="L158" t="n">
        <v>0</v>
      </c>
      <c r="M158" t="n">
        <v>0</v>
      </c>
      <c r="N158" t="n">
        <v>0</v>
      </c>
      <c r="O158" t="n">
        <v>1</v>
      </c>
      <c r="P158" t="n">
        <v>0</v>
      </c>
      <c r="Q158" t="n">
        <v>2</v>
      </c>
      <c r="R158" s="2" t="inlineStr">
        <is>
          <t>Småflikig brosklav
Stuplav</t>
        </is>
      </c>
      <c r="S158">
        <f>HYPERLINK("https://klasma.github.io/Logging_2283/artfynd/A 33036-2023 artfynd.xlsx", "A 33036-2023")</f>
        <v/>
      </c>
      <c r="T158">
        <f>HYPERLINK("https://klasma.github.io/Logging_2283/kartor/A 33036-2023 karta.png", "A 33036-2023")</f>
        <v/>
      </c>
      <c r="V158">
        <f>HYPERLINK("https://klasma.github.io/Logging_2283/klagomål/A 33036-2023 FSC-klagomål.docx", "A 33036-2023")</f>
        <v/>
      </c>
      <c r="W158">
        <f>HYPERLINK("https://klasma.github.io/Logging_2283/klagomålsmail/A 33036-2023 FSC-klagomål mail.docx", "A 33036-2023")</f>
        <v/>
      </c>
      <c r="X158">
        <f>HYPERLINK("https://klasma.github.io/Logging_2283/tillsyn/A 33036-2023 tillsynsbegäran.docx", "A 33036-2023")</f>
        <v/>
      </c>
      <c r="Y158">
        <f>HYPERLINK("https://klasma.github.io/Logging_2283/tillsynsmail/A 33036-2023 tillsynsbegäran mail.docx", "A 33036-2023")</f>
        <v/>
      </c>
    </row>
    <row r="159" ht="15" customHeight="1">
      <c r="A159" t="inlineStr">
        <is>
          <t>A 35587-2023</t>
        </is>
      </c>
      <c r="B159" s="1" t="n">
        <v>45147</v>
      </c>
      <c r="C159" s="1" t="n">
        <v>45337</v>
      </c>
      <c r="D159" t="inlineStr">
        <is>
          <t>VÄSTERNORRLANDS LÄN</t>
        </is>
      </c>
      <c r="E159" t="inlineStr">
        <is>
          <t>SOLLEFTEÅ</t>
        </is>
      </c>
      <c r="F159" t="inlineStr">
        <is>
          <t>Holmen skog AB</t>
        </is>
      </c>
      <c r="G159" t="n">
        <v>5.1</v>
      </c>
      <c r="H159" t="n">
        <v>0</v>
      </c>
      <c r="I159" t="n">
        <v>1</v>
      </c>
      <c r="J159" t="n">
        <v>0</v>
      </c>
      <c r="K159" t="n">
        <v>1</v>
      </c>
      <c r="L159" t="n">
        <v>0</v>
      </c>
      <c r="M159" t="n">
        <v>0</v>
      </c>
      <c r="N159" t="n">
        <v>0</v>
      </c>
      <c r="O159" t="n">
        <v>1</v>
      </c>
      <c r="P159" t="n">
        <v>1</v>
      </c>
      <c r="Q159" t="n">
        <v>2</v>
      </c>
      <c r="R159" s="2" t="inlineStr">
        <is>
          <t>Fläckporing
Dropptaggsvamp</t>
        </is>
      </c>
      <c r="S159">
        <f>HYPERLINK("https://klasma.github.io/Logging_2283/artfynd/A 35587-2023 artfynd.xlsx", "A 35587-2023")</f>
        <v/>
      </c>
      <c r="T159">
        <f>HYPERLINK("https://klasma.github.io/Logging_2283/kartor/A 35587-2023 karta.png", "A 35587-2023")</f>
        <v/>
      </c>
      <c r="V159">
        <f>HYPERLINK("https://klasma.github.io/Logging_2283/klagomål/A 35587-2023 FSC-klagomål.docx", "A 35587-2023")</f>
        <v/>
      </c>
      <c r="W159">
        <f>HYPERLINK("https://klasma.github.io/Logging_2283/klagomålsmail/A 35587-2023 FSC-klagomål mail.docx", "A 35587-2023")</f>
        <v/>
      </c>
      <c r="X159">
        <f>HYPERLINK("https://klasma.github.io/Logging_2283/tillsyn/A 35587-2023 tillsynsbegäran.docx", "A 35587-2023")</f>
        <v/>
      </c>
      <c r="Y159">
        <f>HYPERLINK("https://klasma.github.io/Logging_2283/tillsynsmail/A 35587-2023 tillsynsbegäran mail.docx", "A 35587-2023")</f>
        <v/>
      </c>
    </row>
    <row r="160" ht="15" customHeight="1">
      <c r="A160" t="inlineStr">
        <is>
          <t>A 40419-2023</t>
        </is>
      </c>
      <c r="B160" s="1" t="n">
        <v>45169</v>
      </c>
      <c r="C160" s="1" t="n">
        <v>45337</v>
      </c>
      <c r="D160" t="inlineStr">
        <is>
          <t>VÄSTERNORRLANDS LÄN</t>
        </is>
      </c>
      <c r="E160" t="inlineStr">
        <is>
          <t>SOLLEFTEÅ</t>
        </is>
      </c>
      <c r="F160" t="inlineStr">
        <is>
          <t>SCA</t>
        </is>
      </c>
      <c r="G160" t="n">
        <v>7.9</v>
      </c>
      <c r="H160" t="n">
        <v>1</v>
      </c>
      <c r="I160" t="n">
        <v>0</v>
      </c>
      <c r="J160" t="n">
        <v>1</v>
      </c>
      <c r="K160" t="n">
        <v>1</v>
      </c>
      <c r="L160" t="n">
        <v>0</v>
      </c>
      <c r="M160" t="n">
        <v>0</v>
      </c>
      <c r="N160" t="n">
        <v>0</v>
      </c>
      <c r="O160" t="n">
        <v>2</v>
      </c>
      <c r="P160" t="n">
        <v>1</v>
      </c>
      <c r="Q160" t="n">
        <v>2</v>
      </c>
      <c r="R160" s="2" t="inlineStr">
        <is>
          <t>Knärot
Lunglav</t>
        </is>
      </c>
      <c r="S160">
        <f>HYPERLINK("https://klasma.github.io/Logging_2283/artfynd/A 40419-2023 artfynd.xlsx", "A 40419-2023")</f>
        <v/>
      </c>
      <c r="T160">
        <f>HYPERLINK("https://klasma.github.io/Logging_2283/kartor/A 40419-2023 karta.png", "A 40419-2023")</f>
        <v/>
      </c>
      <c r="U160">
        <f>HYPERLINK("https://klasma.github.io/Logging_2283/knärot/A 40419-2023 karta knärot.png", "A 40419-2023")</f>
        <v/>
      </c>
      <c r="V160">
        <f>HYPERLINK("https://klasma.github.io/Logging_2283/klagomål/A 40419-2023 FSC-klagomål.docx", "A 40419-2023")</f>
        <v/>
      </c>
      <c r="W160">
        <f>HYPERLINK("https://klasma.github.io/Logging_2283/klagomålsmail/A 40419-2023 FSC-klagomål mail.docx", "A 40419-2023")</f>
        <v/>
      </c>
      <c r="X160">
        <f>HYPERLINK("https://klasma.github.io/Logging_2283/tillsyn/A 40419-2023 tillsynsbegäran.docx", "A 40419-2023")</f>
        <v/>
      </c>
      <c r="Y160">
        <f>HYPERLINK("https://klasma.github.io/Logging_2283/tillsynsmail/A 40419-2023 tillsynsbegäran mail.docx", "A 40419-2023")</f>
        <v/>
      </c>
    </row>
    <row r="161" ht="15" customHeight="1">
      <c r="A161" t="inlineStr">
        <is>
          <t>A 40866-2023</t>
        </is>
      </c>
      <c r="B161" s="1" t="n">
        <v>45173</v>
      </c>
      <c r="C161" s="1" t="n">
        <v>45337</v>
      </c>
      <c r="D161" t="inlineStr">
        <is>
          <t>VÄSTERNORRLANDS LÄN</t>
        </is>
      </c>
      <c r="E161" t="inlineStr">
        <is>
          <t>SOLLEFTEÅ</t>
        </is>
      </c>
      <c r="G161" t="n">
        <v>1.7</v>
      </c>
      <c r="H161" t="n">
        <v>1</v>
      </c>
      <c r="I161" t="n">
        <v>1</v>
      </c>
      <c r="J161" t="n">
        <v>0</v>
      </c>
      <c r="K161" t="n">
        <v>0</v>
      </c>
      <c r="L161" t="n">
        <v>0</v>
      </c>
      <c r="M161" t="n">
        <v>0</v>
      </c>
      <c r="N161" t="n">
        <v>0</v>
      </c>
      <c r="O161" t="n">
        <v>0</v>
      </c>
      <c r="P161" t="n">
        <v>0</v>
      </c>
      <c r="Q161" t="n">
        <v>2</v>
      </c>
      <c r="R161" s="2" t="inlineStr">
        <is>
          <t>Tibast
Skogsödla</t>
        </is>
      </c>
      <c r="S161">
        <f>HYPERLINK("https://klasma.github.io/Logging_2283/artfynd/A 40866-2023 artfynd.xlsx", "A 40866-2023")</f>
        <v/>
      </c>
      <c r="T161">
        <f>HYPERLINK("https://klasma.github.io/Logging_2283/kartor/A 40866-2023 karta.png", "A 40866-2023")</f>
        <v/>
      </c>
      <c r="V161">
        <f>HYPERLINK("https://klasma.github.io/Logging_2283/klagomål/A 40866-2023 FSC-klagomål.docx", "A 40866-2023")</f>
        <v/>
      </c>
      <c r="W161">
        <f>HYPERLINK("https://klasma.github.io/Logging_2283/klagomålsmail/A 40866-2023 FSC-klagomål mail.docx", "A 40866-2023")</f>
        <v/>
      </c>
      <c r="X161">
        <f>HYPERLINK("https://klasma.github.io/Logging_2283/tillsyn/A 40866-2023 tillsynsbegäran.docx", "A 40866-2023")</f>
        <v/>
      </c>
      <c r="Y161">
        <f>HYPERLINK("https://klasma.github.io/Logging_2283/tillsynsmail/A 40866-2023 tillsynsbegäran mail.docx", "A 40866-2023")</f>
        <v/>
      </c>
    </row>
    <row r="162" ht="15" customHeight="1">
      <c r="A162" t="inlineStr">
        <is>
          <t>A 48489-2023</t>
        </is>
      </c>
      <c r="B162" s="1" t="n">
        <v>45206</v>
      </c>
      <c r="C162" s="1" t="n">
        <v>45337</v>
      </c>
      <c r="D162" t="inlineStr">
        <is>
          <t>VÄSTERNORRLANDS LÄN</t>
        </is>
      </c>
      <c r="E162" t="inlineStr">
        <is>
          <t>SOLLEFTEÅ</t>
        </is>
      </c>
      <c r="F162" t="inlineStr">
        <is>
          <t>SCA</t>
        </is>
      </c>
      <c r="G162" t="n">
        <v>51.8</v>
      </c>
      <c r="H162" t="n">
        <v>2</v>
      </c>
      <c r="I162" t="n">
        <v>0</v>
      </c>
      <c r="J162" t="n">
        <v>2</v>
      </c>
      <c r="K162" t="n">
        <v>0</v>
      </c>
      <c r="L162" t="n">
        <v>0</v>
      </c>
      <c r="M162" t="n">
        <v>0</v>
      </c>
      <c r="N162" t="n">
        <v>0</v>
      </c>
      <c r="O162" t="n">
        <v>2</v>
      </c>
      <c r="P162" t="n">
        <v>0</v>
      </c>
      <c r="Q162" t="n">
        <v>2</v>
      </c>
      <c r="R162" s="2" t="inlineStr">
        <is>
          <t>Spillkråka
Talltita</t>
        </is>
      </c>
      <c r="S162">
        <f>HYPERLINK("https://klasma.github.io/Logging_2283/artfynd/A 48489-2023 artfynd.xlsx", "A 48489-2023")</f>
        <v/>
      </c>
      <c r="T162">
        <f>HYPERLINK("https://klasma.github.io/Logging_2283/kartor/A 48489-2023 karta.png", "A 48489-2023")</f>
        <v/>
      </c>
      <c r="V162">
        <f>HYPERLINK("https://klasma.github.io/Logging_2283/klagomål/A 48489-2023 FSC-klagomål.docx", "A 48489-2023")</f>
        <v/>
      </c>
      <c r="W162">
        <f>HYPERLINK("https://klasma.github.io/Logging_2283/klagomålsmail/A 48489-2023 FSC-klagomål mail.docx", "A 48489-2023")</f>
        <v/>
      </c>
      <c r="X162">
        <f>HYPERLINK("https://klasma.github.io/Logging_2283/tillsyn/A 48489-2023 tillsynsbegäran.docx", "A 48489-2023")</f>
        <v/>
      </c>
      <c r="Y162">
        <f>HYPERLINK("https://klasma.github.io/Logging_2283/tillsynsmail/A 48489-2023 tillsynsbegäran mail.docx", "A 48489-2023")</f>
        <v/>
      </c>
      <c r="Z162">
        <f>HYPERLINK("https://klasma.github.io/Logging_2283/fåglar/A 48489-2023 prioriterade fågelarter.docx", "A 48489-2023")</f>
        <v/>
      </c>
    </row>
    <row r="163" ht="15" customHeight="1">
      <c r="A163" t="inlineStr">
        <is>
          <t>A 53949-2023</t>
        </is>
      </c>
      <c r="B163" s="1" t="n">
        <v>45224</v>
      </c>
      <c r="C163" s="1" t="n">
        <v>45337</v>
      </c>
      <c r="D163" t="inlineStr">
        <is>
          <t>VÄSTERNORRLANDS LÄN</t>
        </is>
      </c>
      <c r="E163" t="inlineStr">
        <is>
          <t>SOLLEFTEÅ</t>
        </is>
      </c>
      <c r="G163" t="n">
        <v>4</v>
      </c>
      <c r="H163" t="n">
        <v>1</v>
      </c>
      <c r="I163" t="n">
        <v>0</v>
      </c>
      <c r="J163" t="n">
        <v>1</v>
      </c>
      <c r="K163" t="n">
        <v>0</v>
      </c>
      <c r="L163" t="n">
        <v>0</v>
      </c>
      <c r="M163" t="n">
        <v>0</v>
      </c>
      <c r="N163" t="n">
        <v>0</v>
      </c>
      <c r="O163" t="n">
        <v>1</v>
      </c>
      <c r="P163" t="n">
        <v>0</v>
      </c>
      <c r="Q163" t="n">
        <v>2</v>
      </c>
      <c r="R163" s="2" t="inlineStr">
        <is>
          <t>Granticka
Fläcknycklar</t>
        </is>
      </c>
      <c r="S163">
        <f>HYPERLINK("https://klasma.github.io/Logging_2283/artfynd/A 53949-2023 artfynd.xlsx", "A 53949-2023")</f>
        <v/>
      </c>
      <c r="T163">
        <f>HYPERLINK("https://klasma.github.io/Logging_2283/kartor/A 53949-2023 karta.png", "A 53949-2023")</f>
        <v/>
      </c>
      <c r="V163">
        <f>HYPERLINK("https://klasma.github.io/Logging_2283/klagomål/A 53949-2023 FSC-klagomål.docx", "A 53949-2023")</f>
        <v/>
      </c>
      <c r="W163">
        <f>HYPERLINK("https://klasma.github.io/Logging_2283/klagomålsmail/A 53949-2023 FSC-klagomål mail.docx", "A 53949-2023")</f>
        <v/>
      </c>
      <c r="X163">
        <f>HYPERLINK("https://klasma.github.io/Logging_2283/tillsyn/A 53949-2023 tillsynsbegäran.docx", "A 53949-2023")</f>
        <v/>
      </c>
      <c r="Y163">
        <f>HYPERLINK("https://klasma.github.io/Logging_2283/tillsynsmail/A 53949-2023 tillsynsbegäran mail.docx", "A 53949-2023")</f>
        <v/>
      </c>
    </row>
    <row r="164" ht="15" customHeight="1">
      <c r="A164" t="inlineStr">
        <is>
          <t>A 54030-2023</t>
        </is>
      </c>
      <c r="B164" s="1" t="n">
        <v>45231</v>
      </c>
      <c r="C164" s="1" t="n">
        <v>45337</v>
      </c>
      <c r="D164" t="inlineStr">
        <is>
          <t>VÄSTERNORRLANDS LÄN</t>
        </is>
      </c>
      <c r="E164" t="inlineStr">
        <is>
          <t>SOLLEFTEÅ</t>
        </is>
      </c>
      <c r="G164" t="n">
        <v>4.4</v>
      </c>
      <c r="H164" t="n">
        <v>0</v>
      </c>
      <c r="I164" t="n">
        <v>0</v>
      </c>
      <c r="J164" t="n">
        <v>2</v>
      </c>
      <c r="K164" t="n">
        <v>0</v>
      </c>
      <c r="L164" t="n">
        <v>0</v>
      </c>
      <c r="M164" t="n">
        <v>0</v>
      </c>
      <c r="N164" t="n">
        <v>0</v>
      </c>
      <c r="O164" t="n">
        <v>2</v>
      </c>
      <c r="P164" t="n">
        <v>0</v>
      </c>
      <c r="Q164" t="n">
        <v>2</v>
      </c>
      <c r="R164" s="2" t="inlineStr">
        <is>
          <t>Rosenticka
Ullticka</t>
        </is>
      </c>
      <c r="S164">
        <f>HYPERLINK("https://klasma.github.io/Logging_2283/artfynd/A 54030-2023 artfynd.xlsx", "A 54030-2023")</f>
        <v/>
      </c>
      <c r="T164">
        <f>HYPERLINK("https://klasma.github.io/Logging_2283/kartor/A 54030-2023 karta.png", "A 54030-2023")</f>
        <v/>
      </c>
      <c r="V164">
        <f>HYPERLINK("https://klasma.github.io/Logging_2283/klagomål/A 54030-2023 FSC-klagomål.docx", "A 54030-2023")</f>
        <v/>
      </c>
      <c r="W164">
        <f>HYPERLINK("https://klasma.github.io/Logging_2283/klagomålsmail/A 54030-2023 FSC-klagomål mail.docx", "A 54030-2023")</f>
        <v/>
      </c>
      <c r="X164">
        <f>HYPERLINK("https://klasma.github.io/Logging_2283/tillsyn/A 54030-2023 tillsynsbegäran.docx", "A 54030-2023")</f>
        <v/>
      </c>
      <c r="Y164">
        <f>HYPERLINK("https://klasma.github.io/Logging_2283/tillsynsmail/A 54030-2023 tillsynsbegäran mail.docx", "A 54030-2023")</f>
        <v/>
      </c>
    </row>
    <row r="165" ht="15" customHeight="1">
      <c r="A165" t="inlineStr">
        <is>
          <t>A 58827-2023</t>
        </is>
      </c>
      <c r="B165" s="1" t="n">
        <v>45247</v>
      </c>
      <c r="C165" s="1" t="n">
        <v>45337</v>
      </c>
      <c r="D165" t="inlineStr">
        <is>
          <t>VÄSTERNORRLANDS LÄN</t>
        </is>
      </c>
      <c r="E165" t="inlineStr">
        <is>
          <t>SOLLEFTEÅ</t>
        </is>
      </c>
      <c r="G165" t="n">
        <v>2.2</v>
      </c>
      <c r="H165" t="n">
        <v>1</v>
      </c>
      <c r="I165" t="n">
        <v>0</v>
      </c>
      <c r="J165" t="n">
        <v>1</v>
      </c>
      <c r="K165" t="n">
        <v>0</v>
      </c>
      <c r="L165" t="n">
        <v>0</v>
      </c>
      <c r="M165" t="n">
        <v>0</v>
      </c>
      <c r="N165" t="n">
        <v>0</v>
      </c>
      <c r="O165" t="n">
        <v>1</v>
      </c>
      <c r="P165" t="n">
        <v>0</v>
      </c>
      <c r="Q165" t="n">
        <v>2</v>
      </c>
      <c r="R165" s="2" t="inlineStr">
        <is>
          <t>Garnlav
Mattlummer</t>
        </is>
      </c>
      <c r="S165">
        <f>HYPERLINK("https://klasma.github.io/Logging_2283/artfynd/A 58827-2023 artfynd.xlsx", "A 58827-2023")</f>
        <v/>
      </c>
      <c r="T165">
        <f>HYPERLINK("https://klasma.github.io/Logging_2283/kartor/A 58827-2023 karta.png", "A 58827-2023")</f>
        <v/>
      </c>
      <c r="V165">
        <f>HYPERLINK("https://klasma.github.io/Logging_2283/klagomål/A 58827-2023 FSC-klagomål.docx", "A 58827-2023")</f>
        <v/>
      </c>
      <c r="W165">
        <f>HYPERLINK("https://klasma.github.io/Logging_2283/klagomålsmail/A 58827-2023 FSC-klagomål mail.docx", "A 58827-2023")</f>
        <v/>
      </c>
      <c r="X165">
        <f>HYPERLINK("https://klasma.github.io/Logging_2283/tillsyn/A 58827-2023 tillsynsbegäran.docx", "A 58827-2023")</f>
        <v/>
      </c>
      <c r="Y165">
        <f>HYPERLINK("https://klasma.github.io/Logging_2283/tillsynsmail/A 58827-2023 tillsynsbegäran mail.docx", "A 58827-2023")</f>
        <v/>
      </c>
    </row>
    <row r="166" ht="15" customHeight="1">
      <c r="A166" t="inlineStr">
        <is>
          <t>A 58580-2018</t>
        </is>
      </c>
      <c r="B166" s="1" t="n">
        <v>43409</v>
      </c>
      <c r="C166" s="1" t="n">
        <v>45337</v>
      </c>
      <c r="D166" t="inlineStr">
        <is>
          <t>VÄSTERNORRLANDS LÄN</t>
        </is>
      </c>
      <c r="E166" t="inlineStr">
        <is>
          <t>SOLLEFTEÅ</t>
        </is>
      </c>
      <c r="G166" t="n">
        <v>3.9</v>
      </c>
      <c r="H166" t="n">
        <v>0</v>
      </c>
      <c r="I166" t="n">
        <v>0</v>
      </c>
      <c r="J166" t="n">
        <v>1</v>
      </c>
      <c r="K166" t="n">
        <v>0</v>
      </c>
      <c r="L166" t="n">
        <v>0</v>
      </c>
      <c r="M166" t="n">
        <v>0</v>
      </c>
      <c r="N166" t="n">
        <v>0</v>
      </c>
      <c r="O166" t="n">
        <v>1</v>
      </c>
      <c r="P166" t="n">
        <v>0</v>
      </c>
      <c r="Q166" t="n">
        <v>1</v>
      </c>
      <c r="R166" s="2" t="inlineStr">
        <is>
          <t>Garnlav</t>
        </is>
      </c>
      <c r="S166">
        <f>HYPERLINK("https://klasma.github.io/Logging_2283/artfynd/A 58580-2018 artfynd.xlsx", "A 58580-2018")</f>
        <v/>
      </c>
      <c r="T166">
        <f>HYPERLINK("https://klasma.github.io/Logging_2283/kartor/A 58580-2018 karta.png", "A 58580-2018")</f>
        <v/>
      </c>
      <c r="V166">
        <f>HYPERLINK("https://klasma.github.io/Logging_2283/klagomål/A 58580-2018 FSC-klagomål.docx", "A 58580-2018")</f>
        <v/>
      </c>
      <c r="W166">
        <f>HYPERLINK("https://klasma.github.io/Logging_2283/klagomålsmail/A 58580-2018 FSC-klagomål mail.docx", "A 58580-2018")</f>
        <v/>
      </c>
      <c r="X166">
        <f>HYPERLINK("https://klasma.github.io/Logging_2283/tillsyn/A 58580-2018 tillsynsbegäran.docx", "A 58580-2018")</f>
        <v/>
      </c>
      <c r="Y166">
        <f>HYPERLINK("https://klasma.github.io/Logging_2283/tillsynsmail/A 58580-2018 tillsynsbegäran mail.docx", "A 58580-2018")</f>
        <v/>
      </c>
    </row>
    <row r="167" ht="15" customHeight="1">
      <c r="A167" t="inlineStr">
        <is>
          <t>A 70806-2018</t>
        </is>
      </c>
      <c r="B167" s="1" t="n">
        <v>43451</v>
      </c>
      <c r="C167" s="1" t="n">
        <v>45337</v>
      </c>
      <c r="D167" t="inlineStr">
        <is>
          <t>VÄSTERNORRLANDS LÄN</t>
        </is>
      </c>
      <c r="E167" t="inlineStr">
        <is>
          <t>SOLLEFTEÅ</t>
        </is>
      </c>
      <c r="G167" t="n">
        <v>4.3</v>
      </c>
      <c r="H167" t="n">
        <v>0</v>
      </c>
      <c r="I167" t="n">
        <v>0</v>
      </c>
      <c r="J167" t="n">
        <v>1</v>
      </c>
      <c r="K167" t="n">
        <v>0</v>
      </c>
      <c r="L167" t="n">
        <v>0</v>
      </c>
      <c r="M167" t="n">
        <v>0</v>
      </c>
      <c r="N167" t="n">
        <v>0</v>
      </c>
      <c r="O167" t="n">
        <v>1</v>
      </c>
      <c r="P167" t="n">
        <v>0</v>
      </c>
      <c r="Q167" t="n">
        <v>1</v>
      </c>
      <c r="R167" s="2" t="inlineStr">
        <is>
          <t>Garnlav</t>
        </is>
      </c>
      <c r="S167">
        <f>HYPERLINK("https://klasma.github.io/Logging_2283/artfynd/A 70806-2018 artfynd.xlsx", "A 70806-2018")</f>
        <v/>
      </c>
      <c r="T167">
        <f>HYPERLINK("https://klasma.github.io/Logging_2283/kartor/A 70806-2018 karta.png", "A 70806-2018")</f>
        <v/>
      </c>
      <c r="V167">
        <f>HYPERLINK("https://klasma.github.io/Logging_2283/klagomål/A 70806-2018 FSC-klagomål.docx", "A 70806-2018")</f>
        <v/>
      </c>
      <c r="W167">
        <f>HYPERLINK("https://klasma.github.io/Logging_2283/klagomålsmail/A 70806-2018 FSC-klagomål mail.docx", "A 70806-2018")</f>
        <v/>
      </c>
      <c r="X167">
        <f>HYPERLINK("https://klasma.github.io/Logging_2283/tillsyn/A 70806-2018 tillsynsbegäran.docx", "A 70806-2018")</f>
        <v/>
      </c>
      <c r="Y167">
        <f>HYPERLINK("https://klasma.github.io/Logging_2283/tillsynsmail/A 70806-2018 tillsynsbegäran mail.docx", "A 70806-2018")</f>
        <v/>
      </c>
    </row>
    <row r="168" ht="15" customHeight="1">
      <c r="A168" t="inlineStr">
        <is>
          <t>A 71019-2018</t>
        </is>
      </c>
      <c r="B168" s="1" t="n">
        <v>43451</v>
      </c>
      <c r="C168" s="1" t="n">
        <v>45337</v>
      </c>
      <c r="D168" t="inlineStr">
        <is>
          <t>VÄSTERNORRLANDS LÄN</t>
        </is>
      </c>
      <c r="E168" t="inlineStr">
        <is>
          <t>SOLLEFTEÅ</t>
        </is>
      </c>
      <c r="G168" t="n">
        <v>7.6</v>
      </c>
      <c r="H168" t="n">
        <v>0</v>
      </c>
      <c r="I168" t="n">
        <v>0</v>
      </c>
      <c r="J168" t="n">
        <v>1</v>
      </c>
      <c r="K168" t="n">
        <v>0</v>
      </c>
      <c r="L168" t="n">
        <v>0</v>
      </c>
      <c r="M168" t="n">
        <v>0</v>
      </c>
      <c r="N168" t="n">
        <v>0</v>
      </c>
      <c r="O168" t="n">
        <v>1</v>
      </c>
      <c r="P168" t="n">
        <v>0</v>
      </c>
      <c r="Q168" t="n">
        <v>1</v>
      </c>
      <c r="R168" s="2" t="inlineStr">
        <is>
          <t>Rosenticka</t>
        </is>
      </c>
      <c r="S168">
        <f>HYPERLINK("https://klasma.github.io/Logging_2283/artfynd/A 71019-2018 artfynd.xlsx", "A 71019-2018")</f>
        <v/>
      </c>
      <c r="T168">
        <f>HYPERLINK("https://klasma.github.io/Logging_2283/kartor/A 71019-2018 karta.png", "A 71019-2018")</f>
        <v/>
      </c>
      <c r="V168">
        <f>HYPERLINK("https://klasma.github.io/Logging_2283/klagomål/A 71019-2018 FSC-klagomål.docx", "A 71019-2018")</f>
        <v/>
      </c>
      <c r="W168">
        <f>HYPERLINK("https://klasma.github.io/Logging_2283/klagomålsmail/A 71019-2018 FSC-klagomål mail.docx", "A 71019-2018")</f>
        <v/>
      </c>
      <c r="X168">
        <f>HYPERLINK("https://klasma.github.io/Logging_2283/tillsyn/A 71019-2018 tillsynsbegäran.docx", "A 71019-2018")</f>
        <v/>
      </c>
      <c r="Y168">
        <f>HYPERLINK("https://klasma.github.io/Logging_2283/tillsynsmail/A 71019-2018 tillsynsbegäran mail.docx", "A 71019-2018")</f>
        <v/>
      </c>
    </row>
    <row r="169" ht="15" customHeight="1">
      <c r="A169" t="inlineStr">
        <is>
          <t>A 3779-2019</t>
        </is>
      </c>
      <c r="B169" s="1" t="n">
        <v>43481</v>
      </c>
      <c r="C169" s="1" t="n">
        <v>45337</v>
      </c>
      <c r="D169" t="inlineStr">
        <is>
          <t>VÄSTERNORRLANDS LÄN</t>
        </is>
      </c>
      <c r="E169" t="inlineStr">
        <is>
          <t>SOLLEFTEÅ</t>
        </is>
      </c>
      <c r="F169" t="inlineStr">
        <is>
          <t>SCA</t>
        </is>
      </c>
      <c r="G169" t="n">
        <v>3.3</v>
      </c>
      <c r="H169" t="n">
        <v>0</v>
      </c>
      <c r="I169" t="n">
        <v>0</v>
      </c>
      <c r="J169" t="n">
        <v>1</v>
      </c>
      <c r="K169" t="n">
        <v>0</v>
      </c>
      <c r="L169" t="n">
        <v>0</v>
      </c>
      <c r="M169" t="n">
        <v>0</v>
      </c>
      <c r="N169" t="n">
        <v>0</v>
      </c>
      <c r="O169" t="n">
        <v>1</v>
      </c>
      <c r="P169" t="n">
        <v>0</v>
      </c>
      <c r="Q169" t="n">
        <v>1</v>
      </c>
      <c r="R169" s="2" t="inlineStr">
        <is>
          <t>Ullticka</t>
        </is>
      </c>
      <c r="S169">
        <f>HYPERLINK("https://klasma.github.io/Logging_2283/artfynd/A 3779-2019 artfynd.xlsx", "A 3779-2019")</f>
        <v/>
      </c>
      <c r="T169">
        <f>HYPERLINK("https://klasma.github.io/Logging_2283/kartor/A 3779-2019 karta.png", "A 3779-2019")</f>
        <v/>
      </c>
      <c r="V169">
        <f>HYPERLINK("https://klasma.github.io/Logging_2283/klagomål/A 3779-2019 FSC-klagomål.docx", "A 3779-2019")</f>
        <v/>
      </c>
      <c r="W169">
        <f>HYPERLINK("https://klasma.github.io/Logging_2283/klagomålsmail/A 3779-2019 FSC-klagomål mail.docx", "A 3779-2019")</f>
        <v/>
      </c>
      <c r="X169">
        <f>HYPERLINK("https://klasma.github.io/Logging_2283/tillsyn/A 3779-2019 tillsynsbegäran.docx", "A 3779-2019")</f>
        <v/>
      </c>
      <c r="Y169">
        <f>HYPERLINK("https://klasma.github.io/Logging_2283/tillsynsmail/A 3779-2019 tillsynsbegäran mail.docx", "A 3779-2019")</f>
        <v/>
      </c>
    </row>
    <row r="170" ht="15" customHeight="1">
      <c r="A170" t="inlineStr">
        <is>
          <t>A 8476-2019</t>
        </is>
      </c>
      <c r="B170" s="1" t="n">
        <v>43497</v>
      </c>
      <c r="C170" s="1" t="n">
        <v>45337</v>
      </c>
      <c r="D170" t="inlineStr">
        <is>
          <t>VÄSTERNORRLANDS LÄN</t>
        </is>
      </c>
      <c r="E170" t="inlineStr">
        <is>
          <t>SOLLEFTEÅ</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HYPERLINK("https://klasma.github.io/Logging_2283/artfynd/A 8476-2019 artfynd.xlsx", "A 8476-2019")</f>
        <v/>
      </c>
      <c r="T170">
        <f>HYPERLINK("https://klasma.github.io/Logging_2283/kartor/A 8476-2019 karta.png", "A 8476-2019")</f>
        <v/>
      </c>
      <c r="V170">
        <f>HYPERLINK("https://klasma.github.io/Logging_2283/klagomål/A 8476-2019 FSC-klagomål.docx", "A 8476-2019")</f>
        <v/>
      </c>
      <c r="W170">
        <f>HYPERLINK("https://klasma.github.io/Logging_2283/klagomålsmail/A 8476-2019 FSC-klagomål mail.docx", "A 8476-2019")</f>
        <v/>
      </c>
      <c r="X170">
        <f>HYPERLINK("https://klasma.github.io/Logging_2283/tillsyn/A 8476-2019 tillsynsbegäran.docx", "A 8476-2019")</f>
        <v/>
      </c>
      <c r="Y170">
        <f>HYPERLINK("https://klasma.github.io/Logging_2283/tillsynsmail/A 8476-2019 tillsynsbegäran mail.docx", "A 8476-2019")</f>
        <v/>
      </c>
    </row>
    <row r="171" ht="15" customHeight="1">
      <c r="A171" t="inlineStr">
        <is>
          <t>A 16838-2019</t>
        </is>
      </c>
      <c r="B171" s="1" t="n">
        <v>43549</v>
      </c>
      <c r="C171" s="1" t="n">
        <v>45337</v>
      </c>
      <c r="D171" t="inlineStr">
        <is>
          <t>VÄSTERNORRLANDS LÄN</t>
        </is>
      </c>
      <c r="E171" t="inlineStr">
        <is>
          <t>SOLLEFTEÅ</t>
        </is>
      </c>
      <c r="F171" t="inlineStr">
        <is>
          <t>SCA</t>
        </is>
      </c>
      <c r="G171" t="n">
        <v>16.4</v>
      </c>
      <c r="H171" t="n">
        <v>1</v>
      </c>
      <c r="I171" t="n">
        <v>0</v>
      </c>
      <c r="J171" t="n">
        <v>0</v>
      </c>
      <c r="K171" t="n">
        <v>0</v>
      </c>
      <c r="L171" t="n">
        <v>0</v>
      </c>
      <c r="M171" t="n">
        <v>1</v>
      </c>
      <c r="N171" t="n">
        <v>0</v>
      </c>
      <c r="O171" t="n">
        <v>1</v>
      </c>
      <c r="P171" t="n">
        <v>1</v>
      </c>
      <c r="Q171" t="n">
        <v>1</v>
      </c>
      <c r="R171" s="2" t="inlineStr">
        <is>
          <t>Ortolansparv</t>
        </is>
      </c>
      <c r="S171">
        <f>HYPERLINK("https://klasma.github.io/Logging_2283/artfynd/A 16838-2019 artfynd.xlsx", "A 16838-2019")</f>
        <v/>
      </c>
      <c r="T171">
        <f>HYPERLINK("https://klasma.github.io/Logging_2283/kartor/A 16838-2019 karta.png", "A 16838-2019")</f>
        <v/>
      </c>
      <c r="V171">
        <f>HYPERLINK("https://klasma.github.io/Logging_2283/klagomål/A 16838-2019 FSC-klagomål.docx", "A 16838-2019")</f>
        <v/>
      </c>
      <c r="W171">
        <f>HYPERLINK("https://klasma.github.io/Logging_2283/klagomålsmail/A 16838-2019 FSC-klagomål mail.docx", "A 16838-2019")</f>
        <v/>
      </c>
      <c r="X171">
        <f>HYPERLINK("https://klasma.github.io/Logging_2283/tillsyn/A 16838-2019 tillsynsbegäran.docx", "A 16838-2019")</f>
        <v/>
      </c>
      <c r="Y171">
        <f>HYPERLINK("https://klasma.github.io/Logging_2283/tillsynsmail/A 16838-2019 tillsynsbegäran mail.docx", "A 16838-2019")</f>
        <v/>
      </c>
      <c r="Z171">
        <f>HYPERLINK("https://klasma.github.io/Logging_2283/fåglar/A 16838-2019 prioriterade fågelarter.docx", "A 16838-2019")</f>
        <v/>
      </c>
    </row>
    <row r="172" ht="15" customHeight="1">
      <c r="A172" t="inlineStr">
        <is>
          <t>A 21120-2019</t>
        </is>
      </c>
      <c r="B172" s="1" t="n">
        <v>43578</v>
      </c>
      <c r="C172" s="1" t="n">
        <v>45337</v>
      </c>
      <c r="D172" t="inlineStr">
        <is>
          <t>VÄSTERNORRLANDS LÄN</t>
        </is>
      </c>
      <c r="E172" t="inlineStr">
        <is>
          <t>SOLLEFTEÅ</t>
        </is>
      </c>
      <c r="F172" t="inlineStr">
        <is>
          <t>SCA</t>
        </is>
      </c>
      <c r="G172" t="n">
        <v>54.4</v>
      </c>
      <c r="H172" t="n">
        <v>1</v>
      </c>
      <c r="I172" t="n">
        <v>0</v>
      </c>
      <c r="J172" t="n">
        <v>0</v>
      </c>
      <c r="K172" t="n">
        <v>0</v>
      </c>
      <c r="L172" t="n">
        <v>0</v>
      </c>
      <c r="M172" t="n">
        <v>0</v>
      </c>
      <c r="N172" t="n">
        <v>0</v>
      </c>
      <c r="O172" t="n">
        <v>0</v>
      </c>
      <c r="P172" t="n">
        <v>0</v>
      </c>
      <c r="Q172" t="n">
        <v>1</v>
      </c>
      <c r="R172" s="2" t="inlineStr">
        <is>
          <t>Revlummer</t>
        </is>
      </c>
      <c r="S172">
        <f>HYPERLINK("https://klasma.github.io/Logging_2283/artfynd/A 21120-2019 artfynd.xlsx", "A 21120-2019")</f>
        <v/>
      </c>
      <c r="T172">
        <f>HYPERLINK("https://klasma.github.io/Logging_2283/kartor/A 21120-2019 karta.png", "A 21120-2019")</f>
        <v/>
      </c>
      <c r="V172">
        <f>HYPERLINK("https://klasma.github.io/Logging_2283/klagomål/A 21120-2019 FSC-klagomål.docx", "A 21120-2019")</f>
        <v/>
      </c>
      <c r="W172">
        <f>HYPERLINK("https://klasma.github.io/Logging_2283/klagomålsmail/A 21120-2019 FSC-klagomål mail.docx", "A 21120-2019")</f>
        <v/>
      </c>
      <c r="X172">
        <f>HYPERLINK("https://klasma.github.io/Logging_2283/tillsyn/A 21120-2019 tillsynsbegäran.docx", "A 21120-2019")</f>
        <v/>
      </c>
      <c r="Y172">
        <f>HYPERLINK("https://klasma.github.io/Logging_2283/tillsynsmail/A 21120-2019 tillsynsbegäran mail.docx", "A 21120-2019")</f>
        <v/>
      </c>
    </row>
    <row r="173" ht="15" customHeight="1">
      <c r="A173" t="inlineStr">
        <is>
          <t>A 28600-2019</t>
        </is>
      </c>
      <c r="B173" s="1" t="n">
        <v>43626</v>
      </c>
      <c r="C173" s="1" t="n">
        <v>45337</v>
      </c>
      <c r="D173" t="inlineStr">
        <is>
          <t>VÄSTERNORRLANDS LÄN</t>
        </is>
      </c>
      <c r="E173" t="inlineStr">
        <is>
          <t>SOLLEFTEÅ</t>
        </is>
      </c>
      <c r="F173" t="inlineStr">
        <is>
          <t>SCA</t>
        </is>
      </c>
      <c r="G173" t="n">
        <v>5.9</v>
      </c>
      <c r="H173" t="n">
        <v>0</v>
      </c>
      <c r="I173" t="n">
        <v>0</v>
      </c>
      <c r="J173" t="n">
        <v>1</v>
      </c>
      <c r="K173" t="n">
        <v>0</v>
      </c>
      <c r="L173" t="n">
        <v>0</v>
      </c>
      <c r="M173" t="n">
        <v>0</v>
      </c>
      <c r="N173" t="n">
        <v>0</v>
      </c>
      <c r="O173" t="n">
        <v>1</v>
      </c>
      <c r="P173" t="n">
        <v>0</v>
      </c>
      <c r="Q173" t="n">
        <v>1</v>
      </c>
      <c r="R173" s="2" t="inlineStr">
        <is>
          <t>Tallriska</t>
        </is>
      </c>
      <c r="S173">
        <f>HYPERLINK("https://klasma.github.io/Logging_2283/artfynd/A 28600-2019 artfynd.xlsx", "A 28600-2019")</f>
        <v/>
      </c>
      <c r="T173">
        <f>HYPERLINK("https://klasma.github.io/Logging_2283/kartor/A 28600-2019 karta.png", "A 28600-2019")</f>
        <v/>
      </c>
      <c r="V173">
        <f>HYPERLINK("https://klasma.github.io/Logging_2283/klagomål/A 28600-2019 FSC-klagomål.docx", "A 28600-2019")</f>
        <v/>
      </c>
      <c r="W173">
        <f>HYPERLINK("https://klasma.github.io/Logging_2283/klagomålsmail/A 28600-2019 FSC-klagomål mail.docx", "A 28600-2019")</f>
        <v/>
      </c>
      <c r="X173">
        <f>HYPERLINK("https://klasma.github.io/Logging_2283/tillsyn/A 28600-2019 tillsynsbegäran.docx", "A 28600-2019")</f>
        <v/>
      </c>
      <c r="Y173">
        <f>HYPERLINK("https://klasma.github.io/Logging_2283/tillsynsmail/A 28600-2019 tillsynsbegäran mail.docx", "A 28600-2019")</f>
        <v/>
      </c>
    </row>
    <row r="174" ht="15" customHeight="1">
      <c r="A174" t="inlineStr">
        <is>
          <t>A 36982-2019</t>
        </is>
      </c>
      <c r="B174" s="1" t="n">
        <v>43676</v>
      </c>
      <c r="C174" s="1" t="n">
        <v>45337</v>
      </c>
      <c r="D174" t="inlineStr">
        <is>
          <t>VÄSTERNORRLANDS LÄN</t>
        </is>
      </c>
      <c r="E174" t="inlineStr">
        <is>
          <t>SOLLEFTEÅ</t>
        </is>
      </c>
      <c r="G174" t="n">
        <v>1.2</v>
      </c>
      <c r="H174" t="n">
        <v>0</v>
      </c>
      <c r="I174" t="n">
        <v>1</v>
      </c>
      <c r="J174" t="n">
        <v>0</v>
      </c>
      <c r="K174" t="n">
        <v>0</v>
      </c>
      <c r="L174" t="n">
        <v>0</v>
      </c>
      <c r="M174" t="n">
        <v>0</v>
      </c>
      <c r="N174" t="n">
        <v>0</v>
      </c>
      <c r="O174" t="n">
        <v>0</v>
      </c>
      <c r="P174" t="n">
        <v>0</v>
      </c>
      <c r="Q174" t="n">
        <v>1</v>
      </c>
      <c r="R174" s="2" t="inlineStr">
        <is>
          <t>Trådticka</t>
        </is>
      </c>
      <c r="S174">
        <f>HYPERLINK("https://klasma.github.io/Logging_2283/artfynd/A 36982-2019 artfynd.xlsx", "A 36982-2019")</f>
        <v/>
      </c>
      <c r="T174">
        <f>HYPERLINK("https://klasma.github.io/Logging_2283/kartor/A 36982-2019 karta.png", "A 36982-2019")</f>
        <v/>
      </c>
      <c r="V174">
        <f>HYPERLINK("https://klasma.github.io/Logging_2283/klagomål/A 36982-2019 FSC-klagomål.docx", "A 36982-2019")</f>
        <v/>
      </c>
      <c r="W174">
        <f>HYPERLINK("https://klasma.github.io/Logging_2283/klagomålsmail/A 36982-2019 FSC-klagomål mail.docx", "A 36982-2019")</f>
        <v/>
      </c>
      <c r="X174">
        <f>HYPERLINK("https://klasma.github.io/Logging_2283/tillsyn/A 36982-2019 tillsynsbegäran.docx", "A 36982-2019")</f>
        <v/>
      </c>
      <c r="Y174">
        <f>HYPERLINK("https://klasma.github.io/Logging_2283/tillsynsmail/A 36982-2019 tillsynsbegäran mail.docx", "A 36982-2019")</f>
        <v/>
      </c>
    </row>
    <row r="175" ht="15" customHeight="1">
      <c r="A175" t="inlineStr">
        <is>
          <t>A 38091-2019</t>
        </is>
      </c>
      <c r="B175" s="1" t="n">
        <v>43682</v>
      </c>
      <c r="C175" s="1" t="n">
        <v>45337</v>
      </c>
      <c r="D175" t="inlineStr">
        <is>
          <t>VÄSTERNORRLANDS LÄN</t>
        </is>
      </c>
      <c r="E175" t="inlineStr">
        <is>
          <t>SOLLEFTEÅ</t>
        </is>
      </c>
      <c r="F175" t="inlineStr">
        <is>
          <t>Holmen skog AB</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HYPERLINK("https://klasma.github.io/Logging_2283/artfynd/A 38091-2019 artfynd.xlsx", "A 38091-2019")</f>
        <v/>
      </c>
      <c r="T175">
        <f>HYPERLINK("https://klasma.github.io/Logging_2283/kartor/A 38091-2019 karta.png", "A 38091-2019")</f>
        <v/>
      </c>
      <c r="V175">
        <f>HYPERLINK("https://klasma.github.io/Logging_2283/klagomål/A 38091-2019 FSC-klagomål.docx", "A 38091-2019")</f>
        <v/>
      </c>
      <c r="W175">
        <f>HYPERLINK("https://klasma.github.io/Logging_2283/klagomålsmail/A 38091-2019 FSC-klagomål mail.docx", "A 38091-2019")</f>
        <v/>
      </c>
      <c r="X175">
        <f>HYPERLINK("https://klasma.github.io/Logging_2283/tillsyn/A 38091-2019 tillsynsbegäran.docx", "A 38091-2019")</f>
        <v/>
      </c>
      <c r="Y175">
        <f>HYPERLINK("https://klasma.github.io/Logging_2283/tillsynsmail/A 38091-2019 tillsynsbegäran mail.docx", "A 38091-2019")</f>
        <v/>
      </c>
      <c r="Z175">
        <f>HYPERLINK("https://klasma.github.io/Logging_2283/fåglar/A 38091-2019 prioriterade fågelarter.docx", "A 38091-2019")</f>
        <v/>
      </c>
    </row>
    <row r="176" ht="15" customHeight="1">
      <c r="A176" t="inlineStr">
        <is>
          <t>A 51669-2019</t>
        </is>
      </c>
      <c r="B176" s="1" t="n">
        <v>43740</v>
      </c>
      <c r="C176" s="1" t="n">
        <v>45337</v>
      </c>
      <c r="D176" t="inlineStr">
        <is>
          <t>VÄSTERNORRLANDS LÄN</t>
        </is>
      </c>
      <c r="E176" t="inlineStr">
        <is>
          <t>SOLLEFTEÅ</t>
        </is>
      </c>
      <c r="F176" t="inlineStr">
        <is>
          <t>SCA</t>
        </is>
      </c>
      <c r="G176" t="n">
        <v>3.6</v>
      </c>
      <c r="H176" t="n">
        <v>0</v>
      </c>
      <c r="I176" t="n">
        <v>0</v>
      </c>
      <c r="J176" t="n">
        <v>1</v>
      </c>
      <c r="K176" t="n">
        <v>0</v>
      </c>
      <c r="L176" t="n">
        <v>0</v>
      </c>
      <c r="M176" t="n">
        <v>0</v>
      </c>
      <c r="N176" t="n">
        <v>0</v>
      </c>
      <c r="O176" t="n">
        <v>1</v>
      </c>
      <c r="P176" t="n">
        <v>0</v>
      </c>
      <c r="Q176" t="n">
        <v>1</v>
      </c>
      <c r="R176" s="2" t="inlineStr">
        <is>
          <t>Rosenticka</t>
        </is>
      </c>
      <c r="S176">
        <f>HYPERLINK("https://klasma.github.io/Logging_2283/artfynd/A 51669-2019 artfynd.xlsx", "A 51669-2019")</f>
        <v/>
      </c>
      <c r="T176">
        <f>HYPERLINK("https://klasma.github.io/Logging_2283/kartor/A 51669-2019 karta.png", "A 51669-2019")</f>
        <v/>
      </c>
      <c r="V176">
        <f>HYPERLINK("https://klasma.github.io/Logging_2283/klagomål/A 51669-2019 FSC-klagomål.docx", "A 51669-2019")</f>
        <v/>
      </c>
      <c r="W176">
        <f>HYPERLINK("https://klasma.github.io/Logging_2283/klagomålsmail/A 51669-2019 FSC-klagomål mail.docx", "A 51669-2019")</f>
        <v/>
      </c>
      <c r="X176">
        <f>HYPERLINK("https://klasma.github.io/Logging_2283/tillsyn/A 51669-2019 tillsynsbegäran.docx", "A 51669-2019")</f>
        <v/>
      </c>
      <c r="Y176">
        <f>HYPERLINK("https://klasma.github.io/Logging_2283/tillsynsmail/A 51669-2019 tillsynsbegäran mail.docx", "A 51669-2019")</f>
        <v/>
      </c>
    </row>
    <row r="177" ht="15" customHeight="1">
      <c r="A177" t="inlineStr">
        <is>
          <t>A 59511-2019</t>
        </is>
      </c>
      <c r="B177" s="1" t="n">
        <v>43773</v>
      </c>
      <c r="C177" s="1" t="n">
        <v>45337</v>
      </c>
      <c r="D177" t="inlineStr">
        <is>
          <t>VÄSTERNORRLANDS LÄN</t>
        </is>
      </c>
      <c r="E177" t="inlineStr">
        <is>
          <t>SOLLEFTEÅ</t>
        </is>
      </c>
      <c r="F177" t="inlineStr">
        <is>
          <t>Holmen skog AB</t>
        </is>
      </c>
      <c r="G177" t="n">
        <v>4.8</v>
      </c>
      <c r="H177" t="n">
        <v>0</v>
      </c>
      <c r="I177" t="n">
        <v>0</v>
      </c>
      <c r="J177" t="n">
        <v>1</v>
      </c>
      <c r="K177" t="n">
        <v>0</v>
      </c>
      <c r="L177" t="n">
        <v>0</v>
      </c>
      <c r="M177" t="n">
        <v>0</v>
      </c>
      <c r="N177" t="n">
        <v>0</v>
      </c>
      <c r="O177" t="n">
        <v>1</v>
      </c>
      <c r="P177" t="n">
        <v>0</v>
      </c>
      <c r="Q177" t="n">
        <v>1</v>
      </c>
      <c r="R177" s="2" t="inlineStr">
        <is>
          <t>Lunglav</t>
        </is>
      </c>
      <c r="S177">
        <f>HYPERLINK("https://klasma.github.io/Logging_2283/artfynd/A 59511-2019 artfynd.xlsx", "A 59511-2019")</f>
        <v/>
      </c>
      <c r="T177">
        <f>HYPERLINK("https://klasma.github.io/Logging_2283/kartor/A 59511-2019 karta.png", "A 59511-2019")</f>
        <v/>
      </c>
      <c r="V177">
        <f>HYPERLINK("https://klasma.github.io/Logging_2283/klagomål/A 59511-2019 FSC-klagomål.docx", "A 59511-2019")</f>
        <v/>
      </c>
      <c r="W177">
        <f>HYPERLINK("https://klasma.github.io/Logging_2283/klagomålsmail/A 59511-2019 FSC-klagomål mail.docx", "A 59511-2019")</f>
        <v/>
      </c>
      <c r="X177">
        <f>HYPERLINK("https://klasma.github.io/Logging_2283/tillsyn/A 59511-2019 tillsynsbegäran.docx", "A 59511-2019")</f>
        <v/>
      </c>
      <c r="Y177">
        <f>HYPERLINK("https://klasma.github.io/Logging_2283/tillsynsmail/A 59511-2019 tillsynsbegäran mail.docx", "A 59511-2019")</f>
        <v/>
      </c>
    </row>
    <row r="178" ht="15" customHeight="1">
      <c r="A178" t="inlineStr">
        <is>
          <t>A 9178-2020</t>
        </is>
      </c>
      <c r="B178" s="1" t="n">
        <v>43879</v>
      </c>
      <c r="C178" s="1" t="n">
        <v>45337</v>
      </c>
      <c r="D178" t="inlineStr">
        <is>
          <t>VÄSTERNORRLANDS LÄN</t>
        </is>
      </c>
      <c r="E178" t="inlineStr">
        <is>
          <t>SOLLEFTEÅ</t>
        </is>
      </c>
      <c r="G178" t="n">
        <v>5.3</v>
      </c>
      <c r="H178" t="n">
        <v>1</v>
      </c>
      <c r="I178" t="n">
        <v>0</v>
      </c>
      <c r="J178" t="n">
        <v>0</v>
      </c>
      <c r="K178" t="n">
        <v>0</v>
      </c>
      <c r="L178" t="n">
        <v>0</v>
      </c>
      <c r="M178" t="n">
        <v>0</v>
      </c>
      <c r="N178" t="n">
        <v>0</v>
      </c>
      <c r="O178" t="n">
        <v>0</v>
      </c>
      <c r="P178" t="n">
        <v>0</v>
      </c>
      <c r="Q178" t="n">
        <v>1</v>
      </c>
      <c r="R178" s="2" t="inlineStr">
        <is>
          <t>Fläcknycklar</t>
        </is>
      </c>
      <c r="S178">
        <f>HYPERLINK("https://klasma.github.io/Logging_2283/artfynd/A 9178-2020 artfynd.xlsx", "A 9178-2020")</f>
        <v/>
      </c>
      <c r="T178">
        <f>HYPERLINK("https://klasma.github.io/Logging_2283/kartor/A 9178-2020 karta.png", "A 9178-2020")</f>
        <v/>
      </c>
      <c r="V178">
        <f>HYPERLINK("https://klasma.github.io/Logging_2283/klagomål/A 9178-2020 FSC-klagomål.docx", "A 9178-2020")</f>
        <v/>
      </c>
      <c r="W178">
        <f>HYPERLINK("https://klasma.github.io/Logging_2283/klagomålsmail/A 9178-2020 FSC-klagomål mail.docx", "A 9178-2020")</f>
        <v/>
      </c>
      <c r="X178">
        <f>HYPERLINK("https://klasma.github.io/Logging_2283/tillsyn/A 9178-2020 tillsynsbegäran.docx", "A 9178-2020")</f>
        <v/>
      </c>
      <c r="Y178">
        <f>HYPERLINK("https://klasma.github.io/Logging_2283/tillsynsmail/A 9178-2020 tillsynsbegäran mail.docx", "A 9178-2020")</f>
        <v/>
      </c>
    </row>
    <row r="179" ht="15" customHeight="1">
      <c r="A179" t="inlineStr">
        <is>
          <t>A 19166-2020</t>
        </is>
      </c>
      <c r="B179" s="1" t="n">
        <v>43936</v>
      </c>
      <c r="C179" s="1" t="n">
        <v>45337</v>
      </c>
      <c r="D179" t="inlineStr">
        <is>
          <t>VÄSTERNORRLANDS LÄN</t>
        </is>
      </c>
      <c r="E179" t="inlineStr">
        <is>
          <t>SOLLEFTEÅ</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HYPERLINK("https://klasma.github.io/Logging_2283/artfynd/A 19166-2020 artfynd.xlsx", "A 19166-2020")</f>
        <v/>
      </c>
      <c r="T179">
        <f>HYPERLINK("https://klasma.github.io/Logging_2283/kartor/A 19166-2020 karta.png", "A 19166-2020")</f>
        <v/>
      </c>
      <c r="V179">
        <f>HYPERLINK("https://klasma.github.io/Logging_2283/klagomål/A 19166-2020 FSC-klagomål.docx", "A 19166-2020")</f>
        <v/>
      </c>
      <c r="W179">
        <f>HYPERLINK("https://klasma.github.io/Logging_2283/klagomålsmail/A 19166-2020 FSC-klagomål mail.docx", "A 19166-2020")</f>
        <v/>
      </c>
      <c r="X179">
        <f>HYPERLINK("https://klasma.github.io/Logging_2283/tillsyn/A 19166-2020 tillsynsbegäran.docx", "A 19166-2020")</f>
        <v/>
      </c>
      <c r="Y179">
        <f>HYPERLINK("https://klasma.github.io/Logging_2283/tillsynsmail/A 19166-2020 tillsynsbegäran mail.docx", "A 19166-2020")</f>
        <v/>
      </c>
    </row>
    <row r="180" ht="15" customHeight="1">
      <c r="A180" t="inlineStr">
        <is>
          <t>A 24641-2020</t>
        </is>
      </c>
      <c r="B180" s="1" t="n">
        <v>43977</v>
      </c>
      <c r="C180" s="1" t="n">
        <v>45337</v>
      </c>
      <c r="D180" t="inlineStr">
        <is>
          <t>VÄSTERNORRLANDS LÄN</t>
        </is>
      </c>
      <c r="E180" t="inlineStr">
        <is>
          <t>SOLLEFTEÅ</t>
        </is>
      </c>
      <c r="F180" t="inlineStr">
        <is>
          <t>SCA</t>
        </is>
      </c>
      <c r="G180" t="n">
        <v>3.9</v>
      </c>
      <c r="H180" t="n">
        <v>1</v>
      </c>
      <c r="I180" t="n">
        <v>0</v>
      </c>
      <c r="J180" t="n">
        <v>0</v>
      </c>
      <c r="K180" t="n">
        <v>1</v>
      </c>
      <c r="L180" t="n">
        <v>0</v>
      </c>
      <c r="M180" t="n">
        <v>0</v>
      </c>
      <c r="N180" t="n">
        <v>0</v>
      </c>
      <c r="O180" t="n">
        <v>1</v>
      </c>
      <c r="P180" t="n">
        <v>1</v>
      </c>
      <c r="Q180" t="n">
        <v>1</v>
      </c>
      <c r="R180" s="2" t="inlineStr">
        <is>
          <t>Knärot</t>
        </is>
      </c>
      <c r="S180">
        <f>HYPERLINK("https://klasma.github.io/Logging_2283/artfynd/A 24641-2020 artfynd.xlsx", "A 24641-2020")</f>
        <v/>
      </c>
      <c r="T180">
        <f>HYPERLINK("https://klasma.github.io/Logging_2283/kartor/A 24641-2020 karta.png", "A 24641-2020")</f>
        <v/>
      </c>
      <c r="U180">
        <f>HYPERLINK("https://klasma.github.io/Logging_2283/knärot/A 24641-2020 karta knärot.png", "A 24641-2020")</f>
        <v/>
      </c>
      <c r="V180">
        <f>HYPERLINK("https://klasma.github.io/Logging_2283/klagomål/A 24641-2020 FSC-klagomål.docx", "A 24641-2020")</f>
        <v/>
      </c>
      <c r="W180">
        <f>HYPERLINK("https://klasma.github.io/Logging_2283/klagomålsmail/A 24641-2020 FSC-klagomål mail.docx", "A 24641-2020")</f>
        <v/>
      </c>
      <c r="X180">
        <f>HYPERLINK("https://klasma.github.io/Logging_2283/tillsyn/A 24641-2020 tillsynsbegäran.docx", "A 24641-2020")</f>
        <v/>
      </c>
      <c r="Y180">
        <f>HYPERLINK("https://klasma.github.io/Logging_2283/tillsynsmail/A 24641-2020 tillsynsbegäran mail.docx", "A 24641-2020")</f>
        <v/>
      </c>
    </row>
    <row r="181" ht="15" customHeight="1">
      <c r="A181" t="inlineStr">
        <is>
          <t>A 33612-2020</t>
        </is>
      </c>
      <c r="B181" s="1" t="n">
        <v>44025</v>
      </c>
      <c r="C181" s="1" t="n">
        <v>45337</v>
      </c>
      <c r="D181" t="inlineStr">
        <is>
          <t>VÄSTERNORRLANDS LÄN</t>
        </is>
      </c>
      <c r="E181" t="inlineStr">
        <is>
          <t>SOLLEFTEÅ</t>
        </is>
      </c>
      <c r="F181" t="inlineStr">
        <is>
          <t>SCA</t>
        </is>
      </c>
      <c r="G181" t="n">
        <v>2.3</v>
      </c>
      <c r="H181" t="n">
        <v>0</v>
      </c>
      <c r="I181" t="n">
        <v>0</v>
      </c>
      <c r="J181" t="n">
        <v>1</v>
      </c>
      <c r="K181" t="n">
        <v>0</v>
      </c>
      <c r="L181" t="n">
        <v>0</v>
      </c>
      <c r="M181" t="n">
        <v>0</v>
      </c>
      <c r="N181" t="n">
        <v>0</v>
      </c>
      <c r="O181" t="n">
        <v>1</v>
      </c>
      <c r="P181" t="n">
        <v>0</v>
      </c>
      <c r="Q181" t="n">
        <v>1</v>
      </c>
      <c r="R181" s="2" t="inlineStr">
        <is>
          <t>Dvärgbägarlav</t>
        </is>
      </c>
      <c r="S181">
        <f>HYPERLINK("https://klasma.github.io/Logging_2283/artfynd/A 33612-2020 artfynd.xlsx", "A 33612-2020")</f>
        <v/>
      </c>
      <c r="T181">
        <f>HYPERLINK("https://klasma.github.io/Logging_2283/kartor/A 33612-2020 karta.png", "A 33612-2020")</f>
        <v/>
      </c>
      <c r="V181">
        <f>HYPERLINK("https://klasma.github.io/Logging_2283/klagomål/A 33612-2020 FSC-klagomål.docx", "A 33612-2020")</f>
        <v/>
      </c>
      <c r="W181">
        <f>HYPERLINK("https://klasma.github.io/Logging_2283/klagomålsmail/A 33612-2020 FSC-klagomål mail.docx", "A 33612-2020")</f>
        <v/>
      </c>
      <c r="X181">
        <f>HYPERLINK("https://klasma.github.io/Logging_2283/tillsyn/A 33612-2020 tillsynsbegäran.docx", "A 33612-2020")</f>
        <v/>
      </c>
      <c r="Y181">
        <f>HYPERLINK("https://klasma.github.io/Logging_2283/tillsynsmail/A 33612-2020 tillsynsbegäran mail.docx", "A 33612-2020")</f>
        <v/>
      </c>
    </row>
    <row r="182" ht="15" customHeight="1">
      <c r="A182" t="inlineStr">
        <is>
          <t>A 47840-2020</t>
        </is>
      </c>
      <c r="B182" s="1" t="n">
        <v>44098</v>
      </c>
      <c r="C182" s="1" t="n">
        <v>45337</v>
      </c>
      <c r="D182" t="inlineStr">
        <is>
          <t>VÄSTERNORRLANDS LÄN</t>
        </is>
      </c>
      <c r="E182" t="inlineStr">
        <is>
          <t>SOLLEFTEÅ</t>
        </is>
      </c>
      <c r="F182" t="inlineStr">
        <is>
          <t>SCA</t>
        </is>
      </c>
      <c r="G182" t="n">
        <v>9.699999999999999</v>
      </c>
      <c r="H182" t="n">
        <v>1</v>
      </c>
      <c r="I182" t="n">
        <v>0</v>
      </c>
      <c r="J182" t="n">
        <v>0</v>
      </c>
      <c r="K182" t="n">
        <v>1</v>
      </c>
      <c r="L182" t="n">
        <v>0</v>
      </c>
      <c r="M182" t="n">
        <v>0</v>
      </c>
      <c r="N182" t="n">
        <v>0</v>
      </c>
      <c r="O182" t="n">
        <v>1</v>
      </c>
      <c r="P182" t="n">
        <v>1</v>
      </c>
      <c r="Q182" t="n">
        <v>1</v>
      </c>
      <c r="R182" s="2" t="inlineStr">
        <is>
          <t>Knärot</t>
        </is>
      </c>
      <c r="S182">
        <f>HYPERLINK("https://klasma.github.io/Logging_2283/artfynd/A 47840-2020 artfynd.xlsx", "A 47840-2020")</f>
        <v/>
      </c>
      <c r="T182">
        <f>HYPERLINK("https://klasma.github.io/Logging_2283/kartor/A 47840-2020 karta.png", "A 47840-2020")</f>
        <v/>
      </c>
      <c r="U182">
        <f>HYPERLINK("https://klasma.github.io/Logging_2283/knärot/A 47840-2020 karta knärot.png", "A 47840-2020")</f>
        <v/>
      </c>
      <c r="V182">
        <f>HYPERLINK("https://klasma.github.io/Logging_2283/klagomål/A 47840-2020 FSC-klagomål.docx", "A 47840-2020")</f>
        <v/>
      </c>
      <c r="W182">
        <f>HYPERLINK("https://klasma.github.io/Logging_2283/klagomålsmail/A 47840-2020 FSC-klagomål mail.docx", "A 47840-2020")</f>
        <v/>
      </c>
      <c r="X182">
        <f>HYPERLINK("https://klasma.github.io/Logging_2283/tillsyn/A 47840-2020 tillsynsbegäran.docx", "A 47840-2020")</f>
        <v/>
      </c>
      <c r="Y182">
        <f>HYPERLINK("https://klasma.github.io/Logging_2283/tillsynsmail/A 47840-2020 tillsynsbegäran mail.docx", "A 47840-2020")</f>
        <v/>
      </c>
    </row>
    <row r="183" ht="15" customHeight="1">
      <c r="A183" t="inlineStr">
        <is>
          <t>A 68651-2020</t>
        </is>
      </c>
      <c r="B183" s="1" t="n">
        <v>44186</v>
      </c>
      <c r="C183" s="1" t="n">
        <v>45337</v>
      </c>
      <c r="D183" t="inlineStr">
        <is>
          <t>VÄSTERNORRLANDS LÄN</t>
        </is>
      </c>
      <c r="E183" t="inlineStr">
        <is>
          <t>SOLLEFTEÅ</t>
        </is>
      </c>
      <c r="F183" t="inlineStr">
        <is>
          <t>SCA</t>
        </is>
      </c>
      <c r="G183" t="n">
        <v>1.5</v>
      </c>
      <c r="H183" t="n">
        <v>0</v>
      </c>
      <c r="I183" t="n">
        <v>0</v>
      </c>
      <c r="J183" t="n">
        <v>1</v>
      </c>
      <c r="K183" t="n">
        <v>0</v>
      </c>
      <c r="L183" t="n">
        <v>0</v>
      </c>
      <c r="M183" t="n">
        <v>0</v>
      </c>
      <c r="N183" t="n">
        <v>0</v>
      </c>
      <c r="O183" t="n">
        <v>1</v>
      </c>
      <c r="P183" t="n">
        <v>0</v>
      </c>
      <c r="Q183" t="n">
        <v>1</v>
      </c>
      <c r="R183" s="2" t="inlineStr">
        <is>
          <t>Harticka</t>
        </is>
      </c>
      <c r="S183">
        <f>HYPERLINK("https://klasma.github.io/Logging_2283/artfynd/A 68651-2020 artfynd.xlsx", "A 68651-2020")</f>
        <v/>
      </c>
      <c r="T183">
        <f>HYPERLINK("https://klasma.github.io/Logging_2283/kartor/A 68651-2020 karta.png", "A 68651-2020")</f>
        <v/>
      </c>
      <c r="V183">
        <f>HYPERLINK("https://klasma.github.io/Logging_2283/klagomål/A 68651-2020 FSC-klagomål.docx", "A 68651-2020")</f>
        <v/>
      </c>
      <c r="W183">
        <f>HYPERLINK("https://klasma.github.io/Logging_2283/klagomålsmail/A 68651-2020 FSC-klagomål mail.docx", "A 68651-2020")</f>
        <v/>
      </c>
      <c r="X183">
        <f>HYPERLINK("https://klasma.github.io/Logging_2283/tillsyn/A 68651-2020 tillsynsbegäran.docx", "A 68651-2020")</f>
        <v/>
      </c>
      <c r="Y183">
        <f>HYPERLINK("https://klasma.github.io/Logging_2283/tillsynsmail/A 68651-2020 tillsynsbegäran mail.docx", "A 68651-2020")</f>
        <v/>
      </c>
    </row>
    <row r="184" ht="15" customHeight="1">
      <c r="A184" t="inlineStr">
        <is>
          <t>A 68789-2020</t>
        </is>
      </c>
      <c r="B184" s="1" t="n">
        <v>44186</v>
      </c>
      <c r="C184" s="1" t="n">
        <v>45337</v>
      </c>
      <c r="D184" t="inlineStr">
        <is>
          <t>VÄSTERNORRLANDS LÄN</t>
        </is>
      </c>
      <c r="E184" t="inlineStr">
        <is>
          <t>SOLLEFTEÅ</t>
        </is>
      </c>
      <c r="G184" t="n">
        <v>2.1</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68789-2020 artfynd.xlsx", "A 68789-2020")</f>
        <v/>
      </c>
      <c r="T184">
        <f>HYPERLINK("https://klasma.github.io/Logging_2283/kartor/A 68789-2020 karta.png", "A 68789-2020")</f>
        <v/>
      </c>
      <c r="U184">
        <f>HYPERLINK("https://klasma.github.io/Logging_2283/knärot/A 68789-2020 karta knärot.png", "A 68789-2020")</f>
        <v/>
      </c>
      <c r="V184">
        <f>HYPERLINK("https://klasma.github.io/Logging_2283/klagomål/A 68789-2020 FSC-klagomål.docx", "A 68789-2020")</f>
        <v/>
      </c>
      <c r="W184">
        <f>HYPERLINK("https://klasma.github.io/Logging_2283/klagomålsmail/A 68789-2020 FSC-klagomål mail.docx", "A 68789-2020")</f>
        <v/>
      </c>
      <c r="X184">
        <f>HYPERLINK("https://klasma.github.io/Logging_2283/tillsyn/A 68789-2020 tillsynsbegäran.docx", "A 68789-2020")</f>
        <v/>
      </c>
      <c r="Y184">
        <f>HYPERLINK("https://klasma.github.io/Logging_2283/tillsynsmail/A 68789-2020 tillsynsbegäran mail.docx", "A 68789-2020")</f>
        <v/>
      </c>
    </row>
    <row r="185" ht="15" customHeight="1">
      <c r="A185" t="inlineStr">
        <is>
          <t>A 17377-2021</t>
        </is>
      </c>
      <c r="B185" s="1" t="n">
        <v>44298</v>
      </c>
      <c r="C185" s="1" t="n">
        <v>45337</v>
      </c>
      <c r="D185" t="inlineStr">
        <is>
          <t>VÄSTERNORRLANDS LÄN</t>
        </is>
      </c>
      <c r="E185" t="inlineStr">
        <is>
          <t>SOLLEFTEÅ</t>
        </is>
      </c>
      <c r="G185" t="n">
        <v>5.1</v>
      </c>
      <c r="H185" t="n">
        <v>0</v>
      </c>
      <c r="I185" t="n">
        <v>0</v>
      </c>
      <c r="J185" t="n">
        <v>1</v>
      </c>
      <c r="K185" t="n">
        <v>0</v>
      </c>
      <c r="L185" t="n">
        <v>0</v>
      </c>
      <c r="M185" t="n">
        <v>0</v>
      </c>
      <c r="N185" t="n">
        <v>0</v>
      </c>
      <c r="O185" t="n">
        <v>1</v>
      </c>
      <c r="P185" t="n">
        <v>0</v>
      </c>
      <c r="Q185" t="n">
        <v>1</v>
      </c>
      <c r="R185" s="2" t="inlineStr">
        <is>
          <t>Ullticka</t>
        </is>
      </c>
      <c r="S185">
        <f>HYPERLINK("https://klasma.github.io/Logging_2283/artfynd/A 17377-2021 artfynd.xlsx", "A 17377-2021")</f>
        <v/>
      </c>
      <c r="T185">
        <f>HYPERLINK("https://klasma.github.io/Logging_2283/kartor/A 17377-2021 karta.png", "A 17377-2021")</f>
        <v/>
      </c>
      <c r="V185">
        <f>HYPERLINK("https://klasma.github.io/Logging_2283/klagomål/A 17377-2021 FSC-klagomål.docx", "A 17377-2021")</f>
        <v/>
      </c>
      <c r="W185">
        <f>HYPERLINK("https://klasma.github.io/Logging_2283/klagomålsmail/A 17377-2021 FSC-klagomål mail.docx", "A 17377-2021")</f>
        <v/>
      </c>
      <c r="X185">
        <f>HYPERLINK("https://klasma.github.io/Logging_2283/tillsyn/A 17377-2021 tillsynsbegäran.docx", "A 17377-2021")</f>
        <v/>
      </c>
      <c r="Y185">
        <f>HYPERLINK("https://klasma.github.io/Logging_2283/tillsynsmail/A 17377-2021 tillsynsbegäran mail.docx", "A 17377-2021")</f>
        <v/>
      </c>
    </row>
    <row r="186" ht="15" customHeight="1">
      <c r="A186" t="inlineStr">
        <is>
          <t>A 18461-2021</t>
        </is>
      </c>
      <c r="B186" s="1" t="n">
        <v>44305</v>
      </c>
      <c r="C186" s="1" t="n">
        <v>45337</v>
      </c>
      <c r="D186" t="inlineStr">
        <is>
          <t>VÄSTERNORRLANDS LÄN</t>
        </is>
      </c>
      <c r="E186" t="inlineStr">
        <is>
          <t>SOLLEFTEÅ</t>
        </is>
      </c>
      <c r="F186" t="inlineStr">
        <is>
          <t>SCA</t>
        </is>
      </c>
      <c r="G186" t="n">
        <v>1.7</v>
      </c>
      <c r="H186" t="n">
        <v>1</v>
      </c>
      <c r="I186" t="n">
        <v>0</v>
      </c>
      <c r="J186" t="n">
        <v>1</v>
      </c>
      <c r="K186" t="n">
        <v>0</v>
      </c>
      <c r="L186" t="n">
        <v>0</v>
      </c>
      <c r="M186" t="n">
        <v>0</v>
      </c>
      <c r="N186" t="n">
        <v>0</v>
      </c>
      <c r="O186" t="n">
        <v>1</v>
      </c>
      <c r="P186" t="n">
        <v>0</v>
      </c>
      <c r="Q186" t="n">
        <v>1</v>
      </c>
      <c r="R186" s="2" t="inlineStr">
        <is>
          <t>Nordfladdermus</t>
        </is>
      </c>
      <c r="S186">
        <f>HYPERLINK("https://klasma.github.io/Logging_2283/artfynd/A 18461-2021 artfynd.xlsx", "A 18461-2021")</f>
        <v/>
      </c>
      <c r="T186">
        <f>HYPERLINK("https://klasma.github.io/Logging_2283/kartor/A 18461-2021 karta.png", "A 18461-2021")</f>
        <v/>
      </c>
      <c r="V186">
        <f>HYPERLINK("https://klasma.github.io/Logging_2283/klagomål/A 18461-2021 FSC-klagomål.docx", "A 18461-2021")</f>
        <v/>
      </c>
      <c r="W186">
        <f>HYPERLINK("https://klasma.github.io/Logging_2283/klagomålsmail/A 18461-2021 FSC-klagomål mail.docx", "A 18461-2021")</f>
        <v/>
      </c>
      <c r="X186">
        <f>HYPERLINK("https://klasma.github.io/Logging_2283/tillsyn/A 18461-2021 tillsynsbegäran.docx", "A 18461-2021")</f>
        <v/>
      </c>
      <c r="Y186">
        <f>HYPERLINK("https://klasma.github.io/Logging_2283/tillsynsmail/A 18461-2021 tillsynsbegäran mail.docx", "A 18461-2021")</f>
        <v/>
      </c>
    </row>
    <row r="187" ht="15" customHeight="1">
      <c r="A187" t="inlineStr">
        <is>
          <t>A 42224-2021</t>
        </is>
      </c>
      <c r="B187" s="1" t="n">
        <v>44426</v>
      </c>
      <c r="C187" s="1" t="n">
        <v>45337</v>
      </c>
      <c r="D187" t="inlineStr">
        <is>
          <t>VÄSTERNORRLANDS LÄN</t>
        </is>
      </c>
      <c r="E187" t="inlineStr">
        <is>
          <t>SOLLEFTEÅ</t>
        </is>
      </c>
      <c r="G187" t="n">
        <v>0.6</v>
      </c>
      <c r="H187" t="n">
        <v>0</v>
      </c>
      <c r="I187" t="n">
        <v>1</v>
      </c>
      <c r="J187" t="n">
        <v>0</v>
      </c>
      <c r="K187" t="n">
        <v>0</v>
      </c>
      <c r="L187" t="n">
        <v>0</v>
      </c>
      <c r="M187" t="n">
        <v>0</v>
      </c>
      <c r="N187" t="n">
        <v>0</v>
      </c>
      <c r="O187" t="n">
        <v>0</v>
      </c>
      <c r="P187" t="n">
        <v>0</v>
      </c>
      <c r="Q187" t="n">
        <v>1</v>
      </c>
      <c r="R187" s="2" t="inlineStr">
        <is>
          <t>Svart trolldruva</t>
        </is>
      </c>
      <c r="S187">
        <f>HYPERLINK("https://klasma.github.io/Logging_2283/artfynd/A 42224-2021 artfynd.xlsx", "A 42224-2021")</f>
        <v/>
      </c>
      <c r="T187">
        <f>HYPERLINK("https://klasma.github.io/Logging_2283/kartor/A 42224-2021 karta.png", "A 42224-2021")</f>
        <v/>
      </c>
      <c r="V187">
        <f>HYPERLINK("https://klasma.github.io/Logging_2283/klagomål/A 42224-2021 FSC-klagomål.docx", "A 42224-2021")</f>
        <v/>
      </c>
      <c r="W187">
        <f>HYPERLINK("https://klasma.github.io/Logging_2283/klagomålsmail/A 42224-2021 FSC-klagomål mail.docx", "A 42224-2021")</f>
        <v/>
      </c>
      <c r="X187">
        <f>HYPERLINK("https://klasma.github.io/Logging_2283/tillsyn/A 42224-2021 tillsynsbegäran.docx", "A 42224-2021")</f>
        <v/>
      </c>
      <c r="Y187">
        <f>HYPERLINK("https://klasma.github.io/Logging_2283/tillsynsmail/A 42224-2021 tillsynsbegäran mail.docx", "A 42224-2021")</f>
        <v/>
      </c>
    </row>
    <row r="188" ht="15" customHeight="1">
      <c r="A188" t="inlineStr">
        <is>
          <t>A 51019-2021</t>
        </is>
      </c>
      <c r="B188" s="1" t="n">
        <v>44460</v>
      </c>
      <c r="C188" s="1" t="n">
        <v>45337</v>
      </c>
      <c r="D188" t="inlineStr">
        <is>
          <t>VÄSTERNORRLANDS LÄN</t>
        </is>
      </c>
      <c r="E188" t="inlineStr">
        <is>
          <t>SOLLEFTEÅ</t>
        </is>
      </c>
      <c r="F188" t="inlineStr">
        <is>
          <t>SCA</t>
        </is>
      </c>
      <c r="G188" t="n">
        <v>2.1</v>
      </c>
      <c r="H188" t="n">
        <v>1</v>
      </c>
      <c r="I188" t="n">
        <v>0</v>
      </c>
      <c r="J188" t="n">
        <v>0</v>
      </c>
      <c r="K188" t="n">
        <v>0</v>
      </c>
      <c r="L188" t="n">
        <v>0</v>
      </c>
      <c r="M188" t="n">
        <v>0</v>
      </c>
      <c r="N188" t="n">
        <v>0</v>
      </c>
      <c r="O188" t="n">
        <v>0</v>
      </c>
      <c r="P188" t="n">
        <v>0</v>
      </c>
      <c r="Q188" t="n">
        <v>1</v>
      </c>
      <c r="R188" s="2" t="inlineStr">
        <is>
          <t>Fläcknycklar</t>
        </is>
      </c>
      <c r="S188">
        <f>HYPERLINK("https://klasma.github.io/Logging_2283/artfynd/A 51019-2021 artfynd.xlsx", "A 51019-2021")</f>
        <v/>
      </c>
      <c r="T188">
        <f>HYPERLINK("https://klasma.github.io/Logging_2283/kartor/A 51019-2021 karta.png", "A 51019-2021")</f>
        <v/>
      </c>
      <c r="V188">
        <f>HYPERLINK("https://klasma.github.io/Logging_2283/klagomål/A 51019-2021 FSC-klagomål.docx", "A 51019-2021")</f>
        <v/>
      </c>
      <c r="W188">
        <f>HYPERLINK("https://klasma.github.io/Logging_2283/klagomålsmail/A 51019-2021 FSC-klagomål mail.docx", "A 51019-2021")</f>
        <v/>
      </c>
      <c r="X188">
        <f>HYPERLINK("https://klasma.github.io/Logging_2283/tillsyn/A 51019-2021 tillsynsbegäran.docx", "A 51019-2021")</f>
        <v/>
      </c>
      <c r="Y188">
        <f>HYPERLINK("https://klasma.github.io/Logging_2283/tillsynsmail/A 51019-2021 tillsynsbegäran mail.docx", "A 51019-2021")</f>
        <v/>
      </c>
    </row>
    <row r="189" ht="15" customHeight="1">
      <c r="A189" t="inlineStr">
        <is>
          <t>A 67402-2021</t>
        </is>
      </c>
      <c r="B189" s="1" t="n">
        <v>44523</v>
      </c>
      <c r="C189" s="1" t="n">
        <v>45337</v>
      </c>
      <c r="D189" t="inlineStr">
        <is>
          <t>VÄSTERNORRLANDS LÄN</t>
        </is>
      </c>
      <c r="E189" t="inlineStr">
        <is>
          <t>SOLLEFTEÅ</t>
        </is>
      </c>
      <c r="F189" t="inlineStr">
        <is>
          <t>SCA</t>
        </is>
      </c>
      <c r="G189" t="n">
        <v>11</v>
      </c>
      <c r="H189" t="n">
        <v>1</v>
      </c>
      <c r="I189" t="n">
        <v>0</v>
      </c>
      <c r="J189" t="n">
        <v>0</v>
      </c>
      <c r="K189" t="n">
        <v>1</v>
      </c>
      <c r="L189" t="n">
        <v>0</v>
      </c>
      <c r="M189" t="n">
        <v>0</v>
      </c>
      <c r="N189" t="n">
        <v>0</v>
      </c>
      <c r="O189" t="n">
        <v>1</v>
      </c>
      <c r="P189" t="n">
        <v>1</v>
      </c>
      <c r="Q189" t="n">
        <v>1</v>
      </c>
      <c r="R189" s="2" t="inlineStr">
        <is>
          <t>Knärot</t>
        </is>
      </c>
      <c r="S189">
        <f>HYPERLINK("https://klasma.github.io/Logging_2283/artfynd/A 67402-2021 artfynd.xlsx", "A 67402-2021")</f>
        <v/>
      </c>
      <c r="T189">
        <f>HYPERLINK("https://klasma.github.io/Logging_2283/kartor/A 67402-2021 karta.png", "A 67402-2021")</f>
        <v/>
      </c>
      <c r="U189">
        <f>HYPERLINK("https://klasma.github.io/Logging_2283/knärot/A 67402-2021 karta knärot.png", "A 67402-2021")</f>
        <v/>
      </c>
      <c r="V189">
        <f>HYPERLINK("https://klasma.github.io/Logging_2283/klagomål/A 67402-2021 FSC-klagomål.docx", "A 67402-2021")</f>
        <v/>
      </c>
      <c r="W189">
        <f>HYPERLINK("https://klasma.github.io/Logging_2283/klagomålsmail/A 67402-2021 FSC-klagomål mail.docx", "A 67402-2021")</f>
        <v/>
      </c>
      <c r="X189">
        <f>HYPERLINK("https://klasma.github.io/Logging_2283/tillsyn/A 67402-2021 tillsynsbegäran.docx", "A 67402-2021")</f>
        <v/>
      </c>
      <c r="Y189">
        <f>HYPERLINK("https://klasma.github.io/Logging_2283/tillsynsmail/A 67402-2021 tillsynsbegäran mail.docx", "A 67402-2021")</f>
        <v/>
      </c>
    </row>
    <row r="190" ht="15" customHeight="1">
      <c r="A190" t="inlineStr">
        <is>
          <t>A 68781-2021</t>
        </is>
      </c>
      <c r="B190" s="1" t="n">
        <v>44529</v>
      </c>
      <c r="C190" s="1" t="n">
        <v>45337</v>
      </c>
      <c r="D190" t="inlineStr">
        <is>
          <t>VÄSTERNORRLANDS LÄN</t>
        </is>
      </c>
      <c r="E190" t="inlineStr">
        <is>
          <t>SOLLEFTEÅ</t>
        </is>
      </c>
      <c r="F190" t="inlineStr">
        <is>
          <t>SCA</t>
        </is>
      </c>
      <c r="G190" t="n">
        <v>1.9</v>
      </c>
      <c r="H190" t="n">
        <v>1</v>
      </c>
      <c r="I190" t="n">
        <v>0</v>
      </c>
      <c r="J190" t="n">
        <v>0</v>
      </c>
      <c r="K190" t="n">
        <v>1</v>
      </c>
      <c r="L190" t="n">
        <v>0</v>
      </c>
      <c r="M190" t="n">
        <v>0</v>
      </c>
      <c r="N190" t="n">
        <v>0</v>
      </c>
      <c r="O190" t="n">
        <v>1</v>
      </c>
      <c r="P190" t="n">
        <v>1</v>
      </c>
      <c r="Q190" t="n">
        <v>1</v>
      </c>
      <c r="R190" s="2" t="inlineStr">
        <is>
          <t>Doftticka</t>
        </is>
      </c>
      <c r="S190">
        <f>HYPERLINK("https://klasma.github.io/Logging_2283/artfynd/A 68781-2021 artfynd.xlsx", "A 68781-2021")</f>
        <v/>
      </c>
      <c r="T190">
        <f>HYPERLINK("https://klasma.github.io/Logging_2283/kartor/A 68781-2021 karta.png", "A 68781-2021")</f>
        <v/>
      </c>
      <c r="V190">
        <f>HYPERLINK("https://klasma.github.io/Logging_2283/klagomål/A 68781-2021 FSC-klagomål.docx", "A 68781-2021")</f>
        <v/>
      </c>
      <c r="W190">
        <f>HYPERLINK("https://klasma.github.io/Logging_2283/klagomålsmail/A 68781-2021 FSC-klagomål mail.docx", "A 68781-2021")</f>
        <v/>
      </c>
      <c r="X190">
        <f>HYPERLINK("https://klasma.github.io/Logging_2283/tillsyn/A 68781-2021 tillsynsbegäran.docx", "A 68781-2021")</f>
        <v/>
      </c>
      <c r="Y190">
        <f>HYPERLINK("https://klasma.github.io/Logging_2283/tillsynsmail/A 68781-2021 tillsynsbegäran mail.docx", "A 68781-2021")</f>
        <v/>
      </c>
    </row>
    <row r="191" ht="15" customHeight="1">
      <c r="A191" t="inlineStr">
        <is>
          <t>A 71349-2021</t>
        </is>
      </c>
      <c r="B191" s="1" t="n">
        <v>44539</v>
      </c>
      <c r="C191" s="1" t="n">
        <v>45337</v>
      </c>
      <c r="D191" t="inlineStr">
        <is>
          <t>VÄSTERNORRLANDS LÄN</t>
        </is>
      </c>
      <c r="E191" t="inlineStr">
        <is>
          <t>SOLLEFTEÅ</t>
        </is>
      </c>
      <c r="G191" t="n">
        <v>0.5</v>
      </c>
      <c r="H191" t="n">
        <v>1</v>
      </c>
      <c r="I191" t="n">
        <v>0</v>
      </c>
      <c r="J191" t="n">
        <v>1</v>
      </c>
      <c r="K191" t="n">
        <v>0</v>
      </c>
      <c r="L191" t="n">
        <v>0</v>
      </c>
      <c r="M191" t="n">
        <v>0</v>
      </c>
      <c r="N191" t="n">
        <v>0</v>
      </c>
      <c r="O191" t="n">
        <v>1</v>
      </c>
      <c r="P191" t="n">
        <v>0</v>
      </c>
      <c r="Q191" t="n">
        <v>1</v>
      </c>
      <c r="R191" s="2" t="inlineStr">
        <is>
          <t>Björktrast</t>
        </is>
      </c>
      <c r="S191">
        <f>HYPERLINK("https://klasma.github.io/Logging_2283/artfynd/A 71349-2021 artfynd.xlsx", "A 71349-2021")</f>
        <v/>
      </c>
      <c r="T191">
        <f>HYPERLINK("https://klasma.github.io/Logging_2283/kartor/A 71349-2021 karta.png", "A 71349-2021")</f>
        <v/>
      </c>
      <c r="V191">
        <f>HYPERLINK("https://klasma.github.io/Logging_2283/klagomål/A 71349-2021 FSC-klagomål.docx", "A 71349-2021")</f>
        <v/>
      </c>
      <c r="W191">
        <f>HYPERLINK("https://klasma.github.io/Logging_2283/klagomålsmail/A 71349-2021 FSC-klagomål mail.docx", "A 71349-2021")</f>
        <v/>
      </c>
      <c r="X191">
        <f>HYPERLINK("https://klasma.github.io/Logging_2283/tillsyn/A 71349-2021 tillsynsbegäran.docx", "A 71349-2021")</f>
        <v/>
      </c>
      <c r="Y191">
        <f>HYPERLINK("https://klasma.github.io/Logging_2283/tillsynsmail/A 71349-2021 tillsynsbegäran mail.docx", "A 71349-2021")</f>
        <v/>
      </c>
    </row>
    <row r="192" ht="15" customHeight="1">
      <c r="A192" t="inlineStr">
        <is>
          <t>A 15669-2022</t>
        </is>
      </c>
      <c r="B192" s="1" t="n">
        <v>44662</v>
      </c>
      <c r="C192" s="1" t="n">
        <v>45337</v>
      </c>
      <c r="D192" t="inlineStr">
        <is>
          <t>VÄSTERNORRLANDS LÄN</t>
        </is>
      </c>
      <c r="E192" t="inlineStr">
        <is>
          <t>SOLLEFTEÅ</t>
        </is>
      </c>
      <c r="G192" t="n">
        <v>12.1</v>
      </c>
      <c r="H192" t="n">
        <v>0</v>
      </c>
      <c r="I192" t="n">
        <v>1</v>
      </c>
      <c r="J192" t="n">
        <v>0</v>
      </c>
      <c r="K192" t="n">
        <v>0</v>
      </c>
      <c r="L192" t="n">
        <v>0</v>
      </c>
      <c r="M192" t="n">
        <v>0</v>
      </c>
      <c r="N192" t="n">
        <v>0</v>
      </c>
      <c r="O192" t="n">
        <v>0</v>
      </c>
      <c r="P192" t="n">
        <v>0</v>
      </c>
      <c r="Q192" t="n">
        <v>1</v>
      </c>
      <c r="R192" s="2" t="inlineStr">
        <is>
          <t>Skinnlav</t>
        </is>
      </c>
      <c r="S192">
        <f>HYPERLINK("https://klasma.github.io/Logging_2283/artfynd/A 15669-2022 artfynd.xlsx", "A 15669-2022")</f>
        <v/>
      </c>
      <c r="T192">
        <f>HYPERLINK("https://klasma.github.io/Logging_2283/kartor/A 15669-2022 karta.png", "A 15669-2022")</f>
        <v/>
      </c>
      <c r="V192">
        <f>HYPERLINK("https://klasma.github.io/Logging_2283/klagomål/A 15669-2022 FSC-klagomål.docx", "A 15669-2022")</f>
        <v/>
      </c>
      <c r="W192">
        <f>HYPERLINK("https://klasma.github.io/Logging_2283/klagomålsmail/A 15669-2022 FSC-klagomål mail.docx", "A 15669-2022")</f>
        <v/>
      </c>
      <c r="X192">
        <f>HYPERLINK("https://klasma.github.io/Logging_2283/tillsyn/A 15669-2022 tillsynsbegäran.docx", "A 15669-2022")</f>
        <v/>
      </c>
      <c r="Y192">
        <f>HYPERLINK("https://klasma.github.io/Logging_2283/tillsynsmail/A 15669-2022 tillsynsbegäran mail.docx", "A 15669-2022")</f>
        <v/>
      </c>
    </row>
    <row r="193" ht="15" customHeight="1">
      <c r="A193" t="inlineStr">
        <is>
          <t>A 16269-2022</t>
        </is>
      </c>
      <c r="B193" s="1" t="n">
        <v>44670</v>
      </c>
      <c r="C193" s="1" t="n">
        <v>45337</v>
      </c>
      <c r="D193" t="inlineStr">
        <is>
          <t>VÄSTERNORRLANDS LÄN</t>
        </is>
      </c>
      <c r="E193" t="inlineStr">
        <is>
          <t>SOLLEFTEÅ</t>
        </is>
      </c>
      <c r="F193" t="inlineStr">
        <is>
          <t>Holmen skog AB</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HYPERLINK("https://klasma.github.io/Logging_2283/artfynd/A 16269-2022 artfynd.xlsx", "A 16269-2022")</f>
        <v/>
      </c>
      <c r="T193">
        <f>HYPERLINK("https://klasma.github.io/Logging_2283/kartor/A 16269-2022 karta.png", "A 16269-2022")</f>
        <v/>
      </c>
      <c r="V193">
        <f>HYPERLINK("https://klasma.github.io/Logging_2283/klagomål/A 16269-2022 FSC-klagomål.docx", "A 16269-2022")</f>
        <v/>
      </c>
      <c r="W193">
        <f>HYPERLINK("https://klasma.github.io/Logging_2283/klagomålsmail/A 16269-2022 FSC-klagomål mail.docx", "A 16269-2022")</f>
        <v/>
      </c>
      <c r="X193">
        <f>HYPERLINK("https://klasma.github.io/Logging_2283/tillsyn/A 16269-2022 tillsynsbegäran.docx", "A 16269-2022")</f>
        <v/>
      </c>
      <c r="Y193">
        <f>HYPERLINK("https://klasma.github.io/Logging_2283/tillsynsmail/A 16269-2022 tillsynsbegäran mail.docx", "A 16269-2022")</f>
        <v/>
      </c>
      <c r="Z193">
        <f>HYPERLINK("https://klasma.github.io/Logging_2283/fåglar/A 16269-2022 prioriterade fågelarter.docx", "A 16269-2022")</f>
        <v/>
      </c>
    </row>
    <row r="194" ht="15" customHeight="1">
      <c r="A194" t="inlineStr">
        <is>
          <t>A 21708-2022</t>
        </is>
      </c>
      <c r="B194" s="1" t="n">
        <v>44707</v>
      </c>
      <c r="C194" s="1" t="n">
        <v>45337</v>
      </c>
      <c r="D194" t="inlineStr">
        <is>
          <t>VÄSTERNORRLANDS LÄN</t>
        </is>
      </c>
      <c r="E194" t="inlineStr">
        <is>
          <t>SOLLEFTEÅ</t>
        </is>
      </c>
      <c r="F194" t="inlineStr">
        <is>
          <t>SCA</t>
        </is>
      </c>
      <c r="G194" t="n">
        <v>2.6</v>
      </c>
      <c r="H194" t="n">
        <v>0</v>
      </c>
      <c r="I194" t="n">
        <v>0</v>
      </c>
      <c r="J194" t="n">
        <v>1</v>
      </c>
      <c r="K194" t="n">
        <v>0</v>
      </c>
      <c r="L194" t="n">
        <v>0</v>
      </c>
      <c r="M194" t="n">
        <v>0</v>
      </c>
      <c r="N194" t="n">
        <v>0</v>
      </c>
      <c r="O194" t="n">
        <v>1</v>
      </c>
      <c r="P194" t="n">
        <v>0</v>
      </c>
      <c r="Q194" t="n">
        <v>1</v>
      </c>
      <c r="R194" s="2" t="inlineStr">
        <is>
          <t>Lunglav</t>
        </is>
      </c>
      <c r="S194">
        <f>HYPERLINK("https://klasma.github.io/Logging_2283/artfynd/A 21708-2022 artfynd.xlsx", "A 21708-2022")</f>
        <v/>
      </c>
      <c r="T194">
        <f>HYPERLINK("https://klasma.github.io/Logging_2283/kartor/A 21708-2022 karta.png", "A 21708-2022")</f>
        <v/>
      </c>
      <c r="V194">
        <f>HYPERLINK("https://klasma.github.io/Logging_2283/klagomål/A 21708-2022 FSC-klagomål.docx", "A 21708-2022")</f>
        <v/>
      </c>
      <c r="W194">
        <f>HYPERLINK("https://klasma.github.io/Logging_2283/klagomålsmail/A 21708-2022 FSC-klagomål mail.docx", "A 21708-2022")</f>
        <v/>
      </c>
      <c r="X194">
        <f>HYPERLINK("https://klasma.github.io/Logging_2283/tillsyn/A 21708-2022 tillsynsbegäran.docx", "A 21708-2022")</f>
        <v/>
      </c>
      <c r="Y194">
        <f>HYPERLINK("https://klasma.github.io/Logging_2283/tillsynsmail/A 21708-2022 tillsynsbegäran mail.docx", "A 21708-2022")</f>
        <v/>
      </c>
    </row>
    <row r="195" ht="15" customHeight="1">
      <c r="A195" t="inlineStr">
        <is>
          <t>A 26121-2022</t>
        </is>
      </c>
      <c r="B195" s="1" t="n">
        <v>44734</v>
      </c>
      <c r="C195" s="1" t="n">
        <v>45337</v>
      </c>
      <c r="D195" t="inlineStr">
        <is>
          <t>VÄSTERNORRLANDS LÄN</t>
        </is>
      </c>
      <c r="E195" t="inlineStr">
        <is>
          <t>SOLLEFTEÅ</t>
        </is>
      </c>
      <c r="F195" t="inlineStr">
        <is>
          <t>SCA</t>
        </is>
      </c>
      <c r="G195" t="n">
        <v>6.3</v>
      </c>
      <c r="H195" t="n">
        <v>0</v>
      </c>
      <c r="I195" t="n">
        <v>0</v>
      </c>
      <c r="J195" t="n">
        <v>1</v>
      </c>
      <c r="K195" t="n">
        <v>0</v>
      </c>
      <c r="L195" t="n">
        <v>0</v>
      </c>
      <c r="M195" t="n">
        <v>0</v>
      </c>
      <c r="N195" t="n">
        <v>0</v>
      </c>
      <c r="O195" t="n">
        <v>1</v>
      </c>
      <c r="P195" t="n">
        <v>0</v>
      </c>
      <c r="Q195" t="n">
        <v>1</v>
      </c>
      <c r="R195" s="2" t="inlineStr">
        <is>
          <t>Veckticka</t>
        </is>
      </c>
      <c r="S195">
        <f>HYPERLINK("https://klasma.github.io/Logging_2283/artfynd/A 26121-2022 artfynd.xlsx", "A 26121-2022")</f>
        <v/>
      </c>
      <c r="T195">
        <f>HYPERLINK("https://klasma.github.io/Logging_2283/kartor/A 26121-2022 karta.png", "A 26121-2022")</f>
        <v/>
      </c>
      <c r="V195">
        <f>HYPERLINK("https://klasma.github.io/Logging_2283/klagomål/A 26121-2022 FSC-klagomål.docx", "A 26121-2022")</f>
        <v/>
      </c>
      <c r="W195">
        <f>HYPERLINK("https://klasma.github.io/Logging_2283/klagomålsmail/A 26121-2022 FSC-klagomål mail.docx", "A 26121-2022")</f>
        <v/>
      </c>
      <c r="X195">
        <f>HYPERLINK("https://klasma.github.io/Logging_2283/tillsyn/A 26121-2022 tillsynsbegäran.docx", "A 26121-2022")</f>
        <v/>
      </c>
      <c r="Y195">
        <f>HYPERLINK("https://klasma.github.io/Logging_2283/tillsynsmail/A 26121-2022 tillsynsbegäran mail.docx", "A 26121-2022")</f>
        <v/>
      </c>
    </row>
    <row r="196" ht="15" customHeight="1">
      <c r="A196" t="inlineStr">
        <is>
          <t>A 27106-2022</t>
        </is>
      </c>
      <c r="B196" s="1" t="n">
        <v>44741</v>
      </c>
      <c r="C196" s="1" t="n">
        <v>45337</v>
      </c>
      <c r="D196" t="inlineStr">
        <is>
          <t>VÄSTERNORRLANDS LÄN</t>
        </is>
      </c>
      <c r="E196" t="inlineStr">
        <is>
          <t>SOLLEFTEÅ</t>
        </is>
      </c>
      <c r="G196" t="n">
        <v>1.3</v>
      </c>
      <c r="H196" t="n">
        <v>1</v>
      </c>
      <c r="I196" t="n">
        <v>0</v>
      </c>
      <c r="J196" t="n">
        <v>0</v>
      </c>
      <c r="K196" t="n">
        <v>0</v>
      </c>
      <c r="L196" t="n">
        <v>0</v>
      </c>
      <c r="M196" t="n">
        <v>0</v>
      </c>
      <c r="N196" t="n">
        <v>0</v>
      </c>
      <c r="O196" t="n">
        <v>0</v>
      </c>
      <c r="P196" t="n">
        <v>0</v>
      </c>
      <c r="Q196" t="n">
        <v>1</v>
      </c>
      <c r="R196" s="2" t="inlineStr">
        <is>
          <t>Revlummer</t>
        </is>
      </c>
      <c r="S196">
        <f>HYPERLINK("https://klasma.github.io/Logging_2283/artfynd/A 27106-2022 artfynd.xlsx", "A 27106-2022")</f>
        <v/>
      </c>
      <c r="T196">
        <f>HYPERLINK("https://klasma.github.io/Logging_2283/kartor/A 27106-2022 karta.png", "A 27106-2022")</f>
        <v/>
      </c>
      <c r="V196">
        <f>HYPERLINK("https://klasma.github.io/Logging_2283/klagomål/A 27106-2022 FSC-klagomål.docx", "A 27106-2022")</f>
        <v/>
      </c>
      <c r="W196">
        <f>HYPERLINK("https://klasma.github.io/Logging_2283/klagomålsmail/A 27106-2022 FSC-klagomål mail.docx", "A 27106-2022")</f>
        <v/>
      </c>
      <c r="X196">
        <f>HYPERLINK("https://klasma.github.io/Logging_2283/tillsyn/A 27106-2022 tillsynsbegäran.docx", "A 27106-2022")</f>
        <v/>
      </c>
      <c r="Y196">
        <f>HYPERLINK("https://klasma.github.io/Logging_2283/tillsynsmail/A 27106-2022 tillsynsbegäran mail.docx", "A 27106-2022")</f>
        <v/>
      </c>
    </row>
    <row r="197" ht="15" customHeight="1">
      <c r="A197" t="inlineStr">
        <is>
          <t>A 29037-2022</t>
        </is>
      </c>
      <c r="B197" s="1" t="n">
        <v>44749</v>
      </c>
      <c r="C197" s="1" t="n">
        <v>45337</v>
      </c>
      <c r="D197" t="inlineStr">
        <is>
          <t>VÄSTERNORRLANDS LÄN</t>
        </is>
      </c>
      <c r="E197" t="inlineStr">
        <is>
          <t>SOLLEFTEÅ</t>
        </is>
      </c>
      <c r="F197" t="inlineStr">
        <is>
          <t>SCA</t>
        </is>
      </c>
      <c r="G197" t="n">
        <v>1</v>
      </c>
      <c r="H197" t="n">
        <v>0</v>
      </c>
      <c r="I197" t="n">
        <v>1</v>
      </c>
      <c r="J197" t="n">
        <v>0</v>
      </c>
      <c r="K197" t="n">
        <v>0</v>
      </c>
      <c r="L197" t="n">
        <v>0</v>
      </c>
      <c r="M197" t="n">
        <v>0</v>
      </c>
      <c r="N197" t="n">
        <v>0</v>
      </c>
      <c r="O197" t="n">
        <v>0</v>
      </c>
      <c r="P197" t="n">
        <v>0</v>
      </c>
      <c r="Q197" t="n">
        <v>1</v>
      </c>
      <c r="R197" s="2" t="inlineStr">
        <is>
          <t>Vanlig flatbagge</t>
        </is>
      </c>
      <c r="S197">
        <f>HYPERLINK("https://klasma.github.io/Logging_2283/artfynd/A 29037-2022 artfynd.xlsx", "A 29037-2022")</f>
        <v/>
      </c>
      <c r="T197">
        <f>HYPERLINK("https://klasma.github.io/Logging_2283/kartor/A 29037-2022 karta.png", "A 29037-2022")</f>
        <v/>
      </c>
      <c r="V197">
        <f>HYPERLINK("https://klasma.github.io/Logging_2283/klagomål/A 29037-2022 FSC-klagomål.docx", "A 29037-2022")</f>
        <v/>
      </c>
      <c r="W197">
        <f>HYPERLINK("https://klasma.github.io/Logging_2283/klagomålsmail/A 29037-2022 FSC-klagomål mail.docx", "A 29037-2022")</f>
        <v/>
      </c>
      <c r="X197">
        <f>HYPERLINK("https://klasma.github.io/Logging_2283/tillsyn/A 29037-2022 tillsynsbegäran.docx", "A 29037-2022")</f>
        <v/>
      </c>
      <c r="Y197">
        <f>HYPERLINK("https://klasma.github.io/Logging_2283/tillsynsmail/A 29037-2022 tillsynsbegäran mail.docx", "A 29037-2022")</f>
        <v/>
      </c>
    </row>
    <row r="198" ht="15" customHeight="1">
      <c r="A198" t="inlineStr">
        <is>
          <t>A 33216-2022</t>
        </is>
      </c>
      <c r="B198" s="1" t="n">
        <v>44785</v>
      </c>
      <c r="C198" s="1" t="n">
        <v>45337</v>
      </c>
      <c r="D198" t="inlineStr">
        <is>
          <t>VÄSTERNORRLANDS LÄN</t>
        </is>
      </c>
      <c r="E198" t="inlineStr">
        <is>
          <t>SOLLEFTEÅ</t>
        </is>
      </c>
      <c r="F198" t="inlineStr">
        <is>
          <t>SCA</t>
        </is>
      </c>
      <c r="G198" t="n">
        <v>4.4</v>
      </c>
      <c r="H198" t="n">
        <v>0</v>
      </c>
      <c r="I198" t="n">
        <v>0</v>
      </c>
      <c r="J198" t="n">
        <v>0</v>
      </c>
      <c r="K198" t="n">
        <v>1</v>
      </c>
      <c r="L198" t="n">
        <v>0</v>
      </c>
      <c r="M198" t="n">
        <v>0</v>
      </c>
      <c r="N198" t="n">
        <v>0</v>
      </c>
      <c r="O198" t="n">
        <v>1</v>
      </c>
      <c r="P198" t="n">
        <v>1</v>
      </c>
      <c r="Q198" t="n">
        <v>1</v>
      </c>
      <c r="R198" s="2" t="inlineStr">
        <is>
          <t>Rynkskinn</t>
        </is>
      </c>
      <c r="S198">
        <f>HYPERLINK("https://klasma.github.io/Logging_2283/artfynd/A 33216-2022 artfynd.xlsx", "A 33216-2022")</f>
        <v/>
      </c>
      <c r="T198">
        <f>HYPERLINK("https://klasma.github.io/Logging_2283/kartor/A 33216-2022 karta.png", "A 33216-2022")</f>
        <v/>
      </c>
      <c r="V198">
        <f>HYPERLINK("https://klasma.github.io/Logging_2283/klagomål/A 33216-2022 FSC-klagomål.docx", "A 33216-2022")</f>
        <v/>
      </c>
      <c r="W198">
        <f>HYPERLINK("https://klasma.github.io/Logging_2283/klagomålsmail/A 33216-2022 FSC-klagomål mail.docx", "A 33216-2022")</f>
        <v/>
      </c>
      <c r="X198">
        <f>HYPERLINK("https://klasma.github.io/Logging_2283/tillsyn/A 33216-2022 tillsynsbegäran.docx", "A 33216-2022")</f>
        <v/>
      </c>
      <c r="Y198">
        <f>HYPERLINK("https://klasma.github.io/Logging_2283/tillsynsmail/A 33216-2022 tillsynsbegäran mail.docx", "A 33216-2022")</f>
        <v/>
      </c>
    </row>
    <row r="199" ht="15" customHeight="1">
      <c r="A199" t="inlineStr">
        <is>
          <t>A 33504-2022</t>
        </is>
      </c>
      <c r="B199" s="1" t="n">
        <v>44788</v>
      </c>
      <c r="C199" s="1" t="n">
        <v>45337</v>
      </c>
      <c r="D199" t="inlineStr">
        <is>
          <t>VÄSTERNORRLANDS LÄN</t>
        </is>
      </c>
      <c r="E199" t="inlineStr">
        <is>
          <t>SOLLEFTEÅ</t>
        </is>
      </c>
      <c r="F199" t="inlineStr">
        <is>
          <t>SCA</t>
        </is>
      </c>
      <c r="G199" t="n">
        <v>5.2</v>
      </c>
      <c r="H199" t="n">
        <v>1</v>
      </c>
      <c r="I199" t="n">
        <v>0</v>
      </c>
      <c r="J199" t="n">
        <v>0</v>
      </c>
      <c r="K199" t="n">
        <v>1</v>
      </c>
      <c r="L199" t="n">
        <v>0</v>
      </c>
      <c r="M199" t="n">
        <v>0</v>
      </c>
      <c r="N199" t="n">
        <v>0</v>
      </c>
      <c r="O199" t="n">
        <v>1</v>
      </c>
      <c r="P199" t="n">
        <v>1</v>
      </c>
      <c r="Q199" t="n">
        <v>1</v>
      </c>
      <c r="R199" s="2" t="inlineStr">
        <is>
          <t>Knärot</t>
        </is>
      </c>
      <c r="S199">
        <f>HYPERLINK("https://klasma.github.io/Logging_2283/artfynd/A 33504-2022 artfynd.xlsx", "A 33504-2022")</f>
        <v/>
      </c>
      <c r="T199">
        <f>HYPERLINK("https://klasma.github.io/Logging_2283/kartor/A 33504-2022 karta.png", "A 33504-2022")</f>
        <v/>
      </c>
      <c r="U199">
        <f>HYPERLINK("https://klasma.github.io/Logging_2283/knärot/A 33504-2022 karta knärot.png", "A 33504-2022")</f>
        <v/>
      </c>
      <c r="V199">
        <f>HYPERLINK("https://klasma.github.io/Logging_2283/klagomål/A 33504-2022 FSC-klagomål.docx", "A 33504-2022")</f>
        <v/>
      </c>
      <c r="W199">
        <f>HYPERLINK("https://klasma.github.io/Logging_2283/klagomålsmail/A 33504-2022 FSC-klagomål mail.docx", "A 33504-2022")</f>
        <v/>
      </c>
      <c r="X199">
        <f>HYPERLINK("https://klasma.github.io/Logging_2283/tillsyn/A 33504-2022 tillsynsbegäran.docx", "A 33504-2022")</f>
        <v/>
      </c>
      <c r="Y199">
        <f>HYPERLINK("https://klasma.github.io/Logging_2283/tillsynsmail/A 33504-2022 tillsynsbegäran mail.docx", "A 33504-2022")</f>
        <v/>
      </c>
    </row>
    <row r="200" ht="15" customHeight="1">
      <c r="A200" t="inlineStr">
        <is>
          <t>A 35013-2022</t>
        </is>
      </c>
      <c r="B200" s="1" t="n">
        <v>44796</v>
      </c>
      <c r="C200" s="1" t="n">
        <v>45337</v>
      </c>
      <c r="D200" t="inlineStr">
        <is>
          <t>VÄSTERNORRLANDS LÄN</t>
        </is>
      </c>
      <c r="E200" t="inlineStr">
        <is>
          <t>SOLLEFTEÅ</t>
        </is>
      </c>
      <c r="F200" t="inlineStr">
        <is>
          <t>SCA</t>
        </is>
      </c>
      <c r="G200" t="n">
        <v>2.1</v>
      </c>
      <c r="H200" t="n">
        <v>0</v>
      </c>
      <c r="I200" t="n">
        <v>0</v>
      </c>
      <c r="J200" t="n">
        <v>1</v>
      </c>
      <c r="K200" t="n">
        <v>0</v>
      </c>
      <c r="L200" t="n">
        <v>0</v>
      </c>
      <c r="M200" t="n">
        <v>0</v>
      </c>
      <c r="N200" t="n">
        <v>0</v>
      </c>
      <c r="O200" t="n">
        <v>1</v>
      </c>
      <c r="P200" t="n">
        <v>0</v>
      </c>
      <c r="Q200" t="n">
        <v>1</v>
      </c>
      <c r="R200" s="2" t="inlineStr">
        <is>
          <t>Rosenticka</t>
        </is>
      </c>
      <c r="S200">
        <f>HYPERLINK("https://klasma.github.io/Logging_2283/artfynd/A 35013-2022 artfynd.xlsx", "A 35013-2022")</f>
        <v/>
      </c>
      <c r="T200">
        <f>HYPERLINK("https://klasma.github.io/Logging_2283/kartor/A 35013-2022 karta.png", "A 35013-2022")</f>
        <v/>
      </c>
      <c r="V200">
        <f>HYPERLINK("https://klasma.github.io/Logging_2283/klagomål/A 35013-2022 FSC-klagomål.docx", "A 35013-2022")</f>
        <v/>
      </c>
      <c r="W200">
        <f>HYPERLINK("https://klasma.github.io/Logging_2283/klagomålsmail/A 35013-2022 FSC-klagomål mail.docx", "A 35013-2022")</f>
        <v/>
      </c>
      <c r="X200">
        <f>HYPERLINK("https://klasma.github.io/Logging_2283/tillsyn/A 35013-2022 tillsynsbegäran.docx", "A 35013-2022")</f>
        <v/>
      </c>
      <c r="Y200">
        <f>HYPERLINK("https://klasma.github.io/Logging_2283/tillsynsmail/A 35013-2022 tillsynsbegäran mail.docx", "A 35013-2022")</f>
        <v/>
      </c>
    </row>
    <row r="201" ht="15" customHeight="1">
      <c r="A201" t="inlineStr">
        <is>
          <t>A 38367-2022</t>
        </is>
      </c>
      <c r="B201" s="1" t="n">
        <v>44812</v>
      </c>
      <c r="C201" s="1" t="n">
        <v>45337</v>
      </c>
      <c r="D201" t="inlineStr">
        <is>
          <t>VÄSTERNORRLANDS LÄN</t>
        </is>
      </c>
      <c r="E201" t="inlineStr">
        <is>
          <t>SOLLEFTEÅ</t>
        </is>
      </c>
      <c r="F201" t="inlineStr">
        <is>
          <t>Kommuner</t>
        </is>
      </c>
      <c r="G201" t="n">
        <v>19.6</v>
      </c>
      <c r="H201" t="n">
        <v>0</v>
      </c>
      <c r="I201" t="n">
        <v>0</v>
      </c>
      <c r="J201" t="n">
        <v>1</v>
      </c>
      <c r="K201" t="n">
        <v>0</v>
      </c>
      <c r="L201" t="n">
        <v>0</v>
      </c>
      <c r="M201" t="n">
        <v>0</v>
      </c>
      <c r="N201" t="n">
        <v>0</v>
      </c>
      <c r="O201" t="n">
        <v>1</v>
      </c>
      <c r="P201" t="n">
        <v>0</v>
      </c>
      <c r="Q201" t="n">
        <v>1</v>
      </c>
      <c r="R201" s="2" t="inlineStr">
        <is>
          <t>Garnlav</t>
        </is>
      </c>
      <c r="S201">
        <f>HYPERLINK("https://klasma.github.io/Logging_2283/artfynd/A 38367-2022 artfynd.xlsx", "A 38367-2022")</f>
        <v/>
      </c>
      <c r="T201">
        <f>HYPERLINK("https://klasma.github.io/Logging_2283/kartor/A 38367-2022 karta.png", "A 38367-2022")</f>
        <v/>
      </c>
      <c r="V201">
        <f>HYPERLINK("https://klasma.github.io/Logging_2283/klagomål/A 38367-2022 FSC-klagomål.docx", "A 38367-2022")</f>
        <v/>
      </c>
      <c r="W201">
        <f>HYPERLINK("https://klasma.github.io/Logging_2283/klagomålsmail/A 38367-2022 FSC-klagomål mail.docx", "A 38367-2022")</f>
        <v/>
      </c>
      <c r="X201">
        <f>HYPERLINK("https://klasma.github.io/Logging_2283/tillsyn/A 38367-2022 tillsynsbegäran.docx", "A 38367-2022")</f>
        <v/>
      </c>
      <c r="Y201">
        <f>HYPERLINK("https://klasma.github.io/Logging_2283/tillsynsmail/A 38367-2022 tillsynsbegäran mail.docx", "A 38367-2022")</f>
        <v/>
      </c>
    </row>
    <row r="202" ht="15" customHeight="1">
      <c r="A202" t="inlineStr">
        <is>
          <t>A 38363-2022</t>
        </is>
      </c>
      <c r="B202" s="1" t="n">
        <v>44812</v>
      </c>
      <c r="C202" s="1" t="n">
        <v>45337</v>
      </c>
      <c r="D202" t="inlineStr">
        <is>
          <t>VÄSTERNORRLANDS LÄN</t>
        </is>
      </c>
      <c r="E202" t="inlineStr">
        <is>
          <t>SOLLEFTEÅ</t>
        </is>
      </c>
      <c r="F202" t="inlineStr">
        <is>
          <t>Kommuner</t>
        </is>
      </c>
      <c r="G202" t="n">
        <v>16</v>
      </c>
      <c r="H202" t="n">
        <v>0</v>
      </c>
      <c r="I202" t="n">
        <v>0</v>
      </c>
      <c r="J202" t="n">
        <v>1</v>
      </c>
      <c r="K202" t="n">
        <v>0</v>
      </c>
      <c r="L202" t="n">
        <v>0</v>
      </c>
      <c r="M202" t="n">
        <v>0</v>
      </c>
      <c r="N202" t="n">
        <v>0</v>
      </c>
      <c r="O202" t="n">
        <v>1</v>
      </c>
      <c r="P202" t="n">
        <v>0</v>
      </c>
      <c r="Q202" t="n">
        <v>1</v>
      </c>
      <c r="R202" s="2" t="inlineStr">
        <is>
          <t>Garnlav</t>
        </is>
      </c>
      <c r="S202">
        <f>HYPERLINK("https://klasma.github.io/Logging_2283/artfynd/A 38363-2022 artfynd.xlsx", "A 38363-2022")</f>
        <v/>
      </c>
      <c r="T202">
        <f>HYPERLINK("https://klasma.github.io/Logging_2283/kartor/A 38363-2022 karta.png", "A 38363-2022")</f>
        <v/>
      </c>
      <c r="V202">
        <f>HYPERLINK("https://klasma.github.io/Logging_2283/klagomål/A 38363-2022 FSC-klagomål.docx", "A 38363-2022")</f>
        <v/>
      </c>
      <c r="W202">
        <f>HYPERLINK("https://klasma.github.io/Logging_2283/klagomålsmail/A 38363-2022 FSC-klagomål mail.docx", "A 38363-2022")</f>
        <v/>
      </c>
      <c r="X202">
        <f>HYPERLINK("https://klasma.github.io/Logging_2283/tillsyn/A 38363-2022 tillsynsbegäran.docx", "A 38363-2022")</f>
        <v/>
      </c>
      <c r="Y202">
        <f>HYPERLINK("https://klasma.github.io/Logging_2283/tillsynsmail/A 38363-2022 tillsynsbegäran mail.docx", "A 38363-2022")</f>
        <v/>
      </c>
    </row>
    <row r="203" ht="15" customHeight="1">
      <c r="A203" t="inlineStr">
        <is>
          <t>A 40626-2022</t>
        </is>
      </c>
      <c r="B203" s="1" t="n">
        <v>44824</v>
      </c>
      <c r="C203" s="1" t="n">
        <v>45337</v>
      </c>
      <c r="D203" t="inlineStr">
        <is>
          <t>VÄSTERNORRLANDS LÄN</t>
        </is>
      </c>
      <c r="E203" t="inlineStr">
        <is>
          <t>SOLLEFTEÅ</t>
        </is>
      </c>
      <c r="F203" t="inlineStr">
        <is>
          <t>SCA</t>
        </is>
      </c>
      <c r="G203" t="n">
        <v>2.5</v>
      </c>
      <c r="H203" t="n">
        <v>1</v>
      </c>
      <c r="I203" t="n">
        <v>0</v>
      </c>
      <c r="J203" t="n">
        <v>1</v>
      </c>
      <c r="K203" t="n">
        <v>0</v>
      </c>
      <c r="L203" t="n">
        <v>0</v>
      </c>
      <c r="M203" t="n">
        <v>0</v>
      </c>
      <c r="N203" t="n">
        <v>0</v>
      </c>
      <c r="O203" t="n">
        <v>1</v>
      </c>
      <c r="P203" t="n">
        <v>0</v>
      </c>
      <c r="Q203" t="n">
        <v>1</v>
      </c>
      <c r="R203" s="2" t="inlineStr">
        <is>
          <t>Spillkråka</t>
        </is>
      </c>
      <c r="S203">
        <f>HYPERLINK("https://klasma.github.io/Logging_2283/artfynd/A 40626-2022 artfynd.xlsx", "A 40626-2022")</f>
        <v/>
      </c>
      <c r="T203">
        <f>HYPERLINK("https://klasma.github.io/Logging_2283/kartor/A 40626-2022 karta.png", "A 40626-2022")</f>
        <v/>
      </c>
      <c r="V203">
        <f>HYPERLINK("https://klasma.github.io/Logging_2283/klagomål/A 40626-2022 FSC-klagomål.docx", "A 40626-2022")</f>
        <v/>
      </c>
      <c r="W203">
        <f>HYPERLINK("https://klasma.github.io/Logging_2283/klagomålsmail/A 40626-2022 FSC-klagomål mail.docx", "A 40626-2022")</f>
        <v/>
      </c>
      <c r="X203">
        <f>HYPERLINK("https://klasma.github.io/Logging_2283/tillsyn/A 40626-2022 tillsynsbegäran.docx", "A 40626-2022")</f>
        <v/>
      </c>
      <c r="Y203">
        <f>HYPERLINK("https://klasma.github.io/Logging_2283/tillsynsmail/A 40626-2022 tillsynsbegäran mail.docx", "A 40626-2022")</f>
        <v/>
      </c>
      <c r="Z203">
        <f>HYPERLINK("https://klasma.github.io/Logging_2283/fåglar/A 40626-2022 prioriterade fågelarter.docx", "A 40626-2022")</f>
        <v/>
      </c>
    </row>
    <row r="204" ht="15" customHeight="1">
      <c r="A204" t="inlineStr">
        <is>
          <t>A 44763-2022</t>
        </is>
      </c>
      <c r="B204" s="1" t="n">
        <v>44840</v>
      </c>
      <c r="C204" s="1" t="n">
        <v>45337</v>
      </c>
      <c r="D204" t="inlineStr">
        <is>
          <t>VÄSTERNORRLANDS LÄN</t>
        </is>
      </c>
      <c r="E204" t="inlineStr">
        <is>
          <t>SOLLEFTEÅ</t>
        </is>
      </c>
      <c r="F204" t="inlineStr">
        <is>
          <t>SCA</t>
        </is>
      </c>
      <c r="G204" t="n">
        <v>1.2</v>
      </c>
      <c r="H204" t="n">
        <v>0</v>
      </c>
      <c r="I204" t="n">
        <v>0</v>
      </c>
      <c r="J204" t="n">
        <v>1</v>
      </c>
      <c r="K204" t="n">
        <v>0</v>
      </c>
      <c r="L204" t="n">
        <v>0</v>
      </c>
      <c r="M204" t="n">
        <v>0</v>
      </c>
      <c r="N204" t="n">
        <v>0</v>
      </c>
      <c r="O204" t="n">
        <v>1</v>
      </c>
      <c r="P204" t="n">
        <v>0</v>
      </c>
      <c r="Q204" t="n">
        <v>1</v>
      </c>
      <c r="R204" s="2" t="inlineStr">
        <is>
          <t>Rosenticka</t>
        </is>
      </c>
      <c r="S204">
        <f>HYPERLINK("https://klasma.github.io/Logging_2283/artfynd/A 44763-2022 artfynd.xlsx", "A 44763-2022")</f>
        <v/>
      </c>
      <c r="T204">
        <f>HYPERLINK("https://klasma.github.io/Logging_2283/kartor/A 44763-2022 karta.png", "A 44763-2022")</f>
        <v/>
      </c>
      <c r="V204">
        <f>HYPERLINK("https://klasma.github.io/Logging_2283/klagomål/A 44763-2022 FSC-klagomål.docx", "A 44763-2022")</f>
        <v/>
      </c>
      <c r="W204">
        <f>HYPERLINK("https://klasma.github.io/Logging_2283/klagomålsmail/A 44763-2022 FSC-klagomål mail.docx", "A 44763-2022")</f>
        <v/>
      </c>
      <c r="X204">
        <f>HYPERLINK("https://klasma.github.io/Logging_2283/tillsyn/A 44763-2022 tillsynsbegäran.docx", "A 44763-2022")</f>
        <v/>
      </c>
      <c r="Y204">
        <f>HYPERLINK("https://klasma.github.io/Logging_2283/tillsynsmail/A 44763-2022 tillsynsbegäran mail.docx", "A 44763-2022")</f>
        <v/>
      </c>
    </row>
    <row r="205" ht="15" customHeight="1">
      <c r="A205" t="inlineStr">
        <is>
          <t>A 46041-2022</t>
        </is>
      </c>
      <c r="B205" s="1" t="n">
        <v>44846</v>
      </c>
      <c r="C205" s="1" t="n">
        <v>45337</v>
      </c>
      <c r="D205" t="inlineStr">
        <is>
          <t>VÄSTERNORRLANDS LÄN</t>
        </is>
      </c>
      <c r="E205" t="inlineStr">
        <is>
          <t>SOLLEFTEÅ</t>
        </is>
      </c>
      <c r="F205" t="inlineStr">
        <is>
          <t>SCA</t>
        </is>
      </c>
      <c r="G205" t="n">
        <v>21.1</v>
      </c>
      <c r="H205" t="n">
        <v>0</v>
      </c>
      <c r="I205" t="n">
        <v>0</v>
      </c>
      <c r="J205" t="n">
        <v>1</v>
      </c>
      <c r="K205" t="n">
        <v>0</v>
      </c>
      <c r="L205" t="n">
        <v>0</v>
      </c>
      <c r="M205" t="n">
        <v>0</v>
      </c>
      <c r="N205" t="n">
        <v>0</v>
      </c>
      <c r="O205" t="n">
        <v>1</v>
      </c>
      <c r="P205" t="n">
        <v>0</v>
      </c>
      <c r="Q205" t="n">
        <v>1</v>
      </c>
      <c r="R205" s="2" t="inlineStr">
        <is>
          <t>Lunglav</t>
        </is>
      </c>
      <c r="S205">
        <f>HYPERLINK("https://klasma.github.io/Logging_2283/artfynd/A 46041-2022 artfynd.xlsx", "A 46041-2022")</f>
        <v/>
      </c>
      <c r="T205">
        <f>HYPERLINK("https://klasma.github.io/Logging_2283/kartor/A 46041-2022 karta.png", "A 46041-2022")</f>
        <v/>
      </c>
      <c r="V205">
        <f>HYPERLINK("https://klasma.github.io/Logging_2283/klagomål/A 46041-2022 FSC-klagomål.docx", "A 46041-2022")</f>
        <v/>
      </c>
      <c r="W205">
        <f>HYPERLINK("https://klasma.github.io/Logging_2283/klagomålsmail/A 46041-2022 FSC-klagomål mail.docx", "A 46041-2022")</f>
        <v/>
      </c>
      <c r="X205">
        <f>HYPERLINK("https://klasma.github.io/Logging_2283/tillsyn/A 46041-2022 tillsynsbegäran.docx", "A 46041-2022")</f>
        <v/>
      </c>
      <c r="Y205">
        <f>HYPERLINK("https://klasma.github.io/Logging_2283/tillsynsmail/A 46041-2022 tillsynsbegäran mail.docx", "A 46041-2022")</f>
        <v/>
      </c>
    </row>
    <row r="206" ht="15" customHeight="1">
      <c r="A206" t="inlineStr">
        <is>
          <t>A 46376-2022</t>
        </is>
      </c>
      <c r="B206" s="1" t="n">
        <v>44848</v>
      </c>
      <c r="C206" s="1" t="n">
        <v>45337</v>
      </c>
      <c r="D206" t="inlineStr">
        <is>
          <t>VÄSTERNORRLANDS LÄN</t>
        </is>
      </c>
      <c r="E206" t="inlineStr">
        <is>
          <t>SOLLEFTEÅ</t>
        </is>
      </c>
      <c r="F206" t="inlineStr">
        <is>
          <t>Holmen skog AB</t>
        </is>
      </c>
      <c r="G206" t="n">
        <v>23.9</v>
      </c>
      <c r="H206" t="n">
        <v>0</v>
      </c>
      <c r="I206" t="n">
        <v>1</v>
      </c>
      <c r="J206" t="n">
        <v>0</v>
      </c>
      <c r="K206" t="n">
        <v>0</v>
      </c>
      <c r="L206" t="n">
        <v>0</v>
      </c>
      <c r="M206" t="n">
        <v>0</v>
      </c>
      <c r="N206" t="n">
        <v>0</v>
      </c>
      <c r="O206" t="n">
        <v>0</v>
      </c>
      <c r="P206" t="n">
        <v>0</v>
      </c>
      <c r="Q206" t="n">
        <v>1</v>
      </c>
      <c r="R206" s="2" t="inlineStr">
        <is>
          <t>Skarp dropptaggsvamp</t>
        </is>
      </c>
      <c r="S206">
        <f>HYPERLINK("https://klasma.github.io/Logging_2283/artfynd/A 46376-2022 artfynd.xlsx", "A 46376-2022")</f>
        <v/>
      </c>
      <c r="T206">
        <f>HYPERLINK("https://klasma.github.io/Logging_2283/kartor/A 46376-2022 karta.png", "A 46376-2022")</f>
        <v/>
      </c>
      <c r="V206">
        <f>HYPERLINK("https://klasma.github.io/Logging_2283/klagomål/A 46376-2022 FSC-klagomål.docx", "A 46376-2022")</f>
        <v/>
      </c>
      <c r="W206">
        <f>HYPERLINK("https://klasma.github.io/Logging_2283/klagomålsmail/A 46376-2022 FSC-klagomål mail.docx", "A 46376-2022")</f>
        <v/>
      </c>
      <c r="X206">
        <f>HYPERLINK("https://klasma.github.io/Logging_2283/tillsyn/A 46376-2022 tillsynsbegäran.docx", "A 46376-2022")</f>
        <v/>
      </c>
      <c r="Y206">
        <f>HYPERLINK("https://klasma.github.io/Logging_2283/tillsynsmail/A 46376-2022 tillsynsbegäran mail.docx", "A 46376-2022")</f>
        <v/>
      </c>
    </row>
    <row r="207" ht="15" customHeight="1">
      <c r="A207" t="inlineStr">
        <is>
          <t>A 46629-2022</t>
        </is>
      </c>
      <c r="B207" s="1" t="n">
        <v>44848</v>
      </c>
      <c r="C207" s="1" t="n">
        <v>45337</v>
      </c>
      <c r="D207" t="inlineStr">
        <is>
          <t>VÄSTERNORRLANDS LÄN</t>
        </is>
      </c>
      <c r="E207" t="inlineStr">
        <is>
          <t>SOLLEFTEÅ</t>
        </is>
      </c>
      <c r="F207" t="inlineStr">
        <is>
          <t>SCA</t>
        </is>
      </c>
      <c r="G207" t="n">
        <v>4.5</v>
      </c>
      <c r="H207" t="n">
        <v>1</v>
      </c>
      <c r="I207" t="n">
        <v>0</v>
      </c>
      <c r="J207" t="n">
        <v>0</v>
      </c>
      <c r="K207" t="n">
        <v>1</v>
      </c>
      <c r="L207" t="n">
        <v>0</v>
      </c>
      <c r="M207" t="n">
        <v>0</v>
      </c>
      <c r="N207" t="n">
        <v>0</v>
      </c>
      <c r="O207" t="n">
        <v>1</v>
      </c>
      <c r="P207" t="n">
        <v>1</v>
      </c>
      <c r="Q207" t="n">
        <v>1</v>
      </c>
      <c r="R207" s="2" t="inlineStr">
        <is>
          <t>Knärot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row>
    <row r="208" ht="15" customHeight="1">
      <c r="A208" t="inlineStr">
        <is>
          <t>A 46630-2022</t>
        </is>
      </c>
      <c r="B208" s="1" t="n">
        <v>44848</v>
      </c>
      <c r="C208" s="1" t="n">
        <v>45337</v>
      </c>
      <c r="D208" t="inlineStr">
        <is>
          <t>VÄSTERNORRLANDS LÄN</t>
        </is>
      </c>
      <c r="E208" t="inlineStr">
        <is>
          <t>SOLLEFTEÅ</t>
        </is>
      </c>
      <c r="F208" t="inlineStr">
        <is>
          <t>SCA</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HYPERLINK("https://klasma.github.io/Logging_2283/artfynd/A 46630-2022 artfynd.xlsx", "A 46630-2022")</f>
        <v/>
      </c>
      <c r="T208">
        <f>HYPERLINK("https://klasma.github.io/Logging_2283/kartor/A 46630-2022 karta.png", "A 46630-2022")</f>
        <v/>
      </c>
      <c r="U208">
        <f>HYPERLINK("https://klasma.github.io/Logging_2283/knärot/A 46630-2022 karta knärot.png", "A 46630-2022")</f>
        <v/>
      </c>
      <c r="V208">
        <f>HYPERLINK("https://klasma.github.io/Logging_2283/klagomål/A 46630-2022 FSC-klagomål.docx", "A 46630-2022")</f>
        <v/>
      </c>
      <c r="W208">
        <f>HYPERLINK("https://klasma.github.io/Logging_2283/klagomålsmail/A 46630-2022 FSC-klagomål mail.docx", "A 46630-2022")</f>
        <v/>
      </c>
      <c r="X208">
        <f>HYPERLINK("https://klasma.github.io/Logging_2283/tillsyn/A 46630-2022 tillsynsbegäran.docx", "A 46630-2022")</f>
        <v/>
      </c>
      <c r="Y208">
        <f>HYPERLINK("https://klasma.github.io/Logging_2283/tillsynsmail/A 46630-2022 tillsynsbegäran mail.docx", "A 46630-2022")</f>
        <v/>
      </c>
    </row>
    <row r="209" ht="15" customHeight="1">
      <c r="A209" t="inlineStr">
        <is>
          <t>A 52736-2022</t>
        </is>
      </c>
      <c r="B209" s="1" t="n">
        <v>44874</v>
      </c>
      <c r="C209" s="1" t="n">
        <v>45337</v>
      </c>
      <c r="D209" t="inlineStr">
        <is>
          <t>VÄSTERNORRLANDS LÄN</t>
        </is>
      </c>
      <c r="E209" t="inlineStr">
        <is>
          <t>SOLLEFTEÅ</t>
        </is>
      </c>
      <c r="F209" t="inlineStr">
        <is>
          <t>SCA</t>
        </is>
      </c>
      <c r="G209" t="n">
        <v>15.1</v>
      </c>
      <c r="H209" t="n">
        <v>0</v>
      </c>
      <c r="I209" t="n">
        <v>0</v>
      </c>
      <c r="J209" t="n">
        <v>1</v>
      </c>
      <c r="K209" t="n">
        <v>0</v>
      </c>
      <c r="L209" t="n">
        <v>0</v>
      </c>
      <c r="M209" t="n">
        <v>0</v>
      </c>
      <c r="N209" t="n">
        <v>0</v>
      </c>
      <c r="O209" t="n">
        <v>1</v>
      </c>
      <c r="P209" t="n">
        <v>0</v>
      </c>
      <c r="Q209" t="n">
        <v>1</v>
      </c>
      <c r="R209" s="2" t="inlineStr">
        <is>
          <t>Orange taggsvamp</t>
        </is>
      </c>
      <c r="S209">
        <f>HYPERLINK("https://klasma.github.io/Logging_2283/artfynd/A 52736-2022 artfynd.xlsx", "A 52736-2022")</f>
        <v/>
      </c>
      <c r="T209">
        <f>HYPERLINK("https://klasma.github.io/Logging_2283/kartor/A 52736-2022 karta.png", "A 52736-2022")</f>
        <v/>
      </c>
      <c r="V209">
        <f>HYPERLINK("https://klasma.github.io/Logging_2283/klagomål/A 52736-2022 FSC-klagomål.docx", "A 52736-2022")</f>
        <v/>
      </c>
      <c r="W209">
        <f>HYPERLINK("https://klasma.github.io/Logging_2283/klagomålsmail/A 52736-2022 FSC-klagomål mail.docx", "A 52736-2022")</f>
        <v/>
      </c>
      <c r="X209">
        <f>HYPERLINK("https://klasma.github.io/Logging_2283/tillsyn/A 52736-2022 tillsynsbegäran.docx", "A 52736-2022")</f>
        <v/>
      </c>
      <c r="Y209">
        <f>HYPERLINK("https://klasma.github.io/Logging_2283/tillsynsmail/A 52736-2022 tillsynsbegäran mail.docx", "A 52736-2022")</f>
        <v/>
      </c>
    </row>
    <row r="210" ht="15" customHeight="1">
      <c r="A210" t="inlineStr">
        <is>
          <t>A 56932-2022</t>
        </is>
      </c>
      <c r="B210" s="1" t="n">
        <v>44894</v>
      </c>
      <c r="C210" s="1" t="n">
        <v>45337</v>
      </c>
      <c r="D210" t="inlineStr">
        <is>
          <t>VÄSTERNORRLANDS LÄN</t>
        </is>
      </c>
      <c r="E210" t="inlineStr">
        <is>
          <t>SOLLEFTEÅ</t>
        </is>
      </c>
      <c r="F210" t="inlineStr">
        <is>
          <t>Holmen skog AB</t>
        </is>
      </c>
      <c r="G210" t="n">
        <v>1.9</v>
      </c>
      <c r="H210" t="n">
        <v>0</v>
      </c>
      <c r="I210" t="n">
        <v>0</v>
      </c>
      <c r="J210" t="n">
        <v>1</v>
      </c>
      <c r="K210" t="n">
        <v>0</v>
      </c>
      <c r="L210" t="n">
        <v>0</v>
      </c>
      <c r="M210" t="n">
        <v>0</v>
      </c>
      <c r="N210" t="n">
        <v>0</v>
      </c>
      <c r="O210" t="n">
        <v>1</v>
      </c>
      <c r="P210" t="n">
        <v>0</v>
      </c>
      <c r="Q210" t="n">
        <v>1</v>
      </c>
      <c r="R210" s="2" t="inlineStr">
        <is>
          <t>Koralltaggsvamp</t>
        </is>
      </c>
      <c r="S210">
        <f>HYPERLINK("https://klasma.github.io/Logging_2283/artfynd/A 56932-2022 artfynd.xlsx", "A 56932-2022")</f>
        <v/>
      </c>
      <c r="T210">
        <f>HYPERLINK("https://klasma.github.io/Logging_2283/kartor/A 56932-2022 karta.png", "A 56932-2022")</f>
        <v/>
      </c>
      <c r="V210">
        <f>HYPERLINK("https://klasma.github.io/Logging_2283/klagomål/A 56932-2022 FSC-klagomål.docx", "A 56932-2022")</f>
        <v/>
      </c>
      <c r="W210">
        <f>HYPERLINK("https://klasma.github.io/Logging_2283/klagomålsmail/A 56932-2022 FSC-klagomål mail.docx", "A 56932-2022")</f>
        <v/>
      </c>
      <c r="X210">
        <f>HYPERLINK("https://klasma.github.io/Logging_2283/tillsyn/A 56932-2022 tillsynsbegäran.docx", "A 56932-2022")</f>
        <v/>
      </c>
      <c r="Y210">
        <f>HYPERLINK("https://klasma.github.io/Logging_2283/tillsynsmail/A 56932-2022 tillsynsbegäran mail.docx", "A 56932-2022")</f>
        <v/>
      </c>
    </row>
    <row r="211" ht="15" customHeight="1">
      <c r="A211" t="inlineStr">
        <is>
          <t>A 60833-2022</t>
        </is>
      </c>
      <c r="B211" s="1" t="n">
        <v>44907</v>
      </c>
      <c r="C211" s="1" t="n">
        <v>45337</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Kolflarnlav</t>
        </is>
      </c>
      <c r="S211">
        <f>HYPERLINK("https://klasma.github.io/Logging_2283/artfynd/A 60833-2022 artfynd.xlsx", "A 60833-2022")</f>
        <v/>
      </c>
      <c r="T211">
        <f>HYPERLINK("https://klasma.github.io/Logging_2283/kartor/A 60833-2022 karta.png", "A 60833-2022")</f>
        <v/>
      </c>
      <c r="V211">
        <f>HYPERLINK("https://klasma.github.io/Logging_2283/klagomål/A 60833-2022 FSC-klagomål.docx", "A 60833-2022")</f>
        <v/>
      </c>
      <c r="W211">
        <f>HYPERLINK("https://klasma.github.io/Logging_2283/klagomålsmail/A 60833-2022 FSC-klagomål mail.docx", "A 60833-2022")</f>
        <v/>
      </c>
      <c r="X211">
        <f>HYPERLINK("https://klasma.github.io/Logging_2283/tillsyn/A 60833-2022 tillsynsbegäran.docx", "A 60833-2022")</f>
        <v/>
      </c>
      <c r="Y211">
        <f>HYPERLINK("https://klasma.github.io/Logging_2283/tillsynsmail/A 60833-2022 tillsynsbegäran mail.docx", "A 60833-2022")</f>
        <v/>
      </c>
    </row>
    <row r="212" ht="15" customHeight="1">
      <c r="A212" t="inlineStr">
        <is>
          <t>A 60939-2022</t>
        </is>
      </c>
      <c r="B212" s="1" t="n">
        <v>44908</v>
      </c>
      <c r="C212" s="1" t="n">
        <v>45337</v>
      </c>
      <c r="D212" t="inlineStr">
        <is>
          <t>VÄSTERNORRLANDS LÄN</t>
        </is>
      </c>
      <c r="E212" t="inlineStr">
        <is>
          <t>SOLLEFTEÅ</t>
        </is>
      </c>
      <c r="G212" t="n">
        <v>4.4</v>
      </c>
      <c r="H212" t="n">
        <v>0</v>
      </c>
      <c r="I212" t="n">
        <v>0</v>
      </c>
      <c r="J212" t="n">
        <v>1</v>
      </c>
      <c r="K212" t="n">
        <v>0</v>
      </c>
      <c r="L212" t="n">
        <v>0</v>
      </c>
      <c r="M212" t="n">
        <v>0</v>
      </c>
      <c r="N212" t="n">
        <v>0</v>
      </c>
      <c r="O212" t="n">
        <v>1</v>
      </c>
      <c r="P212" t="n">
        <v>0</v>
      </c>
      <c r="Q212" t="n">
        <v>1</v>
      </c>
      <c r="R212" s="2" t="inlineStr">
        <is>
          <t>Garnlav</t>
        </is>
      </c>
      <c r="S212">
        <f>HYPERLINK("https://klasma.github.io/Logging_2283/artfynd/A 60939-2022 artfynd.xlsx", "A 60939-2022")</f>
        <v/>
      </c>
      <c r="T212">
        <f>HYPERLINK("https://klasma.github.io/Logging_2283/kartor/A 60939-2022 karta.png", "A 60939-2022")</f>
        <v/>
      </c>
      <c r="V212">
        <f>HYPERLINK("https://klasma.github.io/Logging_2283/klagomål/A 60939-2022 FSC-klagomål.docx", "A 60939-2022")</f>
        <v/>
      </c>
      <c r="W212">
        <f>HYPERLINK("https://klasma.github.io/Logging_2283/klagomålsmail/A 60939-2022 FSC-klagomål mail.docx", "A 60939-2022")</f>
        <v/>
      </c>
      <c r="X212">
        <f>HYPERLINK("https://klasma.github.io/Logging_2283/tillsyn/A 60939-2022 tillsynsbegäran.docx", "A 60939-2022")</f>
        <v/>
      </c>
      <c r="Y212">
        <f>HYPERLINK("https://klasma.github.io/Logging_2283/tillsynsmail/A 60939-2022 tillsynsbegäran mail.docx", "A 60939-2022")</f>
        <v/>
      </c>
    </row>
    <row r="213" ht="15" customHeight="1">
      <c r="A213" t="inlineStr">
        <is>
          <t>A 986-2023</t>
        </is>
      </c>
      <c r="B213" s="1" t="n">
        <v>44935</v>
      </c>
      <c r="C213" s="1" t="n">
        <v>45337</v>
      </c>
      <c r="D213" t="inlineStr">
        <is>
          <t>VÄSTERNORRLANDS LÄN</t>
        </is>
      </c>
      <c r="E213" t="inlineStr">
        <is>
          <t>SOLLEFTEÅ</t>
        </is>
      </c>
      <c r="G213" t="n">
        <v>2.6</v>
      </c>
      <c r="H213" t="n">
        <v>1</v>
      </c>
      <c r="I213" t="n">
        <v>0</v>
      </c>
      <c r="J213" t="n">
        <v>0</v>
      </c>
      <c r="K213" t="n">
        <v>0</v>
      </c>
      <c r="L213" t="n">
        <v>0</v>
      </c>
      <c r="M213" t="n">
        <v>0</v>
      </c>
      <c r="N213" t="n">
        <v>0</v>
      </c>
      <c r="O213" t="n">
        <v>0</v>
      </c>
      <c r="P213" t="n">
        <v>0</v>
      </c>
      <c r="Q213" t="n">
        <v>1</v>
      </c>
      <c r="R213" s="2" t="inlineStr">
        <is>
          <t>Revlummer</t>
        </is>
      </c>
      <c r="S213">
        <f>HYPERLINK("https://klasma.github.io/Logging_2283/artfynd/A 986-2023 artfynd.xlsx", "A 986-2023")</f>
        <v/>
      </c>
      <c r="T213">
        <f>HYPERLINK("https://klasma.github.io/Logging_2283/kartor/A 986-2023 karta.png", "A 986-2023")</f>
        <v/>
      </c>
      <c r="V213">
        <f>HYPERLINK("https://klasma.github.io/Logging_2283/klagomål/A 986-2023 FSC-klagomål.docx", "A 986-2023")</f>
        <v/>
      </c>
      <c r="W213">
        <f>HYPERLINK("https://klasma.github.io/Logging_2283/klagomålsmail/A 986-2023 FSC-klagomål mail.docx", "A 986-2023")</f>
        <v/>
      </c>
      <c r="X213">
        <f>HYPERLINK("https://klasma.github.io/Logging_2283/tillsyn/A 986-2023 tillsynsbegäran.docx", "A 986-2023")</f>
        <v/>
      </c>
      <c r="Y213">
        <f>HYPERLINK("https://klasma.github.io/Logging_2283/tillsynsmail/A 986-2023 tillsynsbegäran mail.docx", "A 986-2023")</f>
        <v/>
      </c>
    </row>
    <row r="214" ht="15" customHeight="1">
      <c r="A214" t="inlineStr">
        <is>
          <t>A 12862-2023</t>
        </is>
      </c>
      <c r="B214" s="1" t="n">
        <v>45001</v>
      </c>
      <c r="C214" s="1" t="n">
        <v>45337</v>
      </c>
      <c r="D214" t="inlineStr">
        <is>
          <t>VÄSTERNORRLANDS LÄN</t>
        </is>
      </c>
      <c r="E214" t="inlineStr">
        <is>
          <t>SOLLEFTEÅ</t>
        </is>
      </c>
      <c r="F214" t="inlineStr">
        <is>
          <t>Övriga Aktiebolag</t>
        </is>
      </c>
      <c r="G214" t="n">
        <v>10.4</v>
      </c>
      <c r="H214" t="n">
        <v>0</v>
      </c>
      <c r="I214" t="n">
        <v>1</v>
      </c>
      <c r="J214" t="n">
        <v>0</v>
      </c>
      <c r="K214" t="n">
        <v>0</v>
      </c>
      <c r="L214" t="n">
        <v>0</v>
      </c>
      <c r="M214" t="n">
        <v>0</v>
      </c>
      <c r="N214" t="n">
        <v>0</v>
      </c>
      <c r="O214" t="n">
        <v>0</v>
      </c>
      <c r="P214" t="n">
        <v>0</v>
      </c>
      <c r="Q214" t="n">
        <v>1</v>
      </c>
      <c r="R214" s="2" t="inlineStr">
        <is>
          <t>Korallblylav</t>
        </is>
      </c>
      <c r="S214">
        <f>HYPERLINK("https://klasma.github.io/Logging_2283/artfynd/A 12862-2023 artfynd.xlsx", "A 12862-2023")</f>
        <v/>
      </c>
      <c r="T214">
        <f>HYPERLINK("https://klasma.github.io/Logging_2283/kartor/A 12862-2023 karta.png", "A 12862-2023")</f>
        <v/>
      </c>
      <c r="V214">
        <f>HYPERLINK("https://klasma.github.io/Logging_2283/klagomål/A 12862-2023 FSC-klagomål.docx", "A 12862-2023")</f>
        <v/>
      </c>
      <c r="W214">
        <f>HYPERLINK("https://klasma.github.io/Logging_2283/klagomålsmail/A 12862-2023 FSC-klagomål mail.docx", "A 12862-2023")</f>
        <v/>
      </c>
      <c r="X214">
        <f>HYPERLINK("https://klasma.github.io/Logging_2283/tillsyn/A 12862-2023 tillsynsbegäran.docx", "A 12862-2023")</f>
        <v/>
      </c>
      <c r="Y214">
        <f>HYPERLINK("https://klasma.github.io/Logging_2283/tillsynsmail/A 12862-2023 tillsynsbegäran mail.docx", "A 12862-2023")</f>
        <v/>
      </c>
    </row>
    <row r="215" ht="15" customHeight="1">
      <c r="A215" t="inlineStr">
        <is>
          <t>A 29958-2023</t>
        </is>
      </c>
      <c r="B215" s="1" t="n">
        <v>45107</v>
      </c>
      <c r="C215" s="1" t="n">
        <v>45337</v>
      </c>
      <c r="D215" t="inlineStr">
        <is>
          <t>VÄSTERNORRLANDS LÄN</t>
        </is>
      </c>
      <c r="E215" t="inlineStr">
        <is>
          <t>SOLLEFTEÅ</t>
        </is>
      </c>
      <c r="F215" t="inlineStr">
        <is>
          <t>SCA</t>
        </is>
      </c>
      <c r="G215" t="n">
        <v>7.5</v>
      </c>
      <c r="H215" t="n">
        <v>1</v>
      </c>
      <c r="I215" t="n">
        <v>0</v>
      </c>
      <c r="J215" t="n">
        <v>1</v>
      </c>
      <c r="K215" t="n">
        <v>0</v>
      </c>
      <c r="L215" t="n">
        <v>0</v>
      </c>
      <c r="M215" t="n">
        <v>0</v>
      </c>
      <c r="N215" t="n">
        <v>0</v>
      </c>
      <c r="O215" t="n">
        <v>1</v>
      </c>
      <c r="P215" t="n">
        <v>0</v>
      </c>
      <c r="Q215" t="n">
        <v>1</v>
      </c>
      <c r="R215" s="2" t="inlineStr">
        <is>
          <t>Tretåig hackspett</t>
        </is>
      </c>
      <c r="S215">
        <f>HYPERLINK("https://klasma.github.io/Logging_2283/artfynd/A 29958-2023 artfynd.xlsx", "A 29958-2023")</f>
        <v/>
      </c>
      <c r="T215">
        <f>HYPERLINK("https://klasma.github.io/Logging_2283/kartor/A 29958-2023 karta.png", "A 29958-2023")</f>
        <v/>
      </c>
      <c r="V215">
        <f>HYPERLINK("https://klasma.github.io/Logging_2283/klagomål/A 29958-2023 FSC-klagomål.docx", "A 29958-2023")</f>
        <v/>
      </c>
      <c r="W215">
        <f>HYPERLINK("https://klasma.github.io/Logging_2283/klagomålsmail/A 29958-2023 FSC-klagomål mail.docx", "A 29958-2023")</f>
        <v/>
      </c>
      <c r="X215">
        <f>HYPERLINK("https://klasma.github.io/Logging_2283/tillsyn/A 29958-2023 tillsynsbegäran.docx", "A 29958-2023")</f>
        <v/>
      </c>
      <c r="Y215">
        <f>HYPERLINK("https://klasma.github.io/Logging_2283/tillsynsmail/A 29958-2023 tillsynsbegäran mail.docx", "A 29958-2023")</f>
        <v/>
      </c>
      <c r="Z215">
        <f>HYPERLINK("https://klasma.github.io/Logging_2283/fåglar/A 29958-2023 prioriterade fågelarter.docx", "A 29958-2023")</f>
        <v/>
      </c>
    </row>
    <row r="216" ht="15" customHeight="1">
      <c r="A216" t="inlineStr">
        <is>
          <t>A 31920-2023</t>
        </is>
      </c>
      <c r="B216" s="1" t="n">
        <v>45118</v>
      </c>
      <c r="C216" s="1" t="n">
        <v>45337</v>
      </c>
      <c r="D216" t="inlineStr">
        <is>
          <t>VÄSTERNORRLANDS LÄN</t>
        </is>
      </c>
      <c r="E216" t="inlineStr">
        <is>
          <t>SOLLEFTEÅ</t>
        </is>
      </c>
      <c r="F216" t="inlineStr">
        <is>
          <t>SCA</t>
        </is>
      </c>
      <c r="G216" t="n">
        <v>2</v>
      </c>
      <c r="H216" t="n">
        <v>0</v>
      </c>
      <c r="I216" t="n">
        <v>0</v>
      </c>
      <c r="J216" t="n">
        <v>1</v>
      </c>
      <c r="K216" t="n">
        <v>0</v>
      </c>
      <c r="L216" t="n">
        <v>0</v>
      </c>
      <c r="M216" t="n">
        <v>0</v>
      </c>
      <c r="N216" t="n">
        <v>0</v>
      </c>
      <c r="O216" t="n">
        <v>1</v>
      </c>
      <c r="P216" t="n">
        <v>0</v>
      </c>
      <c r="Q216" t="n">
        <v>1</v>
      </c>
      <c r="R216" s="2" t="inlineStr">
        <is>
          <t>Ullticka</t>
        </is>
      </c>
      <c r="S216">
        <f>HYPERLINK("https://klasma.github.io/Logging_2283/artfynd/A 31920-2023 artfynd.xlsx", "A 31920-2023")</f>
        <v/>
      </c>
      <c r="T216">
        <f>HYPERLINK("https://klasma.github.io/Logging_2283/kartor/A 31920-2023 karta.png", "A 31920-2023")</f>
        <v/>
      </c>
      <c r="V216">
        <f>HYPERLINK("https://klasma.github.io/Logging_2283/klagomål/A 31920-2023 FSC-klagomål.docx", "A 31920-2023")</f>
        <v/>
      </c>
      <c r="W216">
        <f>HYPERLINK("https://klasma.github.io/Logging_2283/klagomålsmail/A 31920-2023 FSC-klagomål mail.docx", "A 31920-2023")</f>
        <v/>
      </c>
      <c r="X216">
        <f>HYPERLINK("https://klasma.github.io/Logging_2283/tillsyn/A 31920-2023 tillsynsbegäran.docx", "A 31920-2023")</f>
        <v/>
      </c>
      <c r="Y216">
        <f>HYPERLINK("https://klasma.github.io/Logging_2283/tillsynsmail/A 31920-2023 tillsynsbegäran mail.docx", "A 31920-2023")</f>
        <v/>
      </c>
    </row>
    <row r="217" ht="15" customHeight="1">
      <c r="A217" t="inlineStr">
        <is>
          <t>A 32217-2023</t>
        </is>
      </c>
      <c r="B217" s="1" t="n">
        <v>45119</v>
      </c>
      <c r="C217" s="1" t="n">
        <v>45337</v>
      </c>
      <c r="D217" t="inlineStr">
        <is>
          <t>VÄSTERNORRLANDS LÄN</t>
        </is>
      </c>
      <c r="E217" t="inlineStr">
        <is>
          <t>SOLLEFTEÅ</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HYPERLINK("https://klasma.github.io/Logging_2283/artfynd/A 32217-2023 artfynd.xlsx", "A 32217-2023")</f>
        <v/>
      </c>
      <c r="T217">
        <f>HYPERLINK("https://klasma.github.io/Logging_2283/kartor/A 32217-2023 karta.png", "A 32217-2023")</f>
        <v/>
      </c>
      <c r="V217">
        <f>HYPERLINK("https://klasma.github.io/Logging_2283/klagomål/A 32217-2023 FSC-klagomål.docx", "A 32217-2023")</f>
        <v/>
      </c>
      <c r="W217">
        <f>HYPERLINK("https://klasma.github.io/Logging_2283/klagomålsmail/A 32217-2023 FSC-klagomål mail.docx", "A 32217-2023")</f>
        <v/>
      </c>
      <c r="X217">
        <f>HYPERLINK("https://klasma.github.io/Logging_2283/tillsyn/A 32217-2023 tillsynsbegäran.docx", "A 32217-2023")</f>
        <v/>
      </c>
      <c r="Y217">
        <f>HYPERLINK("https://klasma.github.io/Logging_2283/tillsynsmail/A 32217-2023 tillsynsbegäran mail.docx", "A 32217-2023")</f>
        <v/>
      </c>
    </row>
    <row r="218" ht="15" customHeight="1">
      <c r="A218" t="inlineStr">
        <is>
          <t>A 32734-2023</t>
        </is>
      </c>
      <c r="B218" s="1" t="n">
        <v>45121</v>
      </c>
      <c r="C218" s="1" t="n">
        <v>45337</v>
      </c>
      <c r="D218" t="inlineStr">
        <is>
          <t>VÄSTERNORRLANDS LÄN</t>
        </is>
      </c>
      <c r="E218" t="inlineStr">
        <is>
          <t>SOLLEFTEÅ</t>
        </is>
      </c>
      <c r="G218" t="n">
        <v>1.8</v>
      </c>
      <c r="H218" t="n">
        <v>0</v>
      </c>
      <c r="I218" t="n">
        <v>0</v>
      </c>
      <c r="J218" t="n">
        <v>1</v>
      </c>
      <c r="K218" t="n">
        <v>0</v>
      </c>
      <c r="L218" t="n">
        <v>0</v>
      </c>
      <c r="M218" t="n">
        <v>0</v>
      </c>
      <c r="N218" t="n">
        <v>0</v>
      </c>
      <c r="O218" t="n">
        <v>1</v>
      </c>
      <c r="P218" t="n">
        <v>0</v>
      </c>
      <c r="Q218" t="n">
        <v>1</v>
      </c>
      <c r="R218" s="2" t="inlineStr">
        <is>
          <t>Garnlav</t>
        </is>
      </c>
      <c r="S218">
        <f>HYPERLINK("https://klasma.github.io/Logging_2283/artfynd/A 32734-2023 artfynd.xlsx", "A 32734-2023")</f>
        <v/>
      </c>
      <c r="T218">
        <f>HYPERLINK("https://klasma.github.io/Logging_2283/kartor/A 32734-2023 karta.png", "A 32734-2023")</f>
        <v/>
      </c>
      <c r="V218">
        <f>HYPERLINK("https://klasma.github.io/Logging_2283/klagomål/A 32734-2023 FSC-klagomål.docx", "A 32734-2023")</f>
        <v/>
      </c>
      <c r="W218">
        <f>HYPERLINK("https://klasma.github.io/Logging_2283/klagomålsmail/A 32734-2023 FSC-klagomål mail.docx", "A 32734-2023")</f>
        <v/>
      </c>
      <c r="X218">
        <f>HYPERLINK("https://klasma.github.io/Logging_2283/tillsyn/A 32734-2023 tillsynsbegäran.docx", "A 32734-2023")</f>
        <v/>
      </c>
      <c r="Y218">
        <f>HYPERLINK("https://klasma.github.io/Logging_2283/tillsynsmail/A 32734-2023 tillsynsbegäran mail.docx", "A 32734-2023")</f>
        <v/>
      </c>
    </row>
    <row r="219" ht="15" customHeight="1">
      <c r="A219" t="inlineStr">
        <is>
          <t>A 38089-2023</t>
        </is>
      </c>
      <c r="B219" s="1" t="n">
        <v>45160</v>
      </c>
      <c r="C219" s="1" t="n">
        <v>45337</v>
      </c>
      <c r="D219" t="inlineStr">
        <is>
          <t>VÄSTERNORRLANDS LÄN</t>
        </is>
      </c>
      <c r="E219" t="inlineStr">
        <is>
          <t>SOLLEFTEÅ</t>
        </is>
      </c>
      <c r="F219" t="inlineStr">
        <is>
          <t>SCA</t>
        </is>
      </c>
      <c r="G219" t="n">
        <v>4.3</v>
      </c>
      <c r="H219" t="n">
        <v>0</v>
      </c>
      <c r="I219" t="n">
        <v>0</v>
      </c>
      <c r="J219" t="n">
        <v>1</v>
      </c>
      <c r="K219" t="n">
        <v>0</v>
      </c>
      <c r="L219" t="n">
        <v>0</v>
      </c>
      <c r="M219" t="n">
        <v>0</v>
      </c>
      <c r="N219" t="n">
        <v>0</v>
      </c>
      <c r="O219" t="n">
        <v>1</v>
      </c>
      <c r="P219" t="n">
        <v>0</v>
      </c>
      <c r="Q219" t="n">
        <v>1</v>
      </c>
      <c r="R219" s="2" t="inlineStr">
        <is>
          <t>Garnlav</t>
        </is>
      </c>
      <c r="S219">
        <f>HYPERLINK("https://klasma.github.io/Logging_2283/artfynd/A 38089-2023 artfynd.xlsx", "A 38089-2023")</f>
        <v/>
      </c>
      <c r="T219">
        <f>HYPERLINK("https://klasma.github.io/Logging_2283/kartor/A 38089-2023 karta.png", "A 38089-2023")</f>
        <v/>
      </c>
      <c r="V219">
        <f>HYPERLINK("https://klasma.github.io/Logging_2283/klagomål/A 38089-2023 FSC-klagomål.docx", "A 38089-2023")</f>
        <v/>
      </c>
      <c r="W219">
        <f>HYPERLINK("https://klasma.github.io/Logging_2283/klagomålsmail/A 38089-2023 FSC-klagomål mail.docx", "A 38089-2023")</f>
        <v/>
      </c>
      <c r="X219">
        <f>HYPERLINK("https://klasma.github.io/Logging_2283/tillsyn/A 38089-2023 tillsynsbegäran.docx", "A 38089-2023")</f>
        <v/>
      </c>
      <c r="Y219">
        <f>HYPERLINK("https://klasma.github.io/Logging_2283/tillsynsmail/A 38089-2023 tillsynsbegäran mail.docx", "A 38089-2023")</f>
        <v/>
      </c>
    </row>
    <row r="220" ht="15" customHeight="1">
      <c r="A220" t="inlineStr">
        <is>
          <t>A 39565-2023</t>
        </is>
      </c>
      <c r="B220" s="1" t="n">
        <v>45167</v>
      </c>
      <c r="C220" s="1" t="n">
        <v>45337</v>
      </c>
      <c r="D220" t="inlineStr">
        <is>
          <t>VÄSTERNORRLANDS LÄN</t>
        </is>
      </c>
      <c r="E220" t="inlineStr">
        <is>
          <t>SOLLEFTEÅ</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HYPERLINK("https://klasma.github.io/Logging_2283/artfynd/A 39565-2023 artfynd.xlsx", "A 39565-2023")</f>
        <v/>
      </c>
      <c r="T220">
        <f>HYPERLINK("https://klasma.github.io/Logging_2283/kartor/A 39565-2023 karta.png", "A 39565-2023")</f>
        <v/>
      </c>
      <c r="V220">
        <f>HYPERLINK("https://klasma.github.io/Logging_2283/klagomål/A 39565-2023 FSC-klagomål.docx", "A 39565-2023")</f>
        <v/>
      </c>
      <c r="W220">
        <f>HYPERLINK("https://klasma.github.io/Logging_2283/klagomålsmail/A 39565-2023 FSC-klagomål mail.docx", "A 39565-2023")</f>
        <v/>
      </c>
      <c r="X220">
        <f>HYPERLINK("https://klasma.github.io/Logging_2283/tillsyn/A 39565-2023 tillsynsbegäran.docx", "A 39565-2023")</f>
        <v/>
      </c>
      <c r="Y220">
        <f>HYPERLINK("https://klasma.github.io/Logging_2283/tillsynsmail/A 39565-2023 tillsynsbegäran mail.docx", "A 39565-2023")</f>
        <v/>
      </c>
    </row>
    <row r="221" ht="15" customHeight="1">
      <c r="A221" t="inlineStr">
        <is>
          <t>A 46203-2023</t>
        </is>
      </c>
      <c r="B221" s="1" t="n">
        <v>45190</v>
      </c>
      <c r="C221" s="1" t="n">
        <v>45337</v>
      </c>
      <c r="D221" t="inlineStr">
        <is>
          <t>VÄSTERNORRLANDS LÄN</t>
        </is>
      </c>
      <c r="E221" t="inlineStr">
        <is>
          <t>SOLLEFTEÅ</t>
        </is>
      </c>
      <c r="G221" t="n">
        <v>13</v>
      </c>
      <c r="H221" t="n">
        <v>0</v>
      </c>
      <c r="I221" t="n">
        <v>0</v>
      </c>
      <c r="J221" t="n">
        <v>1</v>
      </c>
      <c r="K221" t="n">
        <v>0</v>
      </c>
      <c r="L221" t="n">
        <v>0</v>
      </c>
      <c r="M221" t="n">
        <v>0</v>
      </c>
      <c r="N221" t="n">
        <v>0</v>
      </c>
      <c r="O221" t="n">
        <v>1</v>
      </c>
      <c r="P221" t="n">
        <v>0</v>
      </c>
      <c r="Q221" t="n">
        <v>1</v>
      </c>
      <c r="R221" s="2" t="inlineStr">
        <is>
          <t>Garnlav</t>
        </is>
      </c>
      <c r="S221">
        <f>HYPERLINK("https://klasma.github.io/Logging_2283/artfynd/A 46203-2023 artfynd.xlsx", "A 46203-2023")</f>
        <v/>
      </c>
      <c r="T221">
        <f>HYPERLINK("https://klasma.github.io/Logging_2283/kartor/A 46203-2023 karta.png", "A 46203-2023")</f>
        <v/>
      </c>
      <c r="V221">
        <f>HYPERLINK("https://klasma.github.io/Logging_2283/klagomål/A 46203-2023 FSC-klagomål.docx", "A 46203-2023")</f>
        <v/>
      </c>
      <c r="W221">
        <f>HYPERLINK("https://klasma.github.io/Logging_2283/klagomålsmail/A 46203-2023 FSC-klagomål mail.docx", "A 46203-2023")</f>
        <v/>
      </c>
      <c r="X221">
        <f>HYPERLINK("https://klasma.github.io/Logging_2283/tillsyn/A 46203-2023 tillsynsbegäran.docx", "A 46203-2023")</f>
        <v/>
      </c>
      <c r="Y221">
        <f>HYPERLINK("https://klasma.github.io/Logging_2283/tillsynsmail/A 46203-2023 tillsynsbegäran mail.docx", "A 46203-2023")</f>
        <v/>
      </c>
    </row>
    <row r="222" ht="15" customHeight="1">
      <c r="A222" t="inlineStr">
        <is>
          <t>A 48087-2023</t>
        </is>
      </c>
      <c r="B222" s="1" t="n">
        <v>45204</v>
      </c>
      <c r="C222" s="1" t="n">
        <v>45337</v>
      </c>
      <c r="D222" t="inlineStr">
        <is>
          <t>VÄSTERNORRLANDS LÄN</t>
        </is>
      </c>
      <c r="E222" t="inlineStr">
        <is>
          <t>SOLLEFTEÅ</t>
        </is>
      </c>
      <c r="F222" t="inlineStr">
        <is>
          <t>SCA</t>
        </is>
      </c>
      <c r="G222" t="n">
        <v>0.6</v>
      </c>
      <c r="H222" t="n">
        <v>0</v>
      </c>
      <c r="I222" t="n">
        <v>0</v>
      </c>
      <c r="J222" t="n">
        <v>1</v>
      </c>
      <c r="K222" t="n">
        <v>0</v>
      </c>
      <c r="L222" t="n">
        <v>0</v>
      </c>
      <c r="M222" t="n">
        <v>0</v>
      </c>
      <c r="N222" t="n">
        <v>0</v>
      </c>
      <c r="O222" t="n">
        <v>1</v>
      </c>
      <c r="P222" t="n">
        <v>0</v>
      </c>
      <c r="Q222" t="n">
        <v>1</v>
      </c>
      <c r="R222" s="2" t="inlineStr">
        <is>
          <t>Doftskinn</t>
        </is>
      </c>
      <c r="S222">
        <f>HYPERLINK("https://klasma.github.io/Logging_2283/artfynd/A 48087-2023 artfynd.xlsx", "A 48087-2023")</f>
        <v/>
      </c>
      <c r="T222">
        <f>HYPERLINK("https://klasma.github.io/Logging_2283/kartor/A 48087-2023 karta.png", "A 48087-2023")</f>
        <v/>
      </c>
      <c r="V222">
        <f>HYPERLINK("https://klasma.github.io/Logging_2283/klagomål/A 48087-2023 FSC-klagomål.docx", "A 48087-2023")</f>
        <v/>
      </c>
      <c r="W222">
        <f>HYPERLINK("https://klasma.github.io/Logging_2283/klagomålsmail/A 48087-2023 FSC-klagomål mail.docx", "A 48087-2023")</f>
        <v/>
      </c>
      <c r="X222">
        <f>HYPERLINK("https://klasma.github.io/Logging_2283/tillsyn/A 48087-2023 tillsynsbegäran.docx", "A 48087-2023")</f>
        <v/>
      </c>
      <c r="Y222">
        <f>HYPERLINK("https://klasma.github.io/Logging_2283/tillsynsmail/A 48087-2023 tillsynsbegäran mail.docx", "A 48087-2023")</f>
        <v/>
      </c>
    </row>
    <row r="223" ht="15" customHeight="1">
      <c r="A223" t="inlineStr">
        <is>
          <t>A 53059-2023</t>
        </is>
      </c>
      <c r="B223" s="1" t="n">
        <v>45226</v>
      </c>
      <c r="C223" s="1" t="n">
        <v>45337</v>
      </c>
      <c r="D223" t="inlineStr">
        <is>
          <t>VÄSTERNORRLANDS LÄN</t>
        </is>
      </c>
      <c r="E223" t="inlineStr">
        <is>
          <t>SOLLEFTEÅ</t>
        </is>
      </c>
      <c r="F223" t="inlineStr">
        <is>
          <t>SCA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HYPERLINK("https://klasma.github.io/Logging_2283/artfynd/A 53059-2023 artfynd.xlsx", "A 53059-2023")</f>
        <v/>
      </c>
      <c r="T223">
        <f>HYPERLINK("https://klasma.github.io/Logging_2283/kartor/A 53059-2023 karta.png", "A 53059-2023")</f>
        <v/>
      </c>
      <c r="U223">
        <f>HYPERLINK("https://klasma.github.io/Logging_2283/knärot/A 53059-2023 karta knärot.png", "A 53059-2023")</f>
        <v/>
      </c>
      <c r="V223">
        <f>HYPERLINK("https://klasma.github.io/Logging_2283/klagomål/A 53059-2023 FSC-klagomål.docx", "A 53059-2023")</f>
        <v/>
      </c>
      <c r="W223">
        <f>HYPERLINK("https://klasma.github.io/Logging_2283/klagomålsmail/A 53059-2023 FSC-klagomål mail.docx", "A 53059-2023")</f>
        <v/>
      </c>
      <c r="X223">
        <f>HYPERLINK("https://klasma.github.io/Logging_2283/tillsyn/A 53059-2023 tillsynsbegäran.docx", "A 53059-2023")</f>
        <v/>
      </c>
      <c r="Y223">
        <f>HYPERLINK("https://klasma.github.io/Logging_2283/tillsynsmail/A 53059-2023 tillsynsbegäran mail.docx", "A 53059-2023")</f>
        <v/>
      </c>
    </row>
    <row r="224" ht="15" customHeight="1">
      <c r="A224" t="inlineStr">
        <is>
          <t>A 53039-2023</t>
        </is>
      </c>
      <c r="B224" s="1" t="n">
        <v>45226</v>
      </c>
      <c r="C224" s="1" t="n">
        <v>45337</v>
      </c>
      <c r="D224" t="inlineStr">
        <is>
          <t>VÄSTERNORRLANDS LÄN</t>
        </is>
      </c>
      <c r="E224" t="inlineStr">
        <is>
          <t>SOLLEFTEÅ</t>
        </is>
      </c>
      <c r="F224" t="inlineStr">
        <is>
          <t>SCA</t>
        </is>
      </c>
      <c r="G224" t="n">
        <v>1.8</v>
      </c>
      <c r="H224" t="n">
        <v>1</v>
      </c>
      <c r="I224" t="n">
        <v>0</v>
      </c>
      <c r="J224" t="n">
        <v>1</v>
      </c>
      <c r="K224" t="n">
        <v>0</v>
      </c>
      <c r="L224" t="n">
        <v>0</v>
      </c>
      <c r="M224" t="n">
        <v>0</v>
      </c>
      <c r="N224" t="n">
        <v>0</v>
      </c>
      <c r="O224" t="n">
        <v>1</v>
      </c>
      <c r="P224" t="n">
        <v>0</v>
      </c>
      <c r="Q224" t="n">
        <v>1</v>
      </c>
      <c r="R224" s="2" t="inlineStr">
        <is>
          <t>Nordfladdermus</t>
        </is>
      </c>
      <c r="S224">
        <f>HYPERLINK("https://klasma.github.io/Logging_2283/artfynd/A 53039-2023 artfynd.xlsx", "A 53039-2023")</f>
        <v/>
      </c>
      <c r="T224">
        <f>HYPERLINK("https://klasma.github.io/Logging_2283/kartor/A 53039-2023 karta.png", "A 53039-2023")</f>
        <v/>
      </c>
      <c r="V224">
        <f>HYPERLINK("https://klasma.github.io/Logging_2283/klagomål/A 53039-2023 FSC-klagomål.docx", "A 53039-2023")</f>
        <v/>
      </c>
      <c r="W224">
        <f>HYPERLINK("https://klasma.github.io/Logging_2283/klagomålsmail/A 53039-2023 FSC-klagomål mail.docx", "A 53039-2023")</f>
        <v/>
      </c>
      <c r="X224">
        <f>HYPERLINK("https://klasma.github.io/Logging_2283/tillsyn/A 53039-2023 tillsynsbegäran.docx", "A 53039-2023")</f>
        <v/>
      </c>
      <c r="Y224">
        <f>HYPERLINK("https://klasma.github.io/Logging_2283/tillsynsmail/A 53039-2023 tillsynsbegäran mail.docx", "A 53039-2023")</f>
        <v/>
      </c>
    </row>
    <row r="225" ht="15" customHeight="1">
      <c r="A225" t="inlineStr">
        <is>
          <t>A 53446-2023</t>
        </is>
      </c>
      <c r="B225" s="1" t="n">
        <v>45229</v>
      </c>
      <c r="C225" s="1" t="n">
        <v>45337</v>
      </c>
      <c r="D225" t="inlineStr">
        <is>
          <t>VÄSTERNORRLANDS LÄN</t>
        </is>
      </c>
      <c r="E225" t="inlineStr">
        <is>
          <t>SOLLEFTEÅ</t>
        </is>
      </c>
      <c r="F225" t="inlineStr">
        <is>
          <t>SCA</t>
        </is>
      </c>
      <c r="G225" t="n">
        <v>2.2</v>
      </c>
      <c r="H225" t="n">
        <v>0</v>
      </c>
      <c r="I225" t="n">
        <v>0</v>
      </c>
      <c r="J225" t="n">
        <v>1</v>
      </c>
      <c r="K225" t="n">
        <v>0</v>
      </c>
      <c r="L225" t="n">
        <v>0</v>
      </c>
      <c r="M225" t="n">
        <v>0</v>
      </c>
      <c r="N225" t="n">
        <v>0</v>
      </c>
      <c r="O225" t="n">
        <v>1</v>
      </c>
      <c r="P225" t="n">
        <v>0</v>
      </c>
      <c r="Q225" t="n">
        <v>1</v>
      </c>
      <c r="R225" s="2" t="inlineStr">
        <is>
          <t>Kolflarnlav</t>
        </is>
      </c>
      <c r="S225">
        <f>HYPERLINK("https://klasma.github.io/Logging_2283/artfynd/A 53446-2023 artfynd.xlsx", "A 53446-2023")</f>
        <v/>
      </c>
      <c r="T225">
        <f>HYPERLINK("https://klasma.github.io/Logging_2283/kartor/A 53446-2023 karta.png", "A 53446-2023")</f>
        <v/>
      </c>
      <c r="V225">
        <f>HYPERLINK("https://klasma.github.io/Logging_2283/klagomål/A 53446-2023 FSC-klagomål.docx", "A 53446-2023")</f>
        <v/>
      </c>
      <c r="W225">
        <f>HYPERLINK("https://klasma.github.io/Logging_2283/klagomålsmail/A 53446-2023 FSC-klagomål mail.docx", "A 53446-2023")</f>
        <v/>
      </c>
      <c r="X225">
        <f>HYPERLINK("https://klasma.github.io/Logging_2283/tillsyn/A 53446-2023 tillsynsbegäran.docx", "A 53446-2023")</f>
        <v/>
      </c>
      <c r="Y225">
        <f>HYPERLINK("https://klasma.github.io/Logging_2283/tillsynsmail/A 53446-2023 tillsynsbegäran mail.docx", "A 53446-2023")</f>
        <v/>
      </c>
    </row>
    <row r="226" ht="15" customHeight="1">
      <c r="A226" t="inlineStr">
        <is>
          <t>A 56257-2023</t>
        </is>
      </c>
      <c r="B226" s="1" t="n">
        <v>45240</v>
      </c>
      <c r="C226" s="1" t="n">
        <v>45337</v>
      </c>
      <c r="D226" t="inlineStr">
        <is>
          <t>VÄSTERNORRLANDS LÄN</t>
        </is>
      </c>
      <c r="E226" t="inlineStr">
        <is>
          <t>SOLLEFTEÅ</t>
        </is>
      </c>
      <c r="F226" t="inlineStr">
        <is>
          <t>SCA</t>
        </is>
      </c>
      <c r="G226" t="n">
        <v>2.9</v>
      </c>
      <c r="H226" t="n">
        <v>0</v>
      </c>
      <c r="I226" t="n">
        <v>1</v>
      </c>
      <c r="J226" t="n">
        <v>0</v>
      </c>
      <c r="K226" t="n">
        <v>0</v>
      </c>
      <c r="L226" t="n">
        <v>0</v>
      </c>
      <c r="M226" t="n">
        <v>0</v>
      </c>
      <c r="N226" t="n">
        <v>0</v>
      </c>
      <c r="O226" t="n">
        <v>0</v>
      </c>
      <c r="P226" t="n">
        <v>0</v>
      </c>
      <c r="Q226" t="n">
        <v>1</v>
      </c>
      <c r="R226" s="2" t="inlineStr">
        <is>
          <t>Tibast</t>
        </is>
      </c>
      <c r="S226">
        <f>HYPERLINK("https://klasma.github.io/Logging_2283/artfynd/A 56257-2023 artfynd.xlsx", "A 56257-2023")</f>
        <v/>
      </c>
      <c r="T226">
        <f>HYPERLINK("https://klasma.github.io/Logging_2283/kartor/A 56257-2023 karta.png", "A 56257-2023")</f>
        <v/>
      </c>
      <c r="V226">
        <f>HYPERLINK("https://klasma.github.io/Logging_2283/klagomål/A 56257-2023 FSC-klagomål.docx", "A 56257-2023")</f>
        <v/>
      </c>
      <c r="W226">
        <f>HYPERLINK("https://klasma.github.io/Logging_2283/klagomålsmail/A 56257-2023 FSC-klagomål mail.docx", "A 56257-2023")</f>
        <v/>
      </c>
      <c r="X226">
        <f>HYPERLINK("https://klasma.github.io/Logging_2283/tillsyn/A 56257-2023 tillsynsbegäran.docx", "A 56257-2023")</f>
        <v/>
      </c>
      <c r="Y226">
        <f>HYPERLINK("https://klasma.github.io/Logging_2283/tillsynsmail/A 56257-2023 tillsynsbegäran mail.docx", "A 56257-2023")</f>
        <v/>
      </c>
    </row>
    <row r="227" ht="15" customHeight="1">
      <c r="A227" t="inlineStr">
        <is>
          <t>A 59100-2023</t>
        </is>
      </c>
      <c r="B227" s="1" t="n">
        <v>45252</v>
      </c>
      <c r="C227" s="1" t="n">
        <v>45337</v>
      </c>
      <c r="D227" t="inlineStr">
        <is>
          <t>VÄSTERNORRLANDS LÄN</t>
        </is>
      </c>
      <c r="E227" t="inlineStr">
        <is>
          <t>SOLLEFTEÅ</t>
        </is>
      </c>
      <c r="F227" t="inlineStr">
        <is>
          <t>SCA</t>
        </is>
      </c>
      <c r="G227" t="n">
        <v>4.2</v>
      </c>
      <c r="H227" t="n">
        <v>0</v>
      </c>
      <c r="I227" t="n">
        <v>0</v>
      </c>
      <c r="J227" t="n">
        <v>1</v>
      </c>
      <c r="K227" t="n">
        <v>0</v>
      </c>
      <c r="L227" t="n">
        <v>0</v>
      </c>
      <c r="M227" t="n">
        <v>0</v>
      </c>
      <c r="N227" t="n">
        <v>0</v>
      </c>
      <c r="O227" t="n">
        <v>1</v>
      </c>
      <c r="P227" t="n">
        <v>0</v>
      </c>
      <c r="Q227" t="n">
        <v>1</v>
      </c>
      <c r="R227" s="2" t="inlineStr">
        <is>
          <t>Skrovlig taggsvamp</t>
        </is>
      </c>
      <c r="S227">
        <f>HYPERLINK("https://klasma.github.io/Logging_2283/artfynd/A 59100-2023 artfynd.xlsx", "A 59100-2023")</f>
        <v/>
      </c>
      <c r="T227">
        <f>HYPERLINK("https://klasma.github.io/Logging_2283/kartor/A 59100-2023 karta.png", "A 59100-2023")</f>
        <v/>
      </c>
      <c r="V227">
        <f>HYPERLINK("https://klasma.github.io/Logging_2283/klagomål/A 59100-2023 FSC-klagomål.docx", "A 59100-2023")</f>
        <v/>
      </c>
      <c r="W227">
        <f>HYPERLINK("https://klasma.github.io/Logging_2283/klagomålsmail/A 59100-2023 FSC-klagomål mail.docx", "A 59100-2023")</f>
        <v/>
      </c>
      <c r="X227">
        <f>HYPERLINK("https://klasma.github.io/Logging_2283/tillsyn/A 59100-2023 tillsynsbegäran.docx", "A 59100-2023")</f>
        <v/>
      </c>
      <c r="Y227">
        <f>HYPERLINK("https://klasma.github.io/Logging_2283/tillsynsmail/A 59100-2023 tillsynsbegäran mail.docx", "A 59100-2023")</f>
        <v/>
      </c>
    </row>
    <row r="228" ht="15" customHeight="1">
      <c r="A228" t="inlineStr">
        <is>
          <t>A 386-2024</t>
        </is>
      </c>
      <c r="B228" s="1" t="n">
        <v>45296</v>
      </c>
      <c r="C228" s="1" t="n">
        <v>45337</v>
      </c>
      <c r="D228" t="inlineStr">
        <is>
          <t>VÄSTERNORRLANDS LÄN</t>
        </is>
      </c>
      <c r="E228" t="inlineStr">
        <is>
          <t>SOLLEFTEÅ</t>
        </is>
      </c>
      <c r="G228" t="n">
        <v>3.7</v>
      </c>
      <c r="H228" t="n">
        <v>0</v>
      </c>
      <c r="I228" t="n">
        <v>0</v>
      </c>
      <c r="J228" t="n">
        <v>1</v>
      </c>
      <c r="K228" t="n">
        <v>0</v>
      </c>
      <c r="L228" t="n">
        <v>0</v>
      </c>
      <c r="M228" t="n">
        <v>0</v>
      </c>
      <c r="N228" t="n">
        <v>0</v>
      </c>
      <c r="O228" t="n">
        <v>1</v>
      </c>
      <c r="P228" t="n">
        <v>0</v>
      </c>
      <c r="Q228" t="n">
        <v>1</v>
      </c>
      <c r="R228" s="2" t="inlineStr">
        <is>
          <t>Kolflarnlav</t>
        </is>
      </c>
      <c r="S228">
        <f>HYPERLINK("https://klasma.github.io/Logging_2283/artfynd/A 386-2024 artfynd.xlsx", "A 386-2024")</f>
        <v/>
      </c>
      <c r="T228">
        <f>HYPERLINK("https://klasma.github.io/Logging_2283/kartor/A 386-2024 karta.png", "A 386-2024")</f>
        <v/>
      </c>
      <c r="V228">
        <f>HYPERLINK("https://klasma.github.io/Logging_2283/klagomål/A 386-2024 FSC-klagomål.docx", "A 386-2024")</f>
        <v/>
      </c>
      <c r="W228">
        <f>HYPERLINK("https://klasma.github.io/Logging_2283/klagomålsmail/A 386-2024 FSC-klagomål mail.docx", "A 386-2024")</f>
        <v/>
      </c>
      <c r="X228">
        <f>HYPERLINK("https://klasma.github.io/Logging_2283/tillsyn/A 386-2024 tillsynsbegäran.docx", "A 386-2024")</f>
        <v/>
      </c>
      <c r="Y228">
        <f>HYPERLINK("https://klasma.github.io/Logging_2283/tillsynsmail/A 386-2024 tillsynsbegäran mail.docx", "A 386-2024")</f>
        <v/>
      </c>
    </row>
    <row r="229" ht="15" customHeight="1">
      <c r="A229" t="inlineStr">
        <is>
          <t>A 5033-2024</t>
        </is>
      </c>
      <c r="B229" s="1" t="n">
        <v>45329</v>
      </c>
      <c r="C229" s="1" t="n">
        <v>45337</v>
      </c>
      <c r="D229" t="inlineStr">
        <is>
          <t>VÄSTERNORRLANDS LÄN</t>
        </is>
      </c>
      <c r="E229" t="inlineStr">
        <is>
          <t>SOLLEFTEÅ</t>
        </is>
      </c>
      <c r="F229" t="inlineStr">
        <is>
          <t>Övriga Aktiebolag</t>
        </is>
      </c>
      <c r="G229" t="n">
        <v>3.2</v>
      </c>
      <c r="H229" t="n">
        <v>0</v>
      </c>
      <c r="I229" t="n">
        <v>1</v>
      </c>
      <c r="J229" t="n">
        <v>0</v>
      </c>
      <c r="K229" t="n">
        <v>0</v>
      </c>
      <c r="L229" t="n">
        <v>0</v>
      </c>
      <c r="M229" t="n">
        <v>0</v>
      </c>
      <c r="N229" t="n">
        <v>0</v>
      </c>
      <c r="O229" t="n">
        <v>0</v>
      </c>
      <c r="P229" t="n">
        <v>0</v>
      </c>
      <c r="Q229" t="n">
        <v>1</v>
      </c>
      <c r="R229" s="2" t="inlineStr">
        <is>
          <t>Kransrams</t>
        </is>
      </c>
      <c r="S229">
        <f>HYPERLINK("https://klasma.github.io/Logging_2283/artfynd/A 5033-2024 artfynd.xlsx", "A 5033-2024")</f>
        <v/>
      </c>
      <c r="T229">
        <f>HYPERLINK("https://klasma.github.io/Logging_2283/kartor/A 5033-2024 karta.png", "A 5033-2024")</f>
        <v/>
      </c>
      <c r="V229">
        <f>HYPERLINK("https://klasma.github.io/Logging_2283/klagomål/A 5033-2024 FSC-klagomål.docx", "A 5033-2024")</f>
        <v/>
      </c>
      <c r="W229">
        <f>HYPERLINK("https://klasma.github.io/Logging_2283/klagomålsmail/A 5033-2024 FSC-klagomål mail.docx", "A 5033-2024")</f>
        <v/>
      </c>
      <c r="X229">
        <f>HYPERLINK("https://klasma.github.io/Logging_2283/tillsyn/A 5033-2024 tillsynsbegäran.docx", "A 5033-2024")</f>
        <v/>
      </c>
      <c r="Y229">
        <f>HYPERLINK("https://klasma.github.io/Logging_2283/tillsynsmail/A 5033-2024 tillsynsbegäran mail.docx", "A 5033-2024")</f>
        <v/>
      </c>
    </row>
    <row r="230" ht="15" customHeight="1">
      <c r="A230" t="inlineStr">
        <is>
          <t>A 33896-2018</t>
        </is>
      </c>
      <c r="B230" s="1" t="n">
        <v>43314</v>
      </c>
      <c r="C230" s="1" t="n">
        <v>45337</v>
      </c>
      <c r="D230" t="inlineStr">
        <is>
          <t>VÄSTERNORRLANDS LÄN</t>
        </is>
      </c>
      <c r="E230" t="inlineStr">
        <is>
          <t>SOLLEFTEÅ</t>
        </is>
      </c>
      <c r="G230" t="n">
        <v>0.5</v>
      </c>
      <c r="H230" t="n">
        <v>0</v>
      </c>
      <c r="I230" t="n">
        <v>0</v>
      </c>
      <c r="J230" t="n">
        <v>0</v>
      </c>
      <c r="K230" t="n">
        <v>0</v>
      </c>
      <c r="L230" t="n">
        <v>0</v>
      </c>
      <c r="M230" t="n">
        <v>0</v>
      </c>
      <c r="N230" t="n">
        <v>0</v>
      </c>
      <c r="O230" t="n">
        <v>0</v>
      </c>
      <c r="P230" t="n">
        <v>0</v>
      </c>
      <c r="Q230" t="n">
        <v>0</v>
      </c>
      <c r="R230" s="2" t="inlineStr"/>
    </row>
    <row r="231" ht="15" customHeight="1">
      <c r="A231" t="inlineStr">
        <is>
          <t>A 34267-2018</t>
        </is>
      </c>
      <c r="B231" s="1" t="n">
        <v>43318</v>
      </c>
      <c r="C231" s="1" t="n">
        <v>45337</v>
      </c>
      <c r="D231" t="inlineStr">
        <is>
          <t>VÄSTERNORRLANDS LÄN</t>
        </is>
      </c>
      <c r="E231" t="inlineStr">
        <is>
          <t>SOLLEFTEÅ</t>
        </is>
      </c>
      <c r="G231" t="n">
        <v>5.3</v>
      </c>
      <c r="H231" t="n">
        <v>0</v>
      </c>
      <c r="I231" t="n">
        <v>0</v>
      </c>
      <c r="J231" t="n">
        <v>0</v>
      </c>
      <c r="K231" t="n">
        <v>0</v>
      </c>
      <c r="L231" t="n">
        <v>0</v>
      </c>
      <c r="M231" t="n">
        <v>0</v>
      </c>
      <c r="N231" t="n">
        <v>0</v>
      </c>
      <c r="O231" t="n">
        <v>0</v>
      </c>
      <c r="P231" t="n">
        <v>0</v>
      </c>
      <c r="Q231" t="n">
        <v>0</v>
      </c>
      <c r="R231" s="2" t="inlineStr"/>
    </row>
    <row r="232" ht="15" customHeight="1">
      <c r="A232" t="inlineStr">
        <is>
          <t>A 36973-2018</t>
        </is>
      </c>
      <c r="B232" s="1" t="n">
        <v>43332</v>
      </c>
      <c r="C232" s="1" t="n">
        <v>45337</v>
      </c>
      <c r="D232" t="inlineStr">
        <is>
          <t>VÄSTERNORRLANDS LÄN</t>
        </is>
      </c>
      <c r="E232" t="inlineStr">
        <is>
          <t>SOLLEFTEÅ</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37589-2018</t>
        </is>
      </c>
      <c r="B233" s="1" t="n">
        <v>43334</v>
      </c>
      <c r="C233" s="1" t="n">
        <v>45337</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37875-2018</t>
        </is>
      </c>
      <c r="B234" s="1" t="n">
        <v>43335</v>
      </c>
      <c r="C234" s="1" t="n">
        <v>45337</v>
      </c>
      <c r="D234" t="inlineStr">
        <is>
          <t>VÄSTERNORRLANDS LÄN</t>
        </is>
      </c>
      <c r="E234" t="inlineStr">
        <is>
          <t>SOLLEFTEÅ</t>
        </is>
      </c>
      <c r="G234" t="n">
        <v>4.9</v>
      </c>
      <c r="H234" t="n">
        <v>0</v>
      </c>
      <c r="I234" t="n">
        <v>0</v>
      </c>
      <c r="J234" t="n">
        <v>0</v>
      </c>
      <c r="K234" t="n">
        <v>0</v>
      </c>
      <c r="L234" t="n">
        <v>0</v>
      </c>
      <c r="M234" t="n">
        <v>0</v>
      </c>
      <c r="N234" t="n">
        <v>0</v>
      </c>
      <c r="O234" t="n">
        <v>0</v>
      </c>
      <c r="P234" t="n">
        <v>0</v>
      </c>
      <c r="Q234" t="n">
        <v>0</v>
      </c>
      <c r="R234" s="2" t="inlineStr"/>
    </row>
    <row r="235" ht="15" customHeight="1">
      <c r="A235" t="inlineStr">
        <is>
          <t>A 40310-2018</t>
        </is>
      </c>
      <c r="B235" s="1" t="n">
        <v>43343</v>
      </c>
      <c r="C235" s="1" t="n">
        <v>45337</v>
      </c>
      <c r="D235" t="inlineStr">
        <is>
          <t>VÄSTERNORRLANDS LÄN</t>
        </is>
      </c>
      <c r="E235" t="inlineStr">
        <is>
          <t>SOLLEFTEÅ</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40433-2018</t>
        </is>
      </c>
      <c r="B236" s="1" t="n">
        <v>43346</v>
      </c>
      <c r="C236" s="1" t="n">
        <v>45337</v>
      </c>
      <c r="D236" t="inlineStr">
        <is>
          <t>VÄSTERNORRLANDS LÄN</t>
        </is>
      </c>
      <c r="E236" t="inlineStr">
        <is>
          <t>SOLLEFTEÅ</t>
        </is>
      </c>
      <c r="G236" t="n">
        <v>4.1</v>
      </c>
      <c r="H236" t="n">
        <v>0</v>
      </c>
      <c r="I236" t="n">
        <v>0</v>
      </c>
      <c r="J236" t="n">
        <v>0</v>
      </c>
      <c r="K236" t="n">
        <v>0</v>
      </c>
      <c r="L236" t="n">
        <v>0</v>
      </c>
      <c r="M236" t="n">
        <v>0</v>
      </c>
      <c r="N236" t="n">
        <v>0</v>
      </c>
      <c r="O236" t="n">
        <v>0</v>
      </c>
      <c r="P236" t="n">
        <v>0</v>
      </c>
      <c r="Q236" t="n">
        <v>0</v>
      </c>
      <c r="R236" s="2" t="inlineStr"/>
    </row>
    <row r="237" ht="15" customHeight="1">
      <c r="A237" t="inlineStr">
        <is>
          <t>A 40683-2018</t>
        </is>
      </c>
      <c r="B237" s="1" t="n">
        <v>43346</v>
      </c>
      <c r="C237" s="1" t="n">
        <v>45337</v>
      </c>
      <c r="D237" t="inlineStr">
        <is>
          <t>VÄSTERNORRLANDS LÄN</t>
        </is>
      </c>
      <c r="E237" t="inlineStr">
        <is>
          <t>SOLLEFTEÅ</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41185-2018</t>
        </is>
      </c>
      <c r="B238" s="1" t="n">
        <v>43346</v>
      </c>
      <c r="C238" s="1" t="n">
        <v>45337</v>
      </c>
      <c r="D238" t="inlineStr">
        <is>
          <t>VÄSTERNORRLANDS LÄN</t>
        </is>
      </c>
      <c r="E238" t="inlineStr">
        <is>
          <t>SOLLEFTEÅ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41661-2018</t>
        </is>
      </c>
      <c r="B239" s="1" t="n">
        <v>43349</v>
      </c>
      <c r="C239" s="1" t="n">
        <v>45337</v>
      </c>
      <c r="D239" t="inlineStr">
        <is>
          <t>VÄSTERNORRLANDS LÄN</t>
        </is>
      </c>
      <c r="E239" t="inlineStr">
        <is>
          <t>SOLLEFTEÅ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43215-2018</t>
        </is>
      </c>
      <c r="B240" s="1" t="n">
        <v>43353</v>
      </c>
      <c r="C240" s="1" t="n">
        <v>45337</v>
      </c>
      <c r="D240" t="inlineStr">
        <is>
          <t>VÄSTERNORRLANDS LÄN</t>
        </is>
      </c>
      <c r="E240" t="inlineStr">
        <is>
          <t>SOLLEFTEÅ</t>
        </is>
      </c>
      <c r="G240" t="n">
        <v>16</v>
      </c>
      <c r="H240" t="n">
        <v>0</v>
      </c>
      <c r="I240" t="n">
        <v>0</v>
      </c>
      <c r="J240" t="n">
        <v>0</v>
      </c>
      <c r="K240" t="n">
        <v>0</v>
      </c>
      <c r="L240" t="n">
        <v>0</v>
      </c>
      <c r="M240" t="n">
        <v>0</v>
      </c>
      <c r="N240" t="n">
        <v>0</v>
      </c>
      <c r="O240" t="n">
        <v>0</v>
      </c>
      <c r="P240" t="n">
        <v>0</v>
      </c>
      <c r="Q240" t="n">
        <v>0</v>
      </c>
      <c r="R240" s="2" t="inlineStr"/>
    </row>
    <row r="241" ht="15" customHeight="1">
      <c r="A241" t="inlineStr">
        <is>
          <t>A 45786-2018</t>
        </is>
      </c>
      <c r="B241" s="1" t="n">
        <v>43362</v>
      </c>
      <c r="C241" s="1" t="n">
        <v>45337</v>
      </c>
      <c r="D241" t="inlineStr">
        <is>
          <t>VÄSTERNORRLANDS LÄN</t>
        </is>
      </c>
      <c r="E241" t="inlineStr">
        <is>
          <t>SOLLEFTEÅ</t>
        </is>
      </c>
      <c r="G241" t="n">
        <v>6.1</v>
      </c>
      <c r="H241" t="n">
        <v>0</v>
      </c>
      <c r="I241" t="n">
        <v>0</v>
      </c>
      <c r="J241" t="n">
        <v>0</v>
      </c>
      <c r="K241" t="n">
        <v>0</v>
      </c>
      <c r="L241" t="n">
        <v>0</v>
      </c>
      <c r="M241" t="n">
        <v>0</v>
      </c>
      <c r="N241" t="n">
        <v>0</v>
      </c>
      <c r="O241" t="n">
        <v>0</v>
      </c>
      <c r="P241" t="n">
        <v>0</v>
      </c>
      <c r="Q241" t="n">
        <v>0</v>
      </c>
      <c r="R241" s="2" t="inlineStr"/>
    </row>
    <row r="242" ht="15" customHeight="1">
      <c r="A242" t="inlineStr">
        <is>
          <t>A 50423-2018</t>
        </is>
      </c>
      <c r="B242" s="1" t="n">
        <v>43378</v>
      </c>
      <c r="C242" s="1" t="n">
        <v>45337</v>
      </c>
      <c r="D242" t="inlineStr">
        <is>
          <t>VÄSTERNORRLANDS LÄN</t>
        </is>
      </c>
      <c r="E242" t="inlineStr">
        <is>
          <t>SOLLEFTEÅ</t>
        </is>
      </c>
      <c r="F242" t="inlineStr">
        <is>
          <t>SCA</t>
        </is>
      </c>
      <c r="G242" t="n">
        <v>6.4</v>
      </c>
      <c r="H242" t="n">
        <v>0</v>
      </c>
      <c r="I242" t="n">
        <v>0</v>
      </c>
      <c r="J242" t="n">
        <v>0</v>
      </c>
      <c r="K242" t="n">
        <v>0</v>
      </c>
      <c r="L242" t="n">
        <v>0</v>
      </c>
      <c r="M242" t="n">
        <v>0</v>
      </c>
      <c r="N242" t="n">
        <v>0</v>
      </c>
      <c r="O242" t="n">
        <v>0</v>
      </c>
      <c r="P242" t="n">
        <v>0</v>
      </c>
      <c r="Q242" t="n">
        <v>0</v>
      </c>
      <c r="R242" s="2" t="inlineStr"/>
    </row>
    <row r="243" ht="15" customHeight="1">
      <c r="A243" t="inlineStr">
        <is>
          <t>A 50996-2018</t>
        </is>
      </c>
      <c r="B243" s="1" t="n">
        <v>43378</v>
      </c>
      <c r="C243" s="1" t="n">
        <v>45337</v>
      </c>
      <c r="D243" t="inlineStr">
        <is>
          <t>VÄSTERNORRLANDS LÄN</t>
        </is>
      </c>
      <c r="E243" t="inlineStr">
        <is>
          <t>SOLLEFTEÅ</t>
        </is>
      </c>
      <c r="G243" t="n">
        <v>2.5</v>
      </c>
      <c r="H243" t="n">
        <v>0</v>
      </c>
      <c r="I243" t="n">
        <v>0</v>
      </c>
      <c r="J243" t="n">
        <v>0</v>
      </c>
      <c r="K243" t="n">
        <v>0</v>
      </c>
      <c r="L243" t="n">
        <v>0</v>
      </c>
      <c r="M243" t="n">
        <v>0</v>
      </c>
      <c r="N243" t="n">
        <v>0</v>
      </c>
      <c r="O243" t="n">
        <v>0</v>
      </c>
      <c r="P243" t="n">
        <v>0</v>
      </c>
      <c r="Q243" t="n">
        <v>0</v>
      </c>
      <c r="R243" s="2" t="inlineStr"/>
    </row>
    <row r="244" ht="15" customHeight="1">
      <c r="A244" t="inlineStr">
        <is>
          <t>A 52458-2018</t>
        </is>
      </c>
      <c r="B244" s="1" t="n">
        <v>43383</v>
      </c>
      <c r="C244" s="1" t="n">
        <v>45337</v>
      </c>
      <c r="D244" t="inlineStr">
        <is>
          <t>VÄSTERNORRLANDS LÄN</t>
        </is>
      </c>
      <c r="E244" t="inlineStr">
        <is>
          <t>SOLLEFTEÅ</t>
        </is>
      </c>
      <c r="G244" t="n">
        <v>7.6</v>
      </c>
      <c r="H244" t="n">
        <v>0</v>
      </c>
      <c r="I244" t="n">
        <v>0</v>
      </c>
      <c r="J244" t="n">
        <v>0</v>
      </c>
      <c r="K244" t="n">
        <v>0</v>
      </c>
      <c r="L244" t="n">
        <v>0</v>
      </c>
      <c r="M244" t="n">
        <v>0</v>
      </c>
      <c r="N244" t="n">
        <v>0</v>
      </c>
      <c r="O244" t="n">
        <v>0</v>
      </c>
      <c r="P244" t="n">
        <v>0</v>
      </c>
      <c r="Q244" t="n">
        <v>0</v>
      </c>
      <c r="R244" s="2" t="inlineStr"/>
    </row>
    <row r="245" ht="15" customHeight="1">
      <c r="A245" t="inlineStr">
        <is>
          <t>A 52745-2018</t>
        </is>
      </c>
      <c r="B245" s="1" t="n">
        <v>43384</v>
      </c>
      <c r="C245" s="1" t="n">
        <v>45337</v>
      </c>
      <c r="D245" t="inlineStr">
        <is>
          <t>VÄSTERNORRLANDS LÄN</t>
        </is>
      </c>
      <c r="E245" t="inlineStr">
        <is>
          <t>SOLLEFTEÅ</t>
        </is>
      </c>
      <c r="G245" t="n">
        <v>4.7</v>
      </c>
      <c r="H245" t="n">
        <v>0</v>
      </c>
      <c r="I245" t="n">
        <v>0</v>
      </c>
      <c r="J245" t="n">
        <v>0</v>
      </c>
      <c r="K245" t="n">
        <v>0</v>
      </c>
      <c r="L245" t="n">
        <v>0</v>
      </c>
      <c r="M245" t="n">
        <v>0</v>
      </c>
      <c r="N245" t="n">
        <v>0</v>
      </c>
      <c r="O245" t="n">
        <v>0</v>
      </c>
      <c r="P245" t="n">
        <v>0</v>
      </c>
      <c r="Q245" t="n">
        <v>0</v>
      </c>
      <c r="R245" s="2" t="inlineStr"/>
    </row>
    <row r="246" ht="15" customHeight="1">
      <c r="A246" t="inlineStr">
        <is>
          <t>A 53595-2018</t>
        </is>
      </c>
      <c r="B246" s="1" t="n">
        <v>43388</v>
      </c>
      <c r="C246" s="1" t="n">
        <v>45337</v>
      </c>
      <c r="D246" t="inlineStr">
        <is>
          <t>VÄSTERNORRLANDS LÄN</t>
        </is>
      </c>
      <c r="E246" t="inlineStr">
        <is>
          <t>SOLLEFTEÅ</t>
        </is>
      </c>
      <c r="G246" t="n">
        <v>4.5</v>
      </c>
      <c r="H246" t="n">
        <v>0</v>
      </c>
      <c r="I246" t="n">
        <v>0</v>
      </c>
      <c r="J246" t="n">
        <v>0</v>
      </c>
      <c r="K246" t="n">
        <v>0</v>
      </c>
      <c r="L246" t="n">
        <v>0</v>
      </c>
      <c r="M246" t="n">
        <v>0</v>
      </c>
      <c r="N246" t="n">
        <v>0</v>
      </c>
      <c r="O246" t="n">
        <v>0</v>
      </c>
      <c r="P246" t="n">
        <v>0</v>
      </c>
      <c r="Q246" t="n">
        <v>0</v>
      </c>
      <c r="R246" s="2" t="inlineStr"/>
    </row>
    <row r="247" ht="15" customHeight="1">
      <c r="A247" t="inlineStr">
        <is>
          <t>A 54076-2018</t>
        </is>
      </c>
      <c r="B247" s="1" t="n">
        <v>43388</v>
      </c>
      <c r="C247" s="1" t="n">
        <v>45337</v>
      </c>
      <c r="D247" t="inlineStr">
        <is>
          <t>VÄSTERNORRLANDS LÄN</t>
        </is>
      </c>
      <c r="E247" t="inlineStr">
        <is>
          <t>SOLLEFTEÅ</t>
        </is>
      </c>
      <c r="G247" t="n">
        <v>1.1</v>
      </c>
      <c r="H247" t="n">
        <v>0</v>
      </c>
      <c r="I247" t="n">
        <v>0</v>
      </c>
      <c r="J247" t="n">
        <v>0</v>
      </c>
      <c r="K247" t="n">
        <v>0</v>
      </c>
      <c r="L247" t="n">
        <v>0</v>
      </c>
      <c r="M247" t="n">
        <v>0</v>
      </c>
      <c r="N247" t="n">
        <v>0</v>
      </c>
      <c r="O247" t="n">
        <v>0</v>
      </c>
      <c r="P247" t="n">
        <v>0</v>
      </c>
      <c r="Q247" t="n">
        <v>0</v>
      </c>
      <c r="R247" s="2" t="inlineStr"/>
    </row>
    <row r="248" ht="15" customHeight="1">
      <c r="A248" t="inlineStr">
        <is>
          <t>A 56189-2018</t>
        </is>
      </c>
      <c r="B248" s="1" t="n">
        <v>43389</v>
      </c>
      <c r="C248" s="1" t="n">
        <v>45337</v>
      </c>
      <c r="D248" t="inlineStr">
        <is>
          <t>VÄSTERNORRLANDS LÄN</t>
        </is>
      </c>
      <c r="E248" t="inlineStr">
        <is>
          <t>SOLLEFTEÅ</t>
        </is>
      </c>
      <c r="G248" t="n">
        <v>1.2</v>
      </c>
      <c r="H248" t="n">
        <v>0</v>
      </c>
      <c r="I248" t="n">
        <v>0</v>
      </c>
      <c r="J248" t="n">
        <v>0</v>
      </c>
      <c r="K248" t="n">
        <v>0</v>
      </c>
      <c r="L248" t="n">
        <v>0</v>
      </c>
      <c r="M248" t="n">
        <v>0</v>
      </c>
      <c r="N248" t="n">
        <v>0</v>
      </c>
      <c r="O248" t="n">
        <v>0</v>
      </c>
      <c r="P248" t="n">
        <v>0</v>
      </c>
      <c r="Q248" t="n">
        <v>0</v>
      </c>
      <c r="R248" s="2" t="inlineStr"/>
    </row>
    <row r="249" ht="15" customHeight="1">
      <c r="A249" t="inlineStr">
        <is>
          <t>A 54667-2018</t>
        </is>
      </c>
      <c r="B249" s="1" t="n">
        <v>43389</v>
      </c>
      <c r="C249" s="1" t="n">
        <v>45337</v>
      </c>
      <c r="D249" t="inlineStr">
        <is>
          <t>VÄSTERNORRLANDS LÄN</t>
        </is>
      </c>
      <c r="E249" t="inlineStr">
        <is>
          <t>SOLLEFTEÅ</t>
        </is>
      </c>
      <c r="G249" t="n">
        <v>1.8</v>
      </c>
      <c r="H249" t="n">
        <v>0</v>
      </c>
      <c r="I249" t="n">
        <v>0</v>
      </c>
      <c r="J249" t="n">
        <v>0</v>
      </c>
      <c r="K249" t="n">
        <v>0</v>
      </c>
      <c r="L249" t="n">
        <v>0</v>
      </c>
      <c r="M249" t="n">
        <v>0</v>
      </c>
      <c r="N249" t="n">
        <v>0</v>
      </c>
      <c r="O249" t="n">
        <v>0</v>
      </c>
      <c r="P249" t="n">
        <v>0</v>
      </c>
      <c r="Q249" t="n">
        <v>0</v>
      </c>
      <c r="R249" s="2" t="inlineStr"/>
    </row>
    <row r="250" ht="15" customHeight="1">
      <c r="A250" t="inlineStr">
        <is>
          <t>A 53746-2018</t>
        </is>
      </c>
      <c r="B250" s="1" t="n">
        <v>43391</v>
      </c>
      <c r="C250" s="1" t="n">
        <v>45337</v>
      </c>
      <c r="D250" t="inlineStr">
        <is>
          <t>VÄSTERNORRLANDS LÄN</t>
        </is>
      </c>
      <c r="E250" t="inlineStr">
        <is>
          <t>SOLLEFTEÅ</t>
        </is>
      </c>
      <c r="G250" t="n">
        <v>1</v>
      </c>
      <c r="H250" t="n">
        <v>0</v>
      </c>
      <c r="I250" t="n">
        <v>0</v>
      </c>
      <c r="J250" t="n">
        <v>0</v>
      </c>
      <c r="K250" t="n">
        <v>0</v>
      </c>
      <c r="L250" t="n">
        <v>0</v>
      </c>
      <c r="M250" t="n">
        <v>0</v>
      </c>
      <c r="N250" t="n">
        <v>0</v>
      </c>
      <c r="O250" t="n">
        <v>0</v>
      </c>
      <c r="P250" t="n">
        <v>0</v>
      </c>
      <c r="Q250" t="n">
        <v>0</v>
      </c>
      <c r="R250" s="2" t="inlineStr"/>
    </row>
    <row r="251" ht="15" customHeight="1">
      <c r="A251" t="inlineStr">
        <is>
          <t>A 54226-2018</t>
        </is>
      </c>
      <c r="B251" s="1" t="n">
        <v>43392</v>
      </c>
      <c r="C251" s="1" t="n">
        <v>45337</v>
      </c>
      <c r="D251" t="inlineStr">
        <is>
          <t>VÄSTERNORRLANDS LÄN</t>
        </is>
      </c>
      <c r="E251" t="inlineStr">
        <is>
          <t>SOLLEFTEÅ</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55996-2018</t>
        </is>
      </c>
      <c r="B252" s="1" t="n">
        <v>43392</v>
      </c>
      <c r="C252" s="1" t="n">
        <v>45337</v>
      </c>
      <c r="D252" t="inlineStr">
        <is>
          <t>VÄSTERNORRLANDS LÄN</t>
        </is>
      </c>
      <c r="E252" t="inlineStr">
        <is>
          <t>SOLLEFTEÅ</t>
        </is>
      </c>
      <c r="G252" t="n">
        <v>2</v>
      </c>
      <c r="H252" t="n">
        <v>0</v>
      </c>
      <c r="I252" t="n">
        <v>0</v>
      </c>
      <c r="J252" t="n">
        <v>0</v>
      </c>
      <c r="K252" t="n">
        <v>0</v>
      </c>
      <c r="L252" t="n">
        <v>0</v>
      </c>
      <c r="M252" t="n">
        <v>0</v>
      </c>
      <c r="N252" t="n">
        <v>0</v>
      </c>
      <c r="O252" t="n">
        <v>0</v>
      </c>
      <c r="P252" t="n">
        <v>0</v>
      </c>
      <c r="Q252" t="n">
        <v>0</v>
      </c>
      <c r="R252" s="2" t="inlineStr"/>
    </row>
    <row r="253" ht="15" customHeight="1">
      <c r="A253" t="inlineStr">
        <is>
          <t>A 56610-2018</t>
        </is>
      </c>
      <c r="B253" s="1" t="n">
        <v>43395</v>
      </c>
      <c r="C253" s="1" t="n">
        <v>45337</v>
      </c>
      <c r="D253" t="inlineStr">
        <is>
          <t>VÄSTERNORRLANDS LÄN</t>
        </is>
      </c>
      <c r="E253" t="inlineStr">
        <is>
          <t>SOLLEFTEÅ</t>
        </is>
      </c>
      <c r="G253" t="n">
        <v>0.5</v>
      </c>
      <c r="H253" t="n">
        <v>0</v>
      </c>
      <c r="I253" t="n">
        <v>0</v>
      </c>
      <c r="J253" t="n">
        <v>0</v>
      </c>
      <c r="K253" t="n">
        <v>0</v>
      </c>
      <c r="L253" t="n">
        <v>0</v>
      </c>
      <c r="M253" t="n">
        <v>0</v>
      </c>
      <c r="N253" t="n">
        <v>0</v>
      </c>
      <c r="O253" t="n">
        <v>0</v>
      </c>
      <c r="P253" t="n">
        <v>0</v>
      </c>
      <c r="Q253" t="n">
        <v>0</v>
      </c>
      <c r="R253" s="2" t="inlineStr"/>
    </row>
    <row r="254" ht="15" customHeight="1">
      <c r="A254" t="inlineStr">
        <is>
          <t>A 56666-2018</t>
        </is>
      </c>
      <c r="B254" s="1" t="n">
        <v>43395</v>
      </c>
      <c r="C254" s="1" t="n">
        <v>45337</v>
      </c>
      <c r="D254" t="inlineStr">
        <is>
          <t>VÄSTERNORRLANDS LÄN</t>
        </is>
      </c>
      <c r="E254" t="inlineStr">
        <is>
          <t>SOLLEFTEÅ</t>
        </is>
      </c>
      <c r="G254" t="n">
        <v>6</v>
      </c>
      <c r="H254" t="n">
        <v>0</v>
      </c>
      <c r="I254" t="n">
        <v>0</v>
      </c>
      <c r="J254" t="n">
        <v>0</v>
      </c>
      <c r="K254" t="n">
        <v>0</v>
      </c>
      <c r="L254" t="n">
        <v>0</v>
      </c>
      <c r="M254" t="n">
        <v>0</v>
      </c>
      <c r="N254" t="n">
        <v>0</v>
      </c>
      <c r="O254" t="n">
        <v>0</v>
      </c>
      <c r="P254" t="n">
        <v>0</v>
      </c>
      <c r="Q254" t="n">
        <v>0</v>
      </c>
      <c r="R254" s="2" t="inlineStr"/>
    </row>
    <row r="255" ht="15" customHeight="1">
      <c r="A255" t="inlineStr">
        <is>
          <t>A 56629-2018</t>
        </is>
      </c>
      <c r="B255" s="1" t="n">
        <v>43395</v>
      </c>
      <c r="C255" s="1" t="n">
        <v>45337</v>
      </c>
      <c r="D255" t="inlineStr">
        <is>
          <t>VÄSTERNORRLANDS LÄN</t>
        </is>
      </c>
      <c r="E255" t="inlineStr">
        <is>
          <t>SOLLEFTEÅ</t>
        </is>
      </c>
      <c r="G255" t="n">
        <v>10.6</v>
      </c>
      <c r="H255" t="n">
        <v>0</v>
      </c>
      <c r="I255" t="n">
        <v>0</v>
      </c>
      <c r="J255" t="n">
        <v>0</v>
      </c>
      <c r="K255" t="n">
        <v>0</v>
      </c>
      <c r="L255" t="n">
        <v>0</v>
      </c>
      <c r="M255" t="n">
        <v>0</v>
      </c>
      <c r="N255" t="n">
        <v>0</v>
      </c>
      <c r="O255" t="n">
        <v>0</v>
      </c>
      <c r="P255" t="n">
        <v>0</v>
      </c>
      <c r="Q255" t="n">
        <v>0</v>
      </c>
      <c r="R255" s="2" t="inlineStr"/>
    </row>
    <row r="256" ht="15" customHeight="1">
      <c r="A256" t="inlineStr">
        <is>
          <t>A 56139-2018</t>
        </is>
      </c>
      <c r="B256" s="1" t="n">
        <v>43398</v>
      </c>
      <c r="C256" s="1" t="n">
        <v>45337</v>
      </c>
      <c r="D256" t="inlineStr">
        <is>
          <t>VÄSTERNORRLANDS LÄN</t>
        </is>
      </c>
      <c r="E256" t="inlineStr">
        <is>
          <t>SOLLEFTEÅ</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58020-2018</t>
        </is>
      </c>
      <c r="B257" s="1" t="n">
        <v>43398</v>
      </c>
      <c r="C257" s="1" t="n">
        <v>45337</v>
      </c>
      <c r="D257" t="inlineStr">
        <is>
          <t>VÄSTERNORRLANDS LÄN</t>
        </is>
      </c>
      <c r="E257" t="inlineStr">
        <is>
          <t>SOLLEFTEÅ</t>
        </is>
      </c>
      <c r="G257" t="n">
        <v>6.5</v>
      </c>
      <c r="H257" t="n">
        <v>0</v>
      </c>
      <c r="I257" t="n">
        <v>0</v>
      </c>
      <c r="J257" t="n">
        <v>0</v>
      </c>
      <c r="K257" t="n">
        <v>0</v>
      </c>
      <c r="L257" t="n">
        <v>0</v>
      </c>
      <c r="M257" t="n">
        <v>0</v>
      </c>
      <c r="N257" t="n">
        <v>0</v>
      </c>
      <c r="O257" t="n">
        <v>0</v>
      </c>
      <c r="P257" t="n">
        <v>0</v>
      </c>
      <c r="Q257" t="n">
        <v>0</v>
      </c>
      <c r="R257" s="2" t="inlineStr"/>
    </row>
    <row r="258" ht="15" customHeight="1">
      <c r="A258" t="inlineStr">
        <is>
          <t>A 58397-2018</t>
        </is>
      </c>
      <c r="B258" s="1" t="n">
        <v>43399</v>
      </c>
      <c r="C258" s="1" t="n">
        <v>45337</v>
      </c>
      <c r="D258" t="inlineStr">
        <is>
          <t>VÄSTERNORRLANDS LÄN</t>
        </is>
      </c>
      <c r="E258" t="inlineStr">
        <is>
          <t>SOLLEFTEÅ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56500-2018</t>
        </is>
      </c>
      <c r="B259" s="1" t="n">
        <v>43399</v>
      </c>
      <c r="C259" s="1" t="n">
        <v>45337</v>
      </c>
      <c r="D259" t="inlineStr">
        <is>
          <t>VÄSTERNORRLANDS LÄN</t>
        </is>
      </c>
      <c r="E259" t="inlineStr">
        <is>
          <t>SOLLEFTEÅ</t>
        </is>
      </c>
      <c r="F259" t="inlineStr">
        <is>
          <t>SCA</t>
        </is>
      </c>
      <c r="G259" t="n">
        <v>6.7</v>
      </c>
      <c r="H259" t="n">
        <v>0</v>
      </c>
      <c r="I259" t="n">
        <v>0</v>
      </c>
      <c r="J259" t="n">
        <v>0</v>
      </c>
      <c r="K259" t="n">
        <v>0</v>
      </c>
      <c r="L259" t="n">
        <v>0</v>
      </c>
      <c r="M259" t="n">
        <v>0</v>
      </c>
      <c r="N259" t="n">
        <v>0</v>
      </c>
      <c r="O259" t="n">
        <v>0</v>
      </c>
      <c r="P259" t="n">
        <v>0</v>
      </c>
      <c r="Q259" t="n">
        <v>0</v>
      </c>
      <c r="R259" s="2" t="inlineStr"/>
    </row>
    <row r="260" ht="15" customHeight="1">
      <c r="A260" t="inlineStr">
        <is>
          <t>A 59371-2018</t>
        </is>
      </c>
      <c r="B260" s="1" t="n">
        <v>43404</v>
      </c>
      <c r="C260" s="1" t="n">
        <v>45337</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57954-2018</t>
        </is>
      </c>
      <c r="B261" s="1" t="n">
        <v>43405</v>
      </c>
      <c r="C261" s="1" t="n">
        <v>45337</v>
      </c>
      <c r="D261" t="inlineStr">
        <is>
          <t>VÄSTERNORRLANDS LÄN</t>
        </is>
      </c>
      <c r="E261" t="inlineStr">
        <is>
          <t>SOLLEFTEÅ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57747-2018</t>
        </is>
      </c>
      <c r="B262" s="1" t="n">
        <v>43405</v>
      </c>
      <c r="C262" s="1" t="n">
        <v>45337</v>
      </c>
      <c r="D262" t="inlineStr">
        <is>
          <t>VÄSTERNORRLANDS LÄN</t>
        </is>
      </c>
      <c r="E262" t="inlineStr">
        <is>
          <t>SOLLEFTEÅ</t>
        </is>
      </c>
      <c r="G262" t="n">
        <v>2.4</v>
      </c>
      <c r="H262" t="n">
        <v>0</v>
      </c>
      <c r="I262" t="n">
        <v>0</v>
      </c>
      <c r="J262" t="n">
        <v>0</v>
      </c>
      <c r="K262" t="n">
        <v>0</v>
      </c>
      <c r="L262" t="n">
        <v>0</v>
      </c>
      <c r="M262" t="n">
        <v>0</v>
      </c>
      <c r="N262" t="n">
        <v>0</v>
      </c>
      <c r="O262" t="n">
        <v>0</v>
      </c>
      <c r="P262" t="n">
        <v>0</v>
      </c>
      <c r="Q262" t="n">
        <v>0</v>
      </c>
      <c r="R262" s="2" t="inlineStr"/>
    </row>
    <row r="263" ht="15" customHeight="1">
      <c r="A263" t="inlineStr">
        <is>
          <t>A 57956-2018</t>
        </is>
      </c>
      <c r="B263" s="1" t="n">
        <v>43405</v>
      </c>
      <c r="C263" s="1" t="n">
        <v>45337</v>
      </c>
      <c r="D263" t="inlineStr">
        <is>
          <t>VÄSTERNORRLANDS LÄN</t>
        </is>
      </c>
      <c r="E263" t="inlineStr">
        <is>
          <t>SOLLEFTEÅ</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60057-2018</t>
        </is>
      </c>
      <c r="B264" s="1" t="n">
        <v>43412</v>
      </c>
      <c r="C264" s="1" t="n">
        <v>45337</v>
      </c>
      <c r="D264" t="inlineStr">
        <is>
          <t>VÄSTERNORRLANDS LÄN</t>
        </is>
      </c>
      <c r="E264" t="inlineStr">
        <is>
          <t>SOLLEFTEÅ</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60206-2018</t>
        </is>
      </c>
      <c r="B265" s="1" t="n">
        <v>43412</v>
      </c>
      <c r="C265" s="1" t="n">
        <v>45337</v>
      </c>
      <c r="D265" t="inlineStr">
        <is>
          <t>VÄSTERNORRLANDS LÄN</t>
        </is>
      </c>
      <c r="E265" t="inlineStr">
        <is>
          <t>SOLLEFTEÅ</t>
        </is>
      </c>
      <c r="G265" t="n">
        <v>0.6</v>
      </c>
      <c r="H265" t="n">
        <v>0</v>
      </c>
      <c r="I265" t="n">
        <v>0</v>
      </c>
      <c r="J265" t="n">
        <v>0</v>
      </c>
      <c r="K265" t="n">
        <v>0</v>
      </c>
      <c r="L265" t="n">
        <v>0</v>
      </c>
      <c r="M265" t="n">
        <v>0</v>
      </c>
      <c r="N265" t="n">
        <v>0</v>
      </c>
      <c r="O265" t="n">
        <v>0</v>
      </c>
      <c r="P265" t="n">
        <v>0</v>
      </c>
      <c r="Q265" t="n">
        <v>0</v>
      </c>
      <c r="R265" s="2" t="inlineStr"/>
    </row>
    <row r="266" ht="15" customHeight="1">
      <c r="A266" t="inlineStr">
        <is>
          <t>A 62604-2018</t>
        </is>
      </c>
      <c r="B266" s="1" t="n">
        <v>43416</v>
      </c>
      <c r="C266" s="1" t="n">
        <v>45337</v>
      </c>
      <c r="D266" t="inlineStr">
        <is>
          <t>VÄSTERNORRLANDS LÄN</t>
        </is>
      </c>
      <c r="E266" t="inlineStr">
        <is>
          <t>SOLLEFTEÅ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62571-2018</t>
        </is>
      </c>
      <c r="B267" s="1" t="n">
        <v>43416</v>
      </c>
      <c r="C267" s="1" t="n">
        <v>45337</v>
      </c>
      <c r="D267" t="inlineStr">
        <is>
          <t>VÄSTERNORRLANDS LÄN</t>
        </is>
      </c>
      <c r="E267" t="inlineStr">
        <is>
          <t>SOLLEFTEÅ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59894-2018</t>
        </is>
      </c>
      <c r="B268" s="1" t="n">
        <v>43419</v>
      </c>
      <c r="C268" s="1" t="n">
        <v>45337</v>
      </c>
      <c r="D268" t="inlineStr">
        <is>
          <t>VÄSTERNORRLANDS LÄN</t>
        </is>
      </c>
      <c r="E268" t="inlineStr">
        <is>
          <t>SOLLEFTEÅ</t>
        </is>
      </c>
      <c r="F268" t="inlineStr">
        <is>
          <t>SCA</t>
        </is>
      </c>
      <c r="G268" t="n">
        <v>0.3</v>
      </c>
      <c r="H268" t="n">
        <v>0</v>
      </c>
      <c r="I268" t="n">
        <v>0</v>
      </c>
      <c r="J268" t="n">
        <v>0</v>
      </c>
      <c r="K268" t="n">
        <v>0</v>
      </c>
      <c r="L268" t="n">
        <v>0</v>
      </c>
      <c r="M268" t="n">
        <v>0</v>
      </c>
      <c r="N268" t="n">
        <v>0</v>
      </c>
      <c r="O268" t="n">
        <v>0</v>
      </c>
      <c r="P268" t="n">
        <v>0</v>
      </c>
      <c r="Q268" t="n">
        <v>0</v>
      </c>
      <c r="R268" s="2" t="inlineStr"/>
    </row>
    <row r="269" ht="15" customHeight="1">
      <c r="A269" t="inlineStr">
        <is>
          <t>A 59621-2018</t>
        </is>
      </c>
      <c r="B269" s="1" t="n">
        <v>43419</v>
      </c>
      <c r="C269" s="1" t="n">
        <v>45337</v>
      </c>
      <c r="D269" t="inlineStr">
        <is>
          <t>VÄSTERNORRLANDS LÄN</t>
        </is>
      </c>
      <c r="E269" t="inlineStr">
        <is>
          <t>SOLLEFTEÅ</t>
        </is>
      </c>
      <c r="G269" t="n">
        <v>1.6</v>
      </c>
      <c r="H269" t="n">
        <v>0</v>
      </c>
      <c r="I269" t="n">
        <v>0</v>
      </c>
      <c r="J269" t="n">
        <v>0</v>
      </c>
      <c r="K269" t="n">
        <v>0</v>
      </c>
      <c r="L269" t="n">
        <v>0</v>
      </c>
      <c r="M269" t="n">
        <v>0</v>
      </c>
      <c r="N269" t="n">
        <v>0</v>
      </c>
      <c r="O269" t="n">
        <v>0</v>
      </c>
      <c r="P269" t="n">
        <v>0</v>
      </c>
      <c r="Q269" t="n">
        <v>0</v>
      </c>
      <c r="R269" s="2" t="inlineStr"/>
    </row>
    <row r="270" ht="15" customHeight="1">
      <c r="A270" t="inlineStr">
        <is>
          <t>A 59615-2018</t>
        </is>
      </c>
      <c r="B270" s="1" t="n">
        <v>43419</v>
      </c>
      <c r="C270" s="1" t="n">
        <v>45337</v>
      </c>
      <c r="D270" t="inlineStr">
        <is>
          <t>VÄSTERNORRLANDS LÄN</t>
        </is>
      </c>
      <c r="E270" t="inlineStr">
        <is>
          <t>SOLLEFTEÅ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60505-2018</t>
        </is>
      </c>
      <c r="B271" s="1" t="n">
        <v>43420</v>
      </c>
      <c r="C271" s="1" t="n">
        <v>45337</v>
      </c>
      <c r="D271" t="inlineStr">
        <is>
          <t>VÄSTERNORRLANDS LÄN</t>
        </is>
      </c>
      <c r="E271" t="inlineStr">
        <is>
          <t>SOLLEFTEÅ</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60507-2018</t>
        </is>
      </c>
      <c r="B272" s="1" t="n">
        <v>43420</v>
      </c>
      <c r="C272" s="1" t="n">
        <v>45337</v>
      </c>
      <c r="D272" t="inlineStr">
        <is>
          <t>VÄSTERNORRLANDS LÄN</t>
        </is>
      </c>
      <c r="E272" t="inlineStr">
        <is>
          <t>SOLLEFTEÅ</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65627-2018</t>
        </is>
      </c>
      <c r="B273" s="1" t="n">
        <v>43425</v>
      </c>
      <c r="C273" s="1" t="n">
        <v>45337</v>
      </c>
      <c r="D273" t="inlineStr">
        <is>
          <t>VÄSTERNORRLANDS LÄN</t>
        </is>
      </c>
      <c r="E273" t="inlineStr">
        <is>
          <t>SOLLEFTEÅ</t>
        </is>
      </c>
      <c r="G273" t="n">
        <v>8.5</v>
      </c>
      <c r="H273" t="n">
        <v>0</v>
      </c>
      <c r="I273" t="n">
        <v>0</v>
      </c>
      <c r="J273" t="n">
        <v>0</v>
      </c>
      <c r="K273" t="n">
        <v>0</v>
      </c>
      <c r="L273" t="n">
        <v>0</v>
      </c>
      <c r="M273" t="n">
        <v>0</v>
      </c>
      <c r="N273" t="n">
        <v>0</v>
      </c>
      <c r="O273" t="n">
        <v>0</v>
      </c>
      <c r="P273" t="n">
        <v>0</v>
      </c>
      <c r="Q273" t="n">
        <v>0</v>
      </c>
      <c r="R273" s="2" t="inlineStr"/>
    </row>
    <row r="274" ht="15" customHeight="1">
      <c r="A274" t="inlineStr">
        <is>
          <t>A 66224-2018</t>
        </is>
      </c>
      <c r="B274" s="1" t="n">
        <v>43426</v>
      </c>
      <c r="C274" s="1" t="n">
        <v>45337</v>
      </c>
      <c r="D274" t="inlineStr">
        <is>
          <t>VÄSTERNORRLANDS LÄN</t>
        </is>
      </c>
      <c r="E274" t="inlineStr">
        <is>
          <t>SOLLEFTEÅ</t>
        </is>
      </c>
      <c r="G274" t="n">
        <v>1.5</v>
      </c>
      <c r="H274" t="n">
        <v>0</v>
      </c>
      <c r="I274" t="n">
        <v>0</v>
      </c>
      <c r="J274" t="n">
        <v>0</v>
      </c>
      <c r="K274" t="n">
        <v>0</v>
      </c>
      <c r="L274" t="n">
        <v>0</v>
      </c>
      <c r="M274" t="n">
        <v>0</v>
      </c>
      <c r="N274" t="n">
        <v>0</v>
      </c>
      <c r="O274" t="n">
        <v>0</v>
      </c>
      <c r="P274" t="n">
        <v>0</v>
      </c>
      <c r="Q274" t="n">
        <v>0</v>
      </c>
      <c r="R274" s="2" t="inlineStr"/>
    </row>
    <row r="275" ht="15" customHeight="1">
      <c r="A275" t="inlineStr">
        <is>
          <t>A 63618-2018</t>
        </is>
      </c>
      <c r="B275" s="1" t="n">
        <v>43427</v>
      </c>
      <c r="C275" s="1" t="n">
        <v>45337</v>
      </c>
      <c r="D275" t="inlineStr">
        <is>
          <t>VÄSTERNORRLANDS LÄN</t>
        </is>
      </c>
      <c r="E275" t="inlineStr">
        <is>
          <t>SOLLEFTEÅ</t>
        </is>
      </c>
      <c r="F275" t="inlineStr">
        <is>
          <t>SCA</t>
        </is>
      </c>
      <c r="G275" t="n">
        <v>6</v>
      </c>
      <c r="H275" t="n">
        <v>0</v>
      </c>
      <c r="I275" t="n">
        <v>0</v>
      </c>
      <c r="J275" t="n">
        <v>0</v>
      </c>
      <c r="K275" t="n">
        <v>0</v>
      </c>
      <c r="L275" t="n">
        <v>0</v>
      </c>
      <c r="M275" t="n">
        <v>0</v>
      </c>
      <c r="N275" t="n">
        <v>0</v>
      </c>
      <c r="O275" t="n">
        <v>0</v>
      </c>
      <c r="P275" t="n">
        <v>0</v>
      </c>
      <c r="Q275" t="n">
        <v>0</v>
      </c>
      <c r="R275" s="2" t="inlineStr"/>
    </row>
    <row r="276" ht="15" customHeight="1">
      <c r="A276" t="inlineStr">
        <is>
          <t>A 63664-2018</t>
        </is>
      </c>
      <c r="B276" s="1" t="n">
        <v>43427</v>
      </c>
      <c r="C276" s="1" t="n">
        <v>45337</v>
      </c>
      <c r="D276" t="inlineStr">
        <is>
          <t>VÄSTERNORRLANDS LÄN</t>
        </is>
      </c>
      <c r="E276" t="inlineStr">
        <is>
          <t>SOLLEFTEÅ</t>
        </is>
      </c>
      <c r="G276" t="n">
        <v>1.9</v>
      </c>
      <c r="H276" t="n">
        <v>0</v>
      </c>
      <c r="I276" t="n">
        <v>0</v>
      </c>
      <c r="J276" t="n">
        <v>0</v>
      </c>
      <c r="K276" t="n">
        <v>0</v>
      </c>
      <c r="L276" t="n">
        <v>0</v>
      </c>
      <c r="M276" t="n">
        <v>0</v>
      </c>
      <c r="N276" t="n">
        <v>0</v>
      </c>
      <c r="O276" t="n">
        <v>0</v>
      </c>
      <c r="P276" t="n">
        <v>0</v>
      </c>
      <c r="Q276" t="n">
        <v>0</v>
      </c>
      <c r="R276" s="2" t="inlineStr"/>
    </row>
    <row r="277" ht="15" customHeight="1">
      <c r="A277" t="inlineStr">
        <is>
          <t>A 63391-2018</t>
        </is>
      </c>
      <c r="B277" s="1" t="n">
        <v>43427</v>
      </c>
      <c r="C277" s="1" t="n">
        <v>45337</v>
      </c>
      <c r="D277" t="inlineStr">
        <is>
          <t>VÄSTERNORRLANDS LÄN</t>
        </is>
      </c>
      <c r="E277" t="inlineStr">
        <is>
          <t>SOLLEFTEÅ</t>
        </is>
      </c>
      <c r="G277" t="n">
        <v>9</v>
      </c>
      <c r="H277" t="n">
        <v>0</v>
      </c>
      <c r="I277" t="n">
        <v>0</v>
      </c>
      <c r="J277" t="n">
        <v>0</v>
      </c>
      <c r="K277" t="n">
        <v>0</v>
      </c>
      <c r="L277" t="n">
        <v>0</v>
      </c>
      <c r="M277" t="n">
        <v>0</v>
      </c>
      <c r="N277" t="n">
        <v>0</v>
      </c>
      <c r="O277" t="n">
        <v>0</v>
      </c>
      <c r="P277" t="n">
        <v>0</v>
      </c>
      <c r="Q277" t="n">
        <v>0</v>
      </c>
      <c r="R277" s="2" t="inlineStr"/>
    </row>
    <row r="278" ht="15" customHeight="1">
      <c r="A278" t="inlineStr">
        <is>
          <t>A 64084-2018</t>
        </is>
      </c>
      <c r="B278" s="1" t="n">
        <v>43430</v>
      </c>
      <c r="C278" s="1" t="n">
        <v>45337</v>
      </c>
      <c r="D278" t="inlineStr">
        <is>
          <t>VÄSTERNORRLANDS LÄN</t>
        </is>
      </c>
      <c r="E278" t="inlineStr">
        <is>
          <t>SOLLEFTEÅ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67309-2018</t>
        </is>
      </c>
      <c r="B279" s="1" t="n">
        <v>43432</v>
      </c>
      <c r="C279" s="1" t="n">
        <v>45337</v>
      </c>
      <c r="D279" t="inlineStr">
        <is>
          <t>VÄSTERNORRLANDS LÄN</t>
        </is>
      </c>
      <c r="E279" t="inlineStr">
        <is>
          <t>SOLLEFTEÅ</t>
        </is>
      </c>
      <c r="G279" t="n">
        <v>4.1</v>
      </c>
      <c r="H279" t="n">
        <v>0</v>
      </c>
      <c r="I279" t="n">
        <v>0</v>
      </c>
      <c r="J279" t="n">
        <v>0</v>
      </c>
      <c r="K279" t="n">
        <v>0</v>
      </c>
      <c r="L279" t="n">
        <v>0</v>
      </c>
      <c r="M279" t="n">
        <v>0</v>
      </c>
      <c r="N279" t="n">
        <v>0</v>
      </c>
      <c r="O279" t="n">
        <v>0</v>
      </c>
      <c r="P279" t="n">
        <v>0</v>
      </c>
      <c r="Q279" t="n">
        <v>0</v>
      </c>
      <c r="R279" s="2" t="inlineStr"/>
    </row>
    <row r="280" ht="15" customHeight="1">
      <c r="A280" t="inlineStr">
        <is>
          <t>A 67325-2018</t>
        </is>
      </c>
      <c r="B280" s="1" t="n">
        <v>43432</v>
      </c>
      <c r="C280" s="1" t="n">
        <v>45337</v>
      </c>
      <c r="D280" t="inlineStr">
        <is>
          <t>VÄSTERNORRLANDS LÄN</t>
        </is>
      </c>
      <c r="E280" t="inlineStr">
        <is>
          <t>SOLLEFTEÅ</t>
        </is>
      </c>
      <c r="G280" t="n">
        <v>1.9</v>
      </c>
      <c r="H280" t="n">
        <v>0</v>
      </c>
      <c r="I280" t="n">
        <v>0</v>
      </c>
      <c r="J280" t="n">
        <v>0</v>
      </c>
      <c r="K280" t="n">
        <v>0</v>
      </c>
      <c r="L280" t="n">
        <v>0</v>
      </c>
      <c r="M280" t="n">
        <v>0</v>
      </c>
      <c r="N280" t="n">
        <v>0</v>
      </c>
      <c r="O280" t="n">
        <v>0</v>
      </c>
      <c r="P280" t="n">
        <v>0</v>
      </c>
      <c r="Q280" t="n">
        <v>0</v>
      </c>
      <c r="R280" s="2" t="inlineStr"/>
    </row>
    <row r="281" ht="15" customHeight="1">
      <c r="A281" t="inlineStr">
        <is>
          <t>A 66193-2018</t>
        </is>
      </c>
      <c r="B281" s="1" t="n">
        <v>43434</v>
      </c>
      <c r="C281" s="1" t="n">
        <v>45337</v>
      </c>
      <c r="D281" t="inlineStr">
        <is>
          <t>VÄSTERNORRLANDS LÄN</t>
        </is>
      </c>
      <c r="E281" t="inlineStr">
        <is>
          <t>SOLLEFTEÅ</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66449-2018</t>
        </is>
      </c>
      <c r="B282" s="1" t="n">
        <v>43437</v>
      </c>
      <c r="C282" s="1" t="n">
        <v>45337</v>
      </c>
      <c r="D282" t="inlineStr">
        <is>
          <t>VÄSTERNORRLANDS LÄN</t>
        </is>
      </c>
      <c r="E282" t="inlineStr">
        <is>
          <t>SOLLEFTEÅ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68205-2018</t>
        </is>
      </c>
      <c r="B283" s="1" t="n">
        <v>43437</v>
      </c>
      <c r="C283" s="1" t="n">
        <v>45337</v>
      </c>
      <c r="D283" t="inlineStr">
        <is>
          <t>VÄSTERNORRLANDS LÄN</t>
        </is>
      </c>
      <c r="E283" t="inlineStr">
        <is>
          <t>SOLLEFTEÅ</t>
        </is>
      </c>
      <c r="G283" t="n">
        <v>7</v>
      </c>
      <c r="H283" t="n">
        <v>0</v>
      </c>
      <c r="I283" t="n">
        <v>0</v>
      </c>
      <c r="J283" t="n">
        <v>0</v>
      </c>
      <c r="K283" t="n">
        <v>0</v>
      </c>
      <c r="L283" t="n">
        <v>0</v>
      </c>
      <c r="M283" t="n">
        <v>0</v>
      </c>
      <c r="N283" t="n">
        <v>0</v>
      </c>
      <c r="O283" t="n">
        <v>0</v>
      </c>
      <c r="P283" t="n">
        <v>0</v>
      </c>
      <c r="Q283" t="n">
        <v>0</v>
      </c>
      <c r="R283" s="2" t="inlineStr"/>
    </row>
    <row r="284" ht="15" customHeight="1">
      <c r="A284" t="inlineStr">
        <is>
          <t>A 68153-2018</t>
        </is>
      </c>
      <c r="B284" s="1" t="n">
        <v>43437</v>
      </c>
      <c r="C284" s="1" t="n">
        <v>45337</v>
      </c>
      <c r="D284" t="inlineStr">
        <is>
          <t>VÄSTERNORRLANDS LÄN</t>
        </is>
      </c>
      <c r="E284" t="inlineStr">
        <is>
          <t>SOLLEFTEÅ</t>
        </is>
      </c>
      <c r="G284" t="n">
        <v>2.3</v>
      </c>
      <c r="H284" t="n">
        <v>0</v>
      </c>
      <c r="I284" t="n">
        <v>0</v>
      </c>
      <c r="J284" t="n">
        <v>0</v>
      </c>
      <c r="K284" t="n">
        <v>0</v>
      </c>
      <c r="L284" t="n">
        <v>0</v>
      </c>
      <c r="M284" t="n">
        <v>0</v>
      </c>
      <c r="N284" t="n">
        <v>0</v>
      </c>
      <c r="O284" t="n">
        <v>0</v>
      </c>
      <c r="P284" t="n">
        <v>0</v>
      </c>
      <c r="Q284" t="n">
        <v>0</v>
      </c>
      <c r="R284" s="2" t="inlineStr"/>
    </row>
    <row r="285" ht="15" customHeight="1">
      <c r="A285" t="inlineStr">
        <is>
          <t>A 66761-2018</t>
        </is>
      </c>
      <c r="B285" s="1" t="n">
        <v>43437</v>
      </c>
      <c r="C285" s="1" t="n">
        <v>45337</v>
      </c>
      <c r="D285" t="inlineStr">
        <is>
          <t>VÄSTERNORRLANDS LÄN</t>
        </is>
      </c>
      <c r="E285" t="inlineStr">
        <is>
          <t>SOLLEFTEÅ</t>
        </is>
      </c>
      <c r="F285" t="inlineStr">
        <is>
          <t>Holmen skog AB</t>
        </is>
      </c>
      <c r="G285" t="n">
        <v>10.3</v>
      </c>
      <c r="H285" t="n">
        <v>0</v>
      </c>
      <c r="I285" t="n">
        <v>0</v>
      </c>
      <c r="J285" t="n">
        <v>0</v>
      </c>
      <c r="K285" t="n">
        <v>0</v>
      </c>
      <c r="L285" t="n">
        <v>0</v>
      </c>
      <c r="M285" t="n">
        <v>0</v>
      </c>
      <c r="N285" t="n">
        <v>0</v>
      </c>
      <c r="O285" t="n">
        <v>0</v>
      </c>
      <c r="P285" t="n">
        <v>0</v>
      </c>
      <c r="Q285" t="n">
        <v>0</v>
      </c>
      <c r="R285" s="2" t="inlineStr"/>
    </row>
    <row r="286" ht="15" customHeight="1">
      <c r="A286" t="inlineStr">
        <is>
          <t>A 68195-2018</t>
        </is>
      </c>
      <c r="B286" s="1" t="n">
        <v>43437</v>
      </c>
      <c r="C286" s="1" t="n">
        <v>45337</v>
      </c>
      <c r="D286" t="inlineStr">
        <is>
          <t>VÄSTERNORRLANDS LÄN</t>
        </is>
      </c>
      <c r="E286" t="inlineStr">
        <is>
          <t>SOLLEFTEÅ</t>
        </is>
      </c>
      <c r="G286" t="n">
        <v>6.5</v>
      </c>
      <c r="H286" t="n">
        <v>0</v>
      </c>
      <c r="I286" t="n">
        <v>0</v>
      </c>
      <c r="J286" t="n">
        <v>0</v>
      </c>
      <c r="K286" t="n">
        <v>0</v>
      </c>
      <c r="L286" t="n">
        <v>0</v>
      </c>
      <c r="M286" t="n">
        <v>0</v>
      </c>
      <c r="N286" t="n">
        <v>0</v>
      </c>
      <c r="O286" t="n">
        <v>0</v>
      </c>
      <c r="P286" t="n">
        <v>0</v>
      </c>
      <c r="Q286" t="n">
        <v>0</v>
      </c>
      <c r="R286" s="2" t="inlineStr"/>
    </row>
    <row r="287" ht="15" customHeight="1">
      <c r="A287" t="inlineStr">
        <is>
          <t>A 67572-2018</t>
        </is>
      </c>
      <c r="B287" s="1" t="n">
        <v>43439</v>
      </c>
      <c r="C287" s="1" t="n">
        <v>45337</v>
      </c>
      <c r="D287" t="inlineStr">
        <is>
          <t>VÄSTERNORRLANDS LÄN</t>
        </is>
      </c>
      <c r="E287" t="inlineStr">
        <is>
          <t>SOLLEFTEÅ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68665-2018</t>
        </is>
      </c>
      <c r="B288" s="1" t="n">
        <v>43444</v>
      </c>
      <c r="C288" s="1" t="n">
        <v>45337</v>
      </c>
      <c r="D288" t="inlineStr">
        <is>
          <t>VÄSTERNORRLANDS LÄN</t>
        </is>
      </c>
      <c r="E288" t="inlineStr">
        <is>
          <t>SOLLEFTEÅ</t>
        </is>
      </c>
      <c r="G288" t="n">
        <v>3.3</v>
      </c>
      <c r="H288" t="n">
        <v>0</v>
      </c>
      <c r="I288" t="n">
        <v>0</v>
      </c>
      <c r="J288" t="n">
        <v>0</v>
      </c>
      <c r="K288" t="n">
        <v>0</v>
      </c>
      <c r="L288" t="n">
        <v>0</v>
      </c>
      <c r="M288" t="n">
        <v>0</v>
      </c>
      <c r="N288" t="n">
        <v>0</v>
      </c>
      <c r="O288" t="n">
        <v>0</v>
      </c>
      <c r="P288" t="n">
        <v>0</v>
      </c>
      <c r="Q288" t="n">
        <v>0</v>
      </c>
      <c r="R288" s="2" t="inlineStr"/>
    </row>
    <row r="289" ht="15" customHeight="1">
      <c r="A289" t="inlineStr">
        <is>
          <t>A 70365-2018</t>
        </is>
      </c>
      <c r="B289" s="1" t="n">
        <v>43446</v>
      </c>
      <c r="C289" s="1" t="n">
        <v>45337</v>
      </c>
      <c r="D289" t="inlineStr">
        <is>
          <t>VÄSTERNORRLANDS LÄN</t>
        </is>
      </c>
      <c r="E289" t="inlineStr">
        <is>
          <t>SOLLEFTEÅ</t>
        </is>
      </c>
      <c r="G289" t="n">
        <v>9</v>
      </c>
      <c r="H289" t="n">
        <v>0</v>
      </c>
      <c r="I289" t="n">
        <v>0</v>
      </c>
      <c r="J289" t="n">
        <v>0</v>
      </c>
      <c r="K289" t="n">
        <v>0</v>
      </c>
      <c r="L289" t="n">
        <v>0</v>
      </c>
      <c r="M289" t="n">
        <v>0</v>
      </c>
      <c r="N289" t="n">
        <v>0</v>
      </c>
      <c r="O289" t="n">
        <v>0</v>
      </c>
      <c r="P289" t="n">
        <v>0</v>
      </c>
      <c r="Q289" t="n">
        <v>0</v>
      </c>
      <c r="R289" s="2" t="inlineStr"/>
    </row>
    <row r="290" ht="15" customHeight="1">
      <c r="A290" t="inlineStr">
        <is>
          <t>A 70368-2018</t>
        </is>
      </c>
      <c r="B290" s="1" t="n">
        <v>43446</v>
      </c>
      <c r="C290" s="1" t="n">
        <v>45337</v>
      </c>
      <c r="D290" t="inlineStr">
        <is>
          <t>VÄSTERNORRLANDS LÄN</t>
        </is>
      </c>
      <c r="E290" t="inlineStr">
        <is>
          <t>SOLLEFTEÅ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70581-2018</t>
        </is>
      </c>
      <c r="B291" s="1" t="n">
        <v>43447</v>
      </c>
      <c r="C291" s="1" t="n">
        <v>45337</v>
      </c>
      <c r="D291" t="inlineStr">
        <is>
          <t>VÄSTERNORRLANDS LÄN</t>
        </is>
      </c>
      <c r="E291" t="inlineStr">
        <is>
          <t>SOLLEFTEÅ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69970-2018</t>
        </is>
      </c>
      <c r="B292" s="1" t="n">
        <v>43447</v>
      </c>
      <c r="C292" s="1" t="n">
        <v>45337</v>
      </c>
      <c r="D292" t="inlineStr">
        <is>
          <t>VÄSTERNORRLANDS LÄN</t>
        </is>
      </c>
      <c r="E292" t="inlineStr">
        <is>
          <t>SOLLEFTEÅ</t>
        </is>
      </c>
      <c r="G292" t="n">
        <v>1.5</v>
      </c>
      <c r="H292" t="n">
        <v>0</v>
      </c>
      <c r="I292" t="n">
        <v>0</v>
      </c>
      <c r="J292" t="n">
        <v>0</v>
      </c>
      <c r="K292" t="n">
        <v>0</v>
      </c>
      <c r="L292" t="n">
        <v>0</v>
      </c>
      <c r="M292" t="n">
        <v>0</v>
      </c>
      <c r="N292" t="n">
        <v>0</v>
      </c>
      <c r="O292" t="n">
        <v>0</v>
      </c>
      <c r="P292" t="n">
        <v>0</v>
      </c>
      <c r="Q292" t="n">
        <v>0</v>
      </c>
      <c r="R292" s="2" t="inlineStr"/>
    </row>
    <row r="293" ht="15" customHeight="1">
      <c r="A293" t="inlineStr">
        <is>
          <t>A 70429-2018</t>
        </is>
      </c>
      <c r="B293" s="1" t="n">
        <v>43451</v>
      </c>
      <c r="C293" s="1" t="n">
        <v>45337</v>
      </c>
      <c r="D293" t="inlineStr">
        <is>
          <t>VÄSTERNORRLANDS LÄN</t>
        </is>
      </c>
      <c r="E293" t="inlineStr">
        <is>
          <t>SOLLEFTEÅ</t>
        </is>
      </c>
      <c r="G293" t="n">
        <v>4</v>
      </c>
      <c r="H293" t="n">
        <v>0</v>
      </c>
      <c r="I293" t="n">
        <v>0</v>
      </c>
      <c r="J293" t="n">
        <v>0</v>
      </c>
      <c r="K293" t="n">
        <v>0</v>
      </c>
      <c r="L293" t="n">
        <v>0</v>
      </c>
      <c r="M293" t="n">
        <v>0</v>
      </c>
      <c r="N293" t="n">
        <v>0</v>
      </c>
      <c r="O293" t="n">
        <v>0</v>
      </c>
      <c r="P293" t="n">
        <v>0</v>
      </c>
      <c r="Q293" t="n">
        <v>0</v>
      </c>
      <c r="R293" s="2" t="inlineStr"/>
    </row>
    <row r="294" ht="15" customHeight="1">
      <c r="A294" t="inlineStr">
        <is>
          <t>A 71366-2018</t>
        </is>
      </c>
      <c r="B294" s="1" t="n">
        <v>43453</v>
      </c>
      <c r="C294" s="1" t="n">
        <v>45337</v>
      </c>
      <c r="D294" t="inlineStr">
        <is>
          <t>VÄSTERNORRLANDS LÄN</t>
        </is>
      </c>
      <c r="E294" t="inlineStr">
        <is>
          <t>SOLLEFTEÅ</t>
        </is>
      </c>
      <c r="G294" t="n">
        <v>11.7</v>
      </c>
      <c r="H294" t="n">
        <v>0</v>
      </c>
      <c r="I294" t="n">
        <v>0</v>
      </c>
      <c r="J294" t="n">
        <v>0</v>
      </c>
      <c r="K294" t="n">
        <v>0</v>
      </c>
      <c r="L294" t="n">
        <v>0</v>
      </c>
      <c r="M294" t="n">
        <v>0</v>
      </c>
      <c r="N294" t="n">
        <v>0</v>
      </c>
      <c r="O294" t="n">
        <v>0</v>
      </c>
      <c r="P294" t="n">
        <v>0</v>
      </c>
      <c r="Q294" t="n">
        <v>0</v>
      </c>
      <c r="R294" s="2" t="inlineStr"/>
    </row>
    <row r="295" ht="15" customHeight="1">
      <c r="A295" t="inlineStr">
        <is>
          <t>A 71359-2018</t>
        </is>
      </c>
      <c r="B295" s="1" t="n">
        <v>43453</v>
      </c>
      <c r="C295" s="1" t="n">
        <v>45337</v>
      </c>
      <c r="D295" t="inlineStr">
        <is>
          <t>VÄSTERNORRLANDS LÄN</t>
        </is>
      </c>
      <c r="E295" t="inlineStr">
        <is>
          <t>SOLLEFTEÅ</t>
        </is>
      </c>
      <c r="G295" t="n">
        <v>13.6</v>
      </c>
      <c r="H295" t="n">
        <v>0</v>
      </c>
      <c r="I295" t="n">
        <v>0</v>
      </c>
      <c r="J295" t="n">
        <v>0</v>
      </c>
      <c r="K295" t="n">
        <v>0</v>
      </c>
      <c r="L295" t="n">
        <v>0</v>
      </c>
      <c r="M295" t="n">
        <v>0</v>
      </c>
      <c r="N295" t="n">
        <v>0</v>
      </c>
      <c r="O295" t="n">
        <v>0</v>
      </c>
      <c r="P295" t="n">
        <v>0</v>
      </c>
      <c r="Q295" t="n">
        <v>0</v>
      </c>
      <c r="R295" s="2" t="inlineStr"/>
    </row>
    <row r="296" ht="15" customHeight="1">
      <c r="A296" t="inlineStr">
        <is>
          <t>A 71384-2018</t>
        </is>
      </c>
      <c r="B296" s="1" t="n">
        <v>43453</v>
      </c>
      <c r="C296" s="1" t="n">
        <v>45337</v>
      </c>
      <c r="D296" t="inlineStr">
        <is>
          <t>VÄSTERNORRLANDS LÄN</t>
        </is>
      </c>
      <c r="E296" t="inlineStr">
        <is>
          <t>SOLLEFTEÅ</t>
        </is>
      </c>
      <c r="G296" t="n">
        <v>3.7</v>
      </c>
      <c r="H296" t="n">
        <v>0</v>
      </c>
      <c r="I296" t="n">
        <v>0</v>
      </c>
      <c r="J296" t="n">
        <v>0</v>
      </c>
      <c r="K296" t="n">
        <v>0</v>
      </c>
      <c r="L296" t="n">
        <v>0</v>
      </c>
      <c r="M296" t="n">
        <v>0</v>
      </c>
      <c r="N296" t="n">
        <v>0</v>
      </c>
      <c r="O296" t="n">
        <v>0</v>
      </c>
      <c r="P296" t="n">
        <v>0</v>
      </c>
      <c r="Q296" t="n">
        <v>0</v>
      </c>
      <c r="R296" s="2" t="inlineStr"/>
    </row>
    <row r="297" ht="15" customHeight="1">
      <c r="A297" t="inlineStr">
        <is>
          <t>A 71419-2018</t>
        </is>
      </c>
      <c r="B297" s="1" t="n">
        <v>43453</v>
      </c>
      <c r="C297" s="1" t="n">
        <v>45337</v>
      </c>
      <c r="D297" t="inlineStr">
        <is>
          <t>VÄSTERNORRLANDS LÄN</t>
        </is>
      </c>
      <c r="E297" t="inlineStr">
        <is>
          <t>SOLLEFTEÅ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71868-2018</t>
        </is>
      </c>
      <c r="B298" s="1" t="n">
        <v>43454</v>
      </c>
      <c r="C298" s="1" t="n">
        <v>45337</v>
      </c>
      <c r="D298" t="inlineStr">
        <is>
          <t>VÄSTERNORRLANDS LÄN</t>
        </is>
      </c>
      <c r="E298" t="inlineStr">
        <is>
          <t>SOLLEFTEÅ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71866-2018</t>
        </is>
      </c>
      <c r="B299" s="1" t="n">
        <v>43454</v>
      </c>
      <c r="C299" s="1" t="n">
        <v>45337</v>
      </c>
      <c r="D299" t="inlineStr">
        <is>
          <t>VÄSTERNORRLANDS LÄN</t>
        </is>
      </c>
      <c r="E299" t="inlineStr">
        <is>
          <t>SOLLEFTEÅ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72286-2018</t>
        </is>
      </c>
      <c r="B300" s="1" t="n">
        <v>43455</v>
      </c>
      <c r="C300" s="1" t="n">
        <v>45337</v>
      </c>
      <c r="D300" t="inlineStr">
        <is>
          <t>VÄSTERNORRLANDS LÄN</t>
        </is>
      </c>
      <c r="E300" t="inlineStr">
        <is>
          <t>SOLLEFTEÅ</t>
        </is>
      </c>
      <c r="G300" t="n">
        <v>2.6</v>
      </c>
      <c r="H300" t="n">
        <v>0</v>
      </c>
      <c r="I300" t="n">
        <v>0</v>
      </c>
      <c r="J300" t="n">
        <v>0</v>
      </c>
      <c r="K300" t="n">
        <v>0</v>
      </c>
      <c r="L300" t="n">
        <v>0</v>
      </c>
      <c r="M300" t="n">
        <v>0</v>
      </c>
      <c r="N300" t="n">
        <v>0</v>
      </c>
      <c r="O300" t="n">
        <v>0</v>
      </c>
      <c r="P300" t="n">
        <v>0</v>
      </c>
      <c r="Q300" t="n">
        <v>0</v>
      </c>
      <c r="R300" s="2" t="inlineStr"/>
    </row>
    <row r="301" ht="15" customHeight="1">
      <c r="A301" t="inlineStr">
        <is>
          <t>A 72483-2018</t>
        </is>
      </c>
      <c r="B301" s="1" t="n">
        <v>43461</v>
      </c>
      <c r="C301" s="1" t="n">
        <v>45337</v>
      </c>
      <c r="D301" t="inlineStr">
        <is>
          <t>VÄSTERNORRLANDS LÄN</t>
        </is>
      </c>
      <c r="E301" t="inlineStr">
        <is>
          <t>SOLLEFTEÅ</t>
        </is>
      </c>
      <c r="F301" t="inlineStr">
        <is>
          <t>SCA</t>
        </is>
      </c>
      <c r="G301" t="n">
        <v>9</v>
      </c>
      <c r="H301" t="n">
        <v>0</v>
      </c>
      <c r="I301" t="n">
        <v>0</v>
      </c>
      <c r="J301" t="n">
        <v>0</v>
      </c>
      <c r="K301" t="n">
        <v>0</v>
      </c>
      <c r="L301" t="n">
        <v>0</v>
      </c>
      <c r="M301" t="n">
        <v>0</v>
      </c>
      <c r="N301" t="n">
        <v>0</v>
      </c>
      <c r="O301" t="n">
        <v>0</v>
      </c>
      <c r="P301" t="n">
        <v>0</v>
      </c>
      <c r="Q301" t="n">
        <v>0</v>
      </c>
      <c r="R301" s="2" t="inlineStr"/>
    </row>
    <row r="302" ht="15" customHeight="1">
      <c r="A302" t="inlineStr">
        <is>
          <t>A 2421-2019</t>
        </is>
      </c>
      <c r="B302" s="1" t="n">
        <v>43468</v>
      </c>
      <c r="C302" s="1" t="n">
        <v>45337</v>
      </c>
      <c r="D302" t="inlineStr">
        <is>
          <t>VÄSTERNORRLANDS LÄN</t>
        </is>
      </c>
      <c r="E302" t="inlineStr">
        <is>
          <t>SOLLEFTEÅ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543-2019</t>
        </is>
      </c>
      <c r="B303" s="1" t="n">
        <v>43469</v>
      </c>
      <c r="C303" s="1" t="n">
        <v>45337</v>
      </c>
      <c r="D303" t="inlineStr">
        <is>
          <t>VÄSTERNORRLANDS LÄN</t>
        </is>
      </c>
      <c r="E303" t="inlineStr">
        <is>
          <t>SOLLEFTEÅ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552-2019</t>
        </is>
      </c>
      <c r="B304" s="1" t="n">
        <v>43469</v>
      </c>
      <c r="C304" s="1" t="n">
        <v>45337</v>
      </c>
      <c r="D304" t="inlineStr">
        <is>
          <t>VÄSTERNORRLANDS LÄN</t>
        </is>
      </c>
      <c r="E304" t="inlineStr">
        <is>
          <t>SOLLEFTEÅ</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565-2019</t>
        </is>
      </c>
      <c r="B305" s="1" t="n">
        <v>43469</v>
      </c>
      <c r="C305" s="1" t="n">
        <v>45337</v>
      </c>
      <c r="D305" t="inlineStr">
        <is>
          <t>VÄSTERNORRLANDS LÄN</t>
        </is>
      </c>
      <c r="E305" t="inlineStr">
        <is>
          <t>SOLLEFTEÅ</t>
        </is>
      </c>
      <c r="G305" t="n">
        <v>7</v>
      </c>
      <c r="H305" t="n">
        <v>0</v>
      </c>
      <c r="I305" t="n">
        <v>0</v>
      </c>
      <c r="J305" t="n">
        <v>0</v>
      </c>
      <c r="K305" t="n">
        <v>0</v>
      </c>
      <c r="L305" t="n">
        <v>0</v>
      </c>
      <c r="M305" t="n">
        <v>0</v>
      </c>
      <c r="N305" t="n">
        <v>0</v>
      </c>
      <c r="O305" t="n">
        <v>0</v>
      </c>
      <c r="P305" t="n">
        <v>0</v>
      </c>
      <c r="Q305" t="n">
        <v>0</v>
      </c>
      <c r="R305" s="2" t="inlineStr"/>
    </row>
    <row r="306" ht="15" customHeight="1">
      <c r="A306" t="inlineStr">
        <is>
          <t>A 3110-2019</t>
        </is>
      </c>
      <c r="B306" s="1" t="n">
        <v>43479</v>
      </c>
      <c r="C306" s="1" t="n">
        <v>45337</v>
      </c>
      <c r="D306" t="inlineStr">
        <is>
          <t>VÄSTERNORRLANDS LÄN</t>
        </is>
      </c>
      <c r="E306" t="inlineStr">
        <is>
          <t>SOLLEFTEÅ</t>
        </is>
      </c>
      <c r="G306" t="n">
        <v>3.5</v>
      </c>
      <c r="H306" t="n">
        <v>0</v>
      </c>
      <c r="I306" t="n">
        <v>0</v>
      </c>
      <c r="J306" t="n">
        <v>0</v>
      </c>
      <c r="K306" t="n">
        <v>0</v>
      </c>
      <c r="L306" t="n">
        <v>0</v>
      </c>
      <c r="M306" t="n">
        <v>0</v>
      </c>
      <c r="N306" t="n">
        <v>0</v>
      </c>
      <c r="O306" t="n">
        <v>0</v>
      </c>
      <c r="P306" t="n">
        <v>0</v>
      </c>
      <c r="Q306" t="n">
        <v>0</v>
      </c>
      <c r="R306" s="2" t="inlineStr"/>
    </row>
    <row r="307" ht="15" customHeight="1">
      <c r="A307" t="inlineStr">
        <is>
          <t>A 4336-2019</t>
        </is>
      </c>
      <c r="B307" s="1" t="n">
        <v>43479</v>
      </c>
      <c r="C307" s="1" t="n">
        <v>45337</v>
      </c>
      <c r="D307" t="inlineStr">
        <is>
          <t>VÄSTERNORRLANDS LÄN</t>
        </is>
      </c>
      <c r="E307" t="inlineStr">
        <is>
          <t>SOLLEFTEÅ</t>
        </is>
      </c>
      <c r="G307" t="n">
        <v>1.3</v>
      </c>
      <c r="H307" t="n">
        <v>0</v>
      </c>
      <c r="I307" t="n">
        <v>0</v>
      </c>
      <c r="J307" t="n">
        <v>0</v>
      </c>
      <c r="K307" t="n">
        <v>0</v>
      </c>
      <c r="L307" t="n">
        <v>0</v>
      </c>
      <c r="M307" t="n">
        <v>0</v>
      </c>
      <c r="N307" t="n">
        <v>0</v>
      </c>
      <c r="O307" t="n">
        <v>0</v>
      </c>
      <c r="P307" t="n">
        <v>0</v>
      </c>
      <c r="Q307" t="n">
        <v>0</v>
      </c>
      <c r="R307" s="2" t="inlineStr"/>
    </row>
    <row r="308" ht="15" customHeight="1">
      <c r="A308" t="inlineStr">
        <is>
          <t>A 3162-2019</t>
        </is>
      </c>
      <c r="B308" s="1" t="n">
        <v>43480</v>
      </c>
      <c r="C308" s="1" t="n">
        <v>45337</v>
      </c>
      <c r="D308" t="inlineStr">
        <is>
          <t>VÄSTERNORRLANDS LÄN</t>
        </is>
      </c>
      <c r="E308" t="inlineStr">
        <is>
          <t>SOLLEFTEÅ</t>
        </is>
      </c>
      <c r="G308" t="n">
        <v>3.9</v>
      </c>
      <c r="H308" t="n">
        <v>0</v>
      </c>
      <c r="I308" t="n">
        <v>0</v>
      </c>
      <c r="J308" t="n">
        <v>0</v>
      </c>
      <c r="K308" t="n">
        <v>0</v>
      </c>
      <c r="L308" t="n">
        <v>0</v>
      </c>
      <c r="M308" t="n">
        <v>0</v>
      </c>
      <c r="N308" t="n">
        <v>0</v>
      </c>
      <c r="O308" t="n">
        <v>0</v>
      </c>
      <c r="P308" t="n">
        <v>0</v>
      </c>
      <c r="Q308" t="n">
        <v>0</v>
      </c>
      <c r="R308" s="2" t="inlineStr"/>
    </row>
    <row r="309" ht="15" customHeight="1">
      <c r="A309" t="inlineStr">
        <is>
          <t>A 3157-2019</t>
        </is>
      </c>
      <c r="B309" s="1" t="n">
        <v>43480</v>
      </c>
      <c r="C309" s="1" t="n">
        <v>45337</v>
      </c>
      <c r="D309" t="inlineStr">
        <is>
          <t>VÄSTERNORRLANDS LÄN</t>
        </is>
      </c>
      <c r="E309" t="inlineStr">
        <is>
          <t>SOLLEFTEÅ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5065-2019</t>
        </is>
      </c>
      <c r="B310" s="1" t="n">
        <v>43480</v>
      </c>
      <c r="C310" s="1" t="n">
        <v>45337</v>
      </c>
      <c r="D310" t="inlineStr">
        <is>
          <t>VÄSTERNORRLANDS LÄN</t>
        </is>
      </c>
      <c r="E310" t="inlineStr">
        <is>
          <t>SOLLEFTEÅ</t>
        </is>
      </c>
      <c r="G310" t="n">
        <v>3</v>
      </c>
      <c r="H310" t="n">
        <v>0</v>
      </c>
      <c r="I310" t="n">
        <v>0</v>
      </c>
      <c r="J310" t="n">
        <v>0</v>
      </c>
      <c r="K310" t="n">
        <v>0</v>
      </c>
      <c r="L310" t="n">
        <v>0</v>
      </c>
      <c r="M310" t="n">
        <v>0</v>
      </c>
      <c r="N310" t="n">
        <v>0</v>
      </c>
      <c r="O310" t="n">
        <v>0</v>
      </c>
      <c r="P310" t="n">
        <v>0</v>
      </c>
      <c r="Q310" t="n">
        <v>0</v>
      </c>
      <c r="R310" s="2" t="inlineStr"/>
    </row>
    <row r="311" ht="15" customHeight="1">
      <c r="A311" t="inlineStr">
        <is>
          <t>A 3781-2019</t>
        </is>
      </c>
      <c r="B311" s="1" t="n">
        <v>43481</v>
      </c>
      <c r="C311" s="1" t="n">
        <v>45337</v>
      </c>
      <c r="D311" t="inlineStr">
        <is>
          <t>VÄSTERNORRLANDS LÄN</t>
        </is>
      </c>
      <c r="E311" t="inlineStr">
        <is>
          <t>SOLLEFTEÅ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5193-2019</t>
        </is>
      </c>
      <c r="B312" s="1" t="n">
        <v>43481</v>
      </c>
      <c r="C312" s="1" t="n">
        <v>45337</v>
      </c>
      <c r="D312" t="inlineStr">
        <is>
          <t>VÄSTERNORRLANDS LÄN</t>
        </is>
      </c>
      <c r="E312" t="inlineStr">
        <is>
          <t>SOLLEFTEÅ</t>
        </is>
      </c>
      <c r="G312" t="n">
        <v>11.3</v>
      </c>
      <c r="H312" t="n">
        <v>0</v>
      </c>
      <c r="I312" t="n">
        <v>0</v>
      </c>
      <c r="J312" t="n">
        <v>0</v>
      </c>
      <c r="K312" t="n">
        <v>0</v>
      </c>
      <c r="L312" t="n">
        <v>0</v>
      </c>
      <c r="M312" t="n">
        <v>0</v>
      </c>
      <c r="N312" t="n">
        <v>0</v>
      </c>
      <c r="O312" t="n">
        <v>0</v>
      </c>
      <c r="P312" t="n">
        <v>0</v>
      </c>
      <c r="Q312" t="n">
        <v>0</v>
      </c>
      <c r="R312" s="2" t="inlineStr"/>
    </row>
    <row r="313" ht="15" customHeight="1">
      <c r="A313" t="inlineStr">
        <is>
          <t>A 3780-2019</t>
        </is>
      </c>
      <c r="B313" s="1" t="n">
        <v>43481</v>
      </c>
      <c r="C313" s="1" t="n">
        <v>45337</v>
      </c>
      <c r="D313" t="inlineStr">
        <is>
          <t>VÄSTERNORRLANDS LÄN</t>
        </is>
      </c>
      <c r="E313" t="inlineStr">
        <is>
          <t>SOLLEFTEÅ</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3952-2019</t>
        </is>
      </c>
      <c r="B314" s="1" t="n">
        <v>43482</v>
      </c>
      <c r="C314" s="1" t="n">
        <v>45337</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5050-2019</t>
        </is>
      </c>
      <c r="B315" s="1" t="n">
        <v>43487</v>
      </c>
      <c r="C315" s="1" t="n">
        <v>45337</v>
      </c>
      <c r="D315" t="inlineStr">
        <is>
          <t>VÄSTERNORRLANDS LÄN</t>
        </is>
      </c>
      <c r="E315" t="inlineStr">
        <is>
          <t>SOLLEFTEÅ</t>
        </is>
      </c>
      <c r="F315" t="inlineStr">
        <is>
          <t>Kyrkan</t>
        </is>
      </c>
      <c r="G315" t="n">
        <v>17.3</v>
      </c>
      <c r="H315" t="n">
        <v>0</v>
      </c>
      <c r="I315" t="n">
        <v>0</v>
      </c>
      <c r="J315" t="n">
        <v>0</v>
      </c>
      <c r="K315" t="n">
        <v>0</v>
      </c>
      <c r="L315" t="n">
        <v>0</v>
      </c>
      <c r="M315" t="n">
        <v>0</v>
      </c>
      <c r="N315" t="n">
        <v>0</v>
      </c>
      <c r="O315" t="n">
        <v>0</v>
      </c>
      <c r="P315" t="n">
        <v>0</v>
      </c>
      <c r="Q315" t="n">
        <v>0</v>
      </c>
      <c r="R315" s="2" t="inlineStr"/>
    </row>
    <row r="316" ht="15" customHeight="1">
      <c r="A316" t="inlineStr">
        <is>
          <t>A 7159-2019</t>
        </is>
      </c>
      <c r="B316" s="1" t="n">
        <v>43489</v>
      </c>
      <c r="C316" s="1" t="n">
        <v>45337</v>
      </c>
      <c r="D316" t="inlineStr">
        <is>
          <t>VÄSTERNORRLANDS LÄN</t>
        </is>
      </c>
      <c r="E316" t="inlineStr">
        <is>
          <t>SOLLEFTEÅ</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5923-2019</t>
        </is>
      </c>
      <c r="B317" s="1" t="n">
        <v>43490</v>
      </c>
      <c r="C317" s="1" t="n">
        <v>45337</v>
      </c>
      <c r="D317" t="inlineStr">
        <is>
          <t>VÄSTERNORRLANDS LÄN</t>
        </is>
      </c>
      <c r="E317" t="inlineStr">
        <is>
          <t>SOLLEFTEÅ</t>
        </is>
      </c>
      <c r="G317" t="n">
        <v>6.8</v>
      </c>
      <c r="H317" t="n">
        <v>0</v>
      </c>
      <c r="I317" t="n">
        <v>0</v>
      </c>
      <c r="J317" t="n">
        <v>0</v>
      </c>
      <c r="K317" t="n">
        <v>0</v>
      </c>
      <c r="L317" t="n">
        <v>0</v>
      </c>
      <c r="M317" t="n">
        <v>0</v>
      </c>
      <c r="N317" t="n">
        <v>0</v>
      </c>
      <c r="O317" t="n">
        <v>0</v>
      </c>
      <c r="P317" t="n">
        <v>0</v>
      </c>
      <c r="Q317" t="n">
        <v>0</v>
      </c>
      <c r="R317" s="2" t="inlineStr"/>
    </row>
    <row r="318" ht="15" customHeight="1">
      <c r="A318" t="inlineStr">
        <is>
          <t>A 7792-2019</t>
        </is>
      </c>
      <c r="B318" s="1" t="n">
        <v>43494</v>
      </c>
      <c r="C318" s="1" t="n">
        <v>45337</v>
      </c>
      <c r="D318" t="inlineStr">
        <is>
          <t>VÄSTERNORRLANDS LÄN</t>
        </is>
      </c>
      <c r="E318" t="inlineStr">
        <is>
          <t>SOLLEFTEÅ</t>
        </is>
      </c>
      <c r="G318" t="n">
        <v>2.5</v>
      </c>
      <c r="H318" t="n">
        <v>0</v>
      </c>
      <c r="I318" t="n">
        <v>0</v>
      </c>
      <c r="J318" t="n">
        <v>0</v>
      </c>
      <c r="K318" t="n">
        <v>0</v>
      </c>
      <c r="L318" t="n">
        <v>0</v>
      </c>
      <c r="M318" t="n">
        <v>0</v>
      </c>
      <c r="N318" t="n">
        <v>0</v>
      </c>
      <c r="O318" t="n">
        <v>0</v>
      </c>
      <c r="P318" t="n">
        <v>0</v>
      </c>
      <c r="Q318" t="n">
        <v>0</v>
      </c>
      <c r="R318" s="2" t="inlineStr"/>
    </row>
    <row r="319" ht="15" customHeight="1">
      <c r="A319" t="inlineStr">
        <is>
          <t>A 7878-2019</t>
        </is>
      </c>
      <c r="B319" s="1" t="n">
        <v>43500</v>
      </c>
      <c r="C319" s="1" t="n">
        <v>45337</v>
      </c>
      <c r="D319" t="inlineStr">
        <is>
          <t>VÄSTERNORRLANDS LÄN</t>
        </is>
      </c>
      <c r="E319" t="inlineStr">
        <is>
          <t>SOLLEFTEÅ</t>
        </is>
      </c>
      <c r="G319" t="n">
        <v>4</v>
      </c>
      <c r="H319" t="n">
        <v>0</v>
      </c>
      <c r="I319" t="n">
        <v>0</v>
      </c>
      <c r="J319" t="n">
        <v>0</v>
      </c>
      <c r="K319" t="n">
        <v>0</v>
      </c>
      <c r="L319" t="n">
        <v>0</v>
      </c>
      <c r="M319" t="n">
        <v>0</v>
      </c>
      <c r="N319" t="n">
        <v>0</v>
      </c>
      <c r="O319" t="n">
        <v>0</v>
      </c>
      <c r="P319" t="n">
        <v>0</v>
      </c>
      <c r="Q319" t="n">
        <v>0</v>
      </c>
      <c r="R319" s="2" t="inlineStr"/>
    </row>
    <row r="320" ht="15" customHeight="1">
      <c r="A320" t="inlineStr">
        <is>
          <t>A 8020-2019</t>
        </is>
      </c>
      <c r="B320" s="1" t="n">
        <v>43501</v>
      </c>
      <c r="C320" s="1" t="n">
        <v>45337</v>
      </c>
      <c r="D320" t="inlineStr">
        <is>
          <t>VÄSTERNORRLANDS LÄN</t>
        </is>
      </c>
      <c r="E320" t="inlineStr">
        <is>
          <t>SOLLEFTEÅ</t>
        </is>
      </c>
      <c r="G320" t="n">
        <v>9</v>
      </c>
      <c r="H320" t="n">
        <v>0</v>
      </c>
      <c r="I320" t="n">
        <v>0</v>
      </c>
      <c r="J320" t="n">
        <v>0</v>
      </c>
      <c r="K320" t="n">
        <v>0</v>
      </c>
      <c r="L320" t="n">
        <v>0</v>
      </c>
      <c r="M320" t="n">
        <v>0</v>
      </c>
      <c r="N320" t="n">
        <v>0</v>
      </c>
      <c r="O320" t="n">
        <v>0</v>
      </c>
      <c r="P320" t="n">
        <v>0</v>
      </c>
      <c r="Q320" t="n">
        <v>0</v>
      </c>
      <c r="R320" s="2" t="inlineStr"/>
    </row>
    <row r="321" ht="15" customHeight="1">
      <c r="A321" t="inlineStr">
        <is>
          <t>A 7970-2019</t>
        </is>
      </c>
      <c r="B321" s="1" t="n">
        <v>43501</v>
      </c>
      <c r="C321" s="1" t="n">
        <v>45337</v>
      </c>
      <c r="D321" t="inlineStr">
        <is>
          <t>VÄSTERNORRLANDS LÄN</t>
        </is>
      </c>
      <c r="E321" t="inlineStr">
        <is>
          <t>SOLLEFTEÅ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9051-2019</t>
        </is>
      </c>
      <c r="B322" s="1" t="n">
        <v>43504</v>
      </c>
      <c r="C322" s="1" t="n">
        <v>45337</v>
      </c>
      <c r="D322" t="inlineStr">
        <is>
          <t>VÄSTERNORRLANDS LÄN</t>
        </is>
      </c>
      <c r="E322" t="inlineStr">
        <is>
          <t>SOLLEFTEÅ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9521-2019</t>
        </is>
      </c>
      <c r="B323" s="1" t="n">
        <v>43507</v>
      </c>
      <c r="C323" s="1" t="n">
        <v>45337</v>
      </c>
      <c r="D323" t="inlineStr">
        <is>
          <t>VÄSTERNORRLANDS LÄN</t>
        </is>
      </c>
      <c r="E323" t="inlineStr">
        <is>
          <t>SOLLEFTEÅ</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9519-2019</t>
        </is>
      </c>
      <c r="B324" s="1" t="n">
        <v>43507</v>
      </c>
      <c r="C324" s="1" t="n">
        <v>45337</v>
      </c>
      <c r="D324" t="inlineStr">
        <is>
          <t>VÄSTERNORRLANDS LÄN</t>
        </is>
      </c>
      <c r="E324" t="inlineStr">
        <is>
          <t>SOLLEFTEÅ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9367-2019</t>
        </is>
      </c>
      <c r="B325" s="1" t="n">
        <v>43507</v>
      </c>
      <c r="C325" s="1" t="n">
        <v>45337</v>
      </c>
      <c r="D325" t="inlineStr">
        <is>
          <t>VÄSTERNORRLANDS LÄN</t>
        </is>
      </c>
      <c r="E325" t="inlineStr">
        <is>
          <t>SOLLEFTEÅ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9610-2019</t>
        </is>
      </c>
      <c r="B326" s="1" t="n">
        <v>43508</v>
      </c>
      <c r="C326" s="1" t="n">
        <v>45337</v>
      </c>
      <c r="D326" t="inlineStr">
        <is>
          <t>VÄSTERNORRLANDS LÄN</t>
        </is>
      </c>
      <c r="E326" t="inlineStr">
        <is>
          <t>SOLLEFTEÅ</t>
        </is>
      </c>
      <c r="G326" t="n">
        <v>7.7</v>
      </c>
      <c r="H326" t="n">
        <v>0</v>
      </c>
      <c r="I326" t="n">
        <v>0</v>
      </c>
      <c r="J326" t="n">
        <v>0</v>
      </c>
      <c r="K326" t="n">
        <v>0</v>
      </c>
      <c r="L326" t="n">
        <v>0</v>
      </c>
      <c r="M326" t="n">
        <v>0</v>
      </c>
      <c r="N326" t="n">
        <v>0</v>
      </c>
      <c r="O326" t="n">
        <v>0</v>
      </c>
      <c r="P326" t="n">
        <v>0</v>
      </c>
      <c r="Q326" t="n">
        <v>0</v>
      </c>
      <c r="R326" s="2" t="inlineStr"/>
    </row>
    <row r="327" ht="15" customHeight="1">
      <c r="A327" t="inlineStr">
        <is>
          <t>A 9727-2019</t>
        </is>
      </c>
      <c r="B327" s="1" t="n">
        <v>43508</v>
      </c>
      <c r="C327" s="1" t="n">
        <v>45337</v>
      </c>
      <c r="D327" t="inlineStr">
        <is>
          <t>VÄSTERNORRLANDS LÄN</t>
        </is>
      </c>
      <c r="E327" t="inlineStr">
        <is>
          <t>SOLLEFTEÅ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11285-2019</t>
        </is>
      </c>
      <c r="B328" s="1" t="n">
        <v>43516</v>
      </c>
      <c r="C328" s="1" t="n">
        <v>45337</v>
      </c>
      <c r="D328" t="inlineStr">
        <is>
          <t>VÄSTERNORRLANDS LÄN</t>
        </is>
      </c>
      <c r="E328" t="inlineStr">
        <is>
          <t>SOLLEFTEÅ</t>
        </is>
      </c>
      <c r="F328" t="inlineStr">
        <is>
          <t>SCA</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11283-2019</t>
        </is>
      </c>
      <c r="B329" s="1" t="n">
        <v>43516</v>
      </c>
      <c r="C329" s="1" t="n">
        <v>45337</v>
      </c>
      <c r="D329" t="inlineStr">
        <is>
          <t>VÄSTERNORRLANDS LÄN</t>
        </is>
      </c>
      <c r="E329" t="inlineStr">
        <is>
          <t>SOLLEFTEÅ</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11177-2019</t>
        </is>
      </c>
      <c r="B330" s="1" t="n">
        <v>43516</v>
      </c>
      <c r="C330" s="1" t="n">
        <v>45337</v>
      </c>
      <c r="D330" t="inlineStr">
        <is>
          <t>VÄSTERNORRLANDS LÄN</t>
        </is>
      </c>
      <c r="E330" t="inlineStr">
        <is>
          <t>SOLLEFTEÅ</t>
        </is>
      </c>
      <c r="F330" t="inlineStr">
        <is>
          <t>Kyrkan</t>
        </is>
      </c>
      <c r="G330" t="n">
        <v>5.1</v>
      </c>
      <c r="H330" t="n">
        <v>0</v>
      </c>
      <c r="I330" t="n">
        <v>0</v>
      </c>
      <c r="J330" t="n">
        <v>0</v>
      </c>
      <c r="K330" t="n">
        <v>0</v>
      </c>
      <c r="L330" t="n">
        <v>0</v>
      </c>
      <c r="M330" t="n">
        <v>0</v>
      </c>
      <c r="N330" t="n">
        <v>0</v>
      </c>
      <c r="O330" t="n">
        <v>0</v>
      </c>
      <c r="P330" t="n">
        <v>0</v>
      </c>
      <c r="Q330" t="n">
        <v>0</v>
      </c>
      <c r="R330" s="2" t="inlineStr"/>
    </row>
    <row r="331" ht="15" customHeight="1">
      <c r="A331" t="inlineStr">
        <is>
          <t>A 11341-2019</t>
        </is>
      </c>
      <c r="B331" s="1" t="n">
        <v>43517</v>
      </c>
      <c r="C331" s="1" t="n">
        <v>45337</v>
      </c>
      <c r="D331" t="inlineStr">
        <is>
          <t>VÄSTERNORRLANDS LÄN</t>
        </is>
      </c>
      <c r="E331" t="inlineStr">
        <is>
          <t>SOLLEFTEÅ</t>
        </is>
      </c>
      <c r="G331" t="n">
        <v>7.2</v>
      </c>
      <c r="H331" t="n">
        <v>0</v>
      </c>
      <c r="I331" t="n">
        <v>0</v>
      </c>
      <c r="J331" t="n">
        <v>0</v>
      </c>
      <c r="K331" t="n">
        <v>0</v>
      </c>
      <c r="L331" t="n">
        <v>0</v>
      </c>
      <c r="M331" t="n">
        <v>0</v>
      </c>
      <c r="N331" t="n">
        <v>0</v>
      </c>
      <c r="O331" t="n">
        <v>0</v>
      </c>
      <c r="P331" t="n">
        <v>0</v>
      </c>
      <c r="Q331" t="n">
        <v>0</v>
      </c>
      <c r="R331" s="2" t="inlineStr"/>
    </row>
    <row r="332" ht="15" customHeight="1">
      <c r="A332" t="inlineStr">
        <is>
          <t>A 11766-2019</t>
        </is>
      </c>
      <c r="B332" s="1" t="n">
        <v>43520</v>
      </c>
      <c r="C332" s="1" t="n">
        <v>45337</v>
      </c>
      <c r="D332" t="inlineStr">
        <is>
          <t>VÄSTERNORRLANDS LÄN</t>
        </is>
      </c>
      <c r="E332" t="inlineStr">
        <is>
          <t>SOLLEFTEÅ</t>
        </is>
      </c>
      <c r="G332" t="n">
        <v>7.1</v>
      </c>
      <c r="H332" t="n">
        <v>0</v>
      </c>
      <c r="I332" t="n">
        <v>0</v>
      </c>
      <c r="J332" t="n">
        <v>0</v>
      </c>
      <c r="K332" t="n">
        <v>0</v>
      </c>
      <c r="L332" t="n">
        <v>0</v>
      </c>
      <c r="M332" t="n">
        <v>0</v>
      </c>
      <c r="N332" t="n">
        <v>0</v>
      </c>
      <c r="O332" t="n">
        <v>0</v>
      </c>
      <c r="P332" t="n">
        <v>0</v>
      </c>
      <c r="Q332" t="n">
        <v>0</v>
      </c>
      <c r="R332" s="2" t="inlineStr"/>
    </row>
    <row r="333" ht="15" customHeight="1">
      <c r="A333" t="inlineStr">
        <is>
          <t>A 11759-2019</t>
        </is>
      </c>
      <c r="B333" s="1" t="n">
        <v>43520</v>
      </c>
      <c r="C333" s="1" t="n">
        <v>45337</v>
      </c>
      <c r="D333" t="inlineStr">
        <is>
          <t>VÄSTERNORRLANDS LÄN</t>
        </is>
      </c>
      <c r="E333" t="inlineStr">
        <is>
          <t>SOLLEFTEÅ</t>
        </is>
      </c>
      <c r="G333" t="n">
        <v>0.3</v>
      </c>
      <c r="H333" t="n">
        <v>0</v>
      </c>
      <c r="I333" t="n">
        <v>0</v>
      </c>
      <c r="J333" t="n">
        <v>0</v>
      </c>
      <c r="K333" t="n">
        <v>0</v>
      </c>
      <c r="L333" t="n">
        <v>0</v>
      </c>
      <c r="M333" t="n">
        <v>0</v>
      </c>
      <c r="N333" t="n">
        <v>0</v>
      </c>
      <c r="O333" t="n">
        <v>0</v>
      </c>
      <c r="P333" t="n">
        <v>0</v>
      </c>
      <c r="Q333" t="n">
        <v>0</v>
      </c>
      <c r="R333" s="2" t="inlineStr"/>
    </row>
    <row r="334" ht="15" customHeight="1">
      <c r="A334" t="inlineStr">
        <is>
          <t>A 12510-2019</t>
        </is>
      </c>
      <c r="B334" s="1" t="n">
        <v>43523</v>
      </c>
      <c r="C334" s="1" t="n">
        <v>45337</v>
      </c>
      <c r="D334" t="inlineStr">
        <is>
          <t>VÄSTERNORRLANDS LÄN</t>
        </is>
      </c>
      <c r="E334" t="inlineStr">
        <is>
          <t>SOLLEFTEÅ</t>
        </is>
      </c>
      <c r="G334" t="n">
        <v>1</v>
      </c>
      <c r="H334" t="n">
        <v>0</v>
      </c>
      <c r="I334" t="n">
        <v>0</v>
      </c>
      <c r="J334" t="n">
        <v>0</v>
      </c>
      <c r="K334" t="n">
        <v>0</v>
      </c>
      <c r="L334" t="n">
        <v>0</v>
      </c>
      <c r="M334" t="n">
        <v>0</v>
      </c>
      <c r="N334" t="n">
        <v>0</v>
      </c>
      <c r="O334" t="n">
        <v>0</v>
      </c>
      <c r="P334" t="n">
        <v>0</v>
      </c>
      <c r="Q334" t="n">
        <v>0</v>
      </c>
      <c r="R334" s="2" t="inlineStr"/>
    </row>
    <row r="335" ht="15" customHeight="1">
      <c r="A335" t="inlineStr">
        <is>
          <t>A 12812-2019</t>
        </is>
      </c>
      <c r="B335" s="1" t="n">
        <v>43524</v>
      </c>
      <c r="C335" s="1" t="n">
        <v>45337</v>
      </c>
      <c r="D335" t="inlineStr">
        <is>
          <t>VÄSTERNORRLANDS LÄN</t>
        </is>
      </c>
      <c r="E335" t="inlineStr">
        <is>
          <t>SOLLEFTEÅ</t>
        </is>
      </c>
      <c r="G335" t="n">
        <v>6.4</v>
      </c>
      <c r="H335" t="n">
        <v>0</v>
      </c>
      <c r="I335" t="n">
        <v>0</v>
      </c>
      <c r="J335" t="n">
        <v>0</v>
      </c>
      <c r="K335" t="n">
        <v>0</v>
      </c>
      <c r="L335" t="n">
        <v>0</v>
      </c>
      <c r="M335" t="n">
        <v>0</v>
      </c>
      <c r="N335" t="n">
        <v>0</v>
      </c>
      <c r="O335" t="n">
        <v>0</v>
      </c>
      <c r="P335" t="n">
        <v>0</v>
      </c>
      <c r="Q335" t="n">
        <v>0</v>
      </c>
      <c r="R335" s="2" t="inlineStr"/>
    </row>
    <row r="336" ht="15" customHeight="1">
      <c r="A336" t="inlineStr">
        <is>
          <t>A 12987-2019</t>
        </is>
      </c>
      <c r="B336" s="1" t="n">
        <v>43525</v>
      </c>
      <c r="C336" s="1" t="n">
        <v>45337</v>
      </c>
      <c r="D336" t="inlineStr">
        <is>
          <t>VÄSTERNORRLANDS LÄN</t>
        </is>
      </c>
      <c r="E336" t="inlineStr">
        <is>
          <t>SOLLEFTEÅ</t>
        </is>
      </c>
      <c r="G336" t="n">
        <v>3</v>
      </c>
      <c r="H336" t="n">
        <v>0</v>
      </c>
      <c r="I336" t="n">
        <v>0</v>
      </c>
      <c r="J336" t="n">
        <v>0</v>
      </c>
      <c r="K336" t="n">
        <v>0</v>
      </c>
      <c r="L336" t="n">
        <v>0</v>
      </c>
      <c r="M336" t="n">
        <v>0</v>
      </c>
      <c r="N336" t="n">
        <v>0</v>
      </c>
      <c r="O336" t="n">
        <v>0</v>
      </c>
      <c r="P336" t="n">
        <v>0</v>
      </c>
      <c r="Q336" t="n">
        <v>0</v>
      </c>
      <c r="R336" s="2" t="inlineStr"/>
    </row>
    <row r="337" ht="15" customHeight="1">
      <c r="A337" t="inlineStr">
        <is>
          <t>A 13653-2019</t>
        </is>
      </c>
      <c r="B337" s="1" t="n">
        <v>43530</v>
      </c>
      <c r="C337" s="1" t="n">
        <v>45337</v>
      </c>
      <c r="D337" t="inlineStr">
        <is>
          <t>VÄSTERNORRLANDS LÄN</t>
        </is>
      </c>
      <c r="E337" t="inlineStr">
        <is>
          <t>SOLLEFTEÅ</t>
        </is>
      </c>
      <c r="G337" t="n">
        <v>3.7</v>
      </c>
      <c r="H337" t="n">
        <v>0</v>
      </c>
      <c r="I337" t="n">
        <v>0</v>
      </c>
      <c r="J337" t="n">
        <v>0</v>
      </c>
      <c r="K337" t="n">
        <v>0</v>
      </c>
      <c r="L337" t="n">
        <v>0</v>
      </c>
      <c r="M337" t="n">
        <v>0</v>
      </c>
      <c r="N337" t="n">
        <v>0</v>
      </c>
      <c r="O337" t="n">
        <v>0</v>
      </c>
      <c r="P337" t="n">
        <v>0</v>
      </c>
      <c r="Q337" t="n">
        <v>0</v>
      </c>
      <c r="R337" s="2" t="inlineStr"/>
    </row>
    <row r="338" ht="15" customHeight="1">
      <c r="A338" t="inlineStr">
        <is>
          <t>A 13711-2019</t>
        </is>
      </c>
      <c r="B338" s="1" t="n">
        <v>43530</v>
      </c>
      <c r="C338" s="1" t="n">
        <v>45337</v>
      </c>
      <c r="D338" t="inlineStr">
        <is>
          <t>VÄSTERNORRLANDS LÄN</t>
        </is>
      </c>
      <c r="E338" t="inlineStr">
        <is>
          <t>SOLLEFTEÅ</t>
        </is>
      </c>
      <c r="G338" t="n">
        <v>5.6</v>
      </c>
      <c r="H338" t="n">
        <v>0</v>
      </c>
      <c r="I338" t="n">
        <v>0</v>
      </c>
      <c r="J338" t="n">
        <v>0</v>
      </c>
      <c r="K338" t="n">
        <v>0</v>
      </c>
      <c r="L338" t="n">
        <v>0</v>
      </c>
      <c r="M338" t="n">
        <v>0</v>
      </c>
      <c r="N338" t="n">
        <v>0</v>
      </c>
      <c r="O338" t="n">
        <v>0</v>
      </c>
      <c r="P338" t="n">
        <v>0</v>
      </c>
      <c r="Q338" t="n">
        <v>0</v>
      </c>
      <c r="R338" s="2" t="inlineStr"/>
    </row>
    <row r="339" ht="15" customHeight="1">
      <c r="A339" t="inlineStr">
        <is>
          <t>A 13801-2019</t>
        </is>
      </c>
      <c r="B339" s="1" t="n">
        <v>43530</v>
      </c>
      <c r="C339" s="1" t="n">
        <v>45337</v>
      </c>
      <c r="D339" t="inlineStr">
        <is>
          <t>VÄSTERNORRLANDS LÄN</t>
        </is>
      </c>
      <c r="E339" t="inlineStr">
        <is>
          <t>SOLLEFTEÅ</t>
        </is>
      </c>
      <c r="G339" t="n">
        <v>1.8</v>
      </c>
      <c r="H339" t="n">
        <v>0</v>
      </c>
      <c r="I339" t="n">
        <v>0</v>
      </c>
      <c r="J339" t="n">
        <v>0</v>
      </c>
      <c r="K339" t="n">
        <v>0</v>
      </c>
      <c r="L339" t="n">
        <v>0</v>
      </c>
      <c r="M339" t="n">
        <v>0</v>
      </c>
      <c r="N339" t="n">
        <v>0</v>
      </c>
      <c r="O339" t="n">
        <v>0</v>
      </c>
      <c r="P339" t="n">
        <v>0</v>
      </c>
      <c r="Q339" t="n">
        <v>0</v>
      </c>
      <c r="R339" s="2" t="inlineStr"/>
    </row>
    <row r="340" ht="15" customHeight="1">
      <c r="A340" t="inlineStr">
        <is>
          <t>A 13648-2019</t>
        </is>
      </c>
      <c r="B340" s="1" t="n">
        <v>43530</v>
      </c>
      <c r="C340" s="1" t="n">
        <v>45337</v>
      </c>
      <c r="D340" t="inlineStr">
        <is>
          <t>VÄSTERNORRLANDS LÄN</t>
        </is>
      </c>
      <c r="E340" t="inlineStr">
        <is>
          <t>SOLLEFTEÅ</t>
        </is>
      </c>
      <c r="G340" t="n">
        <v>4.1</v>
      </c>
      <c r="H340" t="n">
        <v>0</v>
      </c>
      <c r="I340" t="n">
        <v>0</v>
      </c>
      <c r="J340" t="n">
        <v>0</v>
      </c>
      <c r="K340" t="n">
        <v>0</v>
      </c>
      <c r="L340" t="n">
        <v>0</v>
      </c>
      <c r="M340" t="n">
        <v>0</v>
      </c>
      <c r="N340" t="n">
        <v>0</v>
      </c>
      <c r="O340" t="n">
        <v>0</v>
      </c>
      <c r="P340" t="n">
        <v>0</v>
      </c>
      <c r="Q340" t="n">
        <v>0</v>
      </c>
      <c r="R340" s="2" t="inlineStr"/>
    </row>
    <row r="341" ht="15" customHeight="1">
      <c r="A341" t="inlineStr">
        <is>
          <t>A 13800-2019</t>
        </is>
      </c>
      <c r="B341" s="1" t="n">
        <v>43530</v>
      </c>
      <c r="C341" s="1" t="n">
        <v>45337</v>
      </c>
      <c r="D341" t="inlineStr">
        <is>
          <t>VÄSTERNORRLANDS LÄN</t>
        </is>
      </c>
      <c r="E341" t="inlineStr">
        <is>
          <t>SOLLEFTEÅ</t>
        </is>
      </c>
      <c r="G341" t="n">
        <v>7.3</v>
      </c>
      <c r="H341" t="n">
        <v>0</v>
      </c>
      <c r="I341" t="n">
        <v>0</v>
      </c>
      <c r="J341" t="n">
        <v>0</v>
      </c>
      <c r="K341" t="n">
        <v>0</v>
      </c>
      <c r="L341" t="n">
        <v>0</v>
      </c>
      <c r="M341" t="n">
        <v>0</v>
      </c>
      <c r="N341" t="n">
        <v>0</v>
      </c>
      <c r="O341" t="n">
        <v>0</v>
      </c>
      <c r="P341" t="n">
        <v>0</v>
      </c>
      <c r="Q341" t="n">
        <v>0</v>
      </c>
      <c r="R341" s="2" t="inlineStr"/>
    </row>
    <row r="342" ht="15" customHeight="1">
      <c r="A342" t="inlineStr">
        <is>
          <t>A 13914-2019</t>
        </is>
      </c>
      <c r="B342" s="1" t="n">
        <v>43531</v>
      </c>
      <c r="C342" s="1" t="n">
        <v>45337</v>
      </c>
      <c r="D342" t="inlineStr">
        <is>
          <t>VÄSTERNORRLANDS LÄN</t>
        </is>
      </c>
      <c r="E342" t="inlineStr">
        <is>
          <t>SOLLEFTEÅ</t>
        </is>
      </c>
      <c r="G342" t="n">
        <v>4.1</v>
      </c>
      <c r="H342" t="n">
        <v>0</v>
      </c>
      <c r="I342" t="n">
        <v>0</v>
      </c>
      <c r="J342" t="n">
        <v>0</v>
      </c>
      <c r="K342" t="n">
        <v>0</v>
      </c>
      <c r="L342" t="n">
        <v>0</v>
      </c>
      <c r="M342" t="n">
        <v>0</v>
      </c>
      <c r="N342" t="n">
        <v>0</v>
      </c>
      <c r="O342" t="n">
        <v>0</v>
      </c>
      <c r="P342" t="n">
        <v>0</v>
      </c>
      <c r="Q342" t="n">
        <v>0</v>
      </c>
      <c r="R342" s="2" t="inlineStr"/>
    </row>
    <row r="343" ht="15" customHeight="1">
      <c r="A343" t="inlineStr">
        <is>
          <t>A 13912-2019</t>
        </is>
      </c>
      <c r="B343" s="1" t="n">
        <v>43531</v>
      </c>
      <c r="C343" s="1" t="n">
        <v>45337</v>
      </c>
      <c r="D343" t="inlineStr">
        <is>
          <t>VÄSTERNORRLANDS LÄN</t>
        </is>
      </c>
      <c r="E343" t="inlineStr">
        <is>
          <t>SOLLEFTEÅ</t>
        </is>
      </c>
      <c r="G343" t="n">
        <v>6.1</v>
      </c>
      <c r="H343" t="n">
        <v>0</v>
      </c>
      <c r="I343" t="n">
        <v>0</v>
      </c>
      <c r="J343" t="n">
        <v>0</v>
      </c>
      <c r="K343" t="n">
        <v>0</v>
      </c>
      <c r="L343" t="n">
        <v>0</v>
      </c>
      <c r="M343" t="n">
        <v>0</v>
      </c>
      <c r="N343" t="n">
        <v>0</v>
      </c>
      <c r="O343" t="n">
        <v>0</v>
      </c>
      <c r="P343" t="n">
        <v>0</v>
      </c>
      <c r="Q343" t="n">
        <v>0</v>
      </c>
      <c r="R343" s="2" t="inlineStr"/>
    </row>
    <row r="344" ht="15" customHeight="1">
      <c r="A344" t="inlineStr">
        <is>
          <t>A 15272-2019</t>
        </is>
      </c>
      <c r="B344" s="1" t="n">
        <v>43539</v>
      </c>
      <c r="C344" s="1" t="n">
        <v>45337</v>
      </c>
      <c r="D344" t="inlineStr">
        <is>
          <t>VÄSTERNORRLANDS LÄN</t>
        </is>
      </c>
      <c r="E344" t="inlineStr">
        <is>
          <t>SOLLEFTEÅ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15737-2019</t>
        </is>
      </c>
      <c r="B345" s="1" t="n">
        <v>43542</v>
      </c>
      <c r="C345" s="1" t="n">
        <v>45337</v>
      </c>
      <c r="D345" t="inlineStr">
        <is>
          <t>VÄSTERNORRLANDS LÄN</t>
        </is>
      </c>
      <c r="E345" t="inlineStr">
        <is>
          <t>SOLLEFTEÅ</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15897-2019</t>
        </is>
      </c>
      <c r="B346" s="1" t="n">
        <v>43543</v>
      </c>
      <c r="C346" s="1" t="n">
        <v>45337</v>
      </c>
      <c r="D346" t="inlineStr">
        <is>
          <t>VÄSTERNORRLANDS LÄN</t>
        </is>
      </c>
      <c r="E346" t="inlineStr">
        <is>
          <t>SOLLEFTEÅ</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16033-2019</t>
        </is>
      </c>
      <c r="B347" s="1" t="n">
        <v>43543</v>
      </c>
      <c r="C347" s="1" t="n">
        <v>45337</v>
      </c>
      <c r="D347" t="inlineStr">
        <is>
          <t>VÄSTERNORRLANDS LÄN</t>
        </is>
      </c>
      <c r="E347" t="inlineStr">
        <is>
          <t>SOLLEFTEÅ</t>
        </is>
      </c>
      <c r="G347" t="n">
        <v>6.3</v>
      </c>
      <c r="H347" t="n">
        <v>0</v>
      </c>
      <c r="I347" t="n">
        <v>0</v>
      </c>
      <c r="J347" t="n">
        <v>0</v>
      </c>
      <c r="K347" t="n">
        <v>0</v>
      </c>
      <c r="L347" t="n">
        <v>0</v>
      </c>
      <c r="M347" t="n">
        <v>0</v>
      </c>
      <c r="N347" t="n">
        <v>0</v>
      </c>
      <c r="O347" t="n">
        <v>0</v>
      </c>
      <c r="P347" t="n">
        <v>0</v>
      </c>
      <c r="Q347" t="n">
        <v>0</v>
      </c>
      <c r="R347" s="2" t="inlineStr"/>
    </row>
    <row r="348" ht="15" customHeight="1">
      <c r="A348" t="inlineStr">
        <is>
          <t>A 16565-2019</t>
        </is>
      </c>
      <c r="B348" s="1" t="n">
        <v>43546</v>
      </c>
      <c r="C348" s="1" t="n">
        <v>45337</v>
      </c>
      <c r="D348" t="inlineStr">
        <is>
          <t>VÄSTERNORRLANDS LÄN</t>
        </is>
      </c>
      <c r="E348" t="inlineStr">
        <is>
          <t>SOLLEFTEÅ</t>
        </is>
      </c>
      <c r="F348" t="inlineStr">
        <is>
          <t>SCA</t>
        </is>
      </c>
      <c r="G348" t="n">
        <v>13.6</v>
      </c>
      <c r="H348" t="n">
        <v>0</v>
      </c>
      <c r="I348" t="n">
        <v>0</v>
      </c>
      <c r="J348" t="n">
        <v>0</v>
      </c>
      <c r="K348" t="n">
        <v>0</v>
      </c>
      <c r="L348" t="n">
        <v>0</v>
      </c>
      <c r="M348" t="n">
        <v>0</v>
      </c>
      <c r="N348" t="n">
        <v>0</v>
      </c>
      <c r="O348" t="n">
        <v>0</v>
      </c>
      <c r="P348" t="n">
        <v>0</v>
      </c>
      <c r="Q348" t="n">
        <v>0</v>
      </c>
      <c r="R348" s="2" t="inlineStr"/>
    </row>
    <row r="349" ht="15" customHeight="1">
      <c r="A349" t="inlineStr">
        <is>
          <t>A 16552-2019</t>
        </is>
      </c>
      <c r="B349" s="1" t="n">
        <v>43546</v>
      </c>
      <c r="C349" s="1" t="n">
        <v>45337</v>
      </c>
      <c r="D349" t="inlineStr">
        <is>
          <t>VÄSTERNORRLANDS LÄN</t>
        </is>
      </c>
      <c r="E349" t="inlineStr">
        <is>
          <t>SOLLEFTEÅ</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16840-2019</t>
        </is>
      </c>
      <c r="B350" s="1" t="n">
        <v>43549</v>
      </c>
      <c r="C350" s="1" t="n">
        <v>45337</v>
      </c>
      <c r="D350" t="inlineStr">
        <is>
          <t>VÄSTERNORRLANDS LÄN</t>
        </is>
      </c>
      <c r="E350" t="inlineStr">
        <is>
          <t>SOLLEFTEÅ</t>
        </is>
      </c>
      <c r="F350" t="inlineStr">
        <is>
          <t>SCA</t>
        </is>
      </c>
      <c r="G350" t="n">
        <v>31.7</v>
      </c>
      <c r="H350" t="n">
        <v>0</v>
      </c>
      <c r="I350" t="n">
        <v>0</v>
      </c>
      <c r="J350" t="n">
        <v>0</v>
      </c>
      <c r="K350" t="n">
        <v>0</v>
      </c>
      <c r="L350" t="n">
        <v>0</v>
      </c>
      <c r="M350" t="n">
        <v>0</v>
      </c>
      <c r="N350" t="n">
        <v>0</v>
      </c>
      <c r="O350" t="n">
        <v>0</v>
      </c>
      <c r="P350" t="n">
        <v>0</v>
      </c>
      <c r="Q350" t="n">
        <v>0</v>
      </c>
      <c r="R350" s="2" t="inlineStr"/>
    </row>
    <row r="351" ht="15" customHeight="1">
      <c r="A351" t="inlineStr">
        <is>
          <t>A 16833-2019</t>
        </is>
      </c>
      <c r="B351" s="1" t="n">
        <v>43549</v>
      </c>
      <c r="C351" s="1" t="n">
        <v>45337</v>
      </c>
      <c r="D351" t="inlineStr">
        <is>
          <t>VÄSTERNORRLANDS LÄN</t>
        </is>
      </c>
      <c r="E351" t="inlineStr">
        <is>
          <t>SOLLEFTEÅ</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16832-2019</t>
        </is>
      </c>
      <c r="B352" s="1" t="n">
        <v>43549</v>
      </c>
      <c r="C352" s="1" t="n">
        <v>45337</v>
      </c>
      <c r="D352" t="inlineStr">
        <is>
          <t>VÄSTERNORRLANDS LÄN</t>
        </is>
      </c>
      <c r="E352" t="inlineStr">
        <is>
          <t>SOLLEFTEÅ</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17670-2019</t>
        </is>
      </c>
      <c r="B353" s="1" t="n">
        <v>43552</v>
      </c>
      <c r="C353" s="1" t="n">
        <v>45337</v>
      </c>
      <c r="D353" t="inlineStr">
        <is>
          <t>VÄSTERNORRLANDS LÄN</t>
        </is>
      </c>
      <c r="E353" t="inlineStr">
        <is>
          <t>SOLLEFTEÅ</t>
        </is>
      </c>
      <c r="G353" t="n">
        <v>6.6</v>
      </c>
      <c r="H353" t="n">
        <v>0</v>
      </c>
      <c r="I353" t="n">
        <v>0</v>
      </c>
      <c r="J353" t="n">
        <v>0</v>
      </c>
      <c r="K353" t="n">
        <v>0</v>
      </c>
      <c r="L353" t="n">
        <v>0</v>
      </c>
      <c r="M353" t="n">
        <v>0</v>
      </c>
      <c r="N353" t="n">
        <v>0</v>
      </c>
      <c r="O353" t="n">
        <v>0</v>
      </c>
      <c r="P353" t="n">
        <v>0</v>
      </c>
      <c r="Q353" t="n">
        <v>0</v>
      </c>
      <c r="R353" s="2" t="inlineStr"/>
    </row>
    <row r="354" ht="15" customHeight="1">
      <c r="A354" t="inlineStr">
        <is>
          <t>A 18277-2019</t>
        </is>
      </c>
      <c r="B354" s="1" t="n">
        <v>43557</v>
      </c>
      <c r="C354" s="1" t="n">
        <v>45337</v>
      </c>
      <c r="D354" t="inlineStr">
        <is>
          <t>VÄSTERNORRLANDS LÄN</t>
        </is>
      </c>
      <c r="E354" t="inlineStr">
        <is>
          <t>SOLLEFTEÅ</t>
        </is>
      </c>
      <c r="G354" t="n">
        <v>6.2</v>
      </c>
      <c r="H354" t="n">
        <v>0</v>
      </c>
      <c r="I354" t="n">
        <v>0</v>
      </c>
      <c r="J354" t="n">
        <v>0</v>
      </c>
      <c r="K354" t="n">
        <v>0</v>
      </c>
      <c r="L354" t="n">
        <v>0</v>
      </c>
      <c r="M354" t="n">
        <v>0</v>
      </c>
      <c r="N354" t="n">
        <v>0</v>
      </c>
      <c r="O354" t="n">
        <v>0</v>
      </c>
      <c r="P354" t="n">
        <v>0</v>
      </c>
      <c r="Q354" t="n">
        <v>0</v>
      </c>
      <c r="R354" s="2" t="inlineStr"/>
    </row>
    <row r="355" ht="15" customHeight="1">
      <c r="A355" t="inlineStr">
        <is>
          <t>A 18578-2019</t>
        </is>
      </c>
      <c r="B355" s="1" t="n">
        <v>43558</v>
      </c>
      <c r="C355" s="1" t="n">
        <v>45337</v>
      </c>
      <c r="D355" t="inlineStr">
        <is>
          <t>VÄSTERNORRLANDS LÄN</t>
        </is>
      </c>
      <c r="E355" t="inlineStr">
        <is>
          <t>SOLLEFTEÅ</t>
        </is>
      </c>
      <c r="G355" t="n">
        <v>1.7</v>
      </c>
      <c r="H355" t="n">
        <v>0</v>
      </c>
      <c r="I355" t="n">
        <v>0</v>
      </c>
      <c r="J355" t="n">
        <v>0</v>
      </c>
      <c r="K355" t="n">
        <v>0</v>
      </c>
      <c r="L355" t="n">
        <v>0</v>
      </c>
      <c r="M355" t="n">
        <v>0</v>
      </c>
      <c r="N355" t="n">
        <v>0</v>
      </c>
      <c r="O355" t="n">
        <v>0</v>
      </c>
      <c r="P355" t="n">
        <v>0</v>
      </c>
      <c r="Q355" t="n">
        <v>0</v>
      </c>
      <c r="R355" s="2" t="inlineStr"/>
    </row>
    <row r="356" ht="15" customHeight="1">
      <c r="A356" t="inlineStr">
        <is>
          <t>A 18452-2019</t>
        </is>
      </c>
      <c r="B356" s="1" t="n">
        <v>43559</v>
      </c>
      <c r="C356" s="1" t="n">
        <v>45337</v>
      </c>
      <c r="D356" t="inlineStr">
        <is>
          <t>VÄSTERNORRLANDS LÄN</t>
        </is>
      </c>
      <c r="E356" t="inlineStr">
        <is>
          <t>SOLLEFTEÅ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18925-2019</t>
        </is>
      </c>
      <c r="B357" s="1" t="n">
        <v>43563</v>
      </c>
      <c r="C357" s="1" t="n">
        <v>45337</v>
      </c>
      <c r="D357" t="inlineStr">
        <is>
          <t>VÄSTERNORRLANDS LÄN</t>
        </is>
      </c>
      <c r="E357" t="inlineStr">
        <is>
          <t>SOLLEFTEÅ</t>
        </is>
      </c>
      <c r="G357" t="n">
        <v>1.9</v>
      </c>
      <c r="H357" t="n">
        <v>0</v>
      </c>
      <c r="I357" t="n">
        <v>0</v>
      </c>
      <c r="J357" t="n">
        <v>0</v>
      </c>
      <c r="K357" t="n">
        <v>0</v>
      </c>
      <c r="L357" t="n">
        <v>0</v>
      </c>
      <c r="M357" t="n">
        <v>0</v>
      </c>
      <c r="N357" t="n">
        <v>0</v>
      </c>
      <c r="O357" t="n">
        <v>0</v>
      </c>
      <c r="P357" t="n">
        <v>0</v>
      </c>
      <c r="Q357" t="n">
        <v>0</v>
      </c>
      <c r="R357" s="2" t="inlineStr"/>
    </row>
    <row r="358" ht="15" customHeight="1">
      <c r="A358" t="inlineStr">
        <is>
          <t>A 19123-2019</t>
        </is>
      </c>
      <c r="B358" s="1" t="n">
        <v>43564</v>
      </c>
      <c r="C358" s="1" t="n">
        <v>45337</v>
      </c>
      <c r="D358" t="inlineStr">
        <is>
          <t>VÄSTERNORRLANDS LÄN</t>
        </is>
      </c>
      <c r="E358" t="inlineStr">
        <is>
          <t>SOLLEFTEÅ</t>
        </is>
      </c>
      <c r="G358" t="n">
        <v>9.4</v>
      </c>
      <c r="H358" t="n">
        <v>0</v>
      </c>
      <c r="I358" t="n">
        <v>0</v>
      </c>
      <c r="J358" t="n">
        <v>0</v>
      </c>
      <c r="K358" t="n">
        <v>0</v>
      </c>
      <c r="L358" t="n">
        <v>0</v>
      </c>
      <c r="M358" t="n">
        <v>0</v>
      </c>
      <c r="N358" t="n">
        <v>0</v>
      </c>
      <c r="O358" t="n">
        <v>0</v>
      </c>
      <c r="P358" t="n">
        <v>0</v>
      </c>
      <c r="Q358" t="n">
        <v>0</v>
      </c>
      <c r="R358" s="2" t="inlineStr"/>
    </row>
    <row r="359" ht="15" customHeight="1">
      <c r="A359" t="inlineStr">
        <is>
          <t>A 19219-2019</t>
        </is>
      </c>
      <c r="B359" s="1" t="n">
        <v>43564</v>
      </c>
      <c r="C359" s="1" t="n">
        <v>45337</v>
      </c>
      <c r="D359" t="inlineStr">
        <is>
          <t>VÄSTERNORRLANDS LÄN</t>
        </is>
      </c>
      <c r="E359" t="inlineStr">
        <is>
          <t>SOLLEFTEÅ</t>
        </is>
      </c>
      <c r="G359" t="n">
        <v>37</v>
      </c>
      <c r="H359" t="n">
        <v>0</v>
      </c>
      <c r="I359" t="n">
        <v>0</v>
      </c>
      <c r="J359" t="n">
        <v>0</v>
      </c>
      <c r="K359" t="n">
        <v>0</v>
      </c>
      <c r="L359" t="n">
        <v>0</v>
      </c>
      <c r="M359" t="n">
        <v>0</v>
      </c>
      <c r="N359" t="n">
        <v>0</v>
      </c>
      <c r="O359" t="n">
        <v>0</v>
      </c>
      <c r="P359" t="n">
        <v>0</v>
      </c>
      <c r="Q359" t="n">
        <v>0</v>
      </c>
      <c r="R359" s="2" t="inlineStr"/>
    </row>
    <row r="360" ht="15" customHeight="1">
      <c r="A360" t="inlineStr">
        <is>
          <t>A 19553-2019</t>
        </is>
      </c>
      <c r="B360" s="1" t="n">
        <v>43565</v>
      </c>
      <c r="C360" s="1" t="n">
        <v>45337</v>
      </c>
      <c r="D360" t="inlineStr">
        <is>
          <t>VÄSTERNORRLANDS LÄN</t>
        </is>
      </c>
      <c r="E360" t="inlineStr">
        <is>
          <t>SOLLEFTEÅ</t>
        </is>
      </c>
      <c r="G360" t="n">
        <v>28.1</v>
      </c>
      <c r="H360" t="n">
        <v>0</v>
      </c>
      <c r="I360" t="n">
        <v>0</v>
      </c>
      <c r="J360" t="n">
        <v>0</v>
      </c>
      <c r="K360" t="n">
        <v>0</v>
      </c>
      <c r="L360" t="n">
        <v>0</v>
      </c>
      <c r="M360" t="n">
        <v>0</v>
      </c>
      <c r="N360" t="n">
        <v>0</v>
      </c>
      <c r="O360" t="n">
        <v>0</v>
      </c>
      <c r="P360" t="n">
        <v>0</v>
      </c>
      <c r="Q360" t="n">
        <v>0</v>
      </c>
      <c r="R360" s="2" t="inlineStr"/>
    </row>
    <row r="361" ht="15" customHeight="1">
      <c r="A361" t="inlineStr">
        <is>
          <t>A 19730-2019</t>
        </is>
      </c>
      <c r="B361" s="1" t="n">
        <v>43566</v>
      </c>
      <c r="C361" s="1" t="n">
        <v>45337</v>
      </c>
      <c r="D361" t="inlineStr">
        <is>
          <t>VÄSTERNORRLANDS LÄN</t>
        </is>
      </c>
      <c r="E361" t="inlineStr">
        <is>
          <t>SOLLEFTEÅ</t>
        </is>
      </c>
      <c r="G361" t="n">
        <v>2</v>
      </c>
      <c r="H361" t="n">
        <v>0</v>
      </c>
      <c r="I361" t="n">
        <v>0</v>
      </c>
      <c r="J361" t="n">
        <v>0</v>
      </c>
      <c r="K361" t="n">
        <v>0</v>
      </c>
      <c r="L361" t="n">
        <v>0</v>
      </c>
      <c r="M361" t="n">
        <v>0</v>
      </c>
      <c r="N361" t="n">
        <v>0</v>
      </c>
      <c r="O361" t="n">
        <v>0</v>
      </c>
      <c r="P361" t="n">
        <v>0</v>
      </c>
      <c r="Q361" t="n">
        <v>0</v>
      </c>
      <c r="R361" s="2" t="inlineStr"/>
    </row>
    <row r="362" ht="15" customHeight="1">
      <c r="A362" t="inlineStr">
        <is>
          <t>A 19595-2019</t>
        </is>
      </c>
      <c r="B362" s="1" t="n">
        <v>43566</v>
      </c>
      <c r="C362" s="1" t="n">
        <v>45337</v>
      </c>
      <c r="D362" t="inlineStr">
        <is>
          <t>VÄSTERNORRLANDS LÄN</t>
        </is>
      </c>
      <c r="E362" t="inlineStr">
        <is>
          <t>SOLLEFTEÅ</t>
        </is>
      </c>
      <c r="F362" t="inlineStr">
        <is>
          <t>Kyrkan</t>
        </is>
      </c>
      <c r="G362" t="n">
        <v>2.5</v>
      </c>
      <c r="H362" t="n">
        <v>0</v>
      </c>
      <c r="I362" t="n">
        <v>0</v>
      </c>
      <c r="J362" t="n">
        <v>0</v>
      </c>
      <c r="K362" t="n">
        <v>0</v>
      </c>
      <c r="L362" t="n">
        <v>0</v>
      </c>
      <c r="M362" t="n">
        <v>0</v>
      </c>
      <c r="N362" t="n">
        <v>0</v>
      </c>
      <c r="O362" t="n">
        <v>0</v>
      </c>
      <c r="P362" t="n">
        <v>0</v>
      </c>
      <c r="Q362" t="n">
        <v>0</v>
      </c>
      <c r="R362" s="2" t="inlineStr"/>
    </row>
    <row r="363" ht="15" customHeight="1">
      <c r="A363" t="inlineStr">
        <is>
          <t>A 19732-2019</t>
        </is>
      </c>
      <c r="B363" s="1" t="n">
        <v>43566</v>
      </c>
      <c r="C363" s="1" t="n">
        <v>45337</v>
      </c>
      <c r="D363" t="inlineStr">
        <is>
          <t>VÄSTERNORRLANDS LÄN</t>
        </is>
      </c>
      <c r="E363" t="inlineStr">
        <is>
          <t>SOLLEFTEÅ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19731-2019</t>
        </is>
      </c>
      <c r="B364" s="1" t="n">
        <v>43566</v>
      </c>
      <c r="C364" s="1" t="n">
        <v>45337</v>
      </c>
      <c r="D364" t="inlineStr">
        <is>
          <t>VÄSTERNORRLANDS LÄN</t>
        </is>
      </c>
      <c r="E364" t="inlineStr">
        <is>
          <t>SOLLEFTEÅ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20201-2019</t>
        </is>
      </c>
      <c r="B365" s="1" t="n">
        <v>43570</v>
      </c>
      <c r="C365" s="1" t="n">
        <v>45337</v>
      </c>
      <c r="D365" t="inlineStr">
        <is>
          <t>VÄSTERNORRLANDS LÄN</t>
        </is>
      </c>
      <c r="E365" t="inlineStr">
        <is>
          <t>SOLLEFTEÅ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20198-2019</t>
        </is>
      </c>
      <c r="B366" s="1" t="n">
        <v>43570</v>
      </c>
      <c r="C366" s="1" t="n">
        <v>45337</v>
      </c>
      <c r="D366" t="inlineStr">
        <is>
          <t>VÄSTERNORRLANDS LÄN</t>
        </is>
      </c>
      <c r="E366" t="inlineStr">
        <is>
          <t>SOLLEFTEÅ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20200-2019</t>
        </is>
      </c>
      <c r="B367" s="1" t="n">
        <v>43570</v>
      </c>
      <c r="C367" s="1" t="n">
        <v>45337</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20444-2019</t>
        </is>
      </c>
      <c r="B368" s="1" t="n">
        <v>43571</v>
      </c>
      <c r="C368" s="1" t="n">
        <v>45337</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20649-2019</t>
        </is>
      </c>
      <c r="B369" s="1" t="n">
        <v>43572</v>
      </c>
      <c r="C369" s="1" t="n">
        <v>45337</v>
      </c>
      <c r="D369" t="inlineStr">
        <is>
          <t>VÄSTERNORRLANDS LÄN</t>
        </is>
      </c>
      <c r="E369" t="inlineStr">
        <is>
          <t>SOLLEFTEÅ</t>
        </is>
      </c>
      <c r="G369" t="n">
        <v>1.9</v>
      </c>
      <c r="H369" t="n">
        <v>0</v>
      </c>
      <c r="I369" t="n">
        <v>0</v>
      </c>
      <c r="J369" t="n">
        <v>0</v>
      </c>
      <c r="K369" t="n">
        <v>0</v>
      </c>
      <c r="L369" t="n">
        <v>0</v>
      </c>
      <c r="M369" t="n">
        <v>0</v>
      </c>
      <c r="N369" t="n">
        <v>0</v>
      </c>
      <c r="O369" t="n">
        <v>0</v>
      </c>
      <c r="P369" t="n">
        <v>0</v>
      </c>
      <c r="Q369" t="n">
        <v>0</v>
      </c>
      <c r="R369" s="2" t="inlineStr"/>
    </row>
    <row r="370" ht="15" customHeight="1">
      <c r="A370" t="inlineStr">
        <is>
          <t>A 20648-2019</t>
        </is>
      </c>
      <c r="B370" s="1" t="n">
        <v>43572</v>
      </c>
      <c r="C370" s="1" t="n">
        <v>45337</v>
      </c>
      <c r="D370" t="inlineStr">
        <is>
          <t>VÄSTERNORRLANDS LÄN</t>
        </is>
      </c>
      <c r="E370" t="inlineStr">
        <is>
          <t>SOLLEFTEÅ</t>
        </is>
      </c>
      <c r="G370" t="n">
        <v>3.9</v>
      </c>
      <c r="H370" t="n">
        <v>0</v>
      </c>
      <c r="I370" t="n">
        <v>0</v>
      </c>
      <c r="J370" t="n">
        <v>0</v>
      </c>
      <c r="K370" t="n">
        <v>0</v>
      </c>
      <c r="L370" t="n">
        <v>0</v>
      </c>
      <c r="M370" t="n">
        <v>0</v>
      </c>
      <c r="N370" t="n">
        <v>0</v>
      </c>
      <c r="O370" t="n">
        <v>0</v>
      </c>
      <c r="P370" t="n">
        <v>0</v>
      </c>
      <c r="Q370" t="n">
        <v>0</v>
      </c>
      <c r="R370" s="2" t="inlineStr"/>
    </row>
    <row r="371" ht="15" customHeight="1">
      <c r="A371" t="inlineStr">
        <is>
          <t>A 21119-2019</t>
        </is>
      </c>
      <c r="B371" s="1" t="n">
        <v>43578</v>
      </c>
      <c r="C371" s="1" t="n">
        <v>45337</v>
      </c>
      <c r="D371" t="inlineStr">
        <is>
          <t>VÄSTERNORRLANDS LÄN</t>
        </is>
      </c>
      <c r="E371" t="inlineStr">
        <is>
          <t>SOLLEFTEÅ</t>
        </is>
      </c>
      <c r="F371" t="inlineStr">
        <is>
          <t>SCA</t>
        </is>
      </c>
      <c r="G371" t="n">
        <v>57.7</v>
      </c>
      <c r="H371" t="n">
        <v>0</v>
      </c>
      <c r="I371" t="n">
        <v>0</v>
      </c>
      <c r="J371" t="n">
        <v>0</v>
      </c>
      <c r="K371" t="n">
        <v>0</v>
      </c>
      <c r="L371" t="n">
        <v>0</v>
      </c>
      <c r="M371" t="n">
        <v>0</v>
      </c>
      <c r="N371" t="n">
        <v>0</v>
      </c>
      <c r="O371" t="n">
        <v>0</v>
      </c>
      <c r="P371" t="n">
        <v>0</v>
      </c>
      <c r="Q371" t="n">
        <v>0</v>
      </c>
      <c r="R371" s="2" t="inlineStr"/>
    </row>
    <row r="372" ht="15" customHeight="1">
      <c r="A372" t="inlineStr">
        <is>
          <t>A 21526-2019</t>
        </is>
      </c>
      <c r="B372" s="1" t="n">
        <v>43580</v>
      </c>
      <c r="C372" s="1" t="n">
        <v>45337</v>
      </c>
      <c r="D372" t="inlineStr">
        <is>
          <t>VÄSTERNORRLANDS LÄN</t>
        </is>
      </c>
      <c r="E372" t="inlineStr">
        <is>
          <t>SOLLEFTEÅ</t>
        </is>
      </c>
      <c r="G372" t="n">
        <v>3.1</v>
      </c>
      <c r="H372" t="n">
        <v>0</v>
      </c>
      <c r="I372" t="n">
        <v>0</v>
      </c>
      <c r="J372" t="n">
        <v>0</v>
      </c>
      <c r="K372" t="n">
        <v>0</v>
      </c>
      <c r="L372" t="n">
        <v>0</v>
      </c>
      <c r="M372" t="n">
        <v>0</v>
      </c>
      <c r="N372" t="n">
        <v>0</v>
      </c>
      <c r="O372" t="n">
        <v>0</v>
      </c>
      <c r="P372" t="n">
        <v>0</v>
      </c>
      <c r="Q372" t="n">
        <v>0</v>
      </c>
      <c r="R372" s="2" t="inlineStr"/>
    </row>
    <row r="373" ht="15" customHeight="1">
      <c r="A373" t="inlineStr">
        <is>
          <t>A 21799-2019</t>
        </is>
      </c>
      <c r="B373" s="1" t="n">
        <v>43581</v>
      </c>
      <c r="C373" s="1" t="n">
        <v>45337</v>
      </c>
      <c r="D373" t="inlineStr">
        <is>
          <t>VÄSTERNORRLANDS LÄN</t>
        </is>
      </c>
      <c r="E373" t="inlineStr">
        <is>
          <t>SOLLEFTEÅ</t>
        </is>
      </c>
      <c r="F373" t="inlineStr">
        <is>
          <t>SCA</t>
        </is>
      </c>
      <c r="G373" t="n">
        <v>14.1</v>
      </c>
      <c r="H373" t="n">
        <v>0</v>
      </c>
      <c r="I373" t="n">
        <v>0</v>
      </c>
      <c r="J373" t="n">
        <v>0</v>
      </c>
      <c r="K373" t="n">
        <v>0</v>
      </c>
      <c r="L373" t="n">
        <v>0</v>
      </c>
      <c r="M373" t="n">
        <v>0</v>
      </c>
      <c r="N373" t="n">
        <v>0</v>
      </c>
      <c r="O373" t="n">
        <v>0</v>
      </c>
      <c r="P373" t="n">
        <v>0</v>
      </c>
      <c r="Q373" t="n">
        <v>0</v>
      </c>
      <c r="R373" s="2" t="inlineStr"/>
    </row>
    <row r="374" ht="15" customHeight="1">
      <c r="A374" t="inlineStr">
        <is>
          <t>A 21788-2019</t>
        </is>
      </c>
      <c r="B374" s="1" t="n">
        <v>43581</v>
      </c>
      <c r="C374" s="1" t="n">
        <v>45337</v>
      </c>
      <c r="D374" t="inlineStr">
        <is>
          <t>VÄSTERNORRLANDS LÄN</t>
        </is>
      </c>
      <c r="E374" t="inlineStr">
        <is>
          <t>SOLLEFTEÅ</t>
        </is>
      </c>
      <c r="F374" t="inlineStr">
        <is>
          <t>SCA</t>
        </is>
      </c>
      <c r="G374" t="n">
        <v>7.7</v>
      </c>
      <c r="H374" t="n">
        <v>0</v>
      </c>
      <c r="I374" t="n">
        <v>0</v>
      </c>
      <c r="J374" t="n">
        <v>0</v>
      </c>
      <c r="K374" t="n">
        <v>0</v>
      </c>
      <c r="L374" t="n">
        <v>0</v>
      </c>
      <c r="M374" t="n">
        <v>0</v>
      </c>
      <c r="N374" t="n">
        <v>0</v>
      </c>
      <c r="O374" t="n">
        <v>0</v>
      </c>
      <c r="P374" t="n">
        <v>0</v>
      </c>
      <c r="Q374" t="n">
        <v>0</v>
      </c>
      <c r="R374" s="2" t="inlineStr"/>
    </row>
    <row r="375" ht="15" customHeight="1">
      <c r="A375" t="inlineStr">
        <is>
          <t>A 22088-2019</t>
        </is>
      </c>
      <c r="B375" s="1" t="n">
        <v>43584</v>
      </c>
      <c r="C375" s="1" t="n">
        <v>45337</v>
      </c>
      <c r="D375" t="inlineStr">
        <is>
          <t>VÄSTERNORRLANDS LÄN</t>
        </is>
      </c>
      <c r="E375" t="inlineStr">
        <is>
          <t>SOLLEFTEÅ</t>
        </is>
      </c>
      <c r="F375" t="inlineStr">
        <is>
          <t>SCA</t>
        </is>
      </c>
      <c r="G375" t="n">
        <v>37.9</v>
      </c>
      <c r="H375" t="n">
        <v>0</v>
      </c>
      <c r="I375" t="n">
        <v>0</v>
      </c>
      <c r="J375" t="n">
        <v>0</v>
      </c>
      <c r="K375" t="n">
        <v>0</v>
      </c>
      <c r="L375" t="n">
        <v>0</v>
      </c>
      <c r="M375" t="n">
        <v>0</v>
      </c>
      <c r="N375" t="n">
        <v>0</v>
      </c>
      <c r="O375" t="n">
        <v>0</v>
      </c>
      <c r="P375" t="n">
        <v>0</v>
      </c>
      <c r="Q375" t="n">
        <v>0</v>
      </c>
      <c r="R375" s="2" t="inlineStr"/>
    </row>
    <row r="376" ht="15" customHeight="1">
      <c r="A376" t="inlineStr">
        <is>
          <t>A 22283-2019</t>
        </is>
      </c>
      <c r="B376" s="1" t="n">
        <v>43585</v>
      </c>
      <c r="C376" s="1" t="n">
        <v>45337</v>
      </c>
      <c r="D376" t="inlineStr">
        <is>
          <t>VÄSTERNORRLANDS LÄN</t>
        </is>
      </c>
      <c r="E376" t="inlineStr">
        <is>
          <t>SOLLEFTEÅ</t>
        </is>
      </c>
      <c r="F376" t="inlineStr">
        <is>
          <t>SCA</t>
        </is>
      </c>
      <c r="G376" t="n">
        <v>9.1</v>
      </c>
      <c r="H376" t="n">
        <v>0</v>
      </c>
      <c r="I376" t="n">
        <v>0</v>
      </c>
      <c r="J376" t="n">
        <v>0</v>
      </c>
      <c r="K376" t="n">
        <v>0</v>
      </c>
      <c r="L376" t="n">
        <v>0</v>
      </c>
      <c r="M376" t="n">
        <v>0</v>
      </c>
      <c r="N376" t="n">
        <v>0</v>
      </c>
      <c r="O376" t="n">
        <v>0</v>
      </c>
      <c r="P376" t="n">
        <v>0</v>
      </c>
      <c r="Q376" t="n">
        <v>0</v>
      </c>
      <c r="R376" s="2" t="inlineStr"/>
    </row>
    <row r="377" ht="15" customHeight="1">
      <c r="A377" t="inlineStr">
        <is>
          <t>A 22587-2019</t>
        </is>
      </c>
      <c r="B377" s="1" t="n">
        <v>43587</v>
      </c>
      <c r="C377" s="1" t="n">
        <v>45337</v>
      </c>
      <c r="D377" t="inlineStr">
        <is>
          <t>VÄSTERNORRLANDS LÄN</t>
        </is>
      </c>
      <c r="E377" t="inlineStr">
        <is>
          <t>SOLLEFTEÅ</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23241-2019</t>
        </is>
      </c>
      <c r="B378" s="1" t="n">
        <v>43591</v>
      </c>
      <c r="C378" s="1" t="n">
        <v>45337</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23314-2019</t>
        </is>
      </c>
      <c r="B379" s="1" t="n">
        <v>43591</v>
      </c>
      <c r="C379" s="1" t="n">
        <v>45337</v>
      </c>
      <c r="D379" t="inlineStr">
        <is>
          <t>VÄSTERNORRLANDS LÄN</t>
        </is>
      </c>
      <c r="E379" t="inlineStr">
        <is>
          <t>SOLLEFTEÅ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23323-2019</t>
        </is>
      </c>
      <c r="B380" s="1" t="n">
        <v>43591</v>
      </c>
      <c r="C380" s="1" t="n">
        <v>45337</v>
      </c>
      <c r="D380" t="inlineStr">
        <is>
          <t>VÄSTERNORRLANDS LÄN</t>
        </is>
      </c>
      <c r="E380" t="inlineStr">
        <is>
          <t>SOLLEFTEÅ</t>
        </is>
      </c>
      <c r="G380" t="n">
        <v>2.4</v>
      </c>
      <c r="H380" t="n">
        <v>0</v>
      </c>
      <c r="I380" t="n">
        <v>0</v>
      </c>
      <c r="J380" t="n">
        <v>0</v>
      </c>
      <c r="K380" t="n">
        <v>0</v>
      </c>
      <c r="L380" t="n">
        <v>0</v>
      </c>
      <c r="M380" t="n">
        <v>0</v>
      </c>
      <c r="N380" t="n">
        <v>0</v>
      </c>
      <c r="O380" t="n">
        <v>0</v>
      </c>
      <c r="P380" t="n">
        <v>0</v>
      </c>
      <c r="Q380" t="n">
        <v>0</v>
      </c>
      <c r="R380" s="2" t="inlineStr"/>
    </row>
    <row r="381" ht="15" customHeight="1">
      <c r="A381" t="inlineStr">
        <is>
          <t>A 23246-2019</t>
        </is>
      </c>
      <c r="B381" s="1" t="n">
        <v>43591</v>
      </c>
      <c r="C381" s="1" t="n">
        <v>45337</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24157-2019</t>
        </is>
      </c>
      <c r="B382" s="1" t="n">
        <v>43598</v>
      </c>
      <c r="C382" s="1" t="n">
        <v>45337</v>
      </c>
      <c r="D382" t="inlineStr">
        <is>
          <t>VÄSTERNORRLANDS LÄN</t>
        </is>
      </c>
      <c r="E382" t="inlineStr">
        <is>
          <t>SOLLEFTEÅ</t>
        </is>
      </c>
      <c r="F382" t="inlineStr">
        <is>
          <t>SCA</t>
        </is>
      </c>
      <c r="G382" t="n">
        <v>0.1</v>
      </c>
      <c r="H382" t="n">
        <v>0</v>
      </c>
      <c r="I382" t="n">
        <v>0</v>
      </c>
      <c r="J382" t="n">
        <v>0</v>
      </c>
      <c r="K382" t="n">
        <v>0</v>
      </c>
      <c r="L382" t="n">
        <v>0</v>
      </c>
      <c r="M382" t="n">
        <v>0</v>
      </c>
      <c r="N382" t="n">
        <v>0</v>
      </c>
      <c r="O382" t="n">
        <v>0</v>
      </c>
      <c r="P382" t="n">
        <v>0</v>
      </c>
      <c r="Q382" t="n">
        <v>0</v>
      </c>
      <c r="R382" s="2" t="inlineStr"/>
    </row>
    <row r="383" ht="15" customHeight="1">
      <c r="A383" t="inlineStr">
        <is>
          <t>A 24168-2019</t>
        </is>
      </c>
      <c r="B383" s="1" t="n">
        <v>43598</v>
      </c>
      <c r="C383" s="1" t="n">
        <v>45337</v>
      </c>
      <c r="D383" t="inlineStr">
        <is>
          <t>VÄSTERNORRLANDS LÄN</t>
        </is>
      </c>
      <c r="E383" t="inlineStr">
        <is>
          <t>SOLLEFTEÅ</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25334-2019</t>
        </is>
      </c>
      <c r="B384" s="1" t="n">
        <v>43601</v>
      </c>
      <c r="C384" s="1" t="n">
        <v>45337</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25331-2019</t>
        </is>
      </c>
      <c r="B385" s="1" t="n">
        <v>43601</v>
      </c>
      <c r="C385" s="1" t="n">
        <v>45337</v>
      </c>
      <c r="D385" t="inlineStr">
        <is>
          <t>VÄSTERNORRLANDS LÄN</t>
        </is>
      </c>
      <c r="E385" t="inlineStr">
        <is>
          <t>SOLLEFTEÅ</t>
        </is>
      </c>
      <c r="G385" t="n">
        <v>7.2</v>
      </c>
      <c r="H385" t="n">
        <v>0</v>
      </c>
      <c r="I385" t="n">
        <v>0</v>
      </c>
      <c r="J385" t="n">
        <v>0</v>
      </c>
      <c r="K385" t="n">
        <v>0</v>
      </c>
      <c r="L385" t="n">
        <v>0</v>
      </c>
      <c r="M385" t="n">
        <v>0</v>
      </c>
      <c r="N385" t="n">
        <v>0</v>
      </c>
      <c r="O385" t="n">
        <v>0</v>
      </c>
      <c r="P385" t="n">
        <v>0</v>
      </c>
      <c r="Q385" t="n">
        <v>0</v>
      </c>
      <c r="R385" s="2" t="inlineStr"/>
    </row>
    <row r="386" ht="15" customHeight="1">
      <c r="A386" t="inlineStr">
        <is>
          <t>A 25260-2019</t>
        </is>
      </c>
      <c r="B386" s="1" t="n">
        <v>43601</v>
      </c>
      <c r="C386" s="1" t="n">
        <v>45337</v>
      </c>
      <c r="D386" t="inlineStr">
        <is>
          <t>VÄSTERNORRLANDS LÄN</t>
        </is>
      </c>
      <c r="E386" t="inlineStr">
        <is>
          <t>SOLLEFTEÅ</t>
        </is>
      </c>
      <c r="G386" t="n">
        <v>3.4</v>
      </c>
      <c r="H386" t="n">
        <v>0</v>
      </c>
      <c r="I386" t="n">
        <v>0</v>
      </c>
      <c r="J386" t="n">
        <v>0</v>
      </c>
      <c r="K386" t="n">
        <v>0</v>
      </c>
      <c r="L386" t="n">
        <v>0</v>
      </c>
      <c r="M386" t="n">
        <v>0</v>
      </c>
      <c r="N386" t="n">
        <v>0</v>
      </c>
      <c r="O386" t="n">
        <v>0</v>
      </c>
      <c r="P386" t="n">
        <v>0</v>
      </c>
      <c r="Q386" t="n">
        <v>0</v>
      </c>
      <c r="R386" s="2" t="inlineStr"/>
    </row>
    <row r="387" ht="15" customHeight="1">
      <c r="A387" t="inlineStr">
        <is>
          <t>A 25328-2019</t>
        </is>
      </c>
      <c r="B387" s="1" t="n">
        <v>43601</v>
      </c>
      <c r="C387" s="1" t="n">
        <v>45337</v>
      </c>
      <c r="D387" t="inlineStr">
        <is>
          <t>VÄSTERNORRLANDS LÄN</t>
        </is>
      </c>
      <c r="E387" t="inlineStr">
        <is>
          <t>SOLLEFTEÅ</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25014-2019</t>
        </is>
      </c>
      <c r="B388" s="1" t="n">
        <v>43602</v>
      </c>
      <c r="C388" s="1" t="n">
        <v>45337</v>
      </c>
      <c r="D388" t="inlineStr">
        <is>
          <t>VÄSTERNORRLANDS LÄN</t>
        </is>
      </c>
      <c r="E388" t="inlineStr">
        <is>
          <t>SOLLEFTEÅ</t>
        </is>
      </c>
      <c r="F388" t="inlineStr">
        <is>
          <t>SCA</t>
        </is>
      </c>
      <c r="G388" t="n">
        <v>11.1</v>
      </c>
      <c r="H388" t="n">
        <v>0</v>
      </c>
      <c r="I388" t="n">
        <v>0</v>
      </c>
      <c r="J388" t="n">
        <v>0</v>
      </c>
      <c r="K388" t="n">
        <v>0</v>
      </c>
      <c r="L388" t="n">
        <v>0</v>
      </c>
      <c r="M388" t="n">
        <v>0</v>
      </c>
      <c r="N388" t="n">
        <v>0</v>
      </c>
      <c r="O388" t="n">
        <v>0</v>
      </c>
      <c r="P388" t="n">
        <v>0</v>
      </c>
      <c r="Q388" t="n">
        <v>0</v>
      </c>
      <c r="R388" s="2" t="inlineStr"/>
    </row>
    <row r="389" ht="15" customHeight="1">
      <c r="A389" t="inlineStr">
        <is>
          <t>A 26111-2019</t>
        </is>
      </c>
      <c r="B389" s="1" t="n">
        <v>43605</v>
      </c>
      <c r="C389" s="1" t="n">
        <v>45337</v>
      </c>
      <c r="D389" t="inlineStr">
        <is>
          <t>VÄSTERNORRLANDS LÄN</t>
        </is>
      </c>
      <c r="E389" t="inlineStr">
        <is>
          <t>SOLLEFTEÅ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25714-2019</t>
        </is>
      </c>
      <c r="B390" s="1" t="n">
        <v>43607</v>
      </c>
      <c r="C390" s="1" t="n">
        <v>45337</v>
      </c>
      <c r="D390" t="inlineStr">
        <is>
          <t>VÄSTERNORRLANDS LÄN</t>
        </is>
      </c>
      <c r="E390" t="inlineStr">
        <is>
          <t>SOLLEFTEÅ</t>
        </is>
      </c>
      <c r="F390" t="inlineStr">
        <is>
          <t>SCA</t>
        </is>
      </c>
      <c r="G390" t="n">
        <v>28.3</v>
      </c>
      <c r="H390" t="n">
        <v>0</v>
      </c>
      <c r="I390" t="n">
        <v>0</v>
      </c>
      <c r="J390" t="n">
        <v>0</v>
      </c>
      <c r="K390" t="n">
        <v>0</v>
      </c>
      <c r="L390" t="n">
        <v>0</v>
      </c>
      <c r="M390" t="n">
        <v>0</v>
      </c>
      <c r="N390" t="n">
        <v>0</v>
      </c>
      <c r="O390" t="n">
        <v>0</v>
      </c>
      <c r="P390" t="n">
        <v>0</v>
      </c>
      <c r="Q390" t="n">
        <v>0</v>
      </c>
      <c r="R390" s="2" t="inlineStr"/>
    </row>
    <row r="391" ht="15" customHeight="1">
      <c r="A391" t="inlineStr">
        <is>
          <t>A 25979-2019</t>
        </is>
      </c>
      <c r="B391" s="1" t="n">
        <v>43608</v>
      </c>
      <c r="C391" s="1" t="n">
        <v>45337</v>
      </c>
      <c r="D391" t="inlineStr">
        <is>
          <t>VÄSTERNORRLANDS LÄN</t>
        </is>
      </c>
      <c r="E391" t="inlineStr">
        <is>
          <t>SOLLEFTEÅ</t>
        </is>
      </c>
      <c r="F391" t="inlineStr">
        <is>
          <t>SCA</t>
        </is>
      </c>
      <c r="G391" t="n">
        <v>26.1</v>
      </c>
      <c r="H391" t="n">
        <v>0</v>
      </c>
      <c r="I391" t="n">
        <v>0</v>
      </c>
      <c r="J391" t="n">
        <v>0</v>
      </c>
      <c r="K391" t="n">
        <v>0</v>
      </c>
      <c r="L391" t="n">
        <v>0</v>
      </c>
      <c r="M391" t="n">
        <v>0</v>
      </c>
      <c r="N391" t="n">
        <v>0</v>
      </c>
      <c r="O391" t="n">
        <v>0</v>
      </c>
      <c r="P391" t="n">
        <v>0</v>
      </c>
      <c r="Q391" t="n">
        <v>0</v>
      </c>
      <c r="R391" s="2" t="inlineStr"/>
    </row>
    <row r="392" ht="15" customHeight="1">
      <c r="A392" t="inlineStr">
        <is>
          <t>A 25982-2019</t>
        </is>
      </c>
      <c r="B392" s="1" t="n">
        <v>43608</v>
      </c>
      <c r="C392" s="1" t="n">
        <v>45337</v>
      </c>
      <c r="D392" t="inlineStr">
        <is>
          <t>VÄSTERNORRLANDS LÄN</t>
        </is>
      </c>
      <c r="E392" t="inlineStr">
        <is>
          <t>SOLLEFTEÅ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25997-2019</t>
        </is>
      </c>
      <c r="B393" s="1" t="n">
        <v>43608</v>
      </c>
      <c r="C393" s="1" t="n">
        <v>45337</v>
      </c>
      <c r="D393" t="inlineStr">
        <is>
          <t>VÄSTERNORRLANDS LÄN</t>
        </is>
      </c>
      <c r="E393" t="inlineStr">
        <is>
          <t>SOLLEFTEÅ</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25959-2019</t>
        </is>
      </c>
      <c r="B394" s="1" t="n">
        <v>43608</v>
      </c>
      <c r="C394" s="1" t="n">
        <v>45337</v>
      </c>
      <c r="D394" t="inlineStr">
        <is>
          <t>VÄSTERNORRLANDS LÄN</t>
        </is>
      </c>
      <c r="E394" t="inlineStr">
        <is>
          <t>SOLLEFTEÅ</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26254-2019</t>
        </is>
      </c>
      <c r="B395" s="1" t="n">
        <v>43609</v>
      </c>
      <c r="C395" s="1" t="n">
        <v>45337</v>
      </c>
      <c r="D395" t="inlineStr">
        <is>
          <t>VÄSTERNORRLANDS LÄN</t>
        </is>
      </c>
      <c r="E395" t="inlineStr">
        <is>
          <t>SOLLEFTEÅ</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26253-2019</t>
        </is>
      </c>
      <c r="B396" s="1" t="n">
        <v>43609</v>
      </c>
      <c r="C396" s="1" t="n">
        <v>45337</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26640-2019</t>
        </is>
      </c>
      <c r="B397" s="1" t="n">
        <v>43612</v>
      </c>
      <c r="C397" s="1" t="n">
        <v>45337</v>
      </c>
      <c r="D397" t="inlineStr">
        <is>
          <t>VÄSTERNORRLANDS LÄN</t>
        </is>
      </c>
      <c r="E397" t="inlineStr">
        <is>
          <t>SOLLEFTEÅ</t>
        </is>
      </c>
      <c r="F397" t="inlineStr">
        <is>
          <t>SCA</t>
        </is>
      </c>
      <c r="G397" t="n">
        <v>10.4</v>
      </c>
      <c r="H397" t="n">
        <v>0</v>
      </c>
      <c r="I397" t="n">
        <v>0</v>
      </c>
      <c r="J397" t="n">
        <v>0</v>
      </c>
      <c r="K397" t="n">
        <v>0</v>
      </c>
      <c r="L397" t="n">
        <v>0</v>
      </c>
      <c r="M397" t="n">
        <v>0</v>
      </c>
      <c r="N397" t="n">
        <v>0</v>
      </c>
      <c r="O397" t="n">
        <v>0</v>
      </c>
      <c r="P397" t="n">
        <v>0</v>
      </c>
      <c r="Q397" t="n">
        <v>0</v>
      </c>
      <c r="R397" s="2" t="inlineStr"/>
    </row>
    <row r="398" ht="15" customHeight="1">
      <c r="A398" t="inlineStr">
        <is>
          <t>A 27597-2019</t>
        </is>
      </c>
      <c r="B398" s="1" t="n">
        <v>43612</v>
      </c>
      <c r="C398" s="1" t="n">
        <v>45337</v>
      </c>
      <c r="D398" t="inlineStr">
        <is>
          <t>VÄSTERNORRLANDS LÄN</t>
        </is>
      </c>
      <c r="E398" t="inlineStr">
        <is>
          <t>SOLLEFTEÅ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26945-2019</t>
        </is>
      </c>
      <c r="B399" s="1" t="n">
        <v>43613</v>
      </c>
      <c r="C399" s="1" t="n">
        <v>45337</v>
      </c>
      <c r="D399" t="inlineStr">
        <is>
          <t>VÄSTERNORRLANDS LÄN</t>
        </is>
      </c>
      <c r="E399" t="inlineStr">
        <is>
          <t>SOLLEFTEÅ</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26957-2019</t>
        </is>
      </c>
      <c r="B400" s="1" t="n">
        <v>43613</v>
      </c>
      <c r="C400" s="1" t="n">
        <v>45337</v>
      </c>
      <c r="D400" t="inlineStr">
        <is>
          <t>VÄSTERNORRLANDS LÄN</t>
        </is>
      </c>
      <c r="E400" t="inlineStr">
        <is>
          <t>SOLLEFTEÅ</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27226-2019</t>
        </is>
      </c>
      <c r="B401" s="1" t="n">
        <v>43614</v>
      </c>
      <c r="C401" s="1" t="n">
        <v>45337</v>
      </c>
      <c r="D401" t="inlineStr">
        <is>
          <t>VÄSTERNORRLANDS LÄN</t>
        </is>
      </c>
      <c r="E401" t="inlineStr">
        <is>
          <t>SOLLEFTEÅ</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27979-2019</t>
        </is>
      </c>
      <c r="B402" s="1" t="n">
        <v>43620</v>
      </c>
      <c r="C402" s="1" t="n">
        <v>45337</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28212-2019</t>
        </is>
      </c>
      <c r="B403" s="1" t="n">
        <v>43621</v>
      </c>
      <c r="C403" s="1" t="n">
        <v>45337</v>
      </c>
      <c r="D403" t="inlineStr">
        <is>
          <t>VÄSTERNORRLANDS LÄN</t>
        </is>
      </c>
      <c r="E403" t="inlineStr">
        <is>
          <t>SOLLEFTEÅ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28236-2019</t>
        </is>
      </c>
      <c r="B404" s="1" t="n">
        <v>43621</v>
      </c>
      <c r="C404" s="1" t="n">
        <v>45337</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30383-2019</t>
        </is>
      </c>
      <c r="B405" s="1" t="n">
        <v>43634</v>
      </c>
      <c r="C405" s="1" t="n">
        <v>45337</v>
      </c>
      <c r="D405" t="inlineStr">
        <is>
          <t>VÄSTERNORRLANDS LÄN</t>
        </is>
      </c>
      <c r="E405" t="inlineStr">
        <is>
          <t>SOLLEFTEÅ</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30628-2019</t>
        </is>
      </c>
      <c r="B406" s="1" t="n">
        <v>43635</v>
      </c>
      <c r="C406" s="1" t="n">
        <v>45337</v>
      </c>
      <c r="D406" t="inlineStr">
        <is>
          <t>VÄSTERNORRLANDS LÄN</t>
        </is>
      </c>
      <c r="E406" t="inlineStr">
        <is>
          <t>SOLLEFTEÅ</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32202-2019</t>
        </is>
      </c>
      <c r="B407" s="1" t="n">
        <v>43643</v>
      </c>
      <c r="C407" s="1" t="n">
        <v>45337</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32203-2019</t>
        </is>
      </c>
      <c r="B408" s="1" t="n">
        <v>43643</v>
      </c>
      <c r="C408" s="1" t="n">
        <v>45337</v>
      </c>
      <c r="D408" t="inlineStr">
        <is>
          <t>VÄSTERNORRLANDS LÄN</t>
        </is>
      </c>
      <c r="E408" t="inlineStr">
        <is>
          <t>SOLLEFTEÅ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32744-2019</t>
        </is>
      </c>
      <c r="B409" s="1" t="n">
        <v>43647</v>
      </c>
      <c r="C409" s="1" t="n">
        <v>45337</v>
      </c>
      <c r="D409" t="inlineStr">
        <is>
          <t>VÄSTERNORRLANDS LÄN</t>
        </is>
      </c>
      <c r="E409" t="inlineStr">
        <is>
          <t>SOLLEFTEÅ</t>
        </is>
      </c>
      <c r="F409" t="inlineStr">
        <is>
          <t>SCA</t>
        </is>
      </c>
      <c r="G409" t="n">
        <v>33.3</v>
      </c>
      <c r="H409" t="n">
        <v>0</v>
      </c>
      <c r="I409" t="n">
        <v>0</v>
      </c>
      <c r="J409" t="n">
        <v>0</v>
      </c>
      <c r="K409" t="n">
        <v>0</v>
      </c>
      <c r="L409" t="n">
        <v>0</v>
      </c>
      <c r="M409" t="n">
        <v>0</v>
      </c>
      <c r="N409" t="n">
        <v>0</v>
      </c>
      <c r="O409" t="n">
        <v>0</v>
      </c>
      <c r="P409" t="n">
        <v>0</v>
      </c>
      <c r="Q409" t="n">
        <v>0</v>
      </c>
      <c r="R409" s="2" t="inlineStr"/>
    </row>
    <row r="410" ht="15" customHeight="1">
      <c r="A410" t="inlineStr">
        <is>
          <t>A 33217-2019</t>
        </is>
      </c>
      <c r="B410" s="1" t="n">
        <v>43649</v>
      </c>
      <c r="C410" s="1" t="n">
        <v>45337</v>
      </c>
      <c r="D410" t="inlineStr">
        <is>
          <t>VÄSTERNORRLANDS LÄN</t>
        </is>
      </c>
      <c r="E410" t="inlineStr">
        <is>
          <t>SOLLEFTEÅ</t>
        </is>
      </c>
      <c r="G410" t="n">
        <v>29.3</v>
      </c>
      <c r="H410" t="n">
        <v>0</v>
      </c>
      <c r="I410" t="n">
        <v>0</v>
      </c>
      <c r="J410" t="n">
        <v>0</v>
      </c>
      <c r="K410" t="n">
        <v>0</v>
      </c>
      <c r="L410" t="n">
        <v>0</v>
      </c>
      <c r="M410" t="n">
        <v>0</v>
      </c>
      <c r="N410" t="n">
        <v>0</v>
      </c>
      <c r="O410" t="n">
        <v>0</v>
      </c>
      <c r="P410" t="n">
        <v>0</v>
      </c>
      <c r="Q410" t="n">
        <v>0</v>
      </c>
      <c r="R410" s="2" t="inlineStr"/>
    </row>
    <row r="411" ht="15" customHeight="1">
      <c r="A411" t="inlineStr">
        <is>
          <t>A 34886-2019</t>
        </is>
      </c>
      <c r="B411" s="1" t="n">
        <v>43650</v>
      </c>
      <c r="C411" s="1" t="n">
        <v>45337</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33833-2019</t>
        </is>
      </c>
      <c r="B412" s="1" t="n">
        <v>43651</v>
      </c>
      <c r="C412" s="1" t="n">
        <v>45337</v>
      </c>
      <c r="D412" t="inlineStr">
        <is>
          <t>VÄSTERNORRLANDS LÄN</t>
        </is>
      </c>
      <c r="E412" t="inlineStr">
        <is>
          <t>SOLLEFTEÅ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33826-2019</t>
        </is>
      </c>
      <c r="B413" s="1" t="n">
        <v>43651</v>
      </c>
      <c r="C413" s="1" t="n">
        <v>45337</v>
      </c>
      <c r="D413" t="inlineStr">
        <is>
          <t>VÄSTERNORRLANDS LÄN</t>
        </is>
      </c>
      <c r="E413" t="inlineStr">
        <is>
          <t>SOLLEFTEÅ</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33852-2019</t>
        </is>
      </c>
      <c r="B414" s="1" t="n">
        <v>43651</v>
      </c>
      <c r="C414" s="1" t="n">
        <v>45337</v>
      </c>
      <c r="D414" t="inlineStr">
        <is>
          <t>VÄSTERNORRLANDS LÄN</t>
        </is>
      </c>
      <c r="E414" t="inlineStr">
        <is>
          <t>SOLLEFTEÅ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33914-2019</t>
        </is>
      </c>
      <c r="B415" s="1" t="n">
        <v>43654</v>
      </c>
      <c r="C415" s="1" t="n">
        <v>45337</v>
      </c>
      <c r="D415" t="inlineStr">
        <is>
          <t>VÄSTERNORRLANDS LÄN</t>
        </is>
      </c>
      <c r="E415" t="inlineStr">
        <is>
          <t>SOLLEFTEÅ</t>
        </is>
      </c>
      <c r="G415" t="n">
        <v>2.9</v>
      </c>
      <c r="H415" t="n">
        <v>0</v>
      </c>
      <c r="I415" t="n">
        <v>0</v>
      </c>
      <c r="J415" t="n">
        <v>0</v>
      </c>
      <c r="K415" t="n">
        <v>0</v>
      </c>
      <c r="L415" t="n">
        <v>0</v>
      </c>
      <c r="M415" t="n">
        <v>0</v>
      </c>
      <c r="N415" t="n">
        <v>0</v>
      </c>
      <c r="O415" t="n">
        <v>0</v>
      </c>
      <c r="P415" t="n">
        <v>0</v>
      </c>
      <c r="Q415" t="n">
        <v>0</v>
      </c>
      <c r="R415" s="2" t="inlineStr"/>
    </row>
    <row r="416" ht="15" customHeight="1">
      <c r="A416" t="inlineStr">
        <is>
          <t>A 34113-2019</t>
        </is>
      </c>
      <c r="B416" s="1" t="n">
        <v>43654</v>
      </c>
      <c r="C416" s="1" t="n">
        <v>45337</v>
      </c>
      <c r="D416" t="inlineStr">
        <is>
          <t>VÄSTERNORRLANDS LÄN</t>
        </is>
      </c>
      <c r="E416" t="inlineStr">
        <is>
          <t>SOLLEFTEÅ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34311-2019</t>
        </is>
      </c>
      <c r="B417" s="1" t="n">
        <v>43655</v>
      </c>
      <c r="C417" s="1" t="n">
        <v>45337</v>
      </c>
      <c r="D417" t="inlineStr">
        <is>
          <t>VÄSTERNORRLANDS LÄN</t>
        </is>
      </c>
      <c r="E417" t="inlineStr">
        <is>
          <t>SOLLEFTEÅ</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34229-2019</t>
        </is>
      </c>
      <c r="B418" s="1" t="n">
        <v>43655</v>
      </c>
      <c r="C418" s="1" t="n">
        <v>45337</v>
      </c>
      <c r="D418" t="inlineStr">
        <is>
          <t>VÄSTERNORRLANDS LÄN</t>
        </is>
      </c>
      <c r="E418" t="inlineStr">
        <is>
          <t>SOLLEFTEÅ</t>
        </is>
      </c>
      <c r="G418" t="n">
        <v>7.9</v>
      </c>
      <c r="H418" t="n">
        <v>0</v>
      </c>
      <c r="I418" t="n">
        <v>0</v>
      </c>
      <c r="J418" t="n">
        <v>0</v>
      </c>
      <c r="K418" t="n">
        <v>0</v>
      </c>
      <c r="L418" t="n">
        <v>0</v>
      </c>
      <c r="M418" t="n">
        <v>0</v>
      </c>
      <c r="N418" t="n">
        <v>0</v>
      </c>
      <c r="O418" t="n">
        <v>0</v>
      </c>
      <c r="P418" t="n">
        <v>0</v>
      </c>
      <c r="Q418" t="n">
        <v>0</v>
      </c>
      <c r="R418" s="2" t="inlineStr"/>
    </row>
    <row r="419" ht="15" customHeight="1">
      <c r="A419" t="inlineStr">
        <is>
          <t>A 34302-2019</t>
        </is>
      </c>
      <c r="B419" s="1" t="n">
        <v>43655</v>
      </c>
      <c r="C419" s="1" t="n">
        <v>45337</v>
      </c>
      <c r="D419" t="inlineStr">
        <is>
          <t>VÄSTERNORRLANDS LÄN</t>
        </is>
      </c>
      <c r="E419" t="inlineStr">
        <is>
          <t>SOLLEFTEÅ</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34738-2019</t>
        </is>
      </c>
      <c r="B420" s="1" t="n">
        <v>43657</v>
      </c>
      <c r="C420" s="1" t="n">
        <v>45337</v>
      </c>
      <c r="D420" t="inlineStr">
        <is>
          <t>VÄSTERNORRLANDS LÄN</t>
        </is>
      </c>
      <c r="E420" t="inlineStr">
        <is>
          <t>SOLLEFTEÅ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34916-2019</t>
        </is>
      </c>
      <c r="B421" s="1" t="n">
        <v>43658</v>
      </c>
      <c r="C421" s="1" t="n">
        <v>45337</v>
      </c>
      <c r="D421" t="inlineStr">
        <is>
          <t>VÄSTERNORRLANDS LÄN</t>
        </is>
      </c>
      <c r="E421" t="inlineStr">
        <is>
          <t>SOLLEFTEÅ</t>
        </is>
      </c>
      <c r="G421" t="n">
        <v>2.6</v>
      </c>
      <c r="H421" t="n">
        <v>0</v>
      </c>
      <c r="I421" t="n">
        <v>0</v>
      </c>
      <c r="J421" t="n">
        <v>0</v>
      </c>
      <c r="K421" t="n">
        <v>0</v>
      </c>
      <c r="L421" t="n">
        <v>0</v>
      </c>
      <c r="M421" t="n">
        <v>0</v>
      </c>
      <c r="N421" t="n">
        <v>0</v>
      </c>
      <c r="O421" t="n">
        <v>0</v>
      </c>
      <c r="P421" t="n">
        <v>0</v>
      </c>
      <c r="Q421" t="n">
        <v>0</v>
      </c>
      <c r="R421" s="2" t="inlineStr"/>
    </row>
    <row r="422" ht="15" customHeight="1">
      <c r="A422" t="inlineStr">
        <is>
          <t>A 35320-2019</t>
        </is>
      </c>
      <c r="B422" s="1" t="n">
        <v>43662</v>
      </c>
      <c r="C422" s="1" t="n">
        <v>45337</v>
      </c>
      <c r="D422" t="inlineStr">
        <is>
          <t>VÄSTERNORRLANDS LÄN</t>
        </is>
      </c>
      <c r="E422" t="inlineStr">
        <is>
          <t>SOLLEFTEÅ</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35970-2019</t>
        </is>
      </c>
      <c r="B423" s="1" t="n">
        <v>43665</v>
      </c>
      <c r="C423" s="1" t="n">
        <v>45337</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35969-2019</t>
        </is>
      </c>
      <c r="B424" s="1" t="n">
        <v>43665</v>
      </c>
      <c r="C424" s="1" t="n">
        <v>45337</v>
      </c>
      <c r="D424" t="inlineStr">
        <is>
          <t>VÄSTERNORRLANDS LÄN</t>
        </is>
      </c>
      <c r="E424" t="inlineStr">
        <is>
          <t>SOLLEFTEÅ</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36137-2019</t>
        </is>
      </c>
      <c r="B425" s="1" t="n">
        <v>43668</v>
      </c>
      <c r="C425" s="1" t="n">
        <v>45337</v>
      </c>
      <c r="D425" t="inlineStr">
        <is>
          <t>VÄSTERNORRLANDS LÄN</t>
        </is>
      </c>
      <c r="E425" t="inlineStr">
        <is>
          <t>SOLLEFTEÅ</t>
        </is>
      </c>
      <c r="G425" t="n">
        <v>1.2</v>
      </c>
      <c r="H425" t="n">
        <v>0</v>
      </c>
      <c r="I425" t="n">
        <v>0</v>
      </c>
      <c r="J425" t="n">
        <v>0</v>
      </c>
      <c r="K425" t="n">
        <v>0</v>
      </c>
      <c r="L425" t="n">
        <v>0</v>
      </c>
      <c r="M425" t="n">
        <v>0</v>
      </c>
      <c r="N425" t="n">
        <v>0</v>
      </c>
      <c r="O425" t="n">
        <v>0</v>
      </c>
      <c r="P425" t="n">
        <v>0</v>
      </c>
      <c r="Q425" t="n">
        <v>0</v>
      </c>
      <c r="R425" s="2" t="inlineStr"/>
    </row>
    <row r="426" ht="15" customHeight="1">
      <c r="A426" t="inlineStr">
        <is>
          <t>A 36486-2019</t>
        </is>
      </c>
      <c r="B426" s="1" t="n">
        <v>43668</v>
      </c>
      <c r="C426" s="1" t="n">
        <v>45337</v>
      </c>
      <c r="D426" t="inlineStr">
        <is>
          <t>VÄSTERNORRLANDS LÄN</t>
        </is>
      </c>
      <c r="E426" t="inlineStr">
        <is>
          <t>SOLLEFTEÅ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36293-2019</t>
        </is>
      </c>
      <c r="B427" s="1" t="n">
        <v>43669</v>
      </c>
      <c r="C427" s="1" t="n">
        <v>45337</v>
      </c>
      <c r="D427" t="inlineStr">
        <is>
          <t>VÄSTERNORRLANDS LÄN</t>
        </is>
      </c>
      <c r="E427" t="inlineStr">
        <is>
          <t>SOLLEFTEÅ</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36711-2019</t>
        </is>
      </c>
      <c r="B428" s="1" t="n">
        <v>43671</v>
      </c>
      <c r="C428" s="1" t="n">
        <v>45337</v>
      </c>
      <c r="D428" t="inlineStr">
        <is>
          <t>VÄSTERNORRLANDS LÄN</t>
        </is>
      </c>
      <c r="E428" t="inlineStr">
        <is>
          <t>SOLLEFTEÅ</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37292-2019</t>
        </is>
      </c>
      <c r="B429" s="1" t="n">
        <v>43677</v>
      </c>
      <c r="C429" s="1" t="n">
        <v>45337</v>
      </c>
      <c r="D429" t="inlineStr">
        <is>
          <t>VÄSTERNORRLANDS LÄN</t>
        </is>
      </c>
      <c r="E429" t="inlineStr">
        <is>
          <t>SOLLEFTEÅ</t>
        </is>
      </c>
      <c r="G429" t="n">
        <v>7.8</v>
      </c>
      <c r="H429" t="n">
        <v>0</v>
      </c>
      <c r="I429" t="n">
        <v>0</v>
      </c>
      <c r="J429" t="n">
        <v>0</v>
      </c>
      <c r="K429" t="n">
        <v>0</v>
      </c>
      <c r="L429" t="n">
        <v>0</v>
      </c>
      <c r="M429" t="n">
        <v>0</v>
      </c>
      <c r="N429" t="n">
        <v>0</v>
      </c>
      <c r="O429" t="n">
        <v>0</v>
      </c>
      <c r="P429" t="n">
        <v>0</v>
      </c>
      <c r="Q429" t="n">
        <v>0</v>
      </c>
      <c r="R429" s="2" t="inlineStr"/>
    </row>
    <row r="430" ht="15" customHeight="1">
      <c r="A430" t="inlineStr">
        <is>
          <t>A 37291-2019</t>
        </is>
      </c>
      <c r="B430" s="1" t="n">
        <v>43677</v>
      </c>
      <c r="C430" s="1" t="n">
        <v>45337</v>
      </c>
      <c r="D430" t="inlineStr">
        <is>
          <t>VÄSTERNORRLANDS LÄN</t>
        </is>
      </c>
      <c r="E430" t="inlineStr">
        <is>
          <t>SOLLEFTEÅ</t>
        </is>
      </c>
      <c r="G430" t="n">
        <v>7.4</v>
      </c>
      <c r="H430" t="n">
        <v>0</v>
      </c>
      <c r="I430" t="n">
        <v>0</v>
      </c>
      <c r="J430" t="n">
        <v>0</v>
      </c>
      <c r="K430" t="n">
        <v>0</v>
      </c>
      <c r="L430" t="n">
        <v>0</v>
      </c>
      <c r="M430" t="n">
        <v>0</v>
      </c>
      <c r="N430" t="n">
        <v>0</v>
      </c>
      <c r="O430" t="n">
        <v>0</v>
      </c>
      <c r="P430" t="n">
        <v>0</v>
      </c>
      <c r="Q430" t="n">
        <v>0</v>
      </c>
      <c r="R430" s="2" t="inlineStr"/>
    </row>
    <row r="431" ht="15" customHeight="1">
      <c r="A431" t="inlineStr">
        <is>
          <t>A 37434-2019</t>
        </is>
      </c>
      <c r="B431" s="1" t="n">
        <v>43678</v>
      </c>
      <c r="C431" s="1" t="n">
        <v>45337</v>
      </c>
      <c r="D431" t="inlineStr">
        <is>
          <t>VÄSTERNORRLANDS LÄN</t>
        </is>
      </c>
      <c r="E431" t="inlineStr">
        <is>
          <t>SOLLEFTEÅ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37652-2019</t>
        </is>
      </c>
      <c r="B432" s="1" t="n">
        <v>43679</v>
      </c>
      <c r="C432" s="1" t="n">
        <v>45337</v>
      </c>
      <c r="D432" t="inlineStr">
        <is>
          <t>VÄSTERNORRLANDS LÄN</t>
        </is>
      </c>
      <c r="E432" t="inlineStr">
        <is>
          <t>SOLLEFTEÅ</t>
        </is>
      </c>
      <c r="G432" t="n">
        <v>3.6</v>
      </c>
      <c r="H432" t="n">
        <v>0</v>
      </c>
      <c r="I432" t="n">
        <v>0</v>
      </c>
      <c r="J432" t="n">
        <v>0</v>
      </c>
      <c r="K432" t="n">
        <v>0</v>
      </c>
      <c r="L432" t="n">
        <v>0</v>
      </c>
      <c r="M432" t="n">
        <v>0</v>
      </c>
      <c r="N432" t="n">
        <v>0</v>
      </c>
      <c r="O432" t="n">
        <v>0</v>
      </c>
      <c r="P432" t="n">
        <v>0</v>
      </c>
      <c r="Q432" t="n">
        <v>0</v>
      </c>
      <c r="R432" s="2" t="inlineStr"/>
    </row>
    <row r="433" ht="15" customHeight="1">
      <c r="A433" t="inlineStr">
        <is>
          <t>A 37670-2019</t>
        </is>
      </c>
      <c r="B433" s="1" t="n">
        <v>43679</v>
      </c>
      <c r="C433" s="1" t="n">
        <v>45337</v>
      </c>
      <c r="D433" t="inlineStr">
        <is>
          <t>VÄSTERNORRLANDS LÄN</t>
        </is>
      </c>
      <c r="E433" t="inlineStr">
        <is>
          <t>SOLLEFTEÅ</t>
        </is>
      </c>
      <c r="G433" t="n">
        <v>3.2</v>
      </c>
      <c r="H433" t="n">
        <v>0</v>
      </c>
      <c r="I433" t="n">
        <v>0</v>
      </c>
      <c r="J433" t="n">
        <v>0</v>
      </c>
      <c r="K433" t="n">
        <v>0</v>
      </c>
      <c r="L433" t="n">
        <v>0</v>
      </c>
      <c r="M433" t="n">
        <v>0</v>
      </c>
      <c r="N433" t="n">
        <v>0</v>
      </c>
      <c r="O433" t="n">
        <v>0</v>
      </c>
      <c r="P433" t="n">
        <v>0</v>
      </c>
      <c r="Q433" t="n">
        <v>0</v>
      </c>
      <c r="R433" s="2" t="inlineStr"/>
    </row>
    <row r="434" ht="15" customHeight="1">
      <c r="A434" t="inlineStr">
        <is>
          <t>A 38081-2019</t>
        </is>
      </c>
      <c r="B434" s="1" t="n">
        <v>43682</v>
      </c>
      <c r="C434" s="1" t="n">
        <v>45337</v>
      </c>
      <c r="D434" t="inlineStr">
        <is>
          <t>VÄSTERNORRLANDS LÄN</t>
        </is>
      </c>
      <c r="E434" t="inlineStr">
        <is>
          <t>SOLLEFTEÅ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38074-2019</t>
        </is>
      </c>
      <c r="B435" s="1" t="n">
        <v>43682</v>
      </c>
      <c r="C435" s="1" t="n">
        <v>45337</v>
      </c>
      <c r="D435" t="inlineStr">
        <is>
          <t>VÄSTERNORRLANDS LÄN</t>
        </is>
      </c>
      <c r="E435" t="inlineStr">
        <is>
          <t>SOLLEFTEÅ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38080-2019</t>
        </is>
      </c>
      <c r="B436" s="1" t="n">
        <v>43682</v>
      </c>
      <c r="C436" s="1" t="n">
        <v>45337</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38083-2019</t>
        </is>
      </c>
      <c r="B437" s="1" t="n">
        <v>43682</v>
      </c>
      <c r="C437" s="1" t="n">
        <v>45337</v>
      </c>
      <c r="D437" t="inlineStr">
        <is>
          <t>VÄSTERNORRLANDS LÄN</t>
        </is>
      </c>
      <c r="E437" t="inlineStr">
        <is>
          <t>SOLLEFTEÅ</t>
        </is>
      </c>
      <c r="G437" t="n">
        <v>9.6</v>
      </c>
      <c r="H437" t="n">
        <v>0</v>
      </c>
      <c r="I437" t="n">
        <v>0</v>
      </c>
      <c r="J437" t="n">
        <v>0</v>
      </c>
      <c r="K437" t="n">
        <v>0</v>
      </c>
      <c r="L437" t="n">
        <v>0</v>
      </c>
      <c r="M437" t="n">
        <v>0</v>
      </c>
      <c r="N437" t="n">
        <v>0</v>
      </c>
      <c r="O437" t="n">
        <v>0</v>
      </c>
      <c r="P437" t="n">
        <v>0</v>
      </c>
      <c r="Q437" t="n">
        <v>0</v>
      </c>
      <c r="R437" s="2" t="inlineStr"/>
    </row>
    <row r="438" ht="15" customHeight="1">
      <c r="A438" t="inlineStr">
        <is>
          <t>A 38544-2019</t>
        </is>
      </c>
      <c r="B438" s="1" t="n">
        <v>43684</v>
      </c>
      <c r="C438" s="1" t="n">
        <v>45337</v>
      </c>
      <c r="D438" t="inlineStr">
        <is>
          <t>VÄSTERNORRLANDS LÄN</t>
        </is>
      </c>
      <c r="E438" t="inlineStr">
        <is>
          <t>SOLLEFTEÅ</t>
        </is>
      </c>
      <c r="G438" t="n">
        <v>6.6</v>
      </c>
      <c r="H438" t="n">
        <v>0</v>
      </c>
      <c r="I438" t="n">
        <v>0</v>
      </c>
      <c r="J438" t="n">
        <v>0</v>
      </c>
      <c r="K438" t="n">
        <v>0</v>
      </c>
      <c r="L438" t="n">
        <v>0</v>
      </c>
      <c r="M438" t="n">
        <v>0</v>
      </c>
      <c r="N438" t="n">
        <v>0</v>
      </c>
      <c r="O438" t="n">
        <v>0</v>
      </c>
      <c r="P438" t="n">
        <v>0</v>
      </c>
      <c r="Q438" t="n">
        <v>0</v>
      </c>
      <c r="R438" s="2" t="inlineStr"/>
    </row>
    <row r="439" ht="15" customHeight="1">
      <c r="A439" t="inlineStr">
        <is>
          <t>A 38252-2019</t>
        </is>
      </c>
      <c r="B439" s="1" t="n">
        <v>43684</v>
      </c>
      <c r="C439" s="1" t="n">
        <v>45337</v>
      </c>
      <c r="D439" t="inlineStr">
        <is>
          <t>VÄSTERNORRLANDS LÄN</t>
        </is>
      </c>
      <c r="E439" t="inlineStr">
        <is>
          <t>SOLLEFTEÅ</t>
        </is>
      </c>
      <c r="G439" t="n">
        <v>2.4</v>
      </c>
      <c r="H439" t="n">
        <v>0</v>
      </c>
      <c r="I439" t="n">
        <v>0</v>
      </c>
      <c r="J439" t="n">
        <v>0</v>
      </c>
      <c r="K439" t="n">
        <v>0</v>
      </c>
      <c r="L439" t="n">
        <v>0</v>
      </c>
      <c r="M439" t="n">
        <v>0</v>
      </c>
      <c r="N439" t="n">
        <v>0</v>
      </c>
      <c r="O439" t="n">
        <v>0</v>
      </c>
      <c r="P439" t="n">
        <v>0</v>
      </c>
      <c r="Q439" t="n">
        <v>0</v>
      </c>
      <c r="R439" s="2" t="inlineStr"/>
    </row>
    <row r="440" ht="15" customHeight="1">
      <c r="A440" t="inlineStr">
        <is>
          <t>A 38566-2019</t>
        </is>
      </c>
      <c r="B440" s="1" t="n">
        <v>43685</v>
      </c>
      <c r="C440" s="1" t="n">
        <v>45337</v>
      </c>
      <c r="D440" t="inlineStr">
        <is>
          <t>VÄSTERNORRLANDS LÄN</t>
        </is>
      </c>
      <c r="E440" t="inlineStr">
        <is>
          <t>SOLLEFTEÅ</t>
        </is>
      </c>
      <c r="F440" t="inlineStr">
        <is>
          <t>SCA</t>
        </is>
      </c>
      <c r="G440" t="n">
        <v>15.1</v>
      </c>
      <c r="H440" t="n">
        <v>0</v>
      </c>
      <c r="I440" t="n">
        <v>0</v>
      </c>
      <c r="J440" t="n">
        <v>0</v>
      </c>
      <c r="K440" t="n">
        <v>0</v>
      </c>
      <c r="L440" t="n">
        <v>0</v>
      </c>
      <c r="M440" t="n">
        <v>0</v>
      </c>
      <c r="N440" t="n">
        <v>0</v>
      </c>
      <c r="O440" t="n">
        <v>0</v>
      </c>
      <c r="P440" t="n">
        <v>0</v>
      </c>
      <c r="Q440" t="n">
        <v>0</v>
      </c>
      <c r="R440" s="2" t="inlineStr"/>
    </row>
    <row r="441" ht="15" customHeight="1">
      <c r="A441" t="inlineStr">
        <is>
          <t>A 38762-2019</t>
        </is>
      </c>
      <c r="B441" s="1" t="n">
        <v>43686</v>
      </c>
      <c r="C441" s="1" t="n">
        <v>45337</v>
      </c>
      <c r="D441" t="inlineStr">
        <is>
          <t>VÄSTERNORRLANDS LÄN</t>
        </is>
      </c>
      <c r="E441" t="inlineStr">
        <is>
          <t>SOLLEFTEÅ</t>
        </is>
      </c>
      <c r="G441" t="n">
        <v>7.7</v>
      </c>
      <c r="H441" t="n">
        <v>0</v>
      </c>
      <c r="I441" t="n">
        <v>0</v>
      </c>
      <c r="J441" t="n">
        <v>0</v>
      </c>
      <c r="K441" t="n">
        <v>0</v>
      </c>
      <c r="L441" t="n">
        <v>0</v>
      </c>
      <c r="M441" t="n">
        <v>0</v>
      </c>
      <c r="N441" t="n">
        <v>0</v>
      </c>
      <c r="O441" t="n">
        <v>0</v>
      </c>
      <c r="P441" t="n">
        <v>0</v>
      </c>
      <c r="Q441" t="n">
        <v>0</v>
      </c>
      <c r="R441" s="2" t="inlineStr"/>
    </row>
    <row r="442" ht="15" customHeight="1">
      <c r="A442" t="inlineStr">
        <is>
          <t>A 38763-2019</t>
        </is>
      </c>
      <c r="B442" s="1" t="n">
        <v>43686</v>
      </c>
      <c r="C442" s="1" t="n">
        <v>45337</v>
      </c>
      <c r="D442" t="inlineStr">
        <is>
          <t>VÄSTERNORRLANDS LÄN</t>
        </is>
      </c>
      <c r="E442" t="inlineStr">
        <is>
          <t>SOLLEFTEÅ</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39123-2019</t>
        </is>
      </c>
      <c r="B443" s="1" t="n">
        <v>43689</v>
      </c>
      <c r="C443" s="1" t="n">
        <v>45337</v>
      </c>
      <c r="D443" t="inlineStr">
        <is>
          <t>VÄSTERNORRLANDS LÄN</t>
        </is>
      </c>
      <c r="E443" t="inlineStr">
        <is>
          <t>SOLLEFTEÅ</t>
        </is>
      </c>
      <c r="G443" t="n">
        <v>10.9</v>
      </c>
      <c r="H443" t="n">
        <v>0</v>
      </c>
      <c r="I443" t="n">
        <v>0</v>
      </c>
      <c r="J443" t="n">
        <v>0</v>
      </c>
      <c r="K443" t="n">
        <v>0</v>
      </c>
      <c r="L443" t="n">
        <v>0</v>
      </c>
      <c r="M443" t="n">
        <v>0</v>
      </c>
      <c r="N443" t="n">
        <v>0</v>
      </c>
      <c r="O443" t="n">
        <v>0</v>
      </c>
      <c r="P443" t="n">
        <v>0</v>
      </c>
      <c r="Q443" t="n">
        <v>0</v>
      </c>
      <c r="R443" s="2" t="inlineStr"/>
    </row>
    <row r="444" ht="15" customHeight="1">
      <c r="A444" t="inlineStr">
        <is>
          <t>A 39768-2019</t>
        </is>
      </c>
      <c r="B444" s="1" t="n">
        <v>43689</v>
      </c>
      <c r="C444" s="1" t="n">
        <v>45337</v>
      </c>
      <c r="D444" t="inlineStr">
        <is>
          <t>VÄSTERNORRLANDS LÄN</t>
        </is>
      </c>
      <c r="E444" t="inlineStr">
        <is>
          <t>SOLLEFTEÅ</t>
        </is>
      </c>
      <c r="G444" t="n">
        <v>0.8</v>
      </c>
      <c r="H444" t="n">
        <v>0</v>
      </c>
      <c r="I444" t="n">
        <v>0</v>
      </c>
      <c r="J444" t="n">
        <v>0</v>
      </c>
      <c r="K444" t="n">
        <v>0</v>
      </c>
      <c r="L444" t="n">
        <v>0</v>
      </c>
      <c r="M444" t="n">
        <v>0</v>
      </c>
      <c r="N444" t="n">
        <v>0</v>
      </c>
      <c r="O444" t="n">
        <v>0</v>
      </c>
      <c r="P444" t="n">
        <v>0</v>
      </c>
      <c r="Q444" t="n">
        <v>0</v>
      </c>
      <c r="R444" s="2" t="inlineStr"/>
    </row>
    <row r="445" ht="15" customHeight="1">
      <c r="A445" t="inlineStr">
        <is>
          <t>A 40764-2019</t>
        </is>
      </c>
      <c r="B445" s="1" t="n">
        <v>43692</v>
      </c>
      <c r="C445" s="1" t="n">
        <v>45337</v>
      </c>
      <c r="D445" t="inlineStr">
        <is>
          <t>VÄSTERNORRLANDS LÄN</t>
        </is>
      </c>
      <c r="E445" t="inlineStr">
        <is>
          <t>SOLLEFTEÅ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40769-2019</t>
        </is>
      </c>
      <c r="B446" s="1" t="n">
        <v>43692</v>
      </c>
      <c r="C446" s="1" t="n">
        <v>45337</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41069-2019</t>
        </is>
      </c>
      <c r="B447" s="1" t="n">
        <v>43693</v>
      </c>
      <c r="C447" s="1" t="n">
        <v>45337</v>
      </c>
      <c r="D447" t="inlineStr">
        <is>
          <t>VÄSTERNORRLANDS LÄN</t>
        </is>
      </c>
      <c r="E447" t="inlineStr">
        <is>
          <t>SOLLEFTEÅ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40512-2019</t>
        </is>
      </c>
      <c r="B448" s="1" t="n">
        <v>43696</v>
      </c>
      <c r="C448" s="1" t="n">
        <v>45337</v>
      </c>
      <c r="D448" t="inlineStr">
        <is>
          <t>VÄSTERNORRLANDS LÄN</t>
        </is>
      </c>
      <c r="E448" t="inlineStr">
        <is>
          <t>SOLLEFTEÅ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40685-2019</t>
        </is>
      </c>
      <c r="B449" s="1" t="n">
        <v>43696</v>
      </c>
      <c r="C449" s="1" t="n">
        <v>45337</v>
      </c>
      <c r="D449" t="inlineStr">
        <is>
          <t>VÄSTERNORRLANDS LÄN</t>
        </is>
      </c>
      <c r="E449" t="inlineStr">
        <is>
          <t>SOLLEFTEÅ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40682-2019</t>
        </is>
      </c>
      <c r="B450" s="1" t="n">
        <v>43696</v>
      </c>
      <c r="C450" s="1" t="n">
        <v>45337</v>
      </c>
      <c r="D450" t="inlineStr">
        <is>
          <t>VÄSTERNORRLANDS LÄN</t>
        </is>
      </c>
      <c r="E450" t="inlineStr">
        <is>
          <t>SOLLEFTEÅ</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40514-2019</t>
        </is>
      </c>
      <c r="B451" s="1" t="n">
        <v>43696</v>
      </c>
      <c r="C451" s="1" t="n">
        <v>45337</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40679-2019</t>
        </is>
      </c>
      <c r="B452" s="1" t="n">
        <v>43696</v>
      </c>
      <c r="C452" s="1" t="n">
        <v>45337</v>
      </c>
      <c r="D452" t="inlineStr">
        <is>
          <t>VÄSTERNORRLANDS LÄN</t>
        </is>
      </c>
      <c r="E452" t="inlineStr">
        <is>
          <t>SOLLEFTEÅ</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41786-2019</t>
        </is>
      </c>
      <c r="B453" s="1" t="n">
        <v>43699</v>
      </c>
      <c r="C453" s="1" t="n">
        <v>45337</v>
      </c>
      <c r="D453" t="inlineStr">
        <is>
          <t>VÄSTERNORRLANDS LÄN</t>
        </is>
      </c>
      <c r="E453" t="inlineStr">
        <is>
          <t>SOLLEFTEÅ</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42417-2019</t>
        </is>
      </c>
      <c r="B454" s="1" t="n">
        <v>43703</v>
      </c>
      <c r="C454" s="1" t="n">
        <v>45337</v>
      </c>
      <c r="D454" t="inlineStr">
        <is>
          <t>VÄSTERNORRLANDS LÄN</t>
        </is>
      </c>
      <c r="E454" t="inlineStr">
        <is>
          <t>SOLLEFTEÅ</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42791-2019</t>
        </is>
      </c>
      <c r="B455" s="1" t="n">
        <v>43704</v>
      </c>
      <c r="C455" s="1" t="n">
        <v>45337</v>
      </c>
      <c r="D455" t="inlineStr">
        <is>
          <t>VÄSTERNORRLANDS LÄN</t>
        </is>
      </c>
      <c r="E455" t="inlineStr">
        <is>
          <t>SOLLEFTEÅ</t>
        </is>
      </c>
      <c r="G455" t="n">
        <v>4.1</v>
      </c>
      <c r="H455" t="n">
        <v>0</v>
      </c>
      <c r="I455" t="n">
        <v>0</v>
      </c>
      <c r="J455" t="n">
        <v>0</v>
      </c>
      <c r="K455" t="n">
        <v>0</v>
      </c>
      <c r="L455" t="n">
        <v>0</v>
      </c>
      <c r="M455" t="n">
        <v>0</v>
      </c>
      <c r="N455" t="n">
        <v>0</v>
      </c>
      <c r="O455" t="n">
        <v>0</v>
      </c>
      <c r="P455" t="n">
        <v>0</v>
      </c>
      <c r="Q455" t="n">
        <v>0</v>
      </c>
      <c r="R455" s="2" t="inlineStr"/>
    </row>
    <row r="456" ht="15" customHeight="1">
      <c r="A456" t="inlineStr">
        <is>
          <t>A 42792-2019</t>
        </is>
      </c>
      <c r="B456" s="1" t="n">
        <v>43704</v>
      </c>
      <c r="C456" s="1" t="n">
        <v>45337</v>
      </c>
      <c r="D456" t="inlineStr">
        <is>
          <t>VÄSTERNORRLANDS LÄN</t>
        </is>
      </c>
      <c r="E456" t="inlineStr">
        <is>
          <t>SOLLEFTEÅ</t>
        </is>
      </c>
      <c r="G456" t="n">
        <v>5.7</v>
      </c>
      <c r="H456" t="n">
        <v>0</v>
      </c>
      <c r="I456" t="n">
        <v>0</v>
      </c>
      <c r="J456" t="n">
        <v>0</v>
      </c>
      <c r="K456" t="n">
        <v>0</v>
      </c>
      <c r="L456" t="n">
        <v>0</v>
      </c>
      <c r="M456" t="n">
        <v>0</v>
      </c>
      <c r="N456" t="n">
        <v>0</v>
      </c>
      <c r="O456" t="n">
        <v>0</v>
      </c>
      <c r="P456" t="n">
        <v>0</v>
      </c>
      <c r="Q456" t="n">
        <v>0</v>
      </c>
      <c r="R456" s="2" t="inlineStr"/>
    </row>
    <row r="457" ht="15" customHeight="1">
      <c r="A457" t="inlineStr">
        <is>
          <t>A 43499-2019</t>
        </is>
      </c>
      <c r="B457" s="1" t="n">
        <v>43706</v>
      </c>
      <c r="C457" s="1" t="n">
        <v>45337</v>
      </c>
      <c r="D457" t="inlineStr">
        <is>
          <t>VÄSTERNORRLANDS LÄN</t>
        </is>
      </c>
      <c r="E457" t="inlineStr">
        <is>
          <t>SOLLEFTEÅ</t>
        </is>
      </c>
      <c r="G457" t="n">
        <v>19.3</v>
      </c>
      <c r="H457" t="n">
        <v>0</v>
      </c>
      <c r="I457" t="n">
        <v>0</v>
      </c>
      <c r="J457" t="n">
        <v>0</v>
      </c>
      <c r="K457" t="n">
        <v>0</v>
      </c>
      <c r="L457" t="n">
        <v>0</v>
      </c>
      <c r="M457" t="n">
        <v>0</v>
      </c>
      <c r="N457" t="n">
        <v>0</v>
      </c>
      <c r="O457" t="n">
        <v>0</v>
      </c>
      <c r="P457" t="n">
        <v>0</v>
      </c>
      <c r="Q457" t="n">
        <v>0</v>
      </c>
      <c r="R457" s="2" t="inlineStr"/>
    </row>
    <row r="458" ht="15" customHeight="1">
      <c r="A458" t="inlineStr">
        <is>
          <t>A 45032-2019</t>
        </is>
      </c>
      <c r="B458" s="1" t="n">
        <v>43707</v>
      </c>
      <c r="C458" s="1" t="n">
        <v>45337</v>
      </c>
      <c r="D458" t="inlineStr">
        <is>
          <t>VÄSTERNORRLANDS LÄN</t>
        </is>
      </c>
      <c r="E458" t="inlineStr">
        <is>
          <t>SOLLEFTEÅ</t>
        </is>
      </c>
      <c r="G458" t="n">
        <v>9.4</v>
      </c>
      <c r="H458" t="n">
        <v>0</v>
      </c>
      <c r="I458" t="n">
        <v>0</v>
      </c>
      <c r="J458" t="n">
        <v>0</v>
      </c>
      <c r="K458" t="n">
        <v>0</v>
      </c>
      <c r="L458" t="n">
        <v>0</v>
      </c>
      <c r="M458" t="n">
        <v>0</v>
      </c>
      <c r="N458" t="n">
        <v>0</v>
      </c>
      <c r="O458" t="n">
        <v>0</v>
      </c>
      <c r="P458" t="n">
        <v>0</v>
      </c>
      <c r="Q458" t="n">
        <v>0</v>
      </c>
      <c r="R458" s="2" t="inlineStr"/>
    </row>
    <row r="459" ht="15" customHeight="1">
      <c r="A459" t="inlineStr">
        <is>
          <t>A 44815-2019</t>
        </is>
      </c>
      <c r="B459" s="1" t="n">
        <v>43712</v>
      </c>
      <c r="C459" s="1" t="n">
        <v>45337</v>
      </c>
      <c r="D459" t="inlineStr">
        <is>
          <t>VÄSTERNORRLANDS LÄN</t>
        </is>
      </c>
      <c r="E459" t="inlineStr">
        <is>
          <t>SOLLEFTEÅ</t>
        </is>
      </c>
      <c r="G459" t="n">
        <v>3</v>
      </c>
      <c r="H459" t="n">
        <v>0</v>
      </c>
      <c r="I459" t="n">
        <v>0</v>
      </c>
      <c r="J459" t="n">
        <v>0</v>
      </c>
      <c r="K459" t="n">
        <v>0</v>
      </c>
      <c r="L459" t="n">
        <v>0</v>
      </c>
      <c r="M459" t="n">
        <v>0</v>
      </c>
      <c r="N459" t="n">
        <v>0</v>
      </c>
      <c r="O459" t="n">
        <v>0</v>
      </c>
      <c r="P459" t="n">
        <v>0</v>
      </c>
      <c r="Q459" t="n">
        <v>0</v>
      </c>
      <c r="R459" s="2" t="inlineStr"/>
    </row>
    <row r="460" ht="15" customHeight="1">
      <c r="A460" t="inlineStr">
        <is>
          <t>A 45941-2019</t>
        </is>
      </c>
      <c r="B460" s="1" t="n">
        <v>43712</v>
      </c>
      <c r="C460" s="1" t="n">
        <v>45337</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44888-2019</t>
        </is>
      </c>
      <c r="B461" s="1" t="n">
        <v>43712</v>
      </c>
      <c r="C461" s="1" t="n">
        <v>45337</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44960-2019</t>
        </is>
      </c>
      <c r="B462" s="1" t="n">
        <v>43713</v>
      </c>
      <c r="C462" s="1" t="n">
        <v>45337</v>
      </c>
      <c r="D462" t="inlineStr">
        <is>
          <t>VÄSTERNORRLANDS LÄN</t>
        </is>
      </c>
      <c r="E462" t="inlineStr">
        <is>
          <t>SOLLEFTEÅ</t>
        </is>
      </c>
      <c r="G462" t="n">
        <v>14.9</v>
      </c>
      <c r="H462" t="n">
        <v>0</v>
      </c>
      <c r="I462" t="n">
        <v>0</v>
      </c>
      <c r="J462" t="n">
        <v>0</v>
      </c>
      <c r="K462" t="n">
        <v>0</v>
      </c>
      <c r="L462" t="n">
        <v>0</v>
      </c>
      <c r="M462" t="n">
        <v>0</v>
      </c>
      <c r="N462" t="n">
        <v>0</v>
      </c>
      <c r="O462" t="n">
        <v>0</v>
      </c>
      <c r="P462" t="n">
        <v>0</v>
      </c>
      <c r="Q462" t="n">
        <v>0</v>
      </c>
      <c r="R462" s="2" t="inlineStr"/>
    </row>
    <row r="463" ht="15" customHeight="1">
      <c r="A463" t="inlineStr">
        <is>
          <t>A 45537-2019</t>
        </is>
      </c>
      <c r="B463" s="1" t="n">
        <v>43714</v>
      </c>
      <c r="C463" s="1" t="n">
        <v>45337</v>
      </c>
      <c r="D463" t="inlineStr">
        <is>
          <t>VÄSTERNORRLANDS LÄN</t>
        </is>
      </c>
      <c r="E463" t="inlineStr">
        <is>
          <t>SOLLEFTEÅ</t>
        </is>
      </c>
      <c r="F463" t="inlineStr">
        <is>
          <t>SCA</t>
        </is>
      </c>
      <c r="G463" t="n">
        <v>35.1</v>
      </c>
      <c r="H463" t="n">
        <v>0</v>
      </c>
      <c r="I463" t="n">
        <v>0</v>
      </c>
      <c r="J463" t="n">
        <v>0</v>
      </c>
      <c r="K463" t="n">
        <v>0</v>
      </c>
      <c r="L463" t="n">
        <v>0</v>
      </c>
      <c r="M463" t="n">
        <v>0</v>
      </c>
      <c r="N463" t="n">
        <v>0</v>
      </c>
      <c r="O463" t="n">
        <v>0</v>
      </c>
      <c r="P463" t="n">
        <v>0</v>
      </c>
      <c r="Q463" t="n">
        <v>0</v>
      </c>
      <c r="R463" s="2" t="inlineStr"/>
    </row>
    <row r="464" ht="15" customHeight="1">
      <c r="A464" t="inlineStr">
        <is>
          <t>A 46345-2019</t>
        </is>
      </c>
      <c r="B464" s="1" t="n">
        <v>43718</v>
      </c>
      <c r="C464" s="1" t="n">
        <v>45337</v>
      </c>
      <c r="D464" t="inlineStr">
        <is>
          <t>VÄSTERNORRLANDS LÄN</t>
        </is>
      </c>
      <c r="E464" t="inlineStr">
        <is>
          <t>SOLLEFTEÅ</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46956-2019</t>
        </is>
      </c>
      <c r="B465" s="1" t="n">
        <v>43719</v>
      </c>
      <c r="C465" s="1" t="n">
        <v>45337</v>
      </c>
      <c r="D465" t="inlineStr">
        <is>
          <t>VÄSTERNORRLANDS LÄN</t>
        </is>
      </c>
      <c r="E465" t="inlineStr">
        <is>
          <t>SOLLEFTEÅ</t>
        </is>
      </c>
      <c r="G465" t="n">
        <v>18.1</v>
      </c>
      <c r="H465" t="n">
        <v>0</v>
      </c>
      <c r="I465" t="n">
        <v>0</v>
      </c>
      <c r="J465" t="n">
        <v>0</v>
      </c>
      <c r="K465" t="n">
        <v>0</v>
      </c>
      <c r="L465" t="n">
        <v>0</v>
      </c>
      <c r="M465" t="n">
        <v>0</v>
      </c>
      <c r="N465" t="n">
        <v>0</v>
      </c>
      <c r="O465" t="n">
        <v>0</v>
      </c>
      <c r="P465" t="n">
        <v>0</v>
      </c>
      <c r="Q465" t="n">
        <v>0</v>
      </c>
      <c r="R465" s="2" t="inlineStr"/>
    </row>
    <row r="466" ht="15" customHeight="1">
      <c r="A466" t="inlineStr">
        <is>
          <t>A 47366-2019</t>
        </is>
      </c>
      <c r="B466" s="1" t="n">
        <v>43721</v>
      </c>
      <c r="C466" s="1" t="n">
        <v>45337</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47764-2019</t>
        </is>
      </c>
      <c r="B467" s="1" t="n">
        <v>43724</v>
      </c>
      <c r="C467" s="1" t="n">
        <v>45337</v>
      </c>
      <c r="D467" t="inlineStr">
        <is>
          <t>VÄSTERNORRLANDS LÄN</t>
        </is>
      </c>
      <c r="E467" t="inlineStr">
        <is>
          <t>SOLLEFTEÅ</t>
        </is>
      </c>
      <c r="F467" t="inlineStr">
        <is>
          <t>Kyrkan</t>
        </is>
      </c>
      <c r="G467" t="n">
        <v>4.1</v>
      </c>
      <c r="H467" t="n">
        <v>0</v>
      </c>
      <c r="I467" t="n">
        <v>0</v>
      </c>
      <c r="J467" t="n">
        <v>0</v>
      </c>
      <c r="K467" t="n">
        <v>0</v>
      </c>
      <c r="L467" t="n">
        <v>0</v>
      </c>
      <c r="M467" t="n">
        <v>0</v>
      </c>
      <c r="N467" t="n">
        <v>0</v>
      </c>
      <c r="O467" t="n">
        <v>0</v>
      </c>
      <c r="P467" t="n">
        <v>0</v>
      </c>
      <c r="Q467" t="n">
        <v>0</v>
      </c>
      <c r="R467" s="2" t="inlineStr"/>
    </row>
    <row r="468" ht="15" customHeight="1">
      <c r="A468" t="inlineStr">
        <is>
          <t>A 47768-2019</t>
        </is>
      </c>
      <c r="B468" s="1" t="n">
        <v>43724</v>
      </c>
      <c r="C468" s="1" t="n">
        <v>45337</v>
      </c>
      <c r="D468" t="inlineStr">
        <is>
          <t>VÄSTERNORRLANDS LÄN</t>
        </is>
      </c>
      <c r="E468" t="inlineStr">
        <is>
          <t>SOLLEFTEÅ</t>
        </is>
      </c>
      <c r="F468" t="inlineStr">
        <is>
          <t>Kyrkan</t>
        </is>
      </c>
      <c r="G468" t="n">
        <v>12.1</v>
      </c>
      <c r="H468" t="n">
        <v>0</v>
      </c>
      <c r="I468" t="n">
        <v>0</v>
      </c>
      <c r="J468" t="n">
        <v>0</v>
      </c>
      <c r="K468" t="n">
        <v>0</v>
      </c>
      <c r="L468" t="n">
        <v>0</v>
      </c>
      <c r="M468" t="n">
        <v>0</v>
      </c>
      <c r="N468" t="n">
        <v>0</v>
      </c>
      <c r="O468" t="n">
        <v>0</v>
      </c>
      <c r="P468" t="n">
        <v>0</v>
      </c>
      <c r="Q468" t="n">
        <v>0</v>
      </c>
      <c r="R468" s="2" t="inlineStr"/>
    </row>
    <row r="469" ht="15" customHeight="1">
      <c r="A469" t="inlineStr">
        <is>
          <t>A 49381-2019</t>
        </is>
      </c>
      <c r="B469" s="1" t="n">
        <v>43731</v>
      </c>
      <c r="C469" s="1" t="n">
        <v>45337</v>
      </c>
      <c r="D469" t="inlineStr">
        <is>
          <t>VÄSTERNORRLANDS LÄN</t>
        </is>
      </c>
      <c r="E469" t="inlineStr">
        <is>
          <t>SOLLEFTEÅ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49380-2019</t>
        </is>
      </c>
      <c r="B470" s="1" t="n">
        <v>43731</v>
      </c>
      <c r="C470" s="1" t="n">
        <v>45337</v>
      </c>
      <c r="D470" t="inlineStr">
        <is>
          <t>VÄSTERNORRLANDS LÄN</t>
        </is>
      </c>
      <c r="E470" t="inlineStr">
        <is>
          <t>SOLLEFTEÅ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49674-2019</t>
        </is>
      </c>
      <c r="B471" s="1" t="n">
        <v>43732</v>
      </c>
      <c r="C471" s="1" t="n">
        <v>45337</v>
      </c>
      <c r="D471" t="inlineStr">
        <is>
          <t>VÄSTERNORRLANDS LÄN</t>
        </is>
      </c>
      <c r="E471" t="inlineStr">
        <is>
          <t>SOLLEFTEÅ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50283-2019</t>
        </is>
      </c>
      <c r="B472" s="1" t="n">
        <v>43734</v>
      </c>
      <c r="C472" s="1" t="n">
        <v>45337</v>
      </c>
      <c r="D472" t="inlineStr">
        <is>
          <t>VÄSTERNORRLANDS LÄN</t>
        </is>
      </c>
      <c r="E472" t="inlineStr">
        <is>
          <t>SOLLEFTEÅ</t>
        </is>
      </c>
      <c r="F472" t="inlineStr">
        <is>
          <t>SCA</t>
        </is>
      </c>
      <c r="G472" t="n">
        <v>10.6</v>
      </c>
      <c r="H472" t="n">
        <v>0</v>
      </c>
      <c r="I472" t="n">
        <v>0</v>
      </c>
      <c r="J472" t="n">
        <v>0</v>
      </c>
      <c r="K472" t="n">
        <v>0</v>
      </c>
      <c r="L472" t="n">
        <v>0</v>
      </c>
      <c r="M472" t="n">
        <v>0</v>
      </c>
      <c r="N472" t="n">
        <v>0</v>
      </c>
      <c r="O472" t="n">
        <v>0</v>
      </c>
      <c r="P472" t="n">
        <v>0</v>
      </c>
      <c r="Q472" t="n">
        <v>0</v>
      </c>
      <c r="R472" s="2" t="inlineStr"/>
    </row>
    <row r="473" ht="15" customHeight="1">
      <c r="A473" t="inlineStr">
        <is>
          <t>A 50513-2019</t>
        </is>
      </c>
      <c r="B473" s="1" t="n">
        <v>43735</v>
      </c>
      <c r="C473" s="1" t="n">
        <v>45337</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50668-2019</t>
        </is>
      </c>
      <c r="B474" s="1" t="n">
        <v>43737</v>
      </c>
      <c r="C474" s="1" t="n">
        <v>45337</v>
      </c>
      <c r="D474" t="inlineStr">
        <is>
          <t>VÄSTERNORRLANDS LÄN</t>
        </is>
      </c>
      <c r="E474" t="inlineStr">
        <is>
          <t>SOLLEFTEÅ</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51002-2019</t>
        </is>
      </c>
      <c r="B475" s="1" t="n">
        <v>43738</v>
      </c>
      <c r="C475" s="1" t="n">
        <v>45337</v>
      </c>
      <c r="D475" t="inlineStr">
        <is>
          <t>VÄSTERNORRLANDS LÄN</t>
        </is>
      </c>
      <c r="E475" t="inlineStr">
        <is>
          <t>SOLLEFTEÅ</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50999-2019</t>
        </is>
      </c>
      <c r="B476" s="1" t="n">
        <v>43738</v>
      </c>
      <c r="C476" s="1" t="n">
        <v>45337</v>
      </c>
      <c r="D476" t="inlineStr">
        <is>
          <t>VÄSTERNORRLANDS LÄN</t>
        </is>
      </c>
      <c r="E476" t="inlineStr">
        <is>
          <t>SOLLEFTEÅ</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51675-2019</t>
        </is>
      </c>
      <c r="B477" s="1" t="n">
        <v>43740</v>
      </c>
      <c r="C477" s="1" t="n">
        <v>45337</v>
      </c>
      <c r="D477" t="inlineStr">
        <is>
          <t>VÄSTERNORRLANDS LÄN</t>
        </is>
      </c>
      <c r="E477" t="inlineStr">
        <is>
          <t>SOLLEFTEÅ</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51671-2019</t>
        </is>
      </c>
      <c r="B478" s="1" t="n">
        <v>43740</v>
      </c>
      <c r="C478" s="1" t="n">
        <v>45337</v>
      </c>
      <c r="D478" t="inlineStr">
        <is>
          <t>VÄSTERNORRLANDS LÄN</t>
        </is>
      </c>
      <c r="E478" t="inlineStr">
        <is>
          <t>SOLLEFTEÅ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51682-2019</t>
        </is>
      </c>
      <c r="B479" s="1" t="n">
        <v>43740</v>
      </c>
      <c r="C479" s="1" t="n">
        <v>45337</v>
      </c>
      <c r="D479" t="inlineStr">
        <is>
          <t>VÄSTERNORRLANDS LÄN</t>
        </is>
      </c>
      <c r="E479" t="inlineStr">
        <is>
          <t>SOLLEFTEÅ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53079-2019</t>
        </is>
      </c>
      <c r="B480" s="1" t="n">
        <v>43740</v>
      </c>
      <c r="C480" s="1" t="n">
        <v>45337</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51673-2019</t>
        </is>
      </c>
      <c r="B481" s="1" t="n">
        <v>43740</v>
      </c>
      <c r="C481" s="1" t="n">
        <v>45337</v>
      </c>
      <c r="D481" t="inlineStr">
        <is>
          <t>VÄSTERNORRLANDS LÄN</t>
        </is>
      </c>
      <c r="E481" t="inlineStr">
        <is>
          <t>SOLLEFTEÅ</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53076-2019</t>
        </is>
      </c>
      <c r="B482" s="1" t="n">
        <v>43740</v>
      </c>
      <c r="C482" s="1" t="n">
        <v>45337</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53088-2019</t>
        </is>
      </c>
      <c r="B483" s="1" t="n">
        <v>43740</v>
      </c>
      <c r="C483" s="1" t="n">
        <v>45337</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51665-2019</t>
        </is>
      </c>
      <c r="B484" s="1" t="n">
        <v>43740</v>
      </c>
      <c r="C484" s="1" t="n">
        <v>45337</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51953-2019</t>
        </is>
      </c>
      <c r="B485" s="1" t="n">
        <v>43741</v>
      </c>
      <c r="C485" s="1" t="n">
        <v>45337</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53677-2019</t>
        </is>
      </c>
      <c r="B486" s="1" t="n">
        <v>43741</v>
      </c>
      <c r="C486" s="1" t="n">
        <v>45337</v>
      </c>
      <c r="D486" t="inlineStr">
        <is>
          <t>VÄSTERNORRLANDS LÄN</t>
        </is>
      </c>
      <c r="E486" t="inlineStr">
        <is>
          <t>SOLLEFTEÅ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51952-2019</t>
        </is>
      </c>
      <c r="B487" s="1" t="n">
        <v>43741</v>
      </c>
      <c r="C487" s="1" t="n">
        <v>45337</v>
      </c>
      <c r="D487" t="inlineStr">
        <is>
          <t>VÄSTERNORRLANDS LÄN</t>
        </is>
      </c>
      <c r="E487" t="inlineStr">
        <is>
          <t>SOLLEFTEÅ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52568-2019</t>
        </is>
      </c>
      <c r="B488" s="1" t="n">
        <v>43745</v>
      </c>
      <c r="C488" s="1" t="n">
        <v>45337</v>
      </c>
      <c r="D488" t="inlineStr">
        <is>
          <t>VÄSTERNORRLANDS LÄN</t>
        </is>
      </c>
      <c r="E488" t="inlineStr">
        <is>
          <t>SOLLEFTEÅ</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52569-2019</t>
        </is>
      </c>
      <c r="B489" s="1" t="n">
        <v>43745</v>
      </c>
      <c r="C489" s="1" t="n">
        <v>45337</v>
      </c>
      <c r="D489" t="inlineStr">
        <is>
          <t>VÄSTERNORRLANDS LÄN</t>
        </is>
      </c>
      <c r="E489" t="inlineStr">
        <is>
          <t>SOLLEFTEÅ</t>
        </is>
      </c>
      <c r="G489" t="n">
        <v>7.1</v>
      </c>
      <c r="H489" t="n">
        <v>0</v>
      </c>
      <c r="I489" t="n">
        <v>0</v>
      </c>
      <c r="J489" t="n">
        <v>0</v>
      </c>
      <c r="K489" t="n">
        <v>0</v>
      </c>
      <c r="L489" t="n">
        <v>0</v>
      </c>
      <c r="M489" t="n">
        <v>0</v>
      </c>
      <c r="N489" t="n">
        <v>0</v>
      </c>
      <c r="O489" t="n">
        <v>0</v>
      </c>
      <c r="P489" t="n">
        <v>0</v>
      </c>
      <c r="Q489" t="n">
        <v>0</v>
      </c>
      <c r="R489" s="2" t="inlineStr"/>
    </row>
    <row r="490" ht="15" customHeight="1">
      <c r="A490" t="inlineStr">
        <is>
          <t>A 52922-2019</t>
        </is>
      </c>
      <c r="B490" s="1" t="n">
        <v>43746</v>
      </c>
      <c r="C490" s="1" t="n">
        <v>45337</v>
      </c>
      <c r="D490" t="inlineStr">
        <is>
          <t>VÄSTERNORRLANDS LÄN</t>
        </is>
      </c>
      <c r="E490" t="inlineStr">
        <is>
          <t>SOLLEFTEÅ</t>
        </is>
      </c>
      <c r="G490" t="n">
        <v>6.5</v>
      </c>
      <c r="H490" t="n">
        <v>0</v>
      </c>
      <c r="I490" t="n">
        <v>0</v>
      </c>
      <c r="J490" t="n">
        <v>0</v>
      </c>
      <c r="K490" t="n">
        <v>0</v>
      </c>
      <c r="L490" t="n">
        <v>0</v>
      </c>
      <c r="M490" t="n">
        <v>0</v>
      </c>
      <c r="N490" t="n">
        <v>0</v>
      </c>
      <c r="O490" t="n">
        <v>0</v>
      </c>
      <c r="P490" t="n">
        <v>0</v>
      </c>
      <c r="Q490" t="n">
        <v>0</v>
      </c>
      <c r="R490" s="2" t="inlineStr"/>
    </row>
    <row r="491" ht="15" customHeight="1">
      <c r="A491" t="inlineStr">
        <is>
          <t>A 53161-2019</t>
        </is>
      </c>
      <c r="B491" s="1" t="n">
        <v>43747</v>
      </c>
      <c r="C491" s="1" t="n">
        <v>45337</v>
      </c>
      <c r="D491" t="inlineStr">
        <is>
          <t>VÄSTERNORRLANDS LÄN</t>
        </is>
      </c>
      <c r="E491" t="inlineStr">
        <is>
          <t>SOLLEFTEÅ</t>
        </is>
      </c>
      <c r="F491" t="inlineStr">
        <is>
          <t>Kommuner</t>
        </is>
      </c>
      <c r="G491" t="n">
        <v>0.4</v>
      </c>
      <c r="H491" t="n">
        <v>0</v>
      </c>
      <c r="I491" t="n">
        <v>0</v>
      </c>
      <c r="J491" t="n">
        <v>0</v>
      </c>
      <c r="K491" t="n">
        <v>0</v>
      </c>
      <c r="L491" t="n">
        <v>0</v>
      </c>
      <c r="M491" t="n">
        <v>0</v>
      </c>
      <c r="N491" t="n">
        <v>0</v>
      </c>
      <c r="O491" t="n">
        <v>0</v>
      </c>
      <c r="P491" t="n">
        <v>0</v>
      </c>
      <c r="Q491" t="n">
        <v>0</v>
      </c>
      <c r="R491" s="2" t="inlineStr"/>
    </row>
    <row r="492" ht="15" customHeight="1">
      <c r="A492" t="inlineStr">
        <is>
          <t>A 55623-2019</t>
        </is>
      </c>
      <c r="B492" s="1" t="n">
        <v>43755</v>
      </c>
      <c r="C492" s="1" t="n">
        <v>45337</v>
      </c>
      <c r="D492" t="inlineStr">
        <is>
          <t>VÄSTERNORRLANDS LÄN</t>
        </is>
      </c>
      <c r="E492" t="inlineStr">
        <is>
          <t>SOLLEFTEÅ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55925-2019</t>
        </is>
      </c>
      <c r="B493" s="1" t="n">
        <v>43755</v>
      </c>
      <c r="C493" s="1" t="n">
        <v>45337</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55628-2019</t>
        </is>
      </c>
      <c r="B494" s="1" t="n">
        <v>43755</v>
      </c>
      <c r="C494" s="1" t="n">
        <v>45337</v>
      </c>
      <c r="D494" t="inlineStr">
        <is>
          <t>VÄSTERNORRLANDS LÄN</t>
        </is>
      </c>
      <c r="E494" t="inlineStr">
        <is>
          <t>SOLLEFTEÅ</t>
        </is>
      </c>
      <c r="G494" t="n">
        <v>2.6</v>
      </c>
      <c r="H494" t="n">
        <v>0</v>
      </c>
      <c r="I494" t="n">
        <v>0</v>
      </c>
      <c r="J494" t="n">
        <v>0</v>
      </c>
      <c r="K494" t="n">
        <v>0</v>
      </c>
      <c r="L494" t="n">
        <v>0</v>
      </c>
      <c r="M494" t="n">
        <v>0</v>
      </c>
      <c r="N494" t="n">
        <v>0</v>
      </c>
      <c r="O494" t="n">
        <v>0</v>
      </c>
      <c r="P494" t="n">
        <v>0</v>
      </c>
      <c r="Q494" t="n">
        <v>0</v>
      </c>
      <c r="R494" s="2" t="inlineStr"/>
    </row>
    <row r="495" ht="15" customHeight="1">
      <c r="A495" t="inlineStr">
        <is>
          <t>A 55625-2019</t>
        </is>
      </c>
      <c r="B495" s="1" t="n">
        <v>43755</v>
      </c>
      <c r="C495" s="1" t="n">
        <v>45337</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57365-2019</t>
        </is>
      </c>
      <c r="B496" s="1" t="n">
        <v>43760</v>
      </c>
      <c r="C496" s="1" t="n">
        <v>45337</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57575-2019</t>
        </is>
      </c>
      <c r="B497" s="1" t="n">
        <v>43761</v>
      </c>
      <c r="C497" s="1" t="n">
        <v>45337</v>
      </c>
      <c r="D497" t="inlineStr">
        <is>
          <t>VÄSTERNORRLANDS LÄN</t>
        </is>
      </c>
      <c r="E497" t="inlineStr">
        <is>
          <t>SOLLEFTEÅ</t>
        </is>
      </c>
      <c r="G497" t="n">
        <v>14.4</v>
      </c>
      <c r="H497" t="n">
        <v>0</v>
      </c>
      <c r="I497" t="n">
        <v>0</v>
      </c>
      <c r="J497" t="n">
        <v>0</v>
      </c>
      <c r="K497" t="n">
        <v>0</v>
      </c>
      <c r="L497" t="n">
        <v>0</v>
      </c>
      <c r="M497" t="n">
        <v>0</v>
      </c>
      <c r="N497" t="n">
        <v>0</v>
      </c>
      <c r="O497" t="n">
        <v>0</v>
      </c>
      <c r="P497" t="n">
        <v>0</v>
      </c>
      <c r="Q497" t="n">
        <v>0</v>
      </c>
      <c r="R497" s="2" t="inlineStr"/>
    </row>
    <row r="498" ht="15" customHeight="1">
      <c r="A498" t="inlineStr">
        <is>
          <t>A 56252-2019</t>
        </is>
      </c>
      <c r="B498" s="1" t="n">
        <v>43762</v>
      </c>
      <c r="C498" s="1" t="n">
        <v>45337</v>
      </c>
      <c r="D498" t="inlineStr">
        <is>
          <t>VÄSTERNORRLANDS LÄN</t>
        </is>
      </c>
      <c r="E498" t="inlineStr">
        <is>
          <t>SOLLEFTEÅ</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56493-2019</t>
        </is>
      </c>
      <c r="B499" s="1" t="n">
        <v>43762</v>
      </c>
      <c r="C499" s="1" t="n">
        <v>45337</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56492-2019</t>
        </is>
      </c>
      <c r="B500" s="1" t="n">
        <v>43762</v>
      </c>
      <c r="C500" s="1" t="n">
        <v>45337</v>
      </c>
      <c r="D500" t="inlineStr">
        <is>
          <t>VÄSTERNORRLANDS LÄN</t>
        </is>
      </c>
      <c r="E500" t="inlineStr">
        <is>
          <t>SOLLEFTEÅ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56803-2019</t>
        </is>
      </c>
      <c r="B501" s="1" t="n">
        <v>43763</v>
      </c>
      <c r="C501" s="1" t="n">
        <v>45337</v>
      </c>
      <c r="D501" t="inlineStr">
        <is>
          <t>VÄSTERNORRLANDS LÄN</t>
        </is>
      </c>
      <c r="E501" t="inlineStr">
        <is>
          <t>SOLLEFTEÅ</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56874-2019</t>
        </is>
      </c>
      <c r="B502" s="1" t="n">
        <v>43766</v>
      </c>
      <c r="C502" s="1" t="n">
        <v>45337</v>
      </c>
      <c r="D502" t="inlineStr">
        <is>
          <t>VÄSTERNORRLANDS LÄN</t>
        </is>
      </c>
      <c r="E502" t="inlineStr">
        <is>
          <t>SOLLEFTEÅ</t>
        </is>
      </c>
      <c r="G502" t="n">
        <v>6.1</v>
      </c>
      <c r="H502" t="n">
        <v>0</v>
      </c>
      <c r="I502" t="n">
        <v>0</v>
      </c>
      <c r="J502" t="n">
        <v>0</v>
      </c>
      <c r="K502" t="n">
        <v>0</v>
      </c>
      <c r="L502" t="n">
        <v>0</v>
      </c>
      <c r="M502" t="n">
        <v>0</v>
      </c>
      <c r="N502" t="n">
        <v>0</v>
      </c>
      <c r="O502" t="n">
        <v>0</v>
      </c>
      <c r="P502" t="n">
        <v>0</v>
      </c>
      <c r="Q502" t="n">
        <v>0</v>
      </c>
      <c r="R502" s="2" t="inlineStr"/>
    </row>
    <row r="503" ht="15" customHeight="1">
      <c r="A503" t="inlineStr">
        <is>
          <t>A 56985-2019</t>
        </is>
      </c>
      <c r="B503" s="1" t="n">
        <v>43766</v>
      </c>
      <c r="C503" s="1" t="n">
        <v>45337</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57041-2019</t>
        </is>
      </c>
      <c r="B504" s="1" t="n">
        <v>43766</v>
      </c>
      <c r="C504" s="1" t="n">
        <v>45337</v>
      </c>
      <c r="D504" t="inlineStr">
        <is>
          <t>VÄSTERNORRLANDS LÄN</t>
        </is>
      </c>
      <c r="E504" t="inlineStr">
        <is>
          <t>SOLLEFTEÅ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57188-2019</t>
        </is>
      </c>
      <c r="B505" s="1" t="n">
        <v>43766</v>
      </c>
      <c r="C505" s="1" t="n">
        <v>45337</v>
      </c>
      <c r="D505" t="inlineStr">
        <is>
          <t>VÄSTERNORRLANDS LÄN</t>
        </is>
      </c>
      <c r="E505" t="inlineStr">
        <is>
          <t>SOLLEFTEÅ</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57882-2019</t>
        </is>
      </c>
      <c r="B506" s="1" t="n">
        <v>43768</v>
      </c>
      <c r="C506" s="1" t="n">
        <v>45337</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57884-2019</t>
        </is>
      </c>
      <c r="B507" s="1" t="n">
        <v>43768</v>
      </c>
      <c r="C507" s="1" t="n">
        <v>45337</v>
      </c>
      <c r="D507" t="inlineStr">
        <is>
          <t>VÄSTERNORRLANDS LÄN</t>
        </is>
      </c>
      <c r="E507" t="inlineStr">
        <is>
          <t>SOLLEFTEÅ</t>
        </is>
      </c>
      <c r="F507" t="inlineStr">
        <is>
          <t>SCA</t>
        </is>
      </c>
      <c r="G507" t="n">
        <v>14.7</v>
      </c>
      <c r="H507" t="n">
        <v>0</v>
      </c>
      <c r="I507" t="n">
        <v>0</v>
      </c>
      <c r="J507" t="n">
        <v>0</v>
      </c>
      <c r="K507" t="n">
        <v>0</v>
      </c>
      <c r="L507" t="n">
        <v>0</v>
      </c>
      <c r="M507" t="n">
        <v>0</v>
      </c>
      <c r="N507" t="n">
        <v>0</v>
      </c>
      <c r="O507" t="n">
        <v>0</v>
      </c>
      <c r="P507" t="n">
        <v>0</v>
      </c>
      <c r="Q507" t="n">
        <v>0</v>
      </c>
      <c r="R507" s="2" t="inlineStr"/>
    </row>
    <row r="508" ht="15" customHeight="1">
      <c r="A508" t="inlineStr">
        <is>
          <t>A 57883-2019</t>
        </is>
      </c>
      <c r="B508" s="1" t="n">
        <v>43768</v>
      </c>
      <c r="C508" s="1" t="n">
        <v>45337</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58170-2019</t>
        </is>
      </c>
      <c r="B509" s="1" t="n">
        <v>43769</v>
      </c>
      <c r="C509" s="1" t="n">
        <v>45337</v>
      </c>
      <c r="D509" t="inlineStr">
        <is>
          <t>VÄSTERNORRLANDS LÄN</t>
        </is>
      </c>
      <c r="E509" t="inlineStr">
        <is>
          <t>SOLLEFTEÅ</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58267-2019</t>
        </is>
      </c>
      <c r="B510" s="1" t="n">
        <v>43770</v>
      </c>
      <c r="C510" s="1" t="n">
        <v>45337</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59460-2019</t>
        </is>
      </c>
      <c r="B511" s="1" t="n">
        <v>43776</v>
      </c>
      <c r="C511" s="1" t="n">
        <v>45337</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60491-2019</t>
        </is>
      </c>
      <c r="B512" s="1" t="n">
        <v>43780</v>
      </c>
      <c r="C512" s="1" t="n">
        <v>45337</v>
      </c>
      <c r="D512" t="inlineStr">
        <is>
          <t>VÄSTERNORRLANDS LÄN</t>
        </is>
      </c>
      <c r="E512" t="inlineStr">
        <is>
          <t>SOLLEFTEÅ</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61428-2019</t>
        </is>
      </c>
      <c r="B513" s="1" t="n">
        <v>43780</v>
      </c>
      <c r="C513" s="1" t="n">
        <v>45337</v>
      </c>
      <c r="D513" t="inlineStr">
        <is>
          <t>VÄSTERNORRLANDS LÄN</t>
        </is>
      </c>
      <c r="E513" t="inlineStr">
        <is>
          <t>SOLLEFTEÅ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60531-2019</t>
        </is>
      </c>
      <c r="B514" s="1" t="n">
        <v>43781</v>
      </c>
      <c r="C514" s="1" t="n">
        <v>45337</v>
      </c>
      <c r="D514" t="inlineStr">
        <is>
          <t>VÄSTERNORRLANDS LÄN</t>
        </is>
      </c>
      <c r="E514" t="inlineStr">
        <is>
          <t>SOLLEFTEÅ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60538-2019</t>
        </is>
      </c>
      <c r="B515" s="1" t="n">
        <v>43781</v>
      </c>
      <c r="C515" s="1" t="n">
        <v>45337</v>
      </c>
      <c r="D515" t="inlineStr">
        <is>
          <t>VÄSTERNORRLANDS LÄN</t>
        </is>
      </c>
      <c r="E515" t="inlineStr">
        <is>
          <t>SOLLEFTEÅ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60905-2019</t>
        </is>
      </c>
      <c r="B516" s="1" t="n">
        <v>43781</v>
      </c>
      <c r="C516" s="1" t="n">
        <v>45337</v>
      </c>
      <c r="D516" t="inlineStr">
        <is>
          <t>VÄSTERNORRLANDS LÄN</t>
        </is>
      </c>
      <c r="E516" t="inlineStr">
        <is>
          <t>SOLLEFTEÅ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61978-2019</t>
        </is>
      </c>
      <c r="B517" s="1" t="n">
        <v>43781</v>
      </c>
      <c r="C517" s="1" t="n">
        <v>45337</v>
      </c>
      <c r="D517" t="inlineStr">
        <is>
          <t>VÄSTERNORRLANDS LÄN</t>
        </is>
      </c>
      <c r="E517" t="inlineStr">
        <is>
          <t>SOLLEFTEÅ</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63450-2019</t>
        </is>
      </c>
      <c r="B518" s="1" t="n">
        <v>43788</v>
      </c>
      <c r="C518" s="1" t="n">
        <v>45337</v>
      </c>
      <c r="D518" t="inlineStr">
        <is>
          <t>VÄSTERNORRLANDS LÄN</t>
        </is>
      </c>
      <c r="E518" t="inlineStr">
        <is>
          <t>SOLLEFTEÅ</t>
        </is>
      </c>
      <c r="G518" t="n">
        <v>8.6</v>
      </c>
      <c r="H518" t="n">
        <v>0</v>
      </c>
      <c r="I518" t="n">
        <v>0</v>
      </c>
      <c r="J518" t="n">
        <v>0</v>
      </c>
      <c r="K518" t="n">
        <v>0</v>
      </c>
      <c r="L518" t="n">
        <v>0</v>
      </c>
      <c r="M518" t="n">
        <v>0</v>
      </c>
      <c r="N518" t="n">
        <v>0</v>
      </c>
      <c r="O518" t="n">
        <v>0</v>
      </c>
      <c r="P518" t="n">
        <v>0</v>
      </c>
      <c r="Q518" t="n">
        <v>0</v>
      </c>
      <c r="R518" s="2" t="inlineStr"/>
    </row>
    <row r="519" ht="15" customHeight="1">
      <c r="A519" t="inlineStr">
        <is>
          <t>A 62500-2019</t>
        </is>
      </c>
      <c r="B519" s="1" t="n">
        <v>43788</v>
      </c>
      <c r="C519" s="1" t="n">
        <v>45337</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64197-2019</t>
        </is>
      </c>
      <c r="B520" s="1" t="n">
        <v>43791</v>
      </c>
      <c r="C520" s="1" t="n">
        <v>45337</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63552-2019</t>
        </is>
      </c>
      <c r="B521" s="1" t="n">
        <v>43794</v>
      </c>
      <c r="C521" s="1" t="n">
        <v>45337</v>
      </c>
      <c r="D521" t="inlineStr">
        <is>
          <t>VÄSTERNORRLANDS LÄN</t>
        </is>
      </c>
      <c r="E521" t="inlineStr">
        <is>
          <t>SOLLEFTEÅ</t>
        </is>
      </c>
      <c r="G521" t="n">
        <v>7.2</v>
      </c>
      <c r="H521" t="n">
        <v>0</v>
      </c>
      <c r="I521" t="n">
        <v>0</v>
      </c>
      <c r="J521" t="n">
        <v>0</v>
      </c>
      <c r="K521" t="n">
        <v>0</v>
      </c>
      <c r="L521" t="n">
        <v>0</v>
      </c>
      <c r="M521" t="n">
        <v>0</v>
      </c>
      <c r="N521" t="n">
        <v>0</v>
      </c>
      <c r="O521" t="n">
        <v>0</v>
      </c>
      <c r="P521" t="n">
        <v>0</v>
      </c>
      <c r="Q521" t="n">
        <v>0</v>
      </c>
      <c r="R521" s="2" t="inlineStr"/>
    </row>
    <row r="522" ht="15" customHeight="1">
      <c r="A522" t="inlineStr">
        <is>
          <t>A 63752-2019</t>
        </is>
      </c>
      <c r="B522" s="1" t="n">
        <v>43795</v>
      </c>
      <c r="C522" s="1" t="n">
        <v>45337</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65218-2019</t>
        </is>
      </c>
      <c r="B523" s="1" t="n">
        <v>43797</v>
      </c>
      <c r="C523" s="1" t="n">
        <v>45337</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65029-2019</t>
        </is>
      </c>
      <c r="B524" s="1" t="n">
        <v>43801</v>
      </c>
      <c r="C524" s="1" t="n">
        <v>45337</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65332-2019</t>
        </is>
      </c>
      <c r="B525" s="1" t="n">
        <v>43802</v>
      </c>
      <c r="C525" s="1" t="n">
        <v>45337</v>
      </c>
      <c r="D525" t="inlineStr">
        <is>
          <t>VÄSTERNORRLANDS LÄN</t>
        </is>
      </c>
      <c r="E525" t="inlineStr">
        <is>
          <t>SOLLEFTEÅ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66321-2019</t>
        </is>
      </c>
      <c r="B526" s="1" t="n">
        <v>43802</v>
      </c>
      <c r="C526" s="1" t="n">
        <v>45337</v>
      </c>
      <c r="D526" t="inlineStr">
        <is>
          <t>VÄSTERNORRLANDS LÄN</t>
        </is>
      </c>
      <c r="E526" t="inlineStr">
        <is>
          <t>SOLLEFTEÅ</t>
        </is>
      </c>
      <c r="G526" t="n">
        <v>6.4</v>
      </c>
      <c r="H526" t="n">
        <v>0</v>
      </c>
      <c r="I526" t="n">
        <v>0</v>
      </c>
      <c r="J526" t="n">
        <v>0</v>
      </c>
      <c r="K526" t="n">
        <v>0</v>
      </c>
      <c r="L526" t="n">
        <v>0</v>
      </c>
      <c r="M526" t="n">
        <v>0</v>
      </c>
      <c r="N526" t="n">
        <v>0</v>
      </c>
      <c r="O526" t="n">
        <v>0</v>
      </c>
      <c r="P526" t="n">
        <v>0</v>
      </c>
      <c r="Q526" t="n">
        <v>0</v>
      </c>
      <c r="R526" s="2" t="inlineStr"/>
    </row>
    <row r="527" ht="15" customHeight="1">
      <c r="A527" t="inlineStr">
        <is>
          <t>A 65319-2019</t>
        </is>
      </c>
      <c r="B527" s="1" t="n">
        <v>43802</v>
      </c>
      <c r="C527" s="1" t="n">
        <v>45337</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65327-2019</t>
        </is>
      </c>
      <c r="B528" s="1" t="n">
        <v>43802</v>
      </c>
      <c r="C528" s="1" t="n">
        <v>45337</v>
      </c>
      <c r="D528" t="inlineStr">
        <is>
          <t>VÄSTERNORRLANDS LÄN</t>
        </is>
      </c>
      <c r="E528" t="inlineStr">
        <is>
          <t>SOLLEFTEÅ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66391-2019</t>
        </is>
      </c>
      <c r="B529" s="1" t="n">
        <v>43808</v>
      </c>
      <c r="C529" s="1" t="n">
        <v>45337</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67805-2019</t>
        </is>
      </c>
      <c r="B530" s="1" t="n">
        <v>43815</v>
      </c>
      <c r="C530" s="1" t="n">
        <v>45337</v>
      </c>
      <c r="D530" t="inlineStr">
        <is>
          <t>VÄSTERNORRLANDS LÄN</t>
        </is>
      </c>
      <c r="E530" t="inlineStr">
        <is>
          <t>SOLLEFTEÅ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67815-2019</t>
        </is>
      </c>
      <c r="B531" s="1" t="n">
        <v>43815</v>
      </c>
      <c r="C531" s="1" t="n">
        <v>45337</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1627-2020</t>
        </is>
      </c>
      <c r="B532" s="1" t="n">
        <v>43829</v>
      </c>
      <c r="C532" s="1" t="n">
        <v>45337</v>
      </c>
      <c r="D532" t="inlineStr">
        <is>
          <t>VÄSTERNORRLANDS LÄN</t>
        </is>
      </c>
      <c r="E532" t="inlineStr">
        <is>
          <t>SOLLEFTEÅ</t>
        </is>
      </c>
      <c r="G532" t="n">
        <v>9</v>
      </c>
      <c r="H532" t="n">
        <v>0</v>
      </c>
      <c r="I532" t="n">
        <v>0</v>
      </c>
      <c r="J532" t="n">
        <v>0</v>
      </c>
      <c r="K532" t="n">
        <v>0</v>
      </c>
      <c r="L532" t="n">
        <v>0</v>
      </c>
      <c r="M532" t="n">
        <v>0</v>
      </c>
      <c r="N532" t="n">
        <v>0</v>
      </c>
      <c r="O532" t="n">
        <v>0</v>
      </c>
      <c r="P532" t="n">
        <v>0</v>
      </c>
      <c r="Q532" t="n">
        <v>0</v>
      </c>
      <c r="R532" s="2" t="inlineStr"/>
    </row>
    <row r="533" ht="15" customHeight="1">
      <c r="A533" t="inlineStr">
        <is>
          <t>A 127-2020</t>
        </is>
      </c>
      <c r="B533" s="1" t="n">
        <v>43832</v>
      </c>
      <c r="C533" s="1" t="n">
        <v>45337</v>
      </c>
      <c r="D533" t="inlineStr">
        <is>
          <t>VÄSTERNORRLANDS LÄN</t>
        </is>
      </c>
      <c r="E533" t="inlineStr">
        <is>
          <t>SOLLEFTEÅ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125-2020</t>
        </is>
      </c>
      <c r="B534" s="1" t="n">
        <v>43832</v>
      </c>
      <c r="C534" s="1" t="n">
        <v>45337</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126-2020</t>
        </is>
      </c>
      <c r="B535" s="1" t="n">
        <v>43832</v>
      </c>
      <c r="C535" s="1" t="n">
        <v>45337</v>
      </c>
      <c r="D535" t="inlineStr">
        <is>
          <t>VÄSTERNORRLANDS LÄN</t>
        </is>
      </c>
      <c r="E535" t="inlineStr">
        <is>
          <t>SOLLEFTEÅ</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538-2020</t>
        </is>
      </c>
      <c r="B536" s="1" t="n">
        <v>43837</v>
      </c>
      <c r="C536" s="1" t="n">
        <v>45337</v>
      </c>
      <c r="D536" t="inlineStr">
        <is>
          <t>VÄSTERNORRLANDS LÄN</t>
        </is>
      </c>
      <c r="E536" t="inlineStr">
        <is>
          <t>SOLLEFTEÅ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1263-2020</t>
        </is>
      </c>
      <c r="B537" s="1" t="n">
        <v>43840</v>
      </c>
      <c r="C537" s="1" t="n">
        <v>45337</v>
      </c>
      <c r="D537" t="inlineStr">
        <is>
          <t>VÄSTERNORRLANDS LÄN</t>
        </is>
      </c>
      <c r="E537" t="inlineStr">
        <is>
          <t>SOLLEFTEÅ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1262-2020</t>
        </is>
      </c>
      <c r="B538" s="1" t="n">
        <v>43840</v>
      </c>
      <c r="C538" s="1" t="n">
        <v>45337</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1213-2020</t>
        </is>
      </c>
      <c r="B539" s="1" t="n">
        <v>43840</v>
      </c>
      <c r="C539" s="1" t="n">
        <v>45337</v>
      </c>
      <c r="D539" t="inlineStr">
        <is>
          <t>VÄSTERNORRLANDS LÄN</t>
        </is>
      </c>
      <c r="E539" t="inlineStr">
        <is>
          <t>SOLLEFTEÅ</t>
        </is>
      </c>
      <c r="F539" t="inlineStr">
        <is>
          <t>Kyrkan</t>
        </is>
      </c>
      <c r="G539" t="n">
        <v>13.9</v>
      </c>
      <c r="H539" t="n">
        <v>0</v>
      </c>
      <c r="I539" t="n">
        <v>0</v>
      </c>
      <c r="J539" t="n">
        <v>0</v>
      </c>
      <c r="K539" t="n">
        <v>0</v>
      </c>
      <c r="L539" t="n">
        <v>0</v>
      </c>
      <c r="M539" t="n">
        <v>0</v>
      </c>
      <c r="N539" t="n">
        <v>0</v>
      </c>
      <c r="O539" t="n">
        <v>0</v>
      </c>
      <c r="P539" t="n">
        <v>0</v>
      </c>
      <c r="Q539" t="n">
        <v>0</v>
      </c>
      <c r="R539" s="2" t="inlineStr"/>
    </row>
    <row r="540" ht="15" customHeight="1">
      <c r="A540" t="inlineStr">
        <is>
          <t>A 1568-2020</t>
        </is>
      </c>
      <c r="B540" s="1" t="n">
        <v>43844</v>
      </c>
      <c r="C540" s="1" t="n">
        <v>45337</v>
      </c>
      <c r="D540" t="inlineStr">
        <is>
          <t>VÄSTERNORRLANDS LÄN</t>
        </is>
      </c>
      <c r="E540" t="inlineStr">
        <is>
          <t>SOLLEFTEÅ</t>
        </is>
      </c>
      <c r="G540" t="n">
        <v>3.4</v>
      </c>
      <c r="H540" t="n">
        <v>0</v>
      </c>
      <c r="I540" t="n">
        <v>0</v>
      </c>
      <c r="J540" t="n">
        <v>0</v>
      </c>
      <c r="K540" t="n">
        <v>0</v>
      </c>
      <c r="L540" t="n">
        <v>0</v>
      </c>
      <c r="M540" t="n">
        <v>0</v>
      </c>
      <c r="N540" t="n">
        <v>0</v>
      </c>
      <c r="O540" t="n">
        <v>0</v>
      </c>
      <c r="P540" t="n">
        <v>0</v>
      </c>
      <c r="Q540" t="n">
        <v>0</v>
      </c>
      <c r="R540" s="2" t="inlineStr"/>
    </row>
    <row r="541" ht="15" customHeight="1">
      <c r="A541" t="inlineStr">
        <is>
          <t>A 2897-2020</t>
        </is>
      </c>
      <c r="B541" s="1" t="n">
        <v>43850</v>
      </c>
      <c r="C541" s="1" t="n">
        <v>45337</v>
      </c>
      <c r="D541" t="inlineStr">
        <is>
          <t>VÄSTERNORRLANDS LÄN</t>
        </is>
      </c>
      <c r="E541" t="inlineStr">
        <is>
          <t>SOLLEFTEÅ</t>
        </is>
      </c>
      <c r="G541" t="n">
        <v>7.6</v>
      </c>
      <c r="H541" t="n">
        <v>0</v>
      </c>
      <c r="I541" t="n">
        <v>0</v>
      </c>
      <c r="J541" t="n">
        <v>0</v>
      </c>
      <c r="K541" t="n">
        <v>0</v>
      </c>
      <c r="L541" t="n">
        <v>0</v>
      </c>
      <c r="M541" t="n">
        <v>0</v>
      </c>
      <c r="N541" t="n">
        <v>0</v>
      </c>
      <c r="O541" t="n">
        <v>0</v>
      </c>
      <c r="P541" t="n">
        <v>0</v>
      </c>
      <c r="Q541" t="n">
        <v>0</v>
      </c>
      <c r="R541" s="2" t="inlineStr"/>
    </row>
    <row r="542" ht="15" customHeight="1">
      <c r="A542" t="inlineStr">
        <is>
          <t>A 3230-2020</t>
        </is>
      </c>
      <c r="B542" s="1" t="n">
        <v>43851</v>
      </c>
      <c r="C542" s="1" t="n">
        <v>45337</v>
      </c>
      <c r="D542" t="inlineStr">
        <is>
          <t>VÄSTERNORRLANDS LÄN</t>
        </is>
      </c>
      <c r="E542" t="inlineStr">
        <is>
          <t>SOLLEFTEÅ</t>
        </is>
      </c>
      <c r="F542" t="inlineStr">
        <is>
          <t>Övriga statliga verk och myndigheter</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4363-2020</t>
        </is>
      </c>
      <c r="B543" s="1" t="n">
        <v>43857</v>
      </c>
      <c r="C543" s="1" t="n">
        <v>45337</v>
      </c>
      <c r="D543" t="inlineStr">
        <is>
          <t>VÄSTERNORRLANDS LÄN</t>
        </is>
      </c>
      <c r="E543" t="inlineStr">
        <is>
          <t>SOLLEFTEÅ</t>
        </is>
      </c>
      <c r="G543" t="n">
        <v>6.4</v>
      </c>
      <c r="H543" t="n">
        <v>0</v>
      </c>
      <c r="I543" t="n">
        <v>0</v>
      </c>
      <c r="J543" t="n">
        <v>0</v>
      </c>
      <c r="K543" t="n">
        <v>0</v>
      </c>
      <c r="L543" t="n">
        <v>0</v>
      </c>
      <c r="M543" t="n">
        <v>0</v>
      </c>
      <c r="N543" t="n">
        <v>0</v>
      </c>
      <c r="O543" t="n">
        <v>0</v>
      </c>
      <c r="P543" t="n">
        <v>0</v>
      </c>
      <c r="Q543" t="n">
        <v>0</v>
      </c>
      <c r="R543" s="2" t="inlineStr"/>
    </row>
    <row r="544" ht="15" customHeight="1">
      <c r="A544" t="inlineStr">
        <is>
          <t>A 5248-2020</t>
        </is>
      </c>
      <c r="B544" s="1" t="n">
        <v>43857</v>
      </c>
      <c r="C544" s="1" t="n">
        <v>45337</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5635-2020</t>
        </is>
      </c>
      <c r="B545" s="1" t="n">
        <v>43860</v>
      </c>
      <c r="C545" s="1" t="n">
        <v>45337</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5662-2020</t>
        </is>
      </c>
      <c r="B546" s="1" t="n">
        <v>43861</v>
      </c>
      <c r="C546" s="1" t="n">
        <v>45337</v>
      </c>
      <c r="D546" t="inlineStr">
        <is>
          <t>VÄSTERNORRLANDS LÄN</t>
        </is>
      </c>
      <c r="E546" t="inlineStr">
        <is>
          <t>SOLLEFTEÅ</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5714-2020</t>
        </is>
      </c>
      <c r="B547" s="1" t="n">
        <v>43861</v>
      </c>
      <c r="C547" s="1" t="n">
        <v>45337</v>
      </c>
      <c r="D547" t="inlineStr">
        <is>
          <t>VÄSTERNORRLANDS LÄN</t>
        </is>
      </c>
      <c r="E547" t="inlineStr">
        <is>
          <t>SOLLEFTEÅ</t>
        </is>
      </c>
      <c r="G547" t="n">
        <v>3</v>
      </c>
      <c r="H547" t="n">
        <v>0</v>
      </c>
      <c r="I547" t="n">
        <v>0</v>
      </c>
      <c r="J547" t="n">
        <v>0</v>
      </c>
      <c r="K547" t="n">
        <v>0</v>
      </c>
      <c r="L547" t="n">
        <v>0</v>
      </c>
      <c r="M547" t="n">
        <v>0</v>
      </c>
      <c r="N547" t="n">
        <v>0</v>
      </c>
      <c r="O547" t="n">
        <v>0</v>
      </c>
      <c r="P547" t="n">
        <v>0</v>
      </c>
      <c r="Q547" t="n">
        <v>0</v>
      </c>
      <c r="R547" s="2" t="inlineStr"/>
    </row>
    <row r="548" ht="15" customHeight="1">
      <c r="A548" t="inlineStr">
        <is>
          <t>A 5908-2020</t>
        </is>
      </c>
      <c r="B548" s="1" t="n">
        <v>43861</v>
      </c>
      <c r="C548" s="1" t="n">
        <v>45337</v>
      </c>
      <c r="D548" t="inlineStr">
        <is>
          <t>VÄSTERNORRLANDS LÄN</t>
        </is>
      </c>
      <c r="E548" t="inlineStr">
        <is>
          <t>SOLLEFTEÅ</t>
        </is>
      </c>
      <c r="G548" t="n">
        <v>4.6</v>
      </c>
      <c r="H548" t="n">
        <v>0</v>
      </c>
      <c r="I548" t="n">
        <v>0</v>
      </c>
      <c r="J548" t="n">
        <v>0</v>
      </c>
      <c r="K548" t="n">
        <v>0</v>
      </c>
      <c r="L548" t="n">
        <v>0</v>
      </c>
      <c r="M548" t="n">
        <v>0</v>
      </c>
      <c r="N548" t="n">
        <v>0</v>
      </c>
      <c r="O548" t="n">
        <v>0</v>
      </c>
      <c r="P548" t="n">
        <v>0</v>
      </c>
      <c r="Q548" t="n">
        <v>0</v>
      </c>
      <c r="R548" s="2" t="inlineStr"/>
    </row>
    <row r="549" ht="15" customHeight="1">
      <c r="A549" t="inlineStr">
        <is>
          <t>A 8363-2020</t>
        </is>
      </c>
      <c r="B549" s="1" t="n">
        <v>43875</v>
      </c>
      <c r="C549" s="1" t="n">
        <v>45337</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8935-2020</t>
        </is>
      </c>
      <c r="B550" s="1" t="n">
        <v>43878</v>
      </c>
      <c r="C550" s="1" t="n">
        <v>45337</v>
      </c>
      <c r="D550" t="inlineStr">
        <is>
          <t>VÄSTERNORRLANDS LÄN</t>
        </is>
      </c>
      <c r="E550" t="inlineStr">
        <is>
          <t>SOLLEFTEÅ</t>
        </is>
      </c>
      <c r="G550" t="n">
        <v>3.9</v>
      </c>
      <c r="H550" t="n">
        <v>0</v>
      </c>
      <c r="I550" t="n">
        <v>0</v>
      </c>
      <c r="J550" t="n">
        <v>0</v>
      </c>
      <c r="K550" t="n">
        <v>0</v>
      </c>
      <c r="L550" t="n">
        <v>0</v>
      </c>
      <c r="M550" t="n">
        <v>0</v>
      </c>
      <c r="N550" t="n">
        <v>0</v>
      </c>
      <c r="O550" t="n">
        <v>0</v>
      </c>
      <c r="P550" t="n">
        <v>0</v>
      </c>
      <c r="Q550" t="n">
        <v>0</v>
      </c>
      <c r="R550" s="2" t="inlineStr"/>
    </row>
    <row r="551" ht="15" customHeight="1">
      <c r="A551" t="inlineStr">
        <is>
          <t>A 10631-2020</t>
        </is>
      </c>
      <c r="B551" s="1" t="n">
        <v>43887</v>
      </c>
      <c r="C551" s="1" t="n">
        <v>45337</v>
      </c>
      <c r="D551" t="inlineStr">
        <is>
          <t>VÄSTERNORRLANDS LÄN</t>
        </is>
      </c>
      <c r="E551" t="inlineStr">
        <is>
          <t>SOLLEFTEÅ</t>
        </is>
      </c>
      <c r="G551" t="n">
        <v>2.3</v>
      </c>
      <c r="H551" t="n">
        <v>0</v>
      </c>
      <c r="I551" t="n">
        <v>0</v>
      </c>
      <c r="J551" t="n">
        <v>0</v>
      </c>
      <c r="K551" t="n">
        <v>0</v>
      </c>
      <c r="L551" t="n">
        <v>0</v>
      </c>
      <c r="M551" t="n">
        <v>0</v>
      </c>
      <c r="N551" t="n">
        <v>0</v>
      </c>
      <c r="O551" t="n">
        <v>0</v>
      </c>
      <c r="P551" t="n">
        <v>0</v>
      </c>
      <c r="Q551" t="n">
        <v>0</v>
      </c>
      <c r="R551" s="2" t="inlineStr"/>
    </row>
    <row r="552" ht="15" customHeight="1">
      <c r="A552" t="inlineStr">
        <is>
          <t>A 10846-2020</t>
        </is>
      </c>
      <c r="B552" s="1" t="n">
        <v>43888</v>
      </c>
      <c r="C552" s="1" t="n">
        <v>45337</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11685-2020</t>
        </is>
      </c>
      <c r="B553" s="1" t="n">
        <v>43893</v>
      </c>
      <c r="C553" s="1" t="n">
        <v>45337</v>
      </c>
      <c r="D553" t="inlineStr">
        <is>
          <t>VÄSTERNORRLANDS LÄN</t>
        </is>
      </c>
      <c r="E553" t="inlineStr">
        <is>
          <t>SOLLEFTEÅ</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12819-2020</t>
        </is>
      </c>
      <c r="B554" s="1" t="n">
        <v>43893</v>
      </c>
      <c r="C554" s="1" t="n">
        <v>45337</v>
      </c>
      <c r="D554" t="inlineStr">
        <is>
          <t>VÄSTERNORRLANDS LÄN</t>
        </is>
      </c>
      <c r="E554" t="inlineStr">
        <is>
          <t>SOLLEFTEÅ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12526-2020</t>
        </is>
      </c>
      <c r="B555" s="1" t="n">
        <v>43896</v>
      </c>
      <c r="C555" s="1" t="n">
        <v>45337</v>
      </c>
      <c r="D555" t="inlineStr">
        <is>
          <t>VÄSTERNORRLANDS LÄN</t>
        </is>
      </c>
      <c r="E555" t="inlineStr">
        <is>
          <t>SOLLEFTEÅ</t>
        </is>
      </c>
      <c r="F555" t="inlineStr">
        <is>
          <t>SCA</t>
        </is>
      </c>
      <c r="G555" t="n">
        <v>14.7</v>
      </c>
      <c r="H555" t="n">
        <v>0</v>
      </c>
      <c r="I555" t="n">
        <v>0</v>
      </c>
      <c r="J555" t="n">
        <v>0</v>
      </c>
      <c r="K555" t="n">
        <v>0</v>
      </c>
      <c r="L555" t="n">
        <v>0</v>
      </c>
      <c r="M555" t="n">
        <v>0</v>
      </c>
      <c r="N555" t="n">
        <v>0</v>
      </c>
      <c r="O555" t="n">
        <v>0</v>
      </c>
      <c r="P555" t="n">
        <v>0</v>
      </c>
      <c r="Q555" t="n">
        <v>0</v>
      </c>
      <c r="R555" s="2" t="inlineStr"/>
    </row>
    <row r="556" ht="15" customHeight="1">
      <c r="A556" t="inlineStr">
        <is>
          <t>A 12525-2020</t>
        </is>
      </c>
      <c r="B556" s="1" t="n">
        <v>43896</v>
      </c>
      <c r="C556" s="1" t="n">
        <v>45337</v>
      </c>
      <c r="D556" t="inlineStr">
        <is>
          <t>VÄSTERNORRLANDS LÄN</t>
        </is>
      </c>
      <c r="E556" t="inlineStr">
        <is>
          <t>SOLLEFTEÅ</t>
        </is>
      </c>
      <c r="F556" t="inlineStr">
        <is>
          <t>SCA</t>
        </is>
      </c>
      <c r="G556" t="n">
        <v>28.7</v>
      </c>
      <c r="H556" t="n">
        <v>0</v>
      </c>
      <c r="I556" t="n">
        <v>0</v>
      </c>
      <c r="J556" t="n">
        <v>0</v>
      </c>
      <c r="K556" t="n">
        <v>0</v>
      </c>
      <c r="L556" t="n">
        <v>0</v>
      </c>
      <c r="M556" t="n">
        <v>0</v>
      </c>
      <c r="N556" t="n">
        <v>0</v>
      </c>
      <c r="O556" t="n">
        <v>0</v>
      </c>
      <c r="P556" t="n">
        <v>0</v>
      </c>
      <c r="Q556" t="n">
        <v>0</v>
      </c>
      <c r="R556" s="2" t="inlineStr"/>
    </row>
    <row r="557" ht="15" customHeight="1">
      <c r="A557" t="inlineStr">
        <is>
          <t>A 13023-2020</t>
        </is>
      </c>
      <c r="B557" s="1" t="n">
        <v>43900</v>
      </c>
      <c r="C557" s="1" t="n">
        <v>45337</v>
      </c>
      <c r="D557" t="inlineStr">
        <is>
          <t>VÄSTERNORRLANDS LÄN</t>
        </is>
      </c>
      <c r="E557" t="inlineStr">
        <is>
          <t>SOLLEFTEÅ</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13567-2020</t>
        </is>
      </c>
      <c r="B558" s="1" t="n">
        <v>43902</v>
      </c>
      <c r="C558" s="1" t="n">
        <v>45337</v>
      </c>
      <c r="D558" t="inlineStr">
        <is>
          <t>VÄSTERNORRLANDS LÄN</t>
        </is>
      </c>
      <c r="E558" t="inlineStr">
        <is>
          <t>SOLLEFTEÅ</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13577-2020</t>
        </is>
      </c>
      <c r="B559" s="1" t="n">
        <v>43902</v>
      </c>
      <c r="C559" s="1" t="n">
        <v>45337</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13565-2020</t>
        </is>
      </c>
      <c r="B560" s="1" t="n">
        <v>43902</v>
      </c>
      <c r="C560" s="1" t="n">
        <v>45337</v>
      </c>
      <c r="D560" t="inlineStr">
        <is>
          <t>VÄSTERNORRLANDS LÄN</t>
        </is>
      </c>
      <c r="E560" t="inlineStr">
        <is>
          <t>SOLLEFTEÅ</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13575-2020</t>
        </is>
      </c>
      <c r="B561" s="1" t="n">
        <v>43902</v>
      </c>
      <c r="C561" s="1" t="n">
        <v>45337</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13561-2020</t>
        </is>
      </c>
      <c r="B562" s="1" t="n">
        <v>43902</v>
      </c>
      <c r="C562" s="1" t="n">
        <v>45337</v>
      </c>
      <c r="D562" t="inlineStr">
        <is>
          <t>VÄSTERNORRLANDS LÄN</t>
        </is>
      </c>
      <c r="E562" t="inlineStr">
        <is>
          <t>SOLLEFTEÅ</t>
        </is>
      </c>
      <c r="F562" t="inlineStr">
        <is>
          <t>SCA</t>
        </is>
      </c>
      <c r="G562" t="n">
        <v>7.8</v>
      </c>
      <c r="H562" t="n">
        <v>0</v>
      </c>
      <c r="I562" t="n">
        <v>0</v>
      </c>
      <c r="J562" t="n">
        <v>0</v>
      </c>
      <c r="K562" t="n">
        <v>0</v>
      </c>
      <c r="L562" t="n">
        <v>0</v>
      </c>
      <c r="M562" t="n">
        <v>0</v>
      </c>
      <c r="N562" t="n">
        <v>0</v>
      </c>
      <c r="O562" t="n">
        <v>0</v>
      </c>
      <c r="P562" t="n">
        <v>0</v>
      </c>
      <c r="Q562" t="n">
        <v>0</v>
      </c>
      <c r="R562" s="2" t="inlineStr"/>
    </row>
    <row r="563" ht="15" customHeight="1">
      <c r="A563" t="inlineStr">
        <is>
          <t>A 13564-2020</t>
        </is>
      </c>
      <c r="B563" s="1" t="n">
        <v>43902</v>
      </c>
      <c r="C563" s="1" t="n">
        <v>45337</v>
      </c>
      <c r="D563" t="inlineStr">
        <is>
          <t>VÄSTERNORRLANDS LÄN</t>
        </is>
      </c>
      <c r="E563" t="inlineStr">
        <is>
          <t>SOLLEFTEÅ</t>
        </is>
      </c>
      <c r="F563" t="inlineStr">
        <is>
          <t>SCA</t>
        </is>
      </c>
      <c r="G563" t="n">
        <v>26.1</v>
      </c>
      <c r="H563" t="n">
        <v>0</v>
      </c>
      <c r="I563" t="n">
        <v>0</v>
      </c>
      <c r="J563" t="n">
        <v>0</v>
      </c>
      <c r="K563" t="n">
        <v>0</v>
      </c>
      <c r="L563" t="n">
        <v>0</v>
      </c>
      <c r="M563" t="n">
        <v>0</v>
      </c>
      <c r="N563" t="n">
        <v>0</v>
      </c>
      <c r="O563" t="n">
        <v>0</v>
      </c>
      <c r="P563" t="n">
        <v>0</v>
      </c>
      <c r="Q563" t="n">
        <v>0</v>
      </c>
      <c r="R563" s="2" t="inlineStr"/>
    </row>
    <row r="564" ht="15" customHeight="1">
      <c r="A564" t="inlineStr">
        <is>
          <t>A 13798-2020</t>
        </is>
      </c>
      <c r="B564" s="1" t="n">
        <v>43903</v>
      </c>
      <c r="C564" s="1" t="n">
        <v>45337</v>
      </c>
      <c r="D564" t="inlineStr">
        <is>
          <t>VÄSTERNORRLANDS LÄN</t>
        </is>
      </c>
      <c r="E564" t="inlineStr">
        <is>
          <t>SOLLEFTEÅ</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13864-2020</t>
        </is>
      </c>
      <c r="B565" s="1" t="n">
        <v>43906</v>
      </c>
      <c r="C565" s="1" t="n">
        <v>45337</v>
      </c>
      <c r="D565" t="inlineStr">
        <is>
          <t>VÄSTERNORRLANDS LÄN</t>
        </is>
      </c>
      <c r="E565" t="inlineStr">
        <is>
          <t>SOLLEFTEÅ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14859-2020</t>
        </is>
      </c>
      <c r="B566" s="1" t="n">
        <v>43909</v>
      </c>
      <c r="C566" s="1" t="n">
        <v>45337</v>
      </c>
      <c r="D566" t="inlineStr">
        <is>
          <t>VÄSTERNORRLANDS LÄN</t>
        </is>
      </c>
      <c r="E566" t="inlineStr">
        <is>
          <t>SOLLEFTEÅ</t>
        </is>
      </c>
      <c r="F566" t="inlineStr">
        <is>
          <t>SCA</t>
        </is>
      </c>
      <c r="G566" t="n">
        <v>5.8</v>
      </c>
      <c r="H566" t="n">
        <v>0</v>
      </c>
      <c r="I566" t="n">
        <v>0</v>
      </c>
      <c r="J566" t="n">
        <v>0</v>
      </c>
      <c r="K566" t="n">
        <v>0</v>
      </c>
      <c r="L566" t="n">
        <v>0</v>
      </c>
      <c r="M566" t="n">
        <v>0</v>
      </c>
      <c r="N566" t="n">
        <v>0</v>
      </c>
      <c r="O566" t="n">
        <v>0</v>
      </c>
      <c r="P566" t="n">
        <v>0</v>
      </c>
      <c r="Q566" t="n">
        <v>0</v>
      </c>
      <c r="R566" s="2" t="inlineStr"/>
    </row>
    <row r="567" ht="15" customHeight="1">
      <c r="A567" t="inlineStr">
        <is>
          <t>A 18515-2020</t>
        </is>
      </c>
      <c r="B567" s="1" t="n">
        <v>43927</v>
      </c>
      <c r="C567" s="1" t="n">
        <v>45337</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18402-2020</t>
        </is>
      </c>
      <c r="B568" s="1" t="n">
        <v>43928</v>
      </c>
      <c r="C568" s="1" t="n">
        <v>45337</v>
      </c>
      <c r="D568" t="inlineStr">
        <is>
          <t>VÄSTERNORRLANDS LÄN</t>
        </is>
      </c>
      <c r="E568" t="inlineStr">
        <is>
          <t>SOLLEFTEÅ</t>
        </is>
      </c>
      <c r="F568" t="inlineStr">
        <is>
          <t>Kyrkan</t>
        </is>
      </c>
      <c r="G568" t="n">
        <v>2.2</v>
      </c>
      <c r="H568" t="n">
        <v>0</v>
      </c>
      <c r="I568" t="n">
        <v>0</v>
      </c>
      <c r="J568" t="n">
        <v>0</v>
      </c>
      <c r="K568" t="n">
        <v>0</v>
      </c>
      <c r="L568" t="n">
        <v>0</v>
      </c>
      <c r="M568" t="n">
        <v>0</v>
      </c>
      <c r="N568" t="n">
        <v>0</v>
      </c>
      <c r="O568" t="n">
        <v>0</v>
      </c>
      <c r="P568" t="n">
        <v>0</v>
      </c>
      <c r="Q568" t="n">
        <v>0</v>
      </c>
      <c r="R568" s="2" t="inlineStr"/>
    </row>
    <row r="569" ht="15" customHeight="1">
      <c r="A569" t="inlineStr">
        <is>
          <t>A 20164-2020</t>
        </is>
      </c>
      <c r="B569" s="1" t="n">
        <v>43944</v>
      </c>
      <c r="C569" s="1" t="n">
        <v>45337</v>
      </c>
      <c r="D569" t="inlineStr">
        <is>
          <t>VÄSTERNORRLANDS LÄN</t>
        </is>
      </c>
      <c r="E569" t="inlineStr">
        <is>
          <t>SOLLEFTEÅ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20419-2020</t>
        </is>
      </c>
      <c r="B570" s="1" t="n">
        <v>43945</v>
      </c>
      <c r="C570" s="1" t="n">
        <v>45337</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20861-2020</t>
        </is>
      </c>
      <c r="B571" s="1" t="n">
        <v>43948</v>
      </c>
      <c r="C571" s="1" t="n">
        <v>45337</v>
      </c>
      <c r="D571" t="inlineStr">
        <is>
          <t>VÄSTERNORRLANDS LÄN</t>
        </is>
      </c>
      <c r="E571" t="inlineStr">
        <is>
          <t>SOLLEFTEÅ</t>
        </is>
      </c>
      <c r="G571" t="n">
        <v>2.9</v>
      </c>
      <c r="H571" t="n">
        <v>0</v>
      </c>
      <c r="I571" t="n">
        <v>0</v>
      </c>
      <c r="J571" t="n">
        <v>0</v>
      </c>
      <c r="K571" t="n">
        <v>0</v>
      </c>
      <c r="L571" t="n">
        <v>0</v>
      </c>
      <c r="M571" t="n">
        <v>0</v>
      </c>
      <c r="N571" t="n">
        <v>0</v>
      </c>
      <c r="O571" t="n">
        <v>0</v>
      </c>
      <c r="P571" t="n">
        <v>0</v>
      </c>
      <c r="Q571" t="n">
        <v>0</v>
      </c>
      <c r="R571" s="2" t="inlineStr"/>
    </row>
    <row r="572" ht="15" customHeight="1">
      <c r="A572" t="inlineStr">
        <is>
          <t>A 21022-2020</t>
        </is>
      </c>
      <c r="B572" s="1" t="n">
        <v>43950</v>
      </c>
      <c r="C572" s="1" t="n">
        <v>45337</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21097-2020</t>
        </is>
      </c>
      <c r="B573" s="1" t="n">
        <v>43950</v>
      </c>
      <c r="C573" s="1" t="n">
        <v>45337</v>
      </c>
      <c r="D573" t="inlineStr">
        <is>
          <t>VÄSTERNORRLANDS LÄN</t>
        </is>
      </c>
      <c r="E573" t="inlineStr">
        <is>
          <t>SOLLEFTEÅ</t>
        </is>
      </c>
      <c r="G573" t="n">
        <v>1</v>
      </c>
      <c r="H573" t="n">
        <v>0</v>
      </c>
      <c r="I573" t="n">
        <v>0</v>
      </c>
      <c r="J573" t="n">
        <v>0</v>
      </c>
      <c r="K573" t="n">
        <v>0</v>
      </c>
      <c r="L573" t="n">
        <v>0</v>
      </c>
      <c r="M573" t="n">
        <v>0</v>
      </c>
      <c r="N573" t="n">
        <v>0</v>
      </c>
      <c r="O573" t="n">
        <v>0</v>
      </c>
      <c r="P573" t="n">
        <v>0</v>
      </c>
      <c r="Q573" t="n">
        <v>0</v>
      </c>
      <c r="R573" s="2" t="inlineStr"/>
    </row>
    <row r="574" ht="15" customHeight="1">
      <c r="A574" t="inlineStr">
        <is>
          <t>A 21020-2020</t>
        </is>
      </c>
      <c r="B574" s="1" t="n">
        <v>43950</v>
      </c>
      <c r="C574" s="1" t="n">
        <v>45337</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22371-2020</t>
        </is>
      </c>
      <c r="B575" s="1" t="n">
        <v>43957</v>
      </c>
      <c r="C575" s="1" t="n">
        <v>45337</v>
      </c>
      <c r="D575" t="inlineStr">
        <is>
          <t>VÄSTERNORRLANDS LÄN</t>
        </is>
      </c>
      <c r="E575" t="inlineStr">
        <is>
          <t>SOLLEFTEÅ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22731-2020</t>
        </is>
      </c>
      <c r="B576" s="1" t="n">
        <v>43962</v>
      </c>
      <c r="C576" s="1" t="n">
        <v>45337</v>
      </c>
      <c r="D576" t="inlineStr">
        <is>
          <t>VÄSTERNORRLANDS LÄN</t>
        </is>
      </c>
      <c r="E576" t="inlineStr">
        <is>
          <t>SOLLEFTEÅ</t>
        </is>
      </c>
      <c r="G576" t="n">
        <v>16.8</v>
      </c>
      <c r="H576" t="n">
        <v>0</v>
      </c>
      <c r="I576" t="n">
        <v>0</v>
      </c>
      <c r="J576" t="n">
        <v>0</v>
      </c>
      <c r="K576" t="n">
        <v>0</v>
      </c>
      <c r="L576" t="n">
        <v>0</v>
      </c>
      <c r="M576" t="n">
        <v>0</v>
      </c>
      <c r="N576" t="n">
        <v>0</v>
      </c>
      <c r="O576" t="n">
        <v>0</v>
      </c>
      <c r="P576" t="n">
        <v>0</v>
      </c>
      <c r="Q576" t="n">
        <v>0</v>
      </c>
      <c r="R576" s="2" t="inlineStr"/>
    </row>
    <row r="577" ht="15" customHeight="1">
      <c r="A577" t="inlineStr">
        <is>
          <t>A 21607-2020</t>
        </is>
      </c>
      <c r="B577" s="1" t="n">
        <v>43963</v>
      </c>
      <c r="C577" s="1" t="n">
        <v>45337</v>
      </c>
      <c r="D577" t="inlineStr">
        <is>
          <t>VÄSTERNORRLANDS LÄN</t>
        </is>
      </c>
      <c r="E577" t="inlineStr">
        <is>
          <t>SOLLEFTEÅ</t>
        </is>
      </c>
      <c r="G577" t="n">
        <v>3.6</v>
      </c>
      <c r="H577" t="n">
        <v>0</v>
      </c>
      <c r="I577" t="n">
        <v>0</v>
      </c>
      <c r="J577" t="n">
        <v>0</v>
      </c>
      <c r="K577" t="n">
        <v>0</v>
      </c>
      <c r="L577" t="n">
        <v>0</v>
      </c>
      <c r="M577" t="n">
        <v>0</v>
      </c>
      <c r="N577" t="n">
        <v>0</v>
      </c>
      <c r="O577" t="n">
        <v>0</v>
      </c>
      <c r="P577" t="n">
        <v>0</v>
      </c>
      <c r="Q577" t="n">
        <v>0</v>
      </c>
      <c r="R577" s="2" t="inlineStr"/>
    </row>
    <row r="578" ht="15" customHeight="1">
      <c r="A578" t="inlineStr">
        <is>
          <t>A 22561-2020</t>
        </is>
      </c>
      <c r="B578" s="1" t="n">
        <v>43963</v>
      </c>
      <c r="C578" s="1" t="n">
        <v>45337</v>
      </c>
      <c r="D578" t="inlineStr">
        <is>
          <t>VÄSTERNORRLANDS LÄN</t>
        </is>
      </c>
      <c r="E578" t="inlineStr">
        <is>
          <t>SOLLEFTEÅ</t>
        </is>
      </c>
      <c r="G578" t="n">
        <v>8.6</v>
      </c>
      <c r="H578" t="n">
        <v>0</v>
      </c>
      <c r="I578" t="n">
        <v>0</v>
      </c>
      <c r="J578" t="n">
        <v>0</v>
      </c>
      <c r="K578" t="n">
        <v>0</v>
      </c>
      <c r="L578" t="n">
        <v>0</v>
      </c>
      <c r="M578" t="n">
        <v>0</v>
      </c>
      <c r="N578" t="n">
        <v>0</v>
      </c>
      <c r="O578" t="n">
        <v>0</v>
      </c>
      <c r="P578" t="n">
        <v>0</v>
      </c>
      <c r="Q578" t="n">
        <v>0</v>
      </c>
      <c r="R578" s="2" t="inlineStr"/>
    </row>
    <row r="579" ht="15" customHeight="1">
      <c r="A579" t="inlineStr">
        <is>
          <t>A 23231-2020</t>
        </is>
      </c>
      <c r="B579" s="1" t="n">
        <v>43966</v>
      </c>
      <c r="C579" s="1" t="n">
        <v>45337</v>
      </c>
      <c r="D579" t="inlineStr">
        <is>
          <t>VÄSTERNORRLANDS LÄN</t>
        </is>
      </c>
      <c r="E579" t="inlineStr">
        <is>
          <t>SOLLEFTEÅ</t>
        </is>
      </c>
      <c r="G579" t="n">
        <v>2</v>
      </c>
      <c r="H579" t="n">
        <v>0</v>
      </c>
      <c r="I579" t="n">
        <v>0</v>
      </c>
      <c r="J579" t="n">
        <v>0</v>
      </c>
      <c r="K579" t="n">
        <v>0</v>
      </c>
      <c r="L579" t="n">
        <v>0</v>
      </c>
      <c r="M579" t="n">
        <v>0</v>
      </c>
      <c r="N579" t="n">
        <v>0</v>
      </c>
      <c r="O579" t="n">
        <v>0</v>
      </c>
      <c r="P579" t="n">
        <v>0</v>
      </c>
      <c r="Q579" t="n">
        <v>0</v>
      </c>
      <c r="R579" s="2" t="inlineStr"/>
    </row>
    <row r="580" ht="15" customHeight="1">
      <c r="A580" t="inlineStr">
        <is>
          <t>A 23638-2020</t>
        </is>
      </c>
      <c r="B580" s="1" t="n">
        <v>43969</v>
      </c>
      <c r="C580" s="1" t="n">
        <v>45337</v>
      </c>
      <c r="D580" t="inlineStr">
        <is>
          <t>VÄSTERNORRLANDS LÄN</t>
        </is>
      </c>
      <c r="E580" t="inlineStr">
        <is>
          <t>SOLLEFTEÅ</t>
        </is>
      </c>
      <c r="G580" t="n">
        <v>8.9</v>
      </c>
      <c r="H580" t="n">
        <v>0</v>
      </c>
      <c r="I580" t="n">
        <v>0</v>
      </c>
      <c r="J580" t="n">
        <v>0</v>
      </c>
      <c r="K580" t="n">
        <v>0</v>
      </c>
      <c r="L580" t="n">
        <v>0</v>
      </c>
      <c r="M580" t="n">
        <v>0</v>
      </c>
      <c r="N580" t="n">
        <v>0</v>
      </c>
      <c r="O580" t="n">
        <v>0</v>
      </c>
      <c r="P580" t="n">
        <v>0</v>
      </c>
      <c r="Q580" t="n">
        <v>0</v>
      </c>
      <c r="R580" s="2" t="inlineStr"/>
    </row>
    <row r="581" ht="15" customHeight="1">
      <c r="A581" t="inlineStr">
        <is>
          <t>A 24060-2020</t>
        </is>
      </c>
      <c r="B581" s="1" t="n">
        <v>43971</v>
      </c>
      <c r="C581" s="1" t="n">
        <v>45337</v>
      </c>
      <c r="D581" t="inlineStr">
        <is>
          <t>VÄSTERNORRLANDS LÄN</t>
        </is>
      </c>
      <c r="E581" t="inlineStr">
        <is>
          <t>SOLLEFTEÅ</t>
        </is>
      </c>
      <c r="G581" t="n">
        <v>16.3</v>
      </c>
      <c r="H581" t="n">
        <v>0</v>
      </c>
      <c r="I581" t="n">
        <v>0</v>
      </c>
      <c r="J581" t="n">
        <v>0</v>
      </c>
      <c r="K581" t="n">
        <v>0</v>
      </c>
      <c r="L581" t="n">
        <v>0</v>
      </c>
      <c r="M581" t="n">
        <v>0</v>
      </c>
      <c r="N581" t="n">
        <v>0</v>
      </c>
      <c r="O581" t="n">
        <v>0</v>
      </c>
      <c r="P581" t="n">
        <v>0</v>
      </c>
      <c r="Q581" t="n">
        <v>0</v>
      </c>
      <c r="R581" s="2" t="inlineStr"/>
    </row>
    <row r="582" ht="15" customHeight="1">
      <c r="A582" t="inlineStr">
        <is>
          <t>A 24062-2020</t>
        </is>
      </c>
      <c r="B582" s="1" t="n">
        <v>43971</v>
      </c>
      <c r="C582" s="1" t="n">
        <v>45337</v>
      </c>
      <c r="D582" t="inlineStr">
        <is>
          <t>VÄSTERNORRLANDS LÄN</t>
        </is>
      </c>
      <c r="E582" t="inlineStr">
        <is>
          <t>SOLLEFTEÅ</t>
        </is>
      </c>
      <c r="G582" t="n">
        <v>1.6</v>
      </c>
      <c r="H582" t="n">
        <v>0</v>
      </c>
      <c r="I582" t="n">
        <v>0</v>
      </c>
      <c r="J582" t="n">
        <v>0</v>
      </c>
      <c r="K582" t="n">
        <v>0</v>
      </c>
      <c r="L582" t="n">
        <v>0</v>
      </c>
      <c r="M582" t="n">
        <v>0</v>
      </c>
      <c r="N582" t="n">
        <v>0</v>
      </c>
      <c r="O582" t="n">
        <v>0</v>
      </c>
      <c r="P582" t="n">
        <v>0</v>
      </c>
      <c r="Q582" t="n">
        <v>0</v>
      </c>
      <c r="R582" s="2" t="inlineStr"/>
    </row>
    <row r="583" ht="15" customHeight="1">
      <c r="A583" t="inlineStr">
        <is>
          <t>A 24061-2020</t>
        </is>
      </c>
      <c r="B583" s="1" t="n">
        <v>43971</v>
      </c>
      <c r="C583" s="1" t="n">
        <v>45337</v>
      </c>
      <c r="D583" t="inlineStr">
        <is>
          <t>VÄSTERNORRLANDS LÄN</t>
        </is>
      </c>
      <c r="E583" t="inlineStr">
        <is>
          <t>SOLLEFTEÅ</t>
        </is>
      </c>
      <c r="G583" t="n">
        <v>5.7</v>
      </c>
      <c r="H583" t="n">
        <v>0</v>
      </c>
      <c r="I583" t="n">
        <v>0</v>
      </c>
      <c r="J583" t="n">
        <v>0</v>
      </c>
      <c r="K583" t="n">
        <v>0</v>
      </c>
      <c r="L583" t="n">
        <v>0</v>
      </c>
      <c r="M583" t="n">
        <v>0</v>
      </c>
      <c r="N583" t="n">
        <v>0</v>
      </c>
      <c r="O583" t="n">
        <v>0</v>
      </c>
      <c r="P583" t="n">
        <v>0</v>
      </c>
      <c r="Q583" t="n">
        <v>0</v>
      </c>
      <c r="R583" s="2" t="inlineStr"/>
    </row>
    <row r="584" ht="15" customHeight="1">
      <c r="A584" t="inlineStr">
        <is>
          <t>A 25100-2020</t>
        </is>
      </c>
      <c r="B584" s="1" t="n">
        <v>43979</v>
      </c>
      <c r="C584" s="1" t="n">
        <v>45337</v>
      </c>
      <c r="D584" t="inlineStr">
        <is>
          <t>VÄSTERNORRLANDS LÄN</t>
        </is>
      </c>
      <c r="E584" t="inlineStr">
        <is>
          <t>SOLLEFTEÅ</t>
        </is>
      </c>
      <c r="G584" t="n">
        <v>4.7</v>
      </c>
      <c r="H584" t="n">
        <v>0</v>
      </c>
      <c r="I584" t="n">
        <v>0</v>
      </c>
      <c r="J584" t="n">
        <v>0</v>
      </c>
      <c r="K584" t="n">
        <v>0</v>
      </c>
      <c r="L584" t="n">
        <v>0</v>
      </c>
      <c r="M584" t="n">
        <v>0</v>
      </c>
      <c r="N584" t="n">
        <v>0</v>
      </c>
      <c r="O584" t="n">
        <v>0</v>
      </c>
      <c r="P584" t="n">
        <v>0</v>
      </c>
      <c r="Q584" t="n">
        <v>0</v>
      </c>
      <c r="R584" s="2" t="inlineStr"/>
    </row>
    <row r="585" ht="15" customHeight="1">
      <c r="A585" t="inlineStr">
        <is>
          <t>A 26189-2020</t>
        </is>
      </c>
      <c r="B585" s="1" t="n">
        <v>43985</v>
      </c>
      <c r="C585" s="1" t="n">
        <v>45337</v>
      </c>
      <c r="D585" t="inlineStr">
        <is>
          <t>VÄSTERNORRLANDS LÄN</t>
        </is>
      </c>
      <c r="E585" t="inlineStr">
        <is>
          <t>SOLLEFTEÅ</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26249-2020</t>
        </is>
      </c>
      <c r="B586" s="1" t="n">
        <v>43986</v>
      </c>
      <c r="C586" s="1" t="n">
        <v>45337</v>
      </c>
      <c r="D586" t="inlineStr">
        <is>
          <t>VÄSTERNORRLANDS LÄN</t>
        </is>
      </c>
      <c r="E586" t="inlineStr">
        <is>
          <t>SOLLEFTEÅ</t>
        </is>
      </c>
      <c r="G586" t="n">
        <v>0.7</v>
      </c>
      <c r="H586" t="n">
        <v>0</v>
      </c>
      <c r="I586" t="n">
        <v>0</v>
      </c>
      <c r="J586" t="n">
        <v>0</v>
      </c>
      <c r="K586" t="n">
        <v>0</v>
      </c>
      <c r="L586" t="n">
        <v>0</v>
      </c>
      <c r="M586" t="n">
        <v>0</v>
      </c>
      <c r="N586" t="n">
        <v>0</v>
      </c>
      <c r="O586" t="n">
        <v>0</v>
      </c>
      <c r="P586" t="n">
        <v>0</v>
      </c>
      <c r="Q586" t="n">
        <v>0</v>
      </c>
      <c r="R586" s="2" t="inlineStr"/>
    </row>
    <row r="587" ht="15" customHeight="1">
      <c r="A587" t="inlineStr">
        <is>
          <t>A 27199-2020</t>
        </is>
      </c>
      <c r="B587" s="1" t="n">
        <v>43991</v>
      </c>
      <c r="C587" s="1" t="n">
        <v>45337</v>
      </c>
      <c r="D587" t="inlineStr">
        <is>
          <t>VÄSTERNORRLANDS LÄN</t>
        </is>
      </c>
      <c r="E587" t="inlineStr">
        <is>
          <t>SOLLEFTEÅ</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27177-2020</t>
        </is>
      </c>
      <c r="B588" s="1" t="n">
        <v>43991</v>
      </c>
      <c r="C588" s="1" t="n">
        <v>45337</v>
      </c>
      <c r="D588" t="inlineStr">
        <is>
          <t>VÄSTERNORRLANDS LÄN</t>
        </is>
      </c>
      <c r="E588" t="inlineStr">
        <is>
          <t>SOLLEFTEÅ</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27209-2020</t>
        </is>
      </c>
      <c r="B589" s="1" t="n">
        <v>43991</v>
      </c>
      <c r="C589" s="1" t="n">
        <v>45337</v>
      </c>
      <c r="D589" t="inlineStr">
        <is>
          <t>VÄSTERNORRLANDS LÄN</t>
        </is>
      </c>
      <c r="E589" t="inlineStr">
        <is>
          <t>SOLLEFTEÅ</t>
        </is>
      </c>
      <c r="F589" t="inlineStr">
        <is>
          <t>SCA</t>
        </is>
      </c>
      <c r="G589" t="n">
        <v>15.7</v>
      </c>
      <c r="H589" t="n">
        <v>0</v>
      </c>
      <c r="I589" t="n">
        <v>0</v>
      </c>
      <c r="J589" t="n">
        <v>0</v>
      </c>
      <c r="K589" t="n">
        <v>0</v>
      </c>
      <c r="L589" t="n">
        <v>0</v>
      </c>
      <c r="M589" t="n">
        <v>0</v>
      </c>
      <c r="N589" t="n">
        <v>0</v>
      </c>
      <c r="O589" t="n">
        <v>0</v>
      </c>
      <c r="P589" t="n">
        <v>0</v>
      </c>
      <c r="Q589" t="n">
        <v>0</v>
      </c>
      <c r="R589" s="2" t="inlineStr"/>
    </row>
    <row r="590" ht="15" customHeight="1">
      <c r="A590" t="inlineStr">
        <is>
          <t>A 28489-2020</t>
        </is>
      </c>
      <c r="B590" s="1" t="n">
        <v>43998</v>
      </c>
      <c r="C590" s="1" t="n">
        <v>45337</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28486-2020</t>
        </is>
      </c>
      <c r="B591" s="1" t="n">
        <v>43999</v>
      </c>
      <c r="C591" s="1" t="n">
        <v>45337</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29648-2020</t>
        </is>
      </c>
      <c r="B592" s="1" t="n">
        <v>44004</v>
      </c>
      <c r="C592" s="1" t="n">
        <v>45337</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29503-2020</t>
        </is>
      </c>
      <c r="B593" s="1" t="n">
        <v>44005</v>
      </c>
      <c r="C593" s="1" t="n">
        <v>45337</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29825-2020</t>
        </is>
      </c>
      <c r="B594" s="1" t="n">
        <v>44005</v>
      </c>
      <c r="C594" s="1" t="n">
        <v>45337</v>
      </c>
      <c r="D594" t="inlineStr">
        <is>
          <t>VÄSTERNORRLANDS LÄN</t>
        </is>
      </c>
      <c r="E594" t="inlineStr">
        <is>
          <t>SOLLEFTEÅ</t>
        </is>
      </c>
      <c r="G594" t="n">
        <v>2.2</v>
      </c>
      <c r="H594" t="n">
        <v>0</v>
      </c>
      <c r="I594" t="n">
        <v>0</v>
      </c>
      <c r="J594" t="n">
        <v>0</v>
      </c>
      <c r="K594" t="n">
        <v>0</v>
      </c>
      <c r="L594" t="n">
        <v>0</v>
      </c>
      <c r="M594" t="n">
        <v>0</v>
      </c>
      <c r="N594" t="n">
        <v>0</v>
      </c>
      <c r="O594" t="n">
        <v>0</v>
      </c>
      <c r="P594" t="n">
        <v>0</v>
      </c>
      <c r="Q594" t="n">
        <v>0</v>
      </c>
      <c r="R594" s="2" t="inlineStr"/>
    </row>
    <row r="595" ht="15" customHeight="1">
      <c r="A595" t="inlineStr">
        <is>
          <t>A 29801-2020</t>
        </is>
      </c>
      <c r="B595" s="1" t="n">
        <v>44005</v>
      </c>
      <c r="C595" s="1" t="n">
        <v>45337</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30492-2020</t>
        </is>
      </c>
      <c r="B596" s="1" t="n">
        <v>44007</v>
      </c>
      <c r="C596" s="1" t="n">
        <v>45337</v>
      </c>
      <c r="D596" t="inlineStr">
        <is>
          <t>VÄSTERNORRLANDS LÄN</t>
        </is>
      </c>
      <c r="E596" t="inlineStr">
        <is>
          <t>SOLLEFTEÅ</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30484-2020</t>
        </is>
      </c>
      <c r="B597" s="1" t="n">
        <v>44007</v>
      </c>
      <c r="C597" s="1" t="n">
        <v>45337</v>
      </c>
      <c r="D597" t="inlineStr">
        <is>
          <t>VÄSTERNORRLANDS LÄN</t>
        </is>
      </c>
      <c r="E597" t="inlineStr">
        <is>
          <t>SOLLEFTEÅ</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30753-2020</t>
        </is>
      </c>
      <c r="B598" s="1" t="n">
        <v>44008</v>
      </c>
      <c r="C598" s="1" t="n">
        <v>45337</v>
      </c>
      <c r="D598" t="inlineStr">
        <is>
          <t>VÄSTERNORRLANDS LÄN</t>
        </is>
      </c>
      <c r="E598" t="inlineStr">
        <is>
          <t>SOLLEFTEÅ</t>
        </is>
      </c>
      <c r="F598" t="inlineStr">
        <is>
          <t>SCA</t>
        </is>
      </c>
      <c r="G598" t="n">
        <v>10.7</v>
      </c>
      <c r="H598" t="n">
        <v>0</v>
      </c>
      <c r="I598" t="n">
        <v>0</v>
      </c>
      <c r="J598" t="n">
        <v>0</v>
      </c>
      <c r="K598" t="n">
        <v>0</v>
      </c>
      <c r="L598" t="n">
        <v>0</v>
      </c>
      <c r="M598" t="n">
        <v>0</v>
      </c>
      <c r="N598" t="n">
        <v>0</v>
      </c>
      <c r="O598" t="n">
        <v>0</v>
      </c>
      <c r="P598" t="n">
        <v>0</v>
      </c>
      <c r="Q598" t="n">
        <v>0</v>
      </c>
      <c r="R598" s="2" t="inlineStr"/>
    </row>
    <row r="599" ht="15" customHeight="1">
      <c r="A599" t="inlineStr">
        <is>
          <t>A 30747-2020</t>
        </is>
      </c>
      <c r="B599" s="1" t="n">
        <v>44008</v>
      </c>
      <c r="C599" s="1" t="n">
        <v>45337</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30802-2020</t>
        </is>
      </c>
      <c r="B600" s="1" t="n">
        <v>44011</v>
      </c>
      <c r="C600" s="1" t="n">
        <v>45337</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31313-2020</t>
        </is>
      </c>
      <c r="B601" s="1" t="n">
        <v>44012</v>
      </c>
      <c r="C601" s="1" t="n">
        <v>45337</v>
      </c>
      <c r="D601" t="inlineStr">
        <is>
          <t>VÄSTERNORRLANDS LÄN</t>
        </is>
      </c>
      <c r="E601" t="inlineStr">
        <is>
          <t>SOLLEFTEÅ</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32013-2020</t>
        </is>
      </c>
      <c r="B602" s="1" t="n">
        <v>44015</v>
      </c>
      <c r="C602" s="1" t="n">
        <v>45337</v>
      </c>
      <c r="D602" t="inlineStr">
        <is>
          <t>VÄSTERNORRLANDS LÄN</t>
        </is>
      </c>
      <c r="E602" t="inlineStr">
        <is>
          <t>SOLLEFTEÅ</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32325-2020</t>
        </is>
      </c>
      <c r="B603" s="1" t="n">
        <v>44016</v>
      </c>
      <c r="C603" s="1" t="n">
        <v>45337</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32461-2020</t>
        </is>
      </c>
      <c r="B604" s="1" t="n">
        <v>44015</v>
      </c>
      <c r="C604" s="1" t="n">
        <v>45337</v>
      </c>
      <c r="D604" t="inlineStr">
        <is>
          <t>VÄSTERNORRLANDS LÄN</t>
        </is>
      </c>
      <c r="E604" t="inlineStr">
        <is>
          <t>SOLLEFTEÅ</t>
        </is>
      </c>
      <c r="G604" t="n">
        <v>3.7</v>
      </c>
      <c r="H604" t="n">
        <v>0</v>
      </c>
      <c r="I604" t="n">
        <v>0</v>
      </c>
      <c r="J604" t="n">
        <v>0</v>
      </c>
      <c r="K604" t="n">
        <v>0</v>
      </c>
      <c r="L604" t="n">
        <v>0</v>
      </c>
      <c r="M604" t="n">
        <v>0</v>
      </c>
      <c r="N604" t="n">
        <v>0</v>
      </c>
      <c r="O604" t="n">
        <v>0</v>
      </c>
      <c r="P604" t="n">
        <v>0</v>
      </c>
      <c r="Q604" t="n">
        <v>0</v>
      </c>
      <c r="R604" s="2" t="inlineStr"/>
    </row>
    <row r="605" ht="15" customHeight="1">
      <c r="A605" t="inlineStr">
        <is>
          <t>A 32318-2020</t>
        </is>
      </c>
      <c r="B605" s="1" t="n">
        <v>44015</v>
      </c>
      <c r="C605" s="1" t="n">
        <v>45337</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32919-2020</t>
        </is>
      </c>
      <c r="B606" s="1" t="n">
        <v>44018</v>
      </c>
      <c r="C606" s="1" t="n">
        <v>45337</v>
      </c>
      <c r="D606" t="inlineStr">
        <is>
          <t>VÄSTERNORRLANDS LÄN</t>
        </is>
      </c>
      <c r="E606" t="inlineStr">
        <is>
          <t>SOLLEFTEÅ</t>
        </is>
      </c>
      <c r="G606" t="n">
        <v>5.5</v>
      </c>
      <c r="H606" t="n">
        <v>0</v>
      </c>
      <c r="I606" t="n">
        <v>0</v>
      </c>
      <c r="J606" t="n">
        <v>0</v>
      </c>
      <c r="K606" t="n">
        <v>0</v>
      </c>
      <c r="L606" t="n">
        <v>0</v>
      </c>
      <c r="M606" t="n">
        <v>0</v>
      </c>
      <c r="N606" t="n">
        <v>0</v>
      </c>
      <c r="O606" t="n">
        <v>0</v>
      </c>
      <c r="P606" t="n">
        <v>0</v>
      </c>
      <c r="Q606" t="n">
        <v>0</v>
      </c>
      <c r="R606" s="2" t="inlineStr"/>
    </row>
    <row r="607" ht="15" customHeight="1">
      <c r="A607" t="inlineStr">
        <is>
          <t>A 32929-2020</t>
        </is>
      </c>
      <c r="B607" s="1" t="n">
        <v>44018</v>
      </c>
      <c r="C607" s="1" t="n">
        <v>45337</v>
      </c>
      <c r="D607" t="inlineStr">
        <is>
          <t>VÄSTERNORRLANDS LÄN</t>
        </is>
      </c>
      <c r="E607" t="inlineStr">
        <is>
          <t>SOLLEFTEÅ</t>
        </is>
      </c>
      <c r="G607" t="n">
        <v>2.3</v>
      </c>
      <c r="H607" t="n">
        <v>0</v>
      </c>
      <c r="I607" t="n">
        <v>0</v>
      </c>
      <c r="J607" t="n">
        <v>0</v>
      </c>
      <c r="K607" t="n">
        <v>0</v>
      </c>
      <c r="L607" t="n">
        <v>0</v>
      </c>
      <c r="M607" t="n">
        <v>0</v>
      </c>
      <c r="N607" t="n">
        <v>0</v>
      </c>
      <c r="O607" t="n">
        <v>0</v>
      </c>
      <c r="P607" t="n">
        <v>0</v>
      </c>
      <c r="Q607" t="n">
        <v>0</v>
      </c>
      <c r="R607" s="2" t="inlineStr"/>
    </row>
    <row r="608" ht="15" customHeight="1">
      <c r="A608" t="inlineStr">
        <is>
          <t>A 32924-2020</t>
        </is>
      </c>
      <c r="B608" s="1" t="n">
        <v>44018</v>
      </c>
      <c r="C608" s="1" t="n">
        <v>45337</v>
      </c>
      <c r="D608" t="inlineStr">
        <is>
          <t>VÄSTERNORRLANDS LÄN</t>
        </is>
      </c>
      <c r="E608" t="inlineStr">
        <is>
          <t>SOLLEFTEÅ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32742-2020</t>
        </is>
      </c>
      <c r="B609" s="1" t="n">
        <v>44019</v>
      </c>
      <c r="C609" s="1" t="n">
        <v>45337</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33013-2020</t>
        </is>
      </c>
      <c r="B610" s="1" t="n">
        <v>44020</v>
      </c>
      <c r="C610" s="1" t="n">
        <v>45337</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33009-2020</t>
        </is>
      </c>
      <c r="B611" s="1" t="n">
        <v>44020</v>
      </c>
      <c r="C611" s="1" t="n">
        <v>45337</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33014-2020</t>
        </is>
      </c>
      <c r="B612" s="1" t="n">
        <v>44021</v>
      </c>
      <c r="C612" s="1" t="n">
        <v>45337</v>
      </c>
      <c r="D612" t="inlineStr">
        <is>
          <t>VÄSTERNORRLANDS LÄN</t>
        </is>
      </c>
      <c r="E612" t="inlineStr">
        <is>
          <t>SOLLEFTEÅ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33010-2020</t>
        </is>
      </c>
      <c r="B613" s="1" t="n">
        <v>44020</v>
      </c>
      <c r="C613" s="1" t="n">
        <v>45337</v>
      </c>
      <c r="D613" t="inlineStr">
        <is>
          <t>VÄSTERNORRLANDS LÄN</t>
        </is>
      </c>
      <c r="E613" t="inlineStr">
        <is>
          <t>SOLLEFTEÅ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33200-2020</t>
        </is>
      </c>
      <c r="B614" s="1" t="n">
        <v>44021</v>
      </c>
      <c r="C614" s="1" t="n">
        <v>45337</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33209-2020</t>
        </is>
      </c>
      <c r="B615" s="1" t="n">
        <v>44021</v>
      </c>
      <c r="C615" s="1" t="n">
        <v>45337</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33211-2020</t>
        </is>
      </c>
      <c r="B616" s="1" t="n">
        <v>44021</v>
      </c>
      <c r="C616" s="1" t="n">
        <v>45337</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33212-2020</t>
        </is>
      </c>
      <c r="B617" s="1" t="n">
        <v>44021</v>
      </c>
      <c r="C617" s="1" t="n">
        <v>45337</v>
      </c>
      <c r="D617" t="inlineStr">
        <is>
          <t>VÄSTERNORRLANDS LÄN</t>
        </is>
      </c>
      <c r="E617" t="inlineStr">
        <is>
          <t>SOLLEFTEÅ</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33208-2020</t>
        </is>
      </c>
      <c r="B618" s="1" t="n">
        <v>44021</v>
      </c>
      <c r="C618" s="1" t="n">
        <v>45337</v>
      </c>
      <c r="D618" t="inlineStr">
        <is>
          <t>VÄSTERNORRLANDS LÄN</t>
        </is>
      </c>
      <c r="E618" t="inlineStr">
        <is>
          <t>SOLLEFTEÅ</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33440-2020</t>
        </is>
      </c>
      <c r="B619" s="1" t="n">
        <v>44022</v>
      </c>
      <c r="C619" s="1" t="n">
        <v>45337</v>
      </c>
      <c r="D619" t="inlineStr">
        <is>
          <t>VÄSTERNORRLANDS LÄN</t>
        </is>
      </c>
      <c r="E619" t="inlineStr">
        <is>
          <t>SOLLEFTEÅ</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33458-2020</t>
        </is>
      </c>
      <c r="B620" s="1" t="n">
        <v>44022</v>
      </c>
      <c r="C620" s="1" t="n">
        <v>45337</v>
      </c>
      <c r="D620" t="inlineStr">
        <is>
          <t>VÄSTERNORRLANDS LÄN</t>
        </is>
      </c>
      <c r="E620" t="inlineStr">
        <is>
          <t>SOLLEFTEÅ</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33445-2020</t>
        </is>
      </c>
      <c r="B621" s="1" t="n">
        <v>44022</v>
      </c>
      <c r="C621" s="1" t="n">
        <v>45337</v>
      </c>
      <c r="D621" t="inlineStr">
        <is>
          <t>VÄSTERNORRLANDS LÄN</t>
        </is>
      </c>
      <c r="E621" t="inlineStr">
        <is>
          <t>SOLLEFTEÅ</t>
        </is>
      </c>
      <c r="G621" t="n">
        <v>4.5</v>
      </c>
      <c r="H621" t="n">
        <v>0</v>
      </c>
      <c r="I621" t="n">
        <v>0</v>
      </c>
      <c r="J621" t="n">
        <v>0</v>
      </c>
      <c r="K621" t="n">
        <v>0</v>
      </c>
      <c r="L621" t="n">
        <v>0</v>
      </c>
      <c r="M621" t="n">
        <v>0</v>
      </c>
      <c r="N621" t="n">
        <v>0</v>
      </c>
      <c r="O621" t="n">
        <v>0</v>
      </c>
      <c r="P621" t="n">
        <v>0</v>
      </c>
      <c r="Q621" t="n">
        <v>0</v>
      </c>
      <c r="R621" s="2" t="inlineStr"/>
    </row>
    <row r="622" ht="15" customHeight="1">
      <c r="A622" t="inlineStr">
        <is>
          <t>A 33492-2020</t>
        </is>
      </c>
      <c r="B622" s="1" t="n">
        <v>44024</v>
      </c>
      <c r="C622" s="1" t="n">
        <v>45337</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33640-2020</t>
        </is>
      </c>
      <c r="B623" s="1" t="n">
        <v>44025</v>
      </c>
      <c r="C623" s="1" t="n">
        <v>45337</v>
      </c>
      <c r="D623" t="inlineStr">
        <is>
          <t>VÄSTERNORRLANDS LÄN</t>
        </is>
      </c>
      <c r="E623" t="inlineStr">
        <is>
          <t>SOLLEFTEÅ</t>
        </is>
      </c>
      <c r="F623" t="inlineStr">
        <is>
          <t>SCA</t>
        </is>
      </c>
      <c r="G623" t="n">
        <v>6.2</v>
      </c>
      <c r="H623" t="n">
        <v>0</v>
      </c>
      <c r="I623" t="n">
        <v>0</v>
      </c>
      <c r="J623" t="n">
        <v>0</v>
      </c>
      <c r="K623" t="n">
        <v>0</v>
      </c>
      <c r="L623" t="n">
        <v>0</v>
      </c>
      <c r="M623" t="n">
        <v>0</v>
      </c>
      <c r="N623" t="n">
        <v>0</v>
      </c>
      <c r="O623" t="n">
        <v>0</v>
      </c>
      <c r="P623" t="n">
        <v>0</v>
      </c>
      <c r="Q623" t="n">
        <v>0</v>
      </c>
      <c r="R623" s="2" t="inlineStr"/>
    </row>
    <row r="624" ht="15" customHeight="1">
      <c r="A624" t="inlineStr">
        <is>
          <t>A 33641-2020</t>
        </is>
      </c>
      <c r="B624" s="1" t="n">
        <v>44025</v>
      </c>
      <c r="C624" s="1" t="n">
        <v>45337</v>
      </c>
      <c r="D624" t="inlineStr">
        <is>
          <t>VÄSTERNORRLANDS LÄN</t>
        </is>
      </c>
      <c r="E624" t="inlineStr">
        <is>
          <t>SOLLEFTEÅ</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33628-2020</t>
        </is>
      </c>
      <c r="B625" s="1" t="n">
        <v>44025</v>
      </c>
      <c r="C625" s="1" t="n">
        <v>45337</v>
      </c>
      <c r="D625" t="inlineStr">
        <is>
          <t>VÄSTERNORRLANDS LÄN</t>
        </is>
      </c>
      <c r="E625" t="inlineStr">
        <is>
          <t>SOLLEFTEÅ</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33784-2020</t>
        </is>
      </c>
      <c r="B626" s="1" t="n">
        <v>44026</v>
      </c>
      <c r="C626" s="1" t="n">
        <v>45337</v>
      </c>
      <c r="D626" t="inlineStr">
        <is>
          <t>VÄSTERNORRLANDS LÄN</t>
        </is>
      </c>
      <c r="E626" t="inlineStr">
        <is>
          <t>SOLLEFTEÅ</t>
        </is>
      </c>
      <c r="F626" t="inlineStr">
        <is>
          <t>SCA</t>
        </is>
      </c>
      <c r="G626" t="n">
        <v>10.6</v>
      </c>
      <c r="H626" t="n">
        <v>0</v>
      </c>
      <c r="I626" t="n">
        <v>0</v>
      </c>
      <c r="J626" t="n">
        <v>0</v>
      </c>
      <c r="K626" t="n">
        <v>0</v>
      </c>
      <c r="L626" t="n">
        <v>0</v>
      </c>
      <c r="M626" t="n">
        <v>0</v>
      </c>
      <c r="N626" t="n">
        <v>0</v>
      </c>
      <c r="O626" t="n">
        <v>0</v>
      </c>
      <c r="P626" t="n">
        <v>0</v>
      </c>
      <c r="Q626" t="n">
        <v>0</v>
      </c>
      <c r="R626" s="2" t="inlineStr"/>
    </row>
    <row r="627" ht="15" customHeight="1">
      <c r="A627" t="inlineStr">
        <is>
          <t>A 33782-2020</t>
        </is>
      </c>
      <c r="B627" s="1" t="n">
        <v>44026</v>
      </c>
      <c r="C627" s="1" t="n">
        <v>45337</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33950-2020</t>
        </is>
      </c>
      <c r="B628" s="1" t="n">
        <v>44027</v>
      </c>
      <c r="C628" s="1" t="n">
        <v>45337</v>
      </c>
      <c r="D628" t="inlineStr">
        <is>
          <t>VÄSTERNORRLANDS LÄN</t>
        </is>
      </c>
      <c r="E628" t="inlineStr">
        <is>
          <t>SOLLEFTEÅ</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34120-2020</t>
        </is>
      </c>
      <c r="B629" s="1" t="n">
        <v>44029</v>
      </c>
      <c r="C629" s="1" t="n">
        <v>45337</v>
      </c>
      <c r="D629" t="inlineStr">
        <is>
          <t>VÄSTERNORRLANDS LÄN</t>
        </is>
      </c>
      <c r="E629" t="inlineStr">
        <is>
          <t>SOLLEFTEÅ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34474-2020</t>
        </is>
      </c>
      <c r="B630" s="1" t="n">
        <v>44032</v>
      </c>
      <c r="C630" s="1" t="n">
        <v>45337</v>
      </c>
      <c r="D630" t="inlineStr">
        <is>
          <t>VÄSTERNORRLANDS LÄN</t>
        </is>
      </c>
      <c r="E630" t="inlineStr">
        <is>
          <t>SOLLEFTEÅ</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34585-2020</t>
        </is>
      </c>
      <c r="B631" s="1" t="n">
        <v>44033</v>
      </c>
      <c r="C631" s="1" t="n">
        <v>45337</v>
      </c>
      <c r="D631" t="inlineStr">
        <is>
          <t>VÄSTERNORRLANDS LÄN</t>
        </is>
      </c>
      <c r="E631" t="inlineStr">
        <is>
          <t>SOLLEFTEÅ</t>
        </is>
      </c>
      <c r="F631" t="inlineStr">
        <is>
          <t>SCA</t>
        </is>
      </c>
      <c r="G631" t="n">
        <v>10</v>
      </c>
      <c r="H631" t="n">
        <v>0</v>
      </c>
      <c r="I631" t="n">
        <v>0</v>
      </c>
      <c r="J631" t="n">
        <v>0</v>
      </c>
      <c r="K631" t="n">
        <v>0</v>
      </c>
      <c r="L631" t="n">
        <v>0</v>
      </c>
      <c r="M631" t="n">
        <v>0</v>
      </c>
      <c r="N631" t="n">
        <v>0</v>
      </c>
      <c r="O631" t="n">
        <v>0</v>
      </c>
      <c r="P631" t="n">
        <v>0</v>
      </c>
      <c r="Q631" t="n">
        <v>0</v>
      </c>
      <c r="R631" s="2" t="inlineStr"/>
    </row>
    <row r="632" ht="15" customHeight="1">
      <c r="A632" t="inlineStr">
        <is>
          <t>A 34669-2020</t>
        </is>
      </c>
      <c r="B632" s="1" t="n">
        <v>44034</v>
      </c>
      <c r="C632" s="1" t="n">
        <v>45337</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34800-2020</t>
        </is>
      </c>
      <c r="B633" s="1" t="n">
        <v>44035</v>
      </c>
      <c r="C633" s="1" t="n">
        <v>45337</v>
      </c>
      <c r="D633" t="inlineStr">
        <is>
          <t>VÄSTERNORRLANDS LÄN</t>
        </is>
      </c>
      <c r="E633" t="inlineStr">
        <is>
          <t>SOLLEFTEÅ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34921-2020</t>
        </is>
      </c>
      <c r="B634" s="1" t="n">
        <v>44036</v>
      </c>
      <c r="C634" s="1" t="n">
        <v>45337</v>
      </c>
      <c r="D634" t="inlineStr">
        <is>
          <t>VÄSTERNORRLANDS LÄN</t>
        </is>
      </c>
      <c r="E634" t="inlineStr">
        <is>
          <t>SOLLEFTEÅ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34923-2020</t>
        </is>
      </c>
      <c r="B635" s="1" t="n">
        <v>44037</v>
      </c>
      <c r="C635" s="1" t="n">
        <v>45337</v>
      </c>
      <c r="D635" t="inlineStr">
        <is>
          <t>VÄSTERNORRLANDS LÄN</t>
        </is>
      </c>
      <c r="E635" t="inlineStr">
        <is>
          <t>SOLLEFTEÅ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34922-2020</t>
        </is>
      </c>
      <c r="B636" s="1" t="n">
        <v>44036</v>
      </c>
      <c r="C636" s="1" t="n">
        <v>45337</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35220-2020</t>
        </is>
      </c>
      <c r="B637" s="1" t="n">
        <v>44041</v>
      </c>
      <c r="C637" s="1" t="n">
        <v>45337</v>
      </c>
      <c r="D637" t="inlineStr">
        <is>
          <t>VÄSTERNORRLANDS LÄN</t>
        </is>
      </c>
      <c r="E637" t="inlineStr">
        <is>
          <t>SOLLEFTEÅ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35372-2020</t>
        </is>
      </c>
      <c r="B638" s="1" t="n">
        <v>44041</v>
      </c>
      <c r="C638" s="1" t="n">
        <v>45337</v>
      </c>
      <c r="D638" t="inlineStr">
        <is>
          <t>VÄSTERNORRLANDS LÄN</t>
        </is>
      </c>
      <c r="E638" t="inlineStr">
        <is>
          <t>SOLLEFTEÅ</t>
        </is>
      </c>
      <c r="F638" t="inlineStr">
        <is>
          <t>SCA</t>
        </is>
      </c>
      <c r="G638" t="n">
        <v>12.3</v>
      </c>
      <c r="H638" t="n">
        <v>0</v>
      </c>
      <c r="I638" t="n">
        <v>0</v>
      </c>
      <c r="J638" t="n">
        <v>0</v>
      </c>
      <c r="K638" t="n">
        <v>0</v>
      </c>
      <c r="L638" t="n">
        <v>0</v>
      </c>
      <c r="M638" t="n">
        <v>0</v>
      </c>
      <c r="N638" t="n">
        <v>0</v>
      </c>
      <c r="O638" t="n">
        <v>0</v>
      </c>
      <c r="P638" t="n">
        <v>0</v>
      </c>
      <c r="Q638" t="n">
        <v>0</v>
      </c>
      <c r="R638" s="2" t="inlineStr"/>
    </row>
    <row r="639" ht="15" customHeight="1">
      <c r="A639" t="inlineStr">
        <is>
          <t>A 35361-2020</t>
        </is>
      </c>
      <c r="B639" s="1" t="n">
        <v>44041</v>
      </c>
      <c r="C639" s="1" t="n">
        <v>45337</v>
      </c>
      <c r="D639" t="inlineStr">
        <is>
          <t>VÄSTERNORRLANDS LÄN</t>
        </is>
      </c>
      <c r="E639" t="inlineStr">
        <is>
          <t>SOLLEFTEÅ</t>
        </is>
      </c>
      <c r="F639" t="inlineStr">
        <is>
          <t>SCA</t>
        </is>
      </c>
      <c r="G639" t="n">
        <v>13.6</v>
      </c>
      <c r="H639" t="n">
        <v>0</v>
      </c>
      <c r="I639" t="n">
        <v>0</v>
      </c>
      <c r="J639" t="n">
        <v>0</v>
      </c>
      <c r="K639" t="n">
        <v>0</v>
      </c>
      <c r="L639" t="n">
        <v>0</v>
      </c>
      <c r="M639" t="n">
        <v>0</v>
      </c>
      <c r="N639" t="n">
        <v>0</v>
      </c>
      <c r="O639" t="n">
        <v>0</v>
      </c>
      <c r="P639" t="n">
        <v>0</v>
      </c>
      <c r="Q639" t="n">
        <v>0</v>
      </c>
      <c r="R639" s="2" t="inlineStr"/>
    </row>
    <row r="640" ht="15" customHeight="1">
      <c r="A640" t="inlineStr">
        <is>
          <t>A 36789-2020</t>
        </is>
      </c>
      <c r="B640" s="1" t="n">
        <v>44048</v>
      </c>
      <c r="C640" s="1" t="n">
        <v>45337</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36660-2020</t>
        </is>
      </c>
      <c r="B641" s="1" t="n">
        <v>44050</v>
      </c>
      <c r="C641" s="1" t="n">
        <v>45337</v>
      </c>
      <c r="D641" t="inlineStr">
        <is>
          <t>VÄSTERNORRLANDS LÄN</t>
        </is>
      </c>
      <c r="E641" t="inlineStr">
        <is>
          <t>SOLLEFTEÅ</t>
        </is>
      </c>
      <c r="G641" t="n">
        <v>18.2</v>
      </c>
      <c r="H641" t="n">
        <v>0</v>
      </c>
      <c r="I641" t="n">
        <v>0</v>
      </c>
      <c r="J641" t="n">
        <v>0</v>
      </c>
      <c r="K641" t="n">
        <v>0</v>
      </c>
      <c r="L641" t="n">
        <v>0</v>
      </c>
      <c r="M641" t="n">
        <v>0</v>
      </c>
      <c r="N641" t="n">
        <v>0</v>
      </c>
      <c r="O641" t="n">
        <v>0</v>
      </c>
      <c r="P641" t="n">
        <v>0</v>
      </c>
      <c r="Q641" t="n">
        <v>0</v>
      </c>
      <c r="R641" s="2" t="inlineStr"/>
    </row>
    <row r="642" ht="15" customHeight="1">
      <c r="A642" t="inlineStr">
        <is>
          <t>A 36811-2020</t>
        </is>
      </c>
      <c r="B642" s="1" t="n">
        <v>44053</v>
      </c>
      <c r="C642" s="1" t="n">
        <v>45337</v>
      </c>
      <c r="D642" t="inlineStr">
        <is>
          <t>VÄSTERNORRLANDS LÄN</t>
        </is>
      </c>
      <c r="E642" t="inlineStr">
        <is>
          <t>SOLLEFTEÅ</t>
        </is>
      </c>
      <c r="G642" t="n">
        <v>4.7</v>
      </c>
      <c r="H642" t="n">
        <v>0</v>
      </c>
      <c r="I642" t="n">
        <v>0</v>
      </c>
      <c r="J642" t="n">
        <v>0</v>
      </c>
      <c r="K642" t="n">
        <v>0</v>
      </c>
      <c r="L642" t="n">
        <v>0</v>
      </c>
      <c r="M642" t="n">
        <v>0</v>
      </c>
      <c r="N642" t="n">
        <v>0</v>
      </c>
      <c r="O642" t="n">
        <v>0</v>
      </c>
      <c r="P642" t="n">
        <v>0</v>
      </c>
      <c r="Q642" t="n">
        <v>0</v>
      </c>
      <c r="R642" s="2" t="inlineStr"/>
    </row>
    <row r="643" ht="15" customHeight="1">
      <c r="A643" t="inlineStr">
        <is>
          <t>A 37710-2020</t>
        </is>
      </c>
      <c r="B643" s="1" t="n">
        <v>44056</v>
      </c>
      <c r="C643" s="1" t="n">
        <v>45337</v>
      </c>
      <c r="D643" t="inlineStr">
        <is>
          <t>VÄSTERNORRLANDS LÄN</t>
        </is>
      </c>
      <c r="E643" t="inlineStr">
        <is>
          <t>SOLLEFTEÅ</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38482-2020</t>
        </is>
      </c>
      <c r="B644" s="1" t="n">
        <v>44060</v>
      </c>
      <c r="C644" s="1" t="n">
        <v>45337</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38517-2020</t>
        </is>
      </c>
      <c r="B645" s="1" t="n">
        <v>44060</v>
      </c>
      <c r="C645" s="1" t="n">
        <v>45337</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39007-2020</t>
        </is>
      </c>
      <c r="B646" s="1" t="n">
        <v>44062</v>
      </c>
      <c r="C646" s="1" t="n">
        <v>45337</v>
      </c>
      <c r="D646" t="inlineStr">
        <is>
          <t>VÄSTERNORRLANDS LÄN</t>
        </is>
      </c>
      <c r="E646" t="inlineStr">
        <is>
          <t>SOLLEFTEÅ</t>
        </is>
      </c>
      <c r="F646" t="inlineStr">
        <is>
          <t>Kyrkan</t>
        </is>
      </c>
      <c r="G646" t="n">
        <v>5</v>
      </c>
      <c r="H646" t="n">
        <v>0</v>
      </c>
      <c r="I646" t="n">
        <v>0</v>
      </c>
      <c r="J646" t="n">
        <v>0</v>
      </c>
      <c r="K646" t="n">
        <v>0</v>
      </c>
      <c r="L646" t="n">
        <v>0</v>
      </c>
      <c r="M646" t="n">
        <v>0</v>
      </c>
      <c r="N646" t="n">
        <v>0</v>
      </c>
      <c r="O646" t="n">
        <v>0</v>
      </c>
      <c r="P646" t="n">
        <v>0</v>
      </c>
      <c r="Q646" t="n">
        <v>0</v>
      </c>
      <c r="R646" s="2" t="inlineStr"/>
    </row>
    <row r="647" ht="15" customHeight="1">
      <c r="A647" t="inlineStr">
        <is>
          <t>A 39077-2020</t>
        </is>
      </c>
      <c r="B647" s="1" t="n">
        <v>44062</v>
      </c>
      <c r="C647" s="1" t="n">
        <v>45337</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39016-2020</t>
        </is>
      </c>
      <c r="B648" s="1" t="n">
        <v>44062</v>
      </c>
      <c r="C648" s="1" t="n">
        <v>45337</v>
      </c>
      <c r="D648" t="inlineStr">
        <is>
          <t>VÄSTERNORRLANDS LÄN</t>
        </is>
      </c>
      <c r="E648" t="inlineStr">
        <is>
          <t>SOLLEFTEÅ</t>
        </is>
      </c>
      <c r="F648" t="inlineStr">
        <is>
          <t>Kyrkan</t>
        </is>
      </c>
      <c r="G648" t="n">
        <v>2.4</v>
      </c>
      <c r="H648" t="n">
        <v>0</v>
      </c>
      <c r="I648" t="n">
        <v>0</v>
      </c>
      <c r="J648" t="n">
        <v>0</v>
      </c>
      <c r="K648" t="n">
        <v>0</v>
      </c>
      <c r="L648" t="n">
        <v>0</v>
      </c>
      <c r="M648" t="n">
        <v>0</v>
      </c>
      <c r="N648" t="n">
        <v>0</v>
      </c>
      <c r="O648" t="n">
        <v>0</v>
      </c>
      <c r="P648" t="n">
        <v>0</v>
      </c>
      <c r="Q648" t="n">
        <v>0</v>
      </c>
      <c r="R648" s="2" t="inlineStr"/>
    </row>
    <row r="649" ht="15" customHeight="1">
      <c r="A649" t="inlineStr">
        <is>
          <t>A 39148-2020</t>
        </is>
      </c>
      <c r="B649" s="1" t="n">
        <v>44063</v>
      </c>
      <c r="C649" s="1" t="n">
        <v>45337</v>
      </c>
      <c r="D649" t="inlineStr">
        <is>
          <t>VÄSTERNORRLANDS LÄN</t>
        </is>
      </c>
      <c r="E649" t="inlineStr">
        <is>
          <t>SOLLEFTEÅ</t>
        </is>
      </c>
      <c r="G649" t="n">
        <v>0.7</v>
      </c>
      <c r="H649" t="n">
        <v>0</v>
      </c>
      <c r="I649" t="n">
        <v>0</v>
      </c>
      <c r="J649" t="n">
        <v>0</v>
      </c>
      <c r="K649" t="n">
        <v>0</v>
      </c>
      <c r="L649" t="n">
        <v>0</v>
      </c>
      <c r="M649" t="n">
        <v>0</v>
      </c>
      <c r="N649" t="n">
        <v>0</v>
      </c>
      <c r="O649" t="n">
        <v>0</v>
      </c>
      <c r="P649" t="n">
        <v>0</v>
      </c>
      <c r="Q649" t="n">
        <v>0</v>
      </c>
      <c r="R649" s="2" t="inlineStr"/>
    </row>
    <row r="650" ht="15" customHeight="1">
      <c r="A650" t="inlineStr">
        <is>
          <t>A 39409-2020</t>
        </is>
      </c>
      <c r="B650" s="1" t="n">
        <v>44064</v>
      </c>
      <c r="C650" s="1" t="n">
        <v>45337</v>
      </c>
      <c r="D650" t="inlineStr">
        <is>
          <t>VÄSTERNORRLANDS LÄN</t>
        </is>
      </c>
      <c r="E650" t="inlineStr">
        <is>
          <t>SOLLEFTEÅ</t>
        </is>
      </c>
      <c r="F650" t="inlineStr">
        <is>
          <t>Holmen skog AB</t>
        </is>
      </c>
      <c r="G650" t="n">
        <v>7.8</v>
      </c>
      <c r="H650" t="n">
        <v>0</v>
      </c>
      <c r="I650" t="n">
        <v>0</v>
      </c>
      <c r="J650" t="n">
        <v>0</v>
      </c>
      <c r="K650" t="n">
        <v>0</v>
      </c>
      <c r="L650" t="n">
        <v>0</v>
      </c>
      <c r="M650" t="n">
        <v>0</v>
      </c>
      <c r="N650" t="n">
        <v>0</v>
      </c>
      <c r="O650" t="n">
        <v>0</v>
      </c>
      <c r="P650" t="n">
        <v>0</v>
      </c>
      <c r="Q650" t="n">
        <v>0</v>
      </c>
      <c r="R650" s="2" t="inlineStr"/>
    </row>
    <row r="651" ht="15" customHeight="1">
      <c r="A651" t="inlineStr">
        <is>
          <t>A 39479-2020</t>
        </is>
      </c>
      <c r="B651" s="1" t="n">
        <v>44064</v>
      </c>
      <c r="C651" s="1" t="n">
        <v>45337</v>
      </c>
      <c r="D651" t="inlineStr">
        <is>
          <t>VÄSTERNORRLANDS LÄN</t>
        </is>
      </c>
      <c r="E651" t="inlineStr">
        <is>
          <t>SOLLEFTEÅ</t>
        </is>
      </c>
      <c r="G651" t="n">
        <v>17.8</v>
      </c>
      <c r="H651" t="n">
        <v>0</v>
      </c>
      <c r="I651" t="n">
        <v>0</v>
      </c>
      <c r="J651" t="n">
        <v>0</v>
      </c>
      <c r="K651" t="n">
        <v>0</v>
      </c>
      <c r="L651" t="n">
        <v>0</v>
      </c>
      <c r="M651" t="n">
        <v>0</v>
      </c>
      <c r="N651" t="n">
        <v>0</v>
      </c>
      <c r="O651" t="n">
        <v>0</v>
      </c>
      <c r="P651" t="n">
        <v>0</v>
      </c>
      <c r="Q651" t="n">
        <v>0</v>
      </c>
      <c r="R651" s="2" t="inlineStr"/>
    </row>
    <row r="652" ht="15" customHeight="1">
      <c r="A652" t="inlineStr">
        <is>
          <t>A 40180-2020</t>
        </is>
      </c>
      <c r="B652" s="1" t="n">
        <v>44064</v>
      </c>
      <c r="C652" s="1" t="n">
        <v>45337</v>
      </c>
      <c r="D652" t="inlineStr">
        <is>
          <t>VÄSTERNORRLANDS LÄN</t>
        </is>
      </c>
      <c r="E652" t="inlineStr">
        <is>
          <t>SOLLEFTEÅ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39681-2020</t>
        </is>
      </c>
      <c r="B653" s="1" t="n">
        <v>44065</v>
      </c>
      <c r="C653" s="1" t="n">
        <v>45337</v>
      </c>
      <c r="D653" t="inlineStr">
        <is>
          <t>VÄSTERNORRLANDS LÄN</t>
        </is>
      </c>
      <c r="E653" t="inlineStr">
        <is>
          <t>SOLLEFTEÅ</t>
        </is>
      </c>
      <c r="F653" t="inlineStr">
        <is>
          <t>SCA</t>
        </is>
      </c>
      <c r="G653" t="n">
        <v>19.7</v>
      </c>
      <c r="H653" t="n">
        <v>0</v>
      </c>
      <c r="I653" t="n">
        <v>0</v>
      </c>
      <c r="J653" t="n">
        <v>0</v>
      </c>
      <c r="K653" t="n">
        <v>0</v>
      </c>
      <c r="L653" t="n">
        <v>0</v>
      </c>
      <c r="M653" t="n">
        <v>0</v>
      </c>
      <c r="N653" t="n">
        <v>0</v>
      </c>
      <c r="O653" t="n">
        <v>0</v>
      </c>
      <c r="P653" t="n">
        <v>0</v>
      </c>
      <c r="Q653" t="n">
        <v>0</v>
      </c>
      <c r="R653" s="2" t="inlineStr"/>
    </row>
    <row r="654" ht="15" customHeight="1">
      <c r="A654" t="inlineStr">
        <is>
          <t>A 40476-2020</t>
        </is>
      </c>
      <c r="B654" s="1" t="n">
        <v>44067</v>
      </c>
      <c r="C654" s="1" t="n">
        <v>45337</v>
      </c>
      <c r="D654" t="inlineStr">
        <is>
          <t>VÄSTERNORRLANDS LÄN</t>
        </is>
      </c>
      <c r="E654" t="inlineStr">
        <is>
          <t>SOLLEFTEÅ</t>
        </is>
      </c>
      <c r="G654" t="n">
        <v>8</v>
      </c>
      <c r="H654" t="n">
        <v>0</v>
      </c>
      <c r="I654" t="n">
        <v>0</v>
      </c>
      <c r="J654" t="n">
        <v>0</v>
      </c>
      <c r="K654" t="n">
        <v>0</v>
      </c>
      <c r="L654" t="n">
        <v>0</v>
      </c>
      <c r="M654" t="n">
        <v>0</v>
      </c>
      <c r="N654" t="n">
        <v>0</v>
      </c>
      <c r="O654" t="n">
        <v>0</v>
      </c>
      <c r="P654" t="n">
        <v>0</v>
      </c>
      <c r="Q654" t="n">
        <v>0</v>
      </c>
      <c r="R654" s="2" t="inlineStr"/>
    </row>
    <row r="655" ht="15" customHeight="1">
      <c r="A655" t="inlineStr">
        <is>
          <t>A 40697-2020</t>
        </is>
      </c>
      <c r="B655" s="1" t="n">
        <v>44067</v>
      </c>
      <c r="C655" s="1" t="n">
        <v>45337</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40682-2020</t>
        </is>
      </c>
      <c r="B656" s="1" t="n">
        <v>44067</v>
      </c>
      <c r="C656" s="1" t="n">
        <v>45337</v>
      </c>
      <c r="D656" t="inlineStr">
        <is>
          <t>VÄSTERNORRLANDS LÄN</t>
        </is>
      </c>
      <c r="E656" t="inlineStr">
        <is>
          <t>SOLLEFTEÅ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40735-2020</t>
        </is>
      </c>
      <c r="B657" s="1" t="n">
        <v>44069</v>
      </c>
      <c r="C657" s="1" t="n">
        <v>45337</v>
      </c>
      <c r="D657" t="inlineStr">
        <is>
          <t>VÄSTERNORRLANDS LÄN</t>
        </is>
      </c>
      <c r="E657" t="inlineStr">
        <is>
          <t>SOLLEFTEÅ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40747-2020</t>
        </is>
      </c>
      <c r="B658" s="1" t="n">
        <v>44069</v>
      </c>
      <c r="C658" s="1" t="n">
        <v>45337</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42196-2020</t>
        </is>
      </c>
      <c r="B659" s="1" t="n">
        <v>44076</v>
      </c>
      <c r="C659" s="1" t="n">
        <v>45337</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43300-2020</t>
        </is>
      </c>
      <c r="B660" s="1" t="n">
        <v>44076</v>
      </c>
      <c r="C660" s="1" t="n">
        <v>45337</v>
      </c>
      <c r="D660" t="inlineStr">
        <is>
          <t>VÄSTERNORRLANDS LÄN</t>
        </is>
      </c>
      <c r="E660" t="inlineStr">
        <is>
          <t>SOLLEFTEÅ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43160-2020</t>
        </is>
      </c>
      <c r="B661" s="1" t="n">
        <v>44076</v>
      </c>
      <c r="C661" s="1" t="n">
        <v>45337</v>
      </c>
      <c r="D661" t="inlineStr">
        <is>
          <t>VÄSTERNORRLANDS LÄN</t>
        </is>
      </c>
      <c r="E661" t="inlineStr">
        <is>
          <t>SOLLEFTEÅ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42846-2020</t>
        </is>
      </c>
      <c r="B662" s="1" t="n">
        <v>44078</v>
      </c>
      <c r="C662" s="1" t="n">
        <v>45337</v>
      </c>
      <c r="D662" t="inlineStr">
        <is>
          <t>VÄSTERNORRLANDS LÄN</t>
        </is>
      </c>
      <c r="E662" t="inlineStr">
        <is>
          <t>SOLLEFTEÅ</t>
        </is>
      </c>
      <c r="G662" t="n">
        <v>8.6</v>
      </c>
      <c r="H662" t="n">
        <v>0</v>
      </c>
      <c r="I662" t="n">
        <v>0</v>
      </c>
      <c r="J662" t="n">
        <v>0</v>
      </c>
      <c r="K662" t="n">
        <v>0</v>
      </c>
      <c r="L662" t="n">
        <v>0</v>
      </c>
      <c r="M662" t="n">
        <v>0</v>
      </c>
      <c r="N662" t="n">
        <v>0</v>
      </c>
      <c r="O662" t="n">
        <v>0</v>
      </c>
      <c r="P662" t="n">
        <v>0</v>
      </c>
      <c r="Q662" t="n">
        <v>0</v>
      </c>
      <c r="R662" s="2" t="inlineStr"/>
    </row>
    <row r="663" ht="15" customHeight="1">
      <c r="A663" t="inlineStr">
        <is>
          <t>A 43107-2020</t>
        </is>
      </c>
      <c r="B663" s="1" t="n">
        <v>44078</v>
      </c>
      <c r="C663" s="1" t="n">
        <v>45337</v>
      </c>
      <c r="D663" t="inlineStr">
        <is>
          <t>VÄSTERNORRLANDS LÄN</t>
        </is>
      </c>
      <c r="E663" t="inlineStr">
        <is>
          <t>SOLLEFTEÅ</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43438-2020</t>
        </is>
      </c>
      <c r="B664" s="1" t="n">
        <v>44081</v>
      </c>
      <c r="C664" s="1" t="n">
        <v>45337</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43820-2020</t>
        </is>
      </c>
      <c r="B665" s="1" t="n">
        <v>44082</v>
      </c>
      <c r="C665" s="1" t="n">
        <v>45337</v>
      </c>
      <c r="D665" t="inlineStr">
        <is>
          <t>VÄSTERNORRLANDS LÄN</t>
        </is>
      </c>
      <c r="E665" t="inlineStr">
        <is>
          <t>SOLLEFTEÅ</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45147-2020</t>
        </is>
      </c>
      <c r="B666" s="1" t="n">
        <v>44084</v>
      </c>
      <c r="C666" s="1" t="n">
        <v>45337</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44681-2020</t>
        </is>
      </c>
      <c r="B667" s="1" t="n">
        <v>44085</v>
      </c>
      <c r="C667" s="1" t="n">
        <v>45337</v>
      </c>
      <c r="D667" t="inlineStr">
        <is>
          <t>VÄSTERNORRLANDS LÄN</t>
        </is>
      </c>
      <c r="E667" t="inlineStr">
        <is>
          <t>SOLLEFTEÅ</t>
        </is>
      </c>
      <c r="G667" t="n">
        <v>7.8</v>
      </c>
      <c r="H667" t="n">
        <v>0</v>
      </c>
      <c r="I667" t="n">
        <v>0</v>
      </c>
      <c r="J667" t="n">
        <v>0</v>
      </c>
      <c r="K667" t="n">
        <v>0</v>
      </c>
      <c r="L667" t="n">
        <v>0</v>
      </c>
      <c r="M667" t="n">
        <v>0</v>
      </c>
      <c r="N667" t="n">
        <v>0</v>
      </c>
      <c r="O667" t="n">
        <v>0</v>
      </c>
      <c r="P667" t="n">
        <v>0</v>
      </c>
      <c r="Q667" t="n">
        <v>0</v>
      </c>
      <c r="R667" s="2" t="inlineStr"/>
    </row>
    <row r="668" ht="15" customHeight="1">
      <c r="A668" t="inlineStr">
        <is>
          <t>A 45250-2020</t>
        </is>
      </c>
      <c r="B668" s="1" t="n">
        <v>44088</v>
      </c>
      <c r="C668" s="1" t="n">
        <v>45337</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45251-2020</t>
        </is>
      </c>
      <c r="B669" s="1" t="n">
        <v>44088</v>
      </c>
      <c r="C669" s="1" t="n">
        <v>45337</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45549-2020</t>
        </is>
      </c>
      <c r="B670" s="1" t="n">
        <v>44090</v>
      </c>
      <c r="C670" s="1" t="n">
        <v>45337</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45542-2020</t>
        </is>
      </c>
      <c r="B671" s="1" t="n">
        <v>44089</v>
      </c>
      <c r="C671" s="1" t="n">
        <v>45337</v>
      </c>
      <c r="D671" t="inlineStr">
        <is>
          <t>VÄSTERNORRLANDS LÄN</t>
        </is>
      </c>
      <c r="E671" t="inlineStr">
        <is>
          <t>SOLLEFTEÅ</t>
        </is>
      </c>
      <c r="G671" t="n">
        <v>0.3</v>
      </c>
      <c r="H671" t="n">
        <v>0</v>
      </c>
      <c r="I671" t="n">
        <v>0</v>
      </c>
      <c r="J671" t="n">
        <v>0</v>
      </c>
      <c r="K671" t="n">
        <v>0</v>
      </c>
      <c r="L671" t="n">
        <v>0</v>
      </c>
      <c r="M671" t="n">
        <v>0</v>
      </c>
      <c r="N671" t="n">
        <v>0</v>
      </c>
      <c r="O671" t="n">
        <v>0</v>
      </c>
      <c r="P671" t="n">
        <v>0</v>
      </c>
      <c r="Q671" t="n">
        <v>0</v>
      </c>
      <c r="R671" s="2" t="inlineStr"/>
    </row>
    <row r="672" ht="15" customHeight="1">
      <c r="A672" t="inlineStr">
        <is>
          <t>A 45551-2020</t>
        </is>
      </c>
      <c r="B672" s="1" t="n">
        <v>44089</v>
      </c>
      <c r="C672" s="1" t="n">
        <v>45337</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46715-2020</t>
        </is>
      </c>
      <c r="B673" s="1" t="n">
        <v>44095</v>
      </c>
      <c r="C673" s="1" t="n">
        <v>45337</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47827-2020</t>
        </is>
      </c>
      <c r="B674" s="1" t="n">
        <v>44098</v>
      </c>
      <c r="C674" s="1" t="n">
        <v>45337</v>
      </c>
      <c r="D674" t="inlineStr">
        <is>
          <t>VÄSTERNORRLANDS LÄN</t>
        </is>
      </c>
      <c r="E674" t="inlineStr">
        <is>
          <t>SOLLEFTEÅ</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47859-2020</t>
        </is>
      </c>
      <c r="B675" s="1" t="n">
        <v>44099</v>
      </c>
      <c r="C675" s="1" t="n">
        <v>45337</v>
      </c>
      <c r="D675" t="inlineStr">
        <is>
          <t>VÄSTERNORRLANDS LÄN</t>
        </is>
      </c>
      <c r="E675" t="inlineStr">
        <is>
          <t>SOLLEFTEÅ</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48052-2020</t>
        </is>
      </c>
      <c r="B676" s="1" t="n">
        <v>44100</v>
      </c>
      <c r="C676" s="1" t="n">
        <v>45337</v>
      </c>
      <c r="D676" t="inlineStr">
        <is>
          <t>VÄSTERNORRLANDS LÄN</t>
        </is>
      </c>
      <c r="E676" t="inlineStr">
        <is>
          <t>SOLLEFTEÅ</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48240-2020</t>
        </is>
      </c>
      <c r="B677" s="1" t="n">
        <v>44102</v>
      </c>
      <c r="C677" s="1" t="n">
        <v>45337</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48477-2020</t>
        </is>
      </c>
      <c r="B678" s="1" t="n">
        <v>44102</v>
      </c>
      <c r="C678" s="1" t="n">
        <v>45337</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48468-2020</t>
        </is>
      </c>
      <c r="B679" s="1" t="n">
        <v>44102</v>
      </c>
      <c r="C679" s="1" t="n">
        <v>45337</v>
      </c>
      <c r="D679" t="inlineStr">
        <is>
          <t>VÄSTERNORRLANDS LÄN</t>
        </is>
      </c>
      <c r="E679" t="inlineStr">
        <is>
          <t>SOLLEFTEÅ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48470-2020</t>
        </is>
      </c>
      <c r="B680" s="1" t="n">
        <v>44102</v>
      </c>
      <c r="C680" s="1" t="n">
        <v>45337</v>
      </c>
      <c r="D680" t="inlineStr">
        <is>
          <t>VÄSTERNORRLANDS LÄN</t>
        </is>
      </c>
      <c r="E680" t="inlineStr">
        <is>
          <t>SOLLEFTEÅ</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48475-2020</t>
        </is>
      </c>
      <c r="B681" s="1" t="n">
        <v>44103</v>
      </c>
      <c r="C681" s="1" t="n">
        <v>45337</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48802-2020</t>
        </is>
      </c>
      <c r="B682" s="1" t="n">
        <v>44103</v>
      </c>
      <c r="C682" s="1" t="n">
        <v>45337</v>
      </c>
      <c r="D682" t="inlineStr">
        <is>
          <t>VÄSTERNORRLANDS LÄN</t>
        </is>
      </c>
      <c r="E682" t="inlineStr">
        <is>
          <t>SOLLEFTEÅ</t>
        </is>
      </c>
      <c r="F682" t="inlineStr">
        <is>
          <t>SCA</t>
        </is>
      </c>
      <c r="G682" t="n">
        <v>10.9</v>
      </c>
      <c r="H682" t="n">
        <v>0</v>
      </c>
      <c r="I682" t="n">
        <v>0</v>
      </c>
      <c r="J682" t="n">
        <v>0</v>
      </c>
      <c r="K682" t="n">
        <v>0</v>
      </c>
      <c r="L682" t="n">
        <v>0</v>
      </c>
      <c r="M682" t="n">
        <v>0</v>
      </c>
      <c r="N682" t="n">
        <v>0</v>
      </c>
      <c r="O682" t="n">
        <v>0</v>
      </c>
      <c r="P682" t="n">
        <v>0</v>
      </c>
      <c r="Q682" t="n">
        <v>0</v>
      </c>
      <c r="R682" s="2" t="inlineStr"/>
    </row>
    <row r="683" ht="15" customHeight="1">
      <c r="A683" t="inlineStr">
        <is>
          <t>A 49629-2020</t>
        </is>
      </c>
      <c r="B683" s="1" t="n">
        <v>44103</v>
      </c>
      <c r="C683" s="1" t="n">
        <v>45337</v>
      </c>
      <c r="D683" t="inlineStr">
        <is>
          <t>VÄSTERNORRLANDS LÄN</t>
        </is>
      </c>
      <c r="E683" t="inlineStr">
        <is>
          <t>SOLLEFTEÅ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49165-2020</t>
        </is>
      </c>
      <c r="B684" s="1" t="n">
        <v>44105</v>
      </c>
      <c r="C684" s="1" t="n">
        <v>45337</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49507-2020</t>
        </is>
      </c>
      <c r="B685" s="1" t="n">
        <v>44105</v>
      </c>
      <c r="C685" s="1" t="n">
        <v>45337</v>
      </c>
      <c r="D685" t="inlineStr">
        <is>
          <t>VÄSTERNORRLANDS LÄN</t>
        </is>
      </c>
      <c r="E685" t="inlineStr">
        <is>
          <t>SOLLEFTEÅ</t>
        </is>
      </c>
      <c r="F685" t="inlineStr">
        <is>
          <t>SCA</t>
        </is>
      </c>
      <c r="G685" t="n">
        <v>0.2</v>
      </c>
      <c r="H685" t="n">
        <v>0</v>
      </c>
      <c r="I685" t="n">
        <v>0</v>
      </c>
      <c r="J685" t="n">
        <v>0</v>
      </c>
      <c r="K685" t="n">
        <v>0</v>
      </c>
      <c r="L685" t="n">
        <v>0</v>
      </c>
      <c r="M685" t="n">
        <v>0</v>
      </c>
      <c r="N685" t="n">
        <v>0</v>
      </c>
      <c r="O685" t="n">
        <v>0</v>
      </c>
      <c r="P685" t="n">
        <v>0</v>
      </c>
      <c r="Q685" t="n">
        <v>0</v>
      </c>
      <c r="R685" s="2" t="inlineStr"/>
    </row>
    <row r="686" ht="15" customHeight="1">
      <c r="A686" t="inlineStr">
        <is>
          <t>A 49508-2020</t>
        </is>
      </c>
      <c r="B686" s="1" t="n">
        <v>44105</v>
      </c>
      <c r="C686" s="1" t="n">
        <v>45337</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49837-2020</t>
        </is>
      </c>
      <c r="B687" s="1" t="n">
        <v>44106</v>
      </c>
      <c r="C687" s="1" t="n">
        <v>45337</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50647-2020</t>
        </is>
      </c>
      <c r="B688" s="1" t="n">
        <v>44111</v>
      </c>
      <c r="C688" s="1" t="n">
        <v>45337</v>
      </c>
      <c r="D688" t="inlineStr">
        <is>
          <t>VÄSTERNORRLANDS LÄN</t>
        </is>
      </c>
      <c r="E688" t="inlineStr">
        <is>
          <t>SOLLEFTEÅ</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51018-2020</t>
        </is>
      </c>
      <c r="B689" s="1" t="n">
        <v>44111</v>
      </c>
      <c r="C689" s="1" t="n">
        <v>45337</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51011-2020</t>
        </is>
      </c>
      <c r="B690" s="1" t="n">
        <v>44111</v>
      </c>
      <c r="C690" s="1" t="n">
        <v>45337</v>
      </c>
      <c r="D690" t="inlineStr">
        <is>
          <t>VÄSTERNORRLANDS LÄN</t>
        </is>
      </c>
      <c r="E690" t="inlineStr">
        <is>
          <t>SOLLEFTEÅ</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51534-2020</t>
        </is>
      </c>
      <c r="B691" s="1" t="n">
        <v>44113</v>
      </c>
      <c r="C691" s="1" t="n">
        <v>45337</v>
      </c>
      <c r="D691" t="inlineStr">
        <is>
          <t>VÄSTERNORRLANDS LÄN</t>
        </is>
      </c>
      <c r="E691" t="inlineStr">
        <is>
          <t>SOLLEFTEÅ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52035-2020</t>
        </is>
      </c>
      <c r="B692" s="1" t="n">
        <v>44117</v>
      </c>
      <c r="C692" s="1" t="n">
        <v>45337</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52189-2020</t>
        </is>
      </c>
      <c r="B693" s="1" t="n">
        <v>44117</v>
      </c>
      <c r="C693" s="1" t="n">
        <v>45337</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52199-2020</t>
        </is>
      </c>
      <c r="B694" s="1" t="n">
        <v>44117</v>
      </c>
      <c r="C694" s="1" t="n">
        <v>45337</v>
      </c>
      <c r="D694" t="inlineStr">
        <is>
          <t>VÄSTERNORRLANDS LÄN</t>
        </is>
      </c>
      <c r="E694" t="inlineStr">
        <is>
          <t>SOLLEFTEÅ</t>
        </is>
      </c>
      <c r="G694" t="n">
        <v>4.9</v>
      </c>
      <c r="H694" t="n">
        <v>0</v>
      </c>
      <c r="I694" t="n">
        <v>0</v>
      </c>
      <c r="J694" t="n">
        <v>0</v>
      </c>
      <c r="K694" t="n">
        <v>0</v>
      </c>
      <c r="L694" t="n">
        <v>0</v>
      </c>
      <c r="M694" t="n">
        <v>0</v>
      </c>
      <c r="N694" t="n">
        <v>0</v>
      </c>
      <c r="O694" t="n">
        <v>0</v>
      </c>
      <c r="P694" t="n">
        <v>0</v>
      </c>
      <c r="Q694" t="n">
        <v>0</v>
      </c>
      <c r="R694" s="2" t="inlineStr"/>
    </row>
    <row r="695" ht="15" customHeight="1">
      <c r="A695" t="inlineStr">
        <is>
          <t>A 52406-2020</t>
        </is>
      </c>
      <c r="B695" s="1" t="n">
        <v>44118</v>
      </c>
      <c r="C695" s="1" t="n">
        <v>45337</v>
      </c>
      <c r="D695" t="inlineStr">
        <is>
          <t>VÄSTERNORRLANDS LÄN</t>
        </is>
      </c>
      <c r="E695" t="inlineStr">
        <is>
          <t>SOLLEFTEÅ</t>
        </is>
      </c>
      <c r="G695" t="n">
        <v>2.8</v>
      </c>
      <c r="H695" t="n">
        <v>0</v>
      </c>
      <c r="I695" t="n">
        <v>0</v>
      </c>
      <c r="J695" t="n">
        <v>0</v>
      </c>
      <c r="K695" t="n">
        <v>0</v>
      </c>
      <c r="L695" t="n">
        <v>0</v>
      </c>
      <c r="M695" t="n">
        <v>0</v>
      </c>
      <c r="N695" t="n">
        <v>0</v>
      </c>
      <c r="O695" t="n">
        <v>0</v>
      </c>
      <c r="P695" t="n">
        <v>0</v>
      </c>
      <c r="Q695" t="n">
        <v>0</v>
      </c>
      <c r="R695" s="2" t="inlineStr"/>
    </row>
    <row r="696" ht="15" customHeight="1">
      <c r="A696" t="inlineStr">
        <is>
          <t>A 52983-2020</t>
        </is>
      </c>
      <c r="B696" s="1" t="n">
        <v>44119</v>
      </c>
      <c r="C696" s="1" t="n">
        <v>45337</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52936-2020</t>
        </is>
      </c>
      <c r="B697" s="1" t="n">
        <v>44120</v>
      </c>
      <c r="C697" s="1" t="n">
        <v>45337</v>
      </c>
      <c r="D697" t="inlineStr">
        <is>
          <t>VÄSTERNORRLANDS LÄN</t>
        </is>
      </c>
      <c r="E697" t="inlineStr">
        <is>
          <t>SOLLEFTEÅ</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53828-2020</t>
        </is>
      </c>
      <c r="B698" s="1" t="n">
        <v>44124</v>
      </c>
      <c r="C698" s="1" t="n">
        <v>45337</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54463-2020</t>
        </is>
      </c>
      <c r="B699" s="1" t="n">
        <v>44125</v>
      </c>
      <c r="C699" s="1" t="n">
        <v>45337</v>
      </c>
      <c r="D699" t="inlineStr">
        <is>
          <t>VÄSTERNORRLANDS LÄN</t>
        </is>
      </c>
      <c r="E699" t="inlineStr">
        <is>
          <t>SOLLEFTEÅ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53866-2020</t>
        </is>
      </c>
      <c r="B700" s="1" t="n">
        <v>44125</v>
      </c>
      <c r="C700" s="1" t="n">
        <v>45337</v>
      </c>
      <c r="D700" t="inlineStr">
        <is>
          <t>VÄSTERNORRLANDS LÄN</t>
        </is>
      </c>
      <c r="E700" t="inlineStr">
        <is>
          <t>SOLLEFTEÅ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54567-2020</t>
        </is>
      </c>
      <c r="B701" s="1" t="n">
        <v>44126</v>
      </c>
      <c r="C701" s="1" t="n">
        <v>45337</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54568-2020</t>
        </is>
      </c>
      <c r="B702" s="1" t="n">
        <v>44126</v>
      </c>
      <c r="C702" s="1" t="n">
        <v>45337</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54572-2020</t>
        </is>
      </c>
      <c r="B703" s="1" t="n">
        <v>44126</v>
      </c>
      <c r="C703" s="1" t="n">
        <v>45337</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54576-2020</t>
        </is>
      </c>
      <c r="B704" s="1" t="n">
        <v>44126</v>
      </c>
      <c r="C704" s="1" t="n">
        <v>45337</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54571-2020</t>
        </is>
      </c>
      <c r="B705" s="1" t="n">
        <v>44126</v>
      </c>
      <c r="C705" s="1" t="n">
        <v>45337</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54569-2020</t>
        </is>
      </c>
      <c r="B706" s="1" t="n">
        <v>44126</v>
      </c>
      <c r="C706" s="1" t="n">
        <v>45337</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54566-2020</t>
        </is>
      </c>
      <c r="B707" s="1" t="n">
        <v>44126</v>
      </c>
      <c r="C707" s="1" t="n">
        <v>45337</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54570-2020</t>
        </is>
      </c>
      <c r="B708" s="1" t="n">
        <v>44126</v>
      </c>
      <c r="C708" s="1" t="n">
        <v>45337</v>
      </c>
      <c r="D708" t="inlineStr">
        <is>
          <t>VÄSTERNORRLANDS LÄN</t>
        </is>
      </c>
      <c r="E708" t="inlineStr">
        <is>
          <t>SOLLEFTEÅ</t>
        </is>
      </c>
      <c r="G708" t="n">
        <v>0.3</v>
      </c>
      <c r="H708" t="n">
        <v>0</v>
      </c>
      <c r="I708" t="n">
        <v>0</v>
      </c>
      <c r="J708" t="n">
        <v>0</v>
      </c>
      <c r="K708" t="n">
        <v>0</v>
      </c>
      <c r="L708" t="n">
        <v>0</v>
      </c>
      <c r="M708" t="n">
        <v>0</v>
      </c>
      <c r="N708" t="n">
        <v>0</v>
      </c>
      <c r="O708" t="n">
        <v>0</v>
      </c>
      <c r="P708" t="n">
        <v>0</v>
      </c>
      <c r="Q708" t="n">
        <v>0</v>
      </c>
      <c r="R708" s="2" t="inlineStr"/>
    </row>
    <row r="709" ht="15" customHeight="1">
      <c r="A709" t="inlineStr">
        <is>
          <t>A 54573-2020</t>
        </is>
      </c>
      <c r="B709" s="1" t="n">
        <v>44126</v>
      </c>
      <c r="C709" s="1" t="n">
        <v>45337</v>
      </c>
      <c r="D709" t="inlineStr">
        <is>
          <t>VÄSTERNORRLANDS LÄN</t>
        </is>
      </c>
      <c r="E709" t="inlineStr">
        <is>
          <t>SOLLEFTEÅ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55337-2020</t>
        </is>
      </c>
      <c r="B710" s="1" t="n">
        <v>44130</v>
      </c>
      <c r="C710" s="1" t="n">
        <v>45337</v>
      </c>
      <c r="D710" t="inlineStr">
        <is>
          <t>VÄSTERNORRLANDS LÄN</t>
        </is>
      </c>
      <c r="E710" t="inlineStr">
        <is>
          <t>SOLLEFTEÅ</t>
        </is>
      </c>
      <c r="G710" t="n">
        <v>21.1</v>
      </c>
      <c r="H710" t="n">
        <v>0</v>
      </c>
      <c r="I710" t="n">
        <v>0</v>
      </c>
      <c r="J710" t="n">
        <v>0</v>
      </c>
      <c r="K710" t="n">
        <v>0</v>
      </c>
      <c r="L710" t="n">
        <v>0</v>
      </c>
      <c r="M710" t="n">
        <v>0</v>
      </c>
      <c r="N710" t="n">
        <v>0</v>
      </c>
      <c r="O710" t="n">
        <v>0</v>
      </c>
      <c r="P710" t="n">
        <v>0</v>
      </c>
      <c r="Q710" t="n">
        <v>0</v>
      </c>
      <c r="R710" s="2" t="inlineStr"/>
    </row>
    <row r="711" ht="15" customHeight="1">
      <c r="A711" t="inlineStr">
        <is>
          <t>A 55489-2020</t>
        </is>
      </c>
      <c r="B711" s="1" t="n">
        <v>44131</v>
      </c>
      <c r="C711" s="1" t="n">
        <v>45337</v>
      </c>
      <c r="D711" t="inlineStr">
        <is>
          <t>VÄSTERNORRLANDS LÄN</t>
        </is>
      </c>
      <c r="E711" t="inlineStr">
        <is>
          <t>SOLLEFTEÅ</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58380-2020</t>
        </is>
      </c>
      <c r="B712" s="1" t="n">
        <v>44145</v>
      </c>
      <c r="C712" s="1" t="n">
        <v>45337</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58381-2020</t>
        </is>
      </c>
      <c r="B713" s="1" t="n">
        <v>44145</v>
      </c>
      <c r="C713" s="1" t="n">
        <v>45337</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59334-2020</t>
        </is>
      </c>
      <c r="B714" s="1" t="n">
        <v>44147</v>
      </c>
      <c r="C714" s="1" t="n">
        <v>45337</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59950-2020</t>
        </is>
      </c>
      <c r="B715" s="1" t="n">
        <v>44151</v>
      </c>
      <c r="C715" s="1" t="n">
        <v>45337</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59953-2020</t>
        </is>
      </c>
      <c r="B716" s="1" t="n">
        <v>44151</v>
      </c>
      <c r="C716" s="1" t="n">
        <v>45337</v>
      </c>
      <c r="D716" t="inlineStr">
        <is>
          <t>VÄSTERNORRLANDS LÄN</t>
        </is>
      </c>
      <c r="E716" t="inlineStr">
        <is>
          <t>SOLLEFTEÅ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60091-2020</t>
        </is>
      </c>
      <c r="B717" s="1" t="n">
        <v>44151</v>
      </c>
      <c r="C717" s="1" t="n">
        <v>45337</v>
      </c>
      <c r="D717" t="inlineStr">
        <is>
          <t>VÄSTERNORRLANDS LÄN</t>
        </is>
      </c>
      <c r="E717" t="inlineStr">
        <is>
          <t>SOLLEFTEÅ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61127-2020</t>
        </is>
      </c>
      <c r="B718" s="1" t="n">
        <v>44154</v>
      </c>
      <c r="C718" s="1" t="n">
        <v>45337</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61130-2020</t>
        </is>
      </c>
      <c r="B719" s="1" t="n">
        <v>44154</v>
      </c>
      <c r="C719" s="1" t="n">
        <v>45337</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61894-2020</t>
        </is>
      </c>
      <c r="B720" s="1" t="n">
        <v>44155</v>
      </c>
      <c r="C720" s="1" t="n">
        <v>45337</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61943-2020</t>
        </is>
      </c>
      <c r="B721" s="1" t="n">
        <v>44155</v>
      </c>
      <c r="C721" s="1" t="n">
        <v>45337</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62666-2020</t>
        </is>
      </c>
      <c r="B722" s="1" t="n">
        <v>44161</v>
      </c>
      <c r="C722" s="1" t="n">
        <v>45337</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62881-2020</t>
        </is>
      </c>
      <c r="B723" s="1" t="n">
        <v>44161</v>
      </c>
      <c r="C723" s="1" t="n">
        <v>45337</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62883-2020</t>
        </is>
      </c>
      <c r="B724" s="1" t="n">
        <v>44161</v>
      </c>
      <c r="C724" s="1" t="n">
        <v>45337</v>
      </c>
      <c r="D724" t="inlineStr">
        <is>
          <t>VÄSTERNORRLANDS LÄN</t>
        </is>
      </c>
      <c r="E724" t="inlineStr">
        <is>
          <t>SOLLEFTEÅ</t>
        </is>
      </c>
      <c r="F724" t="inlineStr">
        <is>
          <t>SCA</t>
        </is>
      </c>
      <c r="G724" t="n">
        <v>8.5</v>
      </c>
      <c r="H724" t="n">
        <v>0</v>
      </c>
      <c r="I724" t="n">
        <v>0</v>
      </c>
      <c r="J724" t="n">
        <v>0</v>
      </c>
      <c r="K724" t="n">
        <v>0</v>
      </c>
      <c r="L724" t="n">
        <v>0</v>
      </c>
      <c r="M724" t="n">
        <v>0</v>
      </c>
      <c r="N724" t="n">
        <v>0</v>
      </c>
      <c r="O724" t="n">
        <v>0</v>
      </c>
      <c r="P724" t="n">
        <v>0</v>
      </c>
      <c r="Q724" t="n">
        <v>0</v>
      </c>
      <c r="R724" s="2" t="inlineStr"/>
    </row>
    <row r="725" ht="15" customHeight="1">
      <c r="A725" t="inlineStr">
        <is>
          <t>A 63190-2020</t>
        </is>
      </c>
      <c r="B725" s="1" t="n">
        <v>44162</v>
      </c>
      <c r="C725" s="1" t="n">
        <v>45337</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63210-2020</t>
        </is>
      </c>
      <c r="B726" s="1" t="n">
        <v>44163</v>
      </c>
      <c r="C726" s="1" t="n">
        <v>45337</v>
      </c>
      <c r="D726" t="inlineStr">
        <is>
          <t>VÄSTERNORRLANDS LÄN</t>
        </is>
      </c>
      <c r="E726" t="inlineStr">
        <is>
          <t>SOLLEFTEÅ</t>
        </is>
      </c>
      <c r="G726" t="n">
        <v>1.8</v>
      </c>
      <c r="H726" t="n">
        <v>0</v>
      </c>
      <c r="I726" t="n">
        <v>0</v>
      </c>
      <c r="J726" t="n">
        <v>0</v>
      </c>
      <c r="K726" t="n">
        <v>0</v>
      </c>
      <c r="L726" t="n">
        <v>0</v>
      </c>
      <c r="M726" t="n">
        <v>0</v>
      </c>
      <c r="N726" t="n">
        <v>0</v>
      </c>
      <c r="O726" t="n">
        <v>0</v>
      </c>
      <c r="P726" t="n">
        <v>0</v>
      </c>
      <c r="Q726" t="n">
        <v>0</v>
      </c>
      <c r="R726" s="2" t="inlineStr"/>
    </row>
    <row r="727" ht="15" customHeight="1">
      <c r="A727" t="inlineStr">
        <is>
          <t>A 65401-2020</t>
        </is>
      </c>
      <c r="B727" s="1" t="n">
        <v>44169</v>
      </c>
      <c r="C727" s="1" t="n">
        <v>45337</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65407-2020</t>
        </is>
      </c>
      <c r="B728" s="1" t="n">
        <v>44169</v>
      </c>
      <c r="C728" s="1" t="n">
        <v>45337</v>
      </c>
      <c r="D728" t="inlineStr">
        <is>
          <t>VÄSTERNORRLANDS LÄN</t>
        </is>
      </c>
      <c r="E728" t="inlineStr">
        <is>
          <t>SOLLEFTEÅ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65403-2020</t>
        </is>
      </c>
      <c r="B729" s="1" t="n">
        <v>44169</v>
      </c>
      <c r="C729" s="1" t="n">
        <v>45337</v>
      </c>
      <c r="D729" t="inlineStr">
        <is>
          <t>VÄSTERNORRLANDS LÄN</t>
        </is>
      </c>
      <c r="E729" t="inlineStr">
        <is>
          <t>SOLLEFTEÅ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67063-2020</t>
        </is>
      </c>
      <c r="B730" s="1" t="n">
        <v>44176</v>
      </c>
      <c r="C730" s="1" t="n">
        <v>45337</v>
      </c>
      <c r="D730" t="inlineStr">
        <is>
          <t>VÄSTERNORRLANDS LÄN</t>
        </is>
      </c>
      <c r="E730" t="inlineStr">
        <is>
          <t>SOLLEFTEÅ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66845-2020</t>
        </is>
      </c>
      <c r="B731" s="1" t="n">
        <v>44179</v>
      </c>
      <c r="C731" s="1" t="n">
        <v>45337</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66844-2020</t>
        </is>
      </c>
      <c r="B732" s="1" t="n">
        <v>44179</v>
      </c>
      <c r="C732" s="1" t="n">
        <v>45337</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66850-2020</t>
        </is>
      </c>
      <c r="B733" s="1" t="n">
        <v>44179</v>
      </c>
      <c r="C733" s="1" t="n">
        <v>45337</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66851-2020</t>
        </is>
      </c>
      <c r="B734" s="1" t="n">
        <v>44179</v>
      </c>
      <c r="C734" s="1" t="n">
        <v>45337</v>
      </c>
      <c r="D734" t="inlineStr">
        <is>
          <t>VÄSTERNORRLANDS LÄN</t>
        </is>
      </c>
      <c r="E734" t="inlineStr">
        <is>
          <t>SOLLEFTEÅ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66853-2020</t>
        </is>
      </c>
      <c r="B735" s="1" t="n">
        <v>44179</v>
      </c>
      <c r="C735" s="1" t="n">
        <v>45337</v>
      </c>
      <c r="D735" t="inlineStr">
        <is>
          <t>VÄSTERNORRLANDS LÄN</t>
        </is>
      </c>
      <c r="E735" t="inlineStr">
        <is>
          <t>SOLLEFTEÅ</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67602-2020</t>
        </is>
      </c>
      <c r="B736" s="1" t="n">
        <v>44181</v>
      </c>
      <c r="C736" s="1" t="n">
        <v>45337</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68016-2020</t>
        </is>
      </c>
      <c r="B737" s="1" t="n">
        <v>44182</v>
      </c>
      <c r="C737" s="1" t="n">
        <v>45337</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68026-2020</t>
        </is>
      </c>
      <c r="B738" s="1" t="n">
        <v>44182</v>
      </c>
      <c r="C738" s="1" t="n">
        <v>45337</v>
      </c>
      <c r="D738" t="inlineStr">
        <is>
          <t>VÄSTERNORRLANDS LÄN</t>
        </is>
      </c>
      <c r="E738" t="inlineStr">
        <is>
          <t>SOLLEFTEÅ</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68022-2020</t>
        </is>
      </c>
      <c r="B739" s="1" t="n">
        <v>44182</v>
      </c>
      <c r="C739" s="1" t="n">
        <v>45337</v>
      </c>
      <c r="D739" t="inlineStr">
        <is>
          <t>VÄSTERNORRLANDS LÄN</t>
        </is>
      </c>
      <c r="E739" t="inlineStr">
        <is>
          <t>SOLLEFTEÅ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68031-2020</t>
        </is>
      </c>
      <c r="B740" s="1" t="n">
        <v>44182</v>
      </c>
      <c r="C740" s="1" t="n">
        <v>45337</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68036-2020</t>
        </is>
      </c>
      <c r="B741" s="1" t="n">
        <v>44182</v>
      </c>
      <c r="C741" s="1" t="n">
        <v>45337</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68020-2020</t>
        </is>
      </c>
      <c r="B742" s="1" t="n">
        <v>44182</v>
      </c>
      <c r="C742" s="1" t="n">
        <v>45337</v>
      </c>
      <c r="D742" t="inlineStr">
        <is>
          <t>VÄSTERNORRLANDS LÄN</t>
        </is>
      </c>
      <c r="E742" t="inlineStr">
        <is>
          <t>SOLLEFTEÅ</t>
        </is>
      </c>
      <c r="F742" t="inlineStr">
        <is>
          <t>SCA</t>
        </is>
      </c>
      <c r="G742" t="n">
        <v>8.5</v>
      </c>
      <c r="H742" t="n">
        <v>0</v>
      </c>
      <c r="I742" t="n">
        <v>0</v>
      </c>
      <c r="J742" t="n">
        <v>0</v>
      </c>
      <c r="K742" t="n">
        <v>0</v>
      </c>
      <c r="L742" t="n">
        <v>0</v>
      </c>
      <c r="M742" t="n">
        <v>0</v>
      </c>
      <c r="N742" t="n">
        <v>0</v>
      </c>
      <c r="O742" t="n">
        <v>0</v>
      </c>
      <c r="P742" t="n">
        <v>0</v>
      </c>
      <c r="Q742" t="n">
        <v>0</v>
      </c>
      <c r="R742" s="2" t="inlineStr"/>
    </row>
    <row r="743" ht="15" customHeight="1">
      <c r="A743" t="inlineStr">
        <is>
          <t>A 68030-2020</t>
        </is>
      </c>
      <c r="B743" s="1" t="n">
        <v>44182</v>
      </c>
      <c r="C743" s="1" t="n">
        <v>45337</v>
      </c>
      <c r="D743" t="inlineStr">
        <is>
          <t>VÄSTERNORRLANDS LÄN</t>
        </is>
      </c>
      <c r="E743" t="inlineStr">
        <is>
          <t>SOLLEFTEÅ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68034-2020</t>
        </is>
      </c>
      <c r="B744" s="1" t="n">
        <v>44182</v>
      </c>
      <c r="C744" s="1" t="n">
        <v>45337</v>
      </c>
      <c r="D744" t="inlineStr">
        <is>
          <t>VÄSTERNORRLANDS LÄN</t>
        </is>
      </c>
      <c r="E744" t="inlineStr">
        <is>
          <t>SOLLEFTEÅ</t>
        </is>
      </c>
      <c r="F744" t="inlineStr">
        <is>
          <t>SCA</t>
        </is>
      </c>
      <c r="G744" t="n">
        <v>17.1</v>
      </c>
      <c r="H744" t="n">
        <v>0</v>
      </c>
      <c r="I744" t="n">
        <v>0</v>
      </c>
      <c r="J744" t="n">
        <v>0</v>
      </c>
      <c r="K744" t="n">
        <v>0</v>
      </c>
      <c r="L744" t="n">
        <v>0</v>
      </c>
      <c r="M744" t="n">
        <v>0</v>
      </c>
      <c r="N744" t="n">
        <v>0</v>
      </c>
      <c r="O744" t="n">
        <v>0</v>
      </c>
      <c r="P744" t="n">
        <v>0</v>
      </c>
      <c r="Q744" t="n">
        <v>0</v>
      </c>
      <c r="R744" s="2" t="inlineStr"/>
    </row>
    <row r="745" ht="15" customHeight="1">
      <c r="A745" t="inlineStr">
        <is>
          <t>A 68033-2020</t>
        </is>
      </c>
      <c r="B745" s="1" t="n">
        <v>44182</v>
      </c>
      <c r="C745" s="1" t="n">
        <v>45337</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68015-2020</t>
        </is>
      </c>
      <c r="B746" s="1" t="n">
        <v>44182</v>
      </c>
      <c r="C746" s="1" t="n">
        <v>45337</v>
      </c>
      <c r="D746" t="inlineStr">
        <is>
          <t>VÄSTERNORRLANDS LÄN</t>
        </is>
      </c>
      <c r="E746" t="inlineStr">
        <is>
          <t>SOLLEFTEÅ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68025-2020</t>
        </is>
      </c>
      <c r="B747" s="1" t="n">
        <v>44182</v>
      </c>
      <c r="C747" s="1" t="n">
        <v>45337</v>
      </c>
      <c r="D747" t="inlineStr">
        <is>
          <t>VÄSTERNORRLANDS LÄN</t>
        </is>
      </c>
      <c r="E747" t="inlineStr">
        <is>
          <t>SOLLEFTEÅ</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68032-2020</t>
        </is>
      </c>
      <c r="B748" s="1" t="n">
        <v>44182</v>
      </c>
      <c r="C748" s="1" t="n">
        <v>45337</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68037-2020</t>
        </is>
      </c>
      <c r="B749" s="1" t="n">
        <v>44182</v>
      </c>
      <c r="C749" s="1" t="n">
        <v>45337</v>
      </c>
      <c r="D749" t="inlineStr">
        <is>
          <t>VÄSTERNORRLANDS LÄN</t>
        </is>
      </c>
      <c r="E749" t="inlineStr">
        <is>
          <t>SOLLEFTEÅ</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68292-2020</t>
        </is>
      </c>
      <c r="B750" s="1" t="n">
        <v>44183</v>
      </c>
      <c r="C750" s="1" t="n">
        <v>45337</v>
      </c>
      <c r="D750" t="inlineStr">
        <is>
          <t>VÄSTERNORRLANDS LÄN</t>
        </is>
      </c>
      <c r="E750" t="inlineStr">
        <is>
          <t>SOLLEFTEÅ</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68570-2020</t>
        </is>
      </c>
      <c r="B751" s="1" t="n">
        <v>44186</v>
      </c>
      <c r="C751" s="1" t="n">
        <v>45337</v>
      </c>
      <c r="D751" t="inlineStr">
        <is>
          <t>VÄSTERNORRLANDS LÄN</t>
        </is>
      </c>
      <c r="E751" t="inlineStr">
        <is>
          <t>SOLLEFTEÅ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68652-2020</t>
        </is>
      </c>
      <c r="B752" s="1" t="n">
        <v>44186</v>
      </c>
      <c r="C752" s="1" t="n">
        <v>45337</v>
      </c>
      <c r="D752" t="inlineStr">
        <is>
          <t>VÄSTERNORRLANDS LÄN</t>
        </is>
      </c>
      <c r="E752" t="inlineStr">
        <is>
          <t>SOLLEFTEÅ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68647-2020</t>
        </is>
      </c>
      <c r="B753" s="1" t="n">
        <v>44186</v>
      </c>
      <c r="C753" s="1" t="n">
        <v>45337</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68648-2020</t>
        </is>
      </c>
      <c r="B754" s="1" t="n">
        <v>44186</v>
      </c>
      <c r="C754" s="1" t="n">
        <v>45337</v>
      </c>
      <c r="D754" t="inlineStr">
        <is>
          <t>VÄSTERNORRLANDS LÄN</t>
        </is>
      </c>
      <c r="E754" t="inlineStr">
        <is>
          <t>SOLLEFTEÅ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68656-2020</t>
        </is>
      </c>
      <c r="B755" s="1" t="n">
        <v>44186</v>
      </c>
      <c r="C755" s="1" t="n">
        <v>45337</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69436-2020</t>
        </is>
      </c>
      <c r="B756" s="1" t="n">
        <v>44193</v>
      </c>
      <c r="C756" s="1" t="n">
        <v>45337</v>
      </c>
      <c r="D756" t="inlineStr">
        <is>
          <t>VÄSTERNORRLANDS LÄN</t>
        </is>
      </c>
      <c r="E756" t="inlineStr">
        <is>
          <t>SOLLEFTEÅ</t>
        </is>
      </c>
      <c r="G756" t="n">
        <v>4.9</v>
      </c>
      <c r="H756" t="n">
        <v>0</v>
      </c>
      <c r="I756" t="n">
        <v>0</v>
      </c>
      <c r="J756" t="n">
        <v>0</v>
      </c>
      <c r="K756" t="n">
        <v>0</v>
      </c>
      <c r="L756" t="n">
        <v>0</v>
      </c>
      <c r="M756" t="n">
        <v>0</v>
      </c>
      <c r="N756" t="n">
        <v>0</v>
      </c>
      <c r="O756" t="n">
        <v>0</v>
      </c>
      <c r="P756" t="n">
        <v>0</v>
      </c>
      <c r="Q756" t="n">
        <v>0</v>
      </c>
      <c r="R756" s="2" t="inlineStr"/>
    </row>
    <row r="757" ht="15" customHeight="1">
      <c r="A757" t="inlineStr">
        <is>
          <t>A 272-2021</t>
        </is>
      </c>
      <c r="B757" s="1" t="n">
        <v>44200</v>
      </c>
      <c r="C757" s="1" t="n">
        <v>45337</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691-2021</t>
        </is>
      </c>
      <c r="B758" s="1" t="n">
        <v>44203</v>
      </c>
      <c r="C758" s="1" t="n">
        <v>45337</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1858-2021</t>
        </is>
      </c>
      <c r="B759" s="1" t="n">
        <v>44210</v>
      </c>
      <c r="C759" s="1" t="n">
        <v>45337</v>
      </c>
      <c r="D759" t="inlineStr">
        <is>
          <t>VÄSTERNORRLANDS LÄN</t>
        </is>
      </c>
      <c r="E759" t="inlineStr">
        <is>
          <t>SOLLEFTEÅ</t>
        </is>
      </c>
      <c r="G759" t="n">
        <v>2</v>
      </c>
      <c r="H759" t="n">
        <v>0</v>
      </c>
      <c r="I759" t="n">
        <v>0</v>
      </c>
      <c r="J759" t="n">
        <v>0</v>
      </c>
      <c r="K759" t="n">
        <v>0</v>
      </c>
      <c r="L759" t="n">
        <v>0</v>
      </c>
      <c r="M759" t="n">
        <v>0</v>
      </c>
      <c r="N759" t="n">
        <v>0</v>
      </c>
      <c r="O759" t="n">
        <v>0</v>
      </c>
      <c r="P759" t="n">
        <v>0</v>
      </c>
      <c r="Q759" t="n">
        <v>0</v>
      </c>
      <c r="R759" s="2" t="inlineStr"/>
    </row>
    <row r="760" ht="15" customHeight="1">
      <c r="A760" t="inlineStr">
        <is>
          <t>A 2077-2021</t>
        </is>
      </c>
      <c r="B760" s="1" t="n">
        <v>44210</v>
      </c>
      <c r="C760" s="1" t="n">
        <v>45337</v>
      </c>
      <c r="D760" t="inlineStr">
        <is>
          <t>VÄSTERNORRLANDS LÄN</t>
        </is>
      </c>
      <c r="E760" t="inlineStr">
        <is>
          <t>SOLLEFTEÅ</t>
        </is>
      </c>
      <c r="G760" t="n">
        <v>6.1</v>
      </c>
      <c r="H760" t="n">
        <v>0</v>
      </c>
      <c r="I760" t="n">
        <v>0</v>
      </c>
      <c r="J760" t="n">
        <v>0</v>
      </c>
      <c r="K760" t="n">
        <v>0</v>
      </c>
      <c r="L760" t="n">
        <v>0</v>
      </c>
      <c r="M760" t="n">
        <v>0</v>
      </c>
      <c r="N760" t="n">
        <v>0</v>
      </c>
      <c r="O760" t="n">
        <v>0</v>
      </c>
      <c r="P760" t="n">
        <v>0</v>
      </c>
      <c r="Q760" t="n">
        <v>0</v>
      </c>
      <c r="R760" s="2" t="inlineStr"/>
    </row>
    <row r="761" ht="15" customHeight="1">
      <c r="A761" t="inlineStr">
        <is>
          <t>A 2487-2021</t>
        </is>
      </c>
      <c r="B761" s="1" t="n">
        <v>44211</v>
      </c>
      <c r="C761" s="1" t="n">
        <v>45337</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3441-2021</t>
        </is>
      </c>
      <c r="B762" s="1" t="n">
        <v>44218</v>
      </c>
      <c r="C762" s="1" t="n">
        <v>45337</v>
      </c>
      <c r="D762" t="inlineStr">
        <is>
          <t>VÄSTERNORRLANDS LÄN</t>
        </is>
      </c>
      <c r="E762" t="inlineStr">
        <is>
          <t>SOLLEFTEÅ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4127-2021</t>
        </is>
      </c>
      <c r="B763" s="1" t="n">
        <v>44222</v>
      </c>
      <c r="C763" s="1" t="n">
        <v>45337</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5989-2021</t>
        </is>
      </c>
      <c r="B764" s="1" t="n">
        <v>44231</v>
      </c>
      <c r="C764" s="1" t="n">
        <v>45337</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7658-2021</t>
        </is>
      </c>
      <c r="B765" s="1" t="n">
        <v>44242</v>
      </c>
      <c r="C765" s="1" t="n">
        <v>45337</v>
      </c>
      <c r="D765" t="inlineStr">
        <is>
          <t>VÄSTERNORRLANDS LÄN</t>
        </is>
      </c>
      <c r="E765" t="inlineStr">
        <is>
          <t>SOLLEFTEÅ</t>
        </is>
      </c>
      <c r="G765" t="n">
        <v>4.9</v>
      </c>
      <c r="H765" t="n">
        <v>0</v>
      </c>
      <c r="I765" t="n">
        <v>0</v>
      </c>
      <c r="J765" t="n">
        <v>0</v>
      </c>
      <c r="K765" t="n">
        <v>0</v>
      </c>
      <c r="L765" t="n">
        <v>0</v>
      </c>
      <c r="M765" t="n">
        <v>0</v>
      </c>
      <c r="N765" t="n">
        <v>0</v>
      </c>
      <c r="O765" t="n">
        <v>0</v>
      </c>
      <c r="P765" t="n">
        <v>0</v>
      </c>
      <c r="Q765" t="n">
        <v>0</v>
      </c>
      <c r="R765" s="2" t="inlineStr"/>
    </row>
    <row r="766" ht="15" customHeight="1">
      <c r="A766" t="inlineStr">
        <is>
          <t>A 7659-2021</t>
        </is>
      </c>
      <c r="B766" s="1" t="n">
        <v>44242</v>
      </c>
      <c r="C766" s="1" t="n">
        <v>45337</v>
      </c>
      <c r="D766" t="inlineStr">
        <is>
          <t>VÄSTERNORRLANDS LÄN</t>
        </is>
      </c>
      <c r="E766" t="inlineStr">
        <is>
          <t>SOLLEFTEÅ</t>
        </is>
      </c>
      <c r="G766" t="n">
        <v>8.1</v>
      </c>
      <c r="H766" t="n">
        <v>0</v>
      </c>
      <c r="I766" t="n">
        <v>0</v>
      </c>
      <c r="J766" t="n">
        <v>0</v>
      </c>
      <c r="K766" t="n">
        <v>0</v>
      </c>
      <c r="L766" t="n">
        <v>0</v>
      </c>
      <c r="M766" t="n">
        <v>0</v>
      </c>
      <c r="N766" t="n">
        <v>0</v>
      </c>
      <c r="O766" t="n">
        <v>0</v>
      </c>
      <c r="P766" t="n">
        <v>0</v>
      </c>
      <c r="Q766" t="n">
        <v>0</v>
      </c>
      <c r="R766" s="2" t="inlineStr"/>
    </row>
    <row r="767" ht="15" customHeight="1">
      <c r="A767" t="inlineStr">
        <is>
          <t>A 7889-2021</t>
        </is>
      </c>
      <c r="B767" s="1" t="n">
        <v>44242</v>
      </c>
      <c r="C767" s="1" t="n">
        <v>45337</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8631-2021</t>
        </is>
      </c>
      <c r="B768" s="1" t="n">
        <v>44245</v>
      </c>
      <c r="C768" s="1" t="n">
        <v>45337</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8692-2021</t>
        </is>
      </c>
      <c r="B769" s="1" t="n">
        <v>44246</v>
      </c>
      <c r="C769" s="1" t="n">
        <v>45337</v>
      </c>
      <c r="D769" t="inlineStr">
        <is>
          <t>VÄSTERNORRLANDS LÄN</t>
        </is>
      </c>
      <c r="E769" t="inlineStr">
        <is>
          <t>SOLLEFTEÅ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9461-2021</t>
        </is>
      </c>
      <c r="B770" s="1" t="n">
        <v>44251</v>
      </c>
      <c r="C770" s="1" t="n">
        <v>45337</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9626-2021</t>
        </is>
      </c>
      <c r="B771" s="1" t="n">
        <v>44251</v>
      </c>
      <c r="C771" s="1" t="n">
        <v>45337</v>
      </c>
      <c r="D771" t="inlineStr">
        <is>
          <t>VÄSTERNORRLANDS LÄN</t>
        </is>
      </c>
      <c r="E771" t="inlineStr">
        <is>
          <t>SOLLEFTEÅ</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11270-2021</t>
        </is>
      </c>
      <c r="B772" s="1" t="n">
        <v>44263</v>
      </c>
      <c r="C772" s="1" t="n">
        <v>45337</v>
      </c>
      <c r="D772" t="inlineStr">
        <is>
          <t>VÄSTERNORRLANDS LÄN</t>
        </is>
      </c>
      <c r="E772" t="inlineStr">
        <is>
          <t>SOLLEFTEÅ</t>
        </is>
      </c>
      <c r="F772" t="inlineStr">
        <is>
          <t>Kommuner</t>
        </is>
      </c>
      <c r="G772" t="n">
        <v>10.9</v>
      </c>
      <c r="H772" t="n">
        <v>0</v>
      </c>
      <c r="I772" t="n">
        <v>0</v>
      </c>
      <c r="J772" t="n">
        <v>0</v>
      </c>
      <c r="K772" t="n">
        <v>0</v>
      </c>
      <c r="L772" t="n">
        <v>0</v>
      </c>
      <c r="M772" t="n">
        <v>0</v>
      </c>
      <c r="N772" t="n">
        <v>0</v>
      </c>
      <c r="O772" t="n">
        <v>0</v>
      </c>
      <c r="P772" t="n">
        <v>0</v>
      </c>
      <c r="Q772" t="n">
        <v>0</v>
      </c>
      <c r="R772" s="2" t="inlineStr"/>
    </row>
    <row r="773" ht="15" customHeight="1">
      <c r="A773" t="inlineStr">
        <is>
          <t>A 11710-2021</t>
        </is>
      </c>
      <c r="B773" s="1" t="n">
        <v>44264</v>
      </c>
      <c r="C773" s="1" t="n">
        <v>45337</v>
      </c>
      <c r="D773" t="inlineStr">
        <is>
          <t>VÄSTERNORRLANDS LÄN</t>
        </is>
      </c>
      <c r="E773" t="inlineStr">
        <is>
          <t>SOLLEFTEÅ</t>
        </is>
      </c>
      <c r="G773" t="n">
        <v>1.2</v>
      </c>
      <c r="H773" t="n">
        <v>0</v>
      </c>
      <c r="I773" t="n">
        <v>0</v>
      </c>
      <c r="J773" t="n">
        <v>0</v>
      </c>
      <c r="K773" t="n">
        <v>0</v>
      </c>
      <c r="L773" t="n">
        <v>0</v>
      </c>
      <c r="M773" t="n">
        <v>0</v>
      </c>
      <c r="N773" t="n">
        <v>0</v>
      </c>
      <c r="O773" t="n">
        <v>0</v>
      </c>
      <c r="P773" t="n">
        <v>0</v>
      </c>
      <c r="Q773" t="n">
        <v>0</v>
      </c>
      <c r="R773" s="2" t="inlineStr"/>
    </row>
    <row r="774" ht="15" customHeight="1">
      <c r="A774" t="inlineStr">
        <is>
          <t>A 12278-2021</t>
        </is>
      </c>
      <c r="B774" s="1" t="n">
        <v>44266</v>
      </c>
      <c r="C774" s="1" t="n">
        <v>45337</v>
      </c>
      <c r="D774" t="inlineStr">
        <is>
          <t>VÄSTERNORRLANDS LÄN</t>
        </is>
      </c>
      <c r="E774" t="inlineStr">
        <is>
          <t>SOLLEFTEÅ</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12277-2021</t>
        </is>
      </c>
      <c r="B775" s="1" t="n">
        <v>44266</v>
      </c>
      <c r="C775" s="1" t="n">
        <v>45337</v>
      </c>
      <c r="D775" t="inlineStr">
        <is>
          <t>VÄSTERNORRLANDS LÄN</t>
        </is>
      </c>
      <c r="E775" t="inlineStr">
        <is>
          <t>SOLLEFTEÅ</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12279-2021</t>
        </is>
      </c>
      <c r="B776" s="1" t="n">
        <v>44266</v>
      </c>
      <c r="C776" s="1" t="n">
        <v>45337</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14733-2021</t>
        </is>
      </c>
      <c r="B777" s="1" t="n">
        <v>44280</v>
      </c>
      <c r="C777" s="1" t="n">
        <v>45337</v>
      </c>
      <c r="D777" t="inlineStr">
        <is>
          <t>VÄSTERNORRLANDS LÄN</t>
        </is>
      </c>
      <c r="E777" t="inlineStr">
        <is>
          <t>SOLLEFTEÅ</t>
        </is>
      </c>
      <c r="G777" t="n">
        <v>5.3</v>
      </c>
      <c r="H777" t="n">
        <v>0</v>
      </c>
      <c r="I777" t="n">
        <v>0</v>
      </c>
      <c r="J777" t="n">
        <v>0</v>
      </c>
      <c r="K777" t="n">
        <v>0</v>
      </c>
      <c r="L777" t="n">
        <v>0</v>
      </c>
      <c r="M777" t="n">
        <v>0</v>
      </c>
      <c r="N777" t="n">
        <v>0</v>
      </c>
      <c r="O777" t="n">
        <v>0</v>
      </c>
      <c r="P777" t="n">
        <v>0</v>
      </c>
      <c r="Q777" t="n">
        <v>0</v>
      </c>
      <c r="R777" s="2" t="inlineStr"/>
    </row>
    <row r="778" ht="15" customHeight="1">
      <c r="A778" t="inlineStr">
        <is>
          <t>A 15101-2021</t>
        </is>
      </c>
      <c r="B778" s="1" t="n">
        <v>44281</v>
      </c>
      <c r="C778" s="1" t="n">
        <v>45337</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15098-2021</t>
        </is>
      </c>
      <c r="B779" s="1" t="n">
        <v>44281</v>
      </c>
      <c r="C779" s="1" t="n">
        <v>45337</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15461-2021</t>
        </is>
      </c>
      <c r="B780" s="1" t="n">
        <v>44285</v>
      </c>
      <c r="C780" s="1" t="n">
        <v>45337</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15894-2021</t>
        </is>
      </c>
      <c r="B781" s="1" t="n">
        <v>44286</v>
      </c>
      <c r="C781" s="1" t="n">
        <v>45337</v>
      </c>
      <c r="D781" t="inlineStr">
        <is>
          <t>VÄSTERNORRLANDS LÄN</t>
        </is>
      </c>
      <c r="E781" t="inlineStr">
        <is>
          <t>SOLLEFTEÅ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16700-2021</t>
        </is>
      </c>
      <c r="B782" s="1" t="n">
        <v>44293</v>
      </c>
      <c r="C782" s="1" t="n">
        <v>45337</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16799-2021</t>
        </is>
      </c>
      <c r="B783" s="1" t="n">
        <v>44293</v>
      </c>
      <c r="C783" s="1" t="n">
        <v>45337</v>
      </c>
      <c r="D783" t="inlineStr">
        <is>
          <t>VÄSTERNORRLANDS LÄN</t>
        </is>
      </c>
      <c r="E783" t="inlineStr">
        <is>
          <t>SOLLEFTEÅ</t>
        </is>
      </c>
      <c r="G783" t="n">
        <v>3</v>
      </c>
      <c r="H783" t="n">
        <v>0</v>
      </c>
      <c r="I783" t="n">
        <v>0</v>
      </c>
      <c r="J783" t="n">
        <v>0</v>
      </c>
      <c r="K783" t="n">
        <v>0</v>
      </c>
      <c r="L783" t="n">
        <v>0</v>
      </c>
      <c r="M783" t="n">
        <v>0</v>
      </c>
      <c r="N783" t="n">
        <v>0</v>
      </c>
      <c r="O783" t="n">
        <v>0</v>
      </c>
      <c r="P783" t="n">
        <v>0</v>
      </c>
      <c r="Q783" t="n">
        <v>0</v>
      </c>
      <c r="R783" s="2" t="inlineStr"/>
    </row>
    <row r="784" ht="15" customHeight="1">
      <c r="A784" t="inlineStr">
        <is>
          <t>A 16905-2021</t>
        </is>
      </c>
      <c r="B784" s="1" t="n">
        <v>44294</v>
      </c>
      <c r="C784" s="1" t="n">
        <v>45337</v>
      </c>
      <c r="D784" t="inlineStr">
        <is>
          <t>VÄSTERNORRLANDS LÄN</t>
        </is>
      </c>
      <c r="E784" t="inlineStr">
        <is>
          <t>SOLLEFTEÅ</t>
        </is>
      </c>
      <c r="G784" t="n">
        <v>5</v>
      </c>
      <c r="H784" t="n">
        <v>0</v>
      </c>
      <c r="I784" t="n">
        <v>0</v>
      </c>
      <c r="J784" t="n">
        <v>0</v>
      </c>
      <c r="K784" t="n">
        <v>0</v>
      </c>
      <c r="L784" t="n">
        <v>0</v>
      </c>
      <c r="M784" t="n">
        <v>0</v>
      </c>
      <c r="N784" t="n">
        <v>0</v>
      </c>
      <c r="O784" t="n">
        <v>0</v>
      </c>
      <c r="P784" t="n">
        <v>0</v>
      </c>
      <c r="Q784" t="n">
        <v>0</v>
      </c>
      <c r="R784" s="2" t="inlineStr"/>
    </row>
    <row r="785" ht="15" customHeight="1">
      <c r="A785" t="inlineStr">
        <is>
          <t>A 17604-2021</t>
        </is>
      </c>
      <c r="B785" s="1" t="n">
        <v>44299</v>
      </c>
      <c r="C785" s="1" t="n">
        <v>45337</v>
      </c>
      <c r="D785" t="inlineStr">
        <is>
          <t>VÄSTERNORRLANDS LÄN</t>
        </is>
      </c>
      <c r="E785" t="inlineStr">
        <is>
          <t>SOLLEFTEÅ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18459-2021</t>
        </is>
      </c>
      <c r="B786" s="1" t="n">
        <v>44306</v>
      </c>
      <c r="C786" s="1" t="n">
        <v>45337</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18668-2021</t>
        </is>
      </c>
      <c r="B787" s="1" t="n">
        <v>44306</v>
      </c>
      <c r="C787" s="1" t="n">
        <v>45337</v>
      </c>
      <c r="D787" t="inlineStr">
        <is>
          <t>VÄSTERNORRLANDS LÄN</t>
        </is>
      </c>
      <c r="E787" t="inlineStr">
        <is>
          <t>SOLLEFTEÅ</t>
        </is>
      </c>
      <c r="G787" t="n">
        <v>12.7</v>
      </c>
      <c r="H787" t="n">
        <v>0</v>
      </c>
      <c r="I787" t="n">
        <v>0</v>
      </c>
      <c r="J787" t="n">
        <v>0</v>
      </c>
      <c r="K787" t="n">
        <v>0</v>
      </c>
      <c r="L787" t="n">
        <v>0</v>
      </c>
      <c r="M787" t="n">
        <v>0</v>
      </c>
      <c r="N787" t="n">
        <v>0</v>
      </c>
      <c r="O787" t="n">
        <v>0</v>
      </c>
      <c r="P787" t="n">
        <v>0</v>
      </c>
      <c r="Q787" t="n">
        <v>0</v>
      </c>
      <c r="R787" s="2" t="inlineStr"/>
    </row>
    <row r="788" ht="15" customHeight="1">
      <c r="A788" t="inlineStr">
        <is>
          <t>A 18741-2021</t>
        </is>
      </c>
      <c r="B788" s="1" t="n">
        <v>44306</v>
      </c>
      <c r="C788" s="1" t="n">
        <v>45337</v>
      </c>
      <c r="D788" t="inlineStr">
        <is>
          <t>VÄSTERNORRLANDS LÄN</t>
        </is>
      </c>
      <c r="E788" t="inlineStr">
        <is>
          <t>SOLLEFTEÅ</t>
        </is>
      </c>
      <c r="F788" t="inlineStr">
        <is>
          <t>Kyrkan</t>
        </is>
      </c>
      <c r="G788" t="n">
        <v>4.8</v>
      </c>
      <c r="H788" t="n">
        <v>0</v>
      </c>
      <c r="I788" t="n">
        <v>0</v>
      </c>
      <c r="J788" t="n">
        <v>0</v>
      </c>
      <c r="K788" t="n">
        <v>0</v>
      </c>
      <c r="L788" t="n">
        <v>0</v>
      </c>
      <c r="M788" t="n">
        <v>0</v>
      </c>
      <c r="N788" t="n">
        <v>0</v>
      </c>
      <c r="O788" t="n">
        <v>0</v>
      </c>
      <c r="P788" t="n">
        <v>0</v>
      </c>
      <c r="Q788" t="n">
        <v>0</v>
      </c>
      <c r="R788" s="2" t="inlineStr"/>
    </row>
    <row r="789" ht="15" customHeight="1">
      <c r="A789" t="inlineStr">
        <is>
          <t>A 18662-2021</t>
        </is>
      </c>
      <c r="B789" s="1" t="n">
        <v>44306</v>
      </c>
      <c r="C789" s="1" t="n">
        <v>45337</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18766-2021</t>
        </is>
      </c>
      <c r="B790" s="1" t="n">
        <v>44307</v>
      </c>
      <c r="C790" s="1" t="n">
        <v>45337</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18761-2021</t>
        </is>
      </c>
      <c r="B791" s="1" t="n">
        <v>44307</v>
      </c>
      <c r="C791" s="1" t="n">
        <v>45337</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18873-2021</t>
        </is>
      </c>
      <c r="B792" s="1" t="n">
        <v>44308</v>
      </c>
      <c r="C792" s="1" t="n">
        <v>45337</v>
      </c>
      <c r="D792" t="inlineStr">
        <is>
          <t>VÄSTERNORRLANDS LÄN</t>
        </is>
      </c>
      <c r="E792" t="inlineStr">
        <is>
          <t>SOLLEFTEÅ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18878-2021</t>
        </is>
      </c>
      <c r="B793" s="1" t="n">
        <v>44307</v>
      </c>
      <c r="C793" s="1" t="n">
        <v>45337</v>
      </c>
      <c r="D793" t="inlineStr">
        <is>
          <t>VÄSTERNORRLANDS LÄN</t>
        </is>
      </c>
      <c r="E793" t="inlineStr">
        <is>
          <t>SOLLEFTEÅ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18867-2021</t>
        </is>
      </c>
      <c r="B794" s="1" t="n">
        <v>44307</v>
      </c>
      <c r="C794" s="1" t="n">
        <v>45337</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18882-2021</t>
        </is>
      </c>
      <c r="B795" s="1" t="n">
        <v>44308</v>
      </c>
      <c r="C795" s="1" t="n">
        <v>45337</v>
      </c>
      <c r="D795" t="inlineStr">
        <is>
          <t>VÄSTERNORRLANDS LÄN</t>
        </is>
      </c>
      <c r="E795" t="inlineStr">
        <is>
          <t>SOLLEFTEÅ</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18875-2021</t>
        </is>
      </c>
      <c r="B796" s="1" t="n">
        <v>44307</v>
      </c>
      <c r="C796" s="1" t="n">
        <v>45337</v>
      </c>
      <c r="D796" t="inlineStr">
        <is>
          <t>VÄSTERNORRLANDS LÄN</t>
        </is>
      </c>
      <c r="E796" t="inlineStr">
        <is>
          <t>SOLLEFTEÅ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18866-2021</t>
        </is>
      </c>
      <c r="B797" s="1" t="n">
        <v>44308</v>
      </c>
      <c r="C797" s="1" t="n">
        <v>45337</v>
      </c>
      <c r="D797" t="inlineStr">
        <is>
          <t>VÄSTERNORRLANDS LÄN</t>
        </is>
      </c>
      <c r="E797" t="inlineStr">
        <is>
          <t>SOLLEFTEÅ</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18874-2021</t>
        </is>
      </c>
      <c r="B798" s="1" t="n">
        <v>44308</v>
      </c>
      <c r="C798" s="1" t="n">
        <v>45337</v>
      </c>
      <c r="D798" t="inlineStr">
        <is>
          <t>VÄSTERNORRLANDS LÄN</t>
        </is>
      </c>
      <c r="E798" t="inlineStr">
        <is>
          <t>SOLLEFTEÅ</t>
        </is>
      </c>
      <c r="F798" t="inlineStr">
        <is>
          <t>SCA</t>
        </is>
      </c>
      <c r="G798" t="n">
        <v>10.7</v>
      </c>
      <c r="H798" t="n">
        <v>0</v>
      </c>
      <c r="I798" t="n">
        <v>0</v>
      </c>
      <c r="J798" t="n">
        <v>0</v>
      </c>
      <c r="K798" t="n">
        <v>0</v>
      </c>
      <c r="L798" t="n">
        <v>0</v>
      </c>
      <c r="M798" t="n">
        <v>0</v>
      </c>
      <c r="N798" t="n">
        <v>0</v>
      </c>
      <c r="O798" t="n">
        <v>0</v>
      </c>
      <c r="P798" t="n">
        <v>0</v>
      </c>
      <c r="Q798" t="n">
        <v>0</v>
      </c>
      <c r="R798" s="2" t="inlineStr"/>
    </row>
    <row r="799" ht="15" customHeight="1">
      <c r="A799" t="inlineStr">
        <is>
          <t>A 18879-2021</t>
        </is>
      </c>
      <c r="B799" s="1" t="n">
        <v>44307</v>
      </c>
      <c r="C799" s="1" t="n">
        <v>45337</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18868-2021</t>
        </is>
      </c>
      <c r="B800" s="1" t="n">
        <v>44307</v>
      </c>
      <c r="C800" s="1" t="n">
        <v>45337</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18877-2021</t>
        </is>
      </c>
      <c r="B801" s="1" t="n">
        <v>44308</v>
      </c>
      <c r="C801" s="1" t="n">
        <v>45337</v>
      </c>
      <c r="D801" t="inlineStr">
        <is>
          <t>VÄSTERNORRLANDS LÄN</t>
        </is>
      </c>
      <c r="E801" t="inlineStr">
        <is>
          <t>SOLLEFTEÅ</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18889-2021</t>
        </is>
      </c>
      <c r="B802" s="1" t="n">
        <v>44308</v>
      </c>
      <c r="C802" s="1" t="n">
        <v>45337</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19200-2021</t>
        </is>
      </c>
      <c r="B803" s="1" t="n">
        <v>44309</v>
      </c>
      <c r="C803" s="1" t="n">
        <v>45337</v>
      </c>
      <c r="D803" t="inlineStr">
        <is>
          <t>VÄSTERNORRLANDS LÄN</t>
        </is>
      </c>
      <c r="E803" t="inlineStr">
        <is>
          <t>SOLLEFTEÅ</t>
        </is>
      </c>
      <c r="G803" t="n">
        <v>12.7</v>
      </c>
      <c r="H803" t="n">
        <v>0</v>
      </c>
      <c r="I803" t="n">
        <v>0</v>
      </c>
      <c r="J803" t="n">
        <v>0</v>
      </c>
      <c r="K803" t="n">
        <v>0</v>
      </c>
      <c r="L803" t="n">
        <v>0</v>
      </c>
      <c r="M803" t="n">
        <v>0</v>
      </c>
      <c r="N803" t="n">
        <v>0</v>
      </c>
      <c r="O803" t="n">
        <v>0</v>
      </c>
      <c r="P803" t="n">
        <v>0</v>
      </c>
      <c r="Q803" t="n">
        <v>0</v>
      </c>
      <c r="R803" s="2" t="inlineStr"/>
    </row>
    <row r="804" ht="15" customHeight="1">
      <c r="A804" t="inlineStr">
        <is>
          <t>A 19510-2021</t>
        </is>
      </c>
      <c r="B804" s="1" t="n">
        <v>44308</v>
      </c>
      <c r="C804" s="1" t="n">
        <v>45337</v>
      </c>
      <c r="D804" t="inlineStr">
        <is>
          <t>VÄSTERNORRLANDS LÄN</t>
        </is>
      </c>
      <c r="E804" t="inlineStr">
        <is>
          <t>SOLLEFTEÅ</t>
        </is>
      </c>
      <c r="F804" t="inlineStr">
        <is>
          <t>Kyrkan</t>
        </is>
      </c>
      <c r="G804" t="n">
        <v>19.6</v>
      </c>
      <c r="H804" t="n">
        <v>0</v>
      </c>
      <c r="I804" t="n">
        <v>0</v>
      </c>
      <c r="J804" t="n">
        <v>0</v>
      </c>
      <c r="K804" t="n">
        <v>0</v>
      </c>
      <c r="L804" t="n">
        <v>0</v>
      </c>
      <c r="M804" t="n">
        <v>0</v>
      </c>
      <c r="N804" t="n">
        <v>0</v>
      </c>
      <c r="O804" t="n">
        <v>0</v>
      </c>
      <c r="P804" t="n">
        <v>0</v>
      </c>
      <c r="Q804" t="n">
        <v>0</v>
      </c>
      <c r="R804" s="2" t="inlineStr"/>
    </row>
    <row r="805" ht="15" customHeight="1">
      <c r="A805" t="inlineStr">
        <is>
          <t>A 19220-2021</t>
        </is>
      </c>
      <c r="B805" s="1" t="n">
        <v>44309</v>
      </c>
      <c r="C805" s="1" t="n">
        <v>45337</v>
      </c>
      <c r="D805" t="inlineStr">
        <is>
          <t>VÄSTERNORRLANDS LÄN</t>
        </is>
      </c>
      <c r="E805" t="inlineStr">
        <is>
          <t>SOLLEFTEÅ</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19433-2021</t>
        </is>
      </c>
      <c r="B806" s="1" t="n">
        <v>44310</v>
      </c>
      <c r="C806" s="1" t="n">
        <v>45337</v>
      </c>
      <c r="D806" t="inlineStr">
        <is>
          <t>VÄSTERNORRLANDS LÄN</t>
        </is>
      </c>
      <c r="E806" t="inlineStr">
        <is>
          <t>SOLLEFTEÅ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19412-2021</t>
        </is>
      </c>
      <c r="B807" s="1" t="n">
        <v>44310</v>
      </c>
      <c r="C807" s="1" t="n">
        <v>45337</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19435-2021</t>
        </is>
      </c>
      <c r="B808" s="1" t="n">
        <v>44310</v>
      </c>
      <c r="C808" s="1" t="n">
        <v>45337</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19516-2021</t>
        </is>
      </c>
      <c r="B809" s="1" t="n">
        <v>44309</v>
      </c>
      <c r="C809" s="1" t="n">
        <v>45337</v>
      </c>
      <c r="D809" t="inlineStr">
        <is>
          <t>VÄSTERNORRLANDS LÄN</t>
        </is>
      </c>
      <c r="E809" t="inlineStr">
        <is>
          <t>SOLLEFTEÅ</t>
        </is>
      </c>
      <c r="G809" t="n">
        <v>15.6</v>
      </c>
      <c r="H809" t="n">
        <v>0</v>
      </c>
      <c r="I809" t="n">
        <v>0</v>
      </c>
      <c r="J809" t="n">
        <v>0</v>
      </c>
      <c r="K809" t="n">
        <v>0</v>
      </c>
      <c r="L809" t="n">
        <v>0</v>
      </c>
      <c r="M809" t="n">
        <v>0</v>
      </c>
      <c r="N809" t="n">
        <v>0</v>
      </c>
      <c r="O809" t="n">
        <v>0</v>
      </c>
      <c r="P809" t="n">
        <v>0</v>
      </c>
      <c r="Q809" t="n">
        <v>0</v>
      </c>
      <c r="R809" s="2" t="inlineStr"/>
    </row>
    <row r="810" ht="15" customHeight="1">
      <c r="A810" t="inlineStr">
        <is>
          <t>A 19830-2021</t>
        </is>
      </c>
      <c r="B810" s="1" t="n">
        <v>44312</v>
      </c>
      <c r="C810" s="1" t="n">
        <v>45337</v>
      </c>
      <c r="D810" t="inlineStr">
        <is>
          <t>VÄSTERNORRLANDS LÄN</t>
        </is>
      </c>
      <c r="E810" t="inlineStr">
        <is>
          <t>SOLLEFTEÅ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19637-2021</t>
        </is>
      </c>
      <c r="B811" s="1" t="n">
        <v>44312</v>
      </c>
      <c r="C811" s="1" t="n">
        <v>45337</v>
      </c>
      <c r="D811" t="inlineStr">
        <is>
          <t>VÄSTERNORRLANDS LÄN</t>
        </is>
      </c>
      <c r="E811" t="inlineStr">
        <is>
          <t>SOLLEFTEÅ</t>
        </is>
      </c>
      <c r="F811" t="inlineStr">
        <is>
          <t>Holmen skog AB</t>
        </is>
      </c>
      <c r="G811" t="n">
        <v>0.9</v>
      </c>
      <c r="H811" t="n">
        <v>0</v>
      </c>
      <c r="I811" t="n">
        <v>0</v>
      </c>
      <c r="J811" t="n">
        <v>0</v>
      </c>
      <c r="K811" t="n">
        <v>0</v>
      </c>
      <c r="L811" t="n">
        <v>0</v>
      </c>
      <c r="M811" t="n">
        <v>0</v>
      </c>
      <c r="N811" t="n">
        <v>0</v>
      </c>
      <c r="O811" t="n">
        <v>0</v>
      </c>
      <c r="P811" t="n">
        <v>0</v>
      </c>
      <c r="Q811" t="n">
        <v>0</v>
      </c>
      <c r="R811" s="2" t="inlineStr"/>
    </row>
    <row r="812" ht="15" customHeight="1">
      <c r="A812" t="inlineStr">
        <is>
          <t>A 21341-2021</t>
        </is>
      </c>
      <c r="B812" s="1" t="n">
        <v>44321</v>
      </c>
      <c r="C812" s="1" t="n">
        <v>45337</v>
      </c>
      <c r="D812" t="inlineStr">
        <is>
          <t>VÄSTERNORRLANDS LÄN</t>
        </is>
      </c>
      <c r="E812" t="inlineStr">
        <is>
          <t>SOLLEFTEÅ</t>
        </is>
      </c>
      <c r="G812" t="n">
        <v>4.1</v>
      </c>
      <c r="H812" t="n">
        <v>0</v>
      </c>
      <c r="I812" t="n">
        <v>0</v>
      </c>
      <c r="J812" t="n">
        <v>0</v>
      </c>
      <c r="K812" t="n">
        <v>0</v>
      </c>
      <c r="L812" t="n">
        <v>0</v>
      </c>
      <c r="M812" t="n">
        <v>0</v>
      </c>
      <c r="N812" t="n">
        <v>0</v>
      </c>
      <c r="O812" t="n">
        <v>0</v>
      </c>
      <c r="P812" t="n">
        <v>0</v>
      </c>
      <c r="Q812" t="n">
        <v>0</v>
      </c>
      <c r="R812" s="2" t="inlineStr"/>
    </row>
    <row r="813" ht="15" customHeight="1">
      <c r="A813" t="inlineStr">
        <is>
          <t>A 21360-2021</t>
        </is>
      </c>
      <c r="B813" s="1" t="n">
        <v>44320</v>
      </c>
      <c r="C813" s="1" t="n">
        <v>45337</v>
      </c>
      <c r="D813" t="inlineStr">
        <is>
          <t>VÄSTERNORRLANDS LÄN</t>
        </is>
      </c>
      <c r="E813" t="inlineStr">
        <is>
          <t>SOLLEFTEÅ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21350-2021</t>
        </is>
      </c>
      <c r="B814" s="1" t="n">
        <v>44321</v>
      </c>
      <c r="C814" s="1" t="n">
        <v>45337</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21358-2021</t>
        </is>
      </c>
      <c r="B815" s="1" t="n">
        <v>44320</v>
      </c>
      <c r="C815" s="1" t="n">
        <v>45337</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21362-2021</t>
        </is>
      </c>
      <c r="B816" s="1" t="n">
        <v>44321</v>
      </c>
      <c r="C816" s="1" t="n">
        <v>45337</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21532-2021</t>
        </is>
      </c>
      <c r="B817" s="1" t="n">
        <v>44321</v>
      </c>
      <c r="C817" s="1" t="n">
        <v>45337</v>
      </c>
      <c r="D817" t="inlineStr">
        <is>
          <t>VÄSTERNORRLANDS LÄN</t>
        </is>
      </c>
      <c r="E817" t="inlineStr">
        <is>
          <t>SOLLEFTEÅ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21589-2021</t>
        </is>
      </c>
      <c r="B818" s="1" t="n">
        <v>44321</v>
      </c>
      <c r="C818" s="1" t="n">
        <v>45337</v>
      </c>
      <c r="D818" t="inlineStr">
        <is>
          <t>VÄSTERNORRLANDS LÄN</t>
        </is>
      </c>
      <c r="E818" t="inlineStr">
        <is>
          <t>SOLLEFTEÅ</t>
        </is>
      </c>
      <c r="G818" t="n">
        <v>7</v>
      </c>
      <c r="H818" t="n">
        <v>0</v>
      </c>
      <c r="I818" t="n">
        <v>0</v>
      </c>
      <c r="J818" t="n">
        <v>0</v>
      </c>
      <c r="K818" t="n">
        <v>0</v>
      </c>
      <c r="L818" t="n">
        <v>0</v>
      </c>
      <c r="M818" t="n">
        <v>0</v>
      </c>
      <c r="N818" t="n">
        <v>0</v>
      </c>
      <c r="O818" t="n">
        <v>0</v>
      </c>
      <c r="P818" t="n">
        <v>0</v>
      </c>
      <c r="Q818" t="n">
        <v>0</v>
      </c>
      <c r="R818" s="2" t="inlineStr"/>
    </row>
    <row r="819" ht="15" customHeight="1">
      <c r="A819" t="inlineStr">
        <is>
          <t>A 21711-2021</t>
        </is>
      </c>
      <c r="B819" s="1" t="n">
        <v>44322</v>
      </c>
      <c r="C819" s="1" t="n">
        <v>45337</v>
      </c>
      <c r="D819" t="inlineStr">
        <is>
          <t>VÄSTERNORRLANDS LÄN</t>
        </is>
      </c>
      <c r="E819" t="inlineStr">
        <is>
          <t>SOLLEFTEÅ</t>
        </is>
      </c>
      <c r="F819" t="inlineStr">
        <is>
          <t>Kyrkan</t>
        </is>
      </c>
      <c r="G819" t="n">
        <v>22.2</v>
      </c>
      <c r="H819" t="n">
        <v>0</v>
      </c>
      <c r="I819" t="n">
        <v>0</v>
      </c>
      <c r="J819" t="n">
        <v>0</v>
      </c>
      <c r="K819" t="n">
        <v>0</v>
      </c>
      <c r="L819" t="n">
        <v>0</v>
      </c>
      <c r="M819" t="n">
        <v>0</v>
      </c>
      <c r="N819" t="n">
        <v>0</v>
      </c>
      <c r="O819" t="n">
        <v>0</v>
      </c>
      <c r="P819" t="n">
        <v>0</v>
      </c>
      <c r="Q819" t="n">
        <v>0</v>
      </c>
      <c r="R819" s="2" t="inlineStr"/>
    </row>
    <row r="820" ht="15" customHeight="1">
      <c r="A820" t="inlineStr">
        <is>
          <t>A 21924-2021</t>
        </is>
      </c>
      <c r="B820" s="1" t="n">
        <v>44323</v>
      </c>
      <c r="C820" s="1" t="n">
        <v>45337</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22447-2021</t>
        </is>
      </c>
      <c r="B821" s="1" t="n">
        <v>44323</v>
      </c>
      <c r="C821" s="1" t="n">
        <v>45337</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22441-2021</t>
        </is>
      </c>
      <c r="B822" s="1" t="n">
        <v>44323</v>
      </c>
      <c r="C822" s="1" t="n">
        <v>45337</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22224-2021</t>
        </is>
      </c>
      <c r="B823" s="1" t="n">
        <v>44326</v>
      </c>
      <c r="C823" s="1" t="n">
        <v>45337</v>
      </c>
      <c r="D823" t="inlineStr">
        <is>
          <t>VÄSTERNORRLANDS LÄN</t>
        </is>
      </c>
      <c r="E823" t="inlineStr">
        <is>
          <t>SOLLEFTEÅ</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22862-2021</t>
        </is>
      </c>
      <c r="B824" s="1" t="n">
        <v>44326</v>
      </c>
      <c r="C824" s="1" t="n">
        <v>45337</v>
      </c>
      <c r="D824" t="inlineStr">
        <is>
          <t>VÄSTERNORRLANDS LÄN</t>
        </is>
      </c>
      <c r="E824" t="inlineStr">
        <is>
          <t>SOLLEFTEÅ</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22934-2021</t>
        </is>
      </c>
      <c r="B825" s="1" t="n">
        <v>44328</v>
      </c>
      <c r="C825" s="1" t="n">
        <v>45337</v>
      </c>
      <c r="D825" t="inlineStr">
        <is>
          <t>VÄSTERNORRLANDS LÄN</t>
        </is>
      </c>
      <c r="E825" t="inlineStr">
        <is>
          <t>SOLLEFTEÅ</t>
        </is>
      </c>
      <c r="G825" t="n">
        <v>10</v>
      </c>
      <c r="H825" t="n">
        <v>0</v>
      </c>
      <c r="I825" t="n">
        <v>0</v>
      </c>
      <c r="J825" t="n">
        <v>0</v>
      </c>
      <c r="K825" t="n">
        <v>0</v>
      </c>
      <c r="L825" t="n">
        <v>0</v>
      </c>
      <c r="M825" t="n">
        <v>0</v>
      </c>
      <c r="N825" t="n">
        <v>0</v>
      </c>
      <c r="O825" t="n">
        <v>0</v>
      </c>
      <c r="P825" t="n">
        <v>0</v>
      </c>
      <c r="Q825" t="n">
        <v>0</v>
      </c>
      <c r="R825" s="2" t="inlineStr"/>
    </row>
    <row r="826" ht="15" customHeight="1">
      <c r="A826" t="inlineStr">
        <is>
          <t>A 23033-2021</t>
        </is>
      </c>
      <c r="B826" s="1" t="n">
        <v>44329</v>
      </c>
      <c r="C826" s="1" t="n">
        <v>45337</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23032-2021</t>
        </is>
      </c>
      <c r="B827" s="1" t="n">
        <v>44329</v>
      </c>
      <c r="C827" s="1" t="n">
        <v>45337</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23034-2021</t>
        </is>
      </c>
      <c r="B828" s="1" t="n">
        <v>44329</v>
      </c>
      <c r="C828" s="1" t="n">
        <v>45337</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23030-2021</t>
        </is>
      </c>
      <c r="B829" s="1" t="n">
        <v>44329</v>
      </c>
      <c r="C829" s="1" t="n">
        <v>45337</v>
      </c>
      <c r="D829" t="inlineStr">
        <is>
          <t>VÄSTERNORRLANDS LÄN</t>
        </is>
      </c>
      <c r="E829" t="inlineStr">
        <is>
          <t>SOLLEFTEÅ</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23069-2021</t>
        </is>
      </c>
      <c r="B830" s="1" t="n">
        <v>44330</v>
      </c>
      <c r="C830" s="1" t="n">
        <v>45337</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23394-2021</t>
        </is>
      </c>
      <c r="B831" s="1" t="n">
        <v>44333</v>
      </c>
      <c r="C831" s="1" t="n">
        <v>45337</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23639-2021</t>
        </is>
      </c>
      <c r="B832" s="1" t="n">
        <v>44334</v>
      </c>
      <c r="C832" s="1" t="n">
        <v>45337</v>
      </c>
      <c r="D832" t="inlineStr">
        <is>
          <t>VÄSTERNORRLANDS LÄN</t>
        </is>
      </c>
      <c r="E832" t="inlineStr">
        <is>
          <t>SOLLEFTEÅ</t>
        </is>
      </c>
      <c r="F832" t="inlineStr">
        <is>
          <t>Kyrkan</t>
        </is>
      </c>
      <c r="G832" t="n">
        <v>5.4</v>
      </c>
      <c r="H832" t="n">
        <v>0</v>
      </c>
      <c r="I832" t="n">
        <v>0</v>
      </c>
      <c r="J832" t="n">
        <v>0</v>
      </c>
      <c r="K832" t="n">
        <v>0</v>
      </c>
      <c r="L832" t="n">
        <v>0</v>
      </c>
      <c r="M832" t="n">
        <v>0</v>
      </c>
      <c r="N832" t="n">
        <v>0</v>
      </c>
      <c r="O832" t="n">
        <v>0</v>
      </c>
      <c r="P832" t="n">
        <v>0</v>
      </c>
      <c r="Q832" t="n">
        <v>0</v>
      </c>
      <c r="R832" s="2" t="inlineStr"/>
    </row>
    <row r="833" ht="15" customHeight="1">
      <c r="A833" t="inlineStr">
        <is>
          <t>A 23689-2021</t>
        </is>
      </c>
      <c r="B833" s="1" t="n">
        <v>44334</v>
      </c>
      <c r="C833" s="1" t="n">
        <v>45337</v>
      </c>
      <c r="D833" t="inlineStr">
        <is>
          <t>VÄSTERNORRLANDS LÄN</t>
        </is>
      </c>
      <c r="E833" t="inlineStr">
        <is>
          <t>SOLLEFTEÅ</t>
        </is>
      </c>
      <c r="G833" t="n">
        <v>14.9</v>
      </c>
      <c r="H833" t="n">
        <v>0</v>
      </c>
      <c r="I833" t="n">
        <v>0</v>
      </c>
      <c r="J833" t="n">
        <v>0</v>
      </c>
      <c r="K833" t="n">
        <v>0</v>
      </c>
      <c r="L833" t="n">
        <v>0</v>
      </c>
      <c r="M833" t="n">
        <v>0</v>
      </c>
      <c r="N833" t="n">
        <v>0</v>
      </c>
      <c r="O833" t="n">
        <v>0</v>
      </c>
      <c r="P833" t="n">
        <v>0</v>
      </c>
      <c r="Q833" t="n">
        <v>0</v>
      </c>
      <c r="R833" s="2" t="inlineStr"/>
    </row>
    <row r="834" ht="15" customHeight="1">
      <c r="A834" t="inlineStr">
        <is>
          <t>A 23770-2021</t>
        </is>
      </c>
      <c r="B834" s="1" t="n">
        <v>44335</v>
      </c>
      <c r="C834" s="1" t="n">
        <v>45337</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23753-2021</t>
        </is>
      </c>
      <c r="B835" s="1" t="n">
        <v>44334</v>
      </c>
      <c r="C835" s="1" t="n">
        <v>45337</v>
      </c>
      <c r="D835" t="inlineStr">
        <is>
          <t>VÄSTERNORRLANDS LÄN</t>
        </is>
      </c>
      <c r="E835" t="inlineStr">
        <is>
          <t>SOLLEFTEÅ</t>
        </is>
      </c>
      <c r="G835" t="n">
        <v>14.8</v>
      </c>
      <c r="H835" t="n">
        <v>0</v>
      </c>
      <c r="I835" t="n">
        <v>0</v>
      </c>
      <c r="J835" t="n">
        <v>0</v>
      </c>
      <c r="K835" t="n">
        <v>0</v>
      </c>
      <c r="L835" t="n">
        <v>0</v>
      </c>
      <c r="M835" t="n">
        <v>0</v>
      </c>
      <c r="N835" t="n">
        <v>0</v>
      </c>
      <c r="O835" t="n">
        <v>0</v>
      </c>
      <c r="P835" t="n">
        <v>0</v>
      </c>
      <c r="Q835" t="n">
        <v>0</v>
      </c>
      <c r="R835" s="2" t="inlineStr"/>
    </row>
    <row r="836" ht="15" customHeight="1">
      <c r="A836" t="inlineStr">
        <is>
          <t>A 23814-2021</t>
        </is>
      </c>
      <c r="B836" s="1" t="n">
        <v>44335</v>
      </c>
      <c r="C836" s="1" t="n">
        <v>45337</v>
      </c>
      <c r="D836" t="inlineStr">
        <is>
          <t>VÄSTERNORRLANDS LÄN</t>
        </is>
      </c>
      <c r="E836" t="inlineStr">
        <is>
          <t>SOLLEFTEÅ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24243-2021</t>
        </is>
      </c>
      <c r="B837" s="1" t="n">
        <v>44336</v>
      </c>
      <c r="C837" s="1" t="n">
        <v>45337</v>
      </c>
      <c r="D837" t="inlineStr">
        <is>
          <t>VÄSTERNORRLANDS LÄN</t>
        </is>
      </c>
      <c r="E837" t="inlineStr">
        <is>
          <t>SOLLEFTEÅ</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24244-2021</t>
        </is>
      </c>
      <c r="B838" s="1" t="n">
        <v>44337</v>
      </c>
      <c r="C838" s="1" t="n">
        <v>45337</v>
      </c>
      <c r="D838" t="inlineStr">
        <is>
          <t>VÄSTERNORRLANDS LÄN</t>
        </is>
      </c>
      <c r="E838" t="inlineStr">
        <is>
          <t>SOLLEFTEÅ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24720-2021</t>
        </is>
      </c>
      <c r="B839" s="1" t="n">
        <v>44340</v>
      </c>
      <c r="C839" s="1" t="n">
        <v>45337</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24731-2021</t>
        </is>
      </c>
      <c r="B840" s="1" t="n">
        <v>44340</v>
      </c>
      <c r="C840" s="1" t="n">
        <v>45337</v>
      </c>
      <c r="D840" t="inlineStr">
        <is>
          <t>VÄSTERNORRLANDS LÄN</t>
        </is>
      </c>
      <c r="E840" t="inlineStr">
        <is>
          <t>SOLLEFTEÅ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25183-2021</t>
        </is>
      </c>
      <c r="B841" s="1" t="n">
        <v>44341</v>
      </c>
      <c r="C841" s="1" t="n">
        <v>45337</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25156-2021</t>
        </is>
      </c>
      <c r="B842" s="1" t="n">
        <v>44341</v>
      </c>
      <c r="C842" s="1" t="n">
        <v>45337</v>
      </c>
      <c r="D842" t="inlineStr">
        <is>
          <t>VÄSTERNORRLANDS LÄN</t>
        </is>
      </c>
      <c r="E842" t="inlineStr">
        <is>
          <t>SOLLEFTEÅ</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25152-2021</t>
        </is>
      </c>
      <c r="B843" s="1" t="n">
        <v>44341</v>
      </c>
      <c r="C843" s="1" t="n">
        <v>45337</v>
      </c>
      <c r="D843" t="inlineStr">
        <is>
          <t>VÄSTERNORRLANDS LÄN</t>
        </is>
      </c>
      <c r="E843" t="inlineStr">
        <is>
          <t>SOLLEFTEÅ</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25329-2021</t>
        </is>
      </c>
      <c r="B844" s="1" t="n">
        <v>44342</v>
      </c>
      <c r="C844" s="1" t="n">
        <v>45337</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25345-2021</t>
        </is>
      </c>
      <c r="B845" s="1" t="n">
        <v>44342</v>
      </c>
      <c r="C845" s="1" t="n">
        <v>45337</v>
      </c>
      <c r="D845" t="inlineStr">
        <is>
          <t>VÄSTERNORRLANDS LÄN</t>
        </is>
      </c>
      <c r="E845" t="inlineStr">
        <is>
          <t>SOLLEFTEÅ</t>
        </is>
      </c>
      <c r="G845" t="n">
        <v>0.2</v>
      </c>
      <c r="H845" t="n">
        <v>0</v>
      </c>
      <c r="I845" t="n">
        <v>0</v>
      </c>
      <c r="J845" t="n">
        <v>0</v>
      </c>
      <c r="K845" t="n">
        <v>0</v>
      </c>
      <c r="L845" t="n">
        <v>0</v>
      </c>
      <c r="M845" t="n">
        <v>0</v>
      </c>
      <c r="N845" t="n">
        <v>0</v>
      </c>
      <c r="O845" t="n">
        <v>0</v>
      </c>
      <c r="P845" t="n">
        <v>0</v>
      </c>
      <c r="Q845" t="n">
        <v>0</v>
      </c>
      <c r="R845" s="2" t="inlineStr"/>
    </row>
    <row r="846" ht="15" customHeight="1">
      <c r="A846" t="inlineStr">
        <is>
          <t>A 25522-2021</t>
        </is>
      </c>
      <c r="B846" s="1" t="n">
        <v>44342</v>
      </c>
      <c r="C846" s="1" t="n">
        <v>45337</v>
      </c>
      <c r="D846" t="inlineStr">
        <is>
          <t>VÄSTERNORRLANDS LÄN</t>
        </is>
      </c>
      <c r="E846" t="inlineStr">
        <is>
          <t>SOLLEFTEÅ</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25999-2021</t>
        </is>
      </c>
      <c r="B847" s="1" t="n">
        <v>44344</v>
      </c>
      <c r="C847" s="1" t="n">
        <v>45337</v>
      </c>
      <c r="D847" t="inlineStr">
        <is>
          <t>VÄSTERNORRLANDS LÄN</t>
        </is>
      </c>
      <c r="E847" t="inlineStr">
        <is>
          <t>SOLLEFTEÅ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25877-2021</t>
        </is>
      </c>
      <c r="B848" s="1" t="n">
        <v>44344</v>
      </c>
      <c r="C848" s="1" t="n">
        <v>45337</v>
      </c>
      <c r="D848" t="inlineStr">
        <is>
          <t>VÄSTERNORRLANDS LÄN</t>
        </is>
      </c>
      <c r="E848" t="inlineStr">
        <is>
          <t>SOLLEFTEÅ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25989-2021</t>
        </is>
      </c>
      <c r="B849" s="1" t="n">
        <v>44344</v>
      </c>
      <c r="C849" s="1" t="n">
        <v>45337</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26406-2021</t>
        </is>
      </c>
      <c r="B850" s="1" t="n">
        <v>44347</v>
      </c>
      <c r="C850" s="1" t="n">
        <v>45337</v>
      </c>
      <c r="D850" t="inlineStr">
        <is>
          <t>VÄSTERNORRLANDS LÄN</t>
        </is>
      </c>
      <c r="E850" t="inlineStr">
        <is>
          <t>SOLLEFTEÅ</t>
        </is>
      </c>
      <c r="F850" t="inlineStr">
        <is>
          <t>SCA</t>
        </is>
      </c>
      <c r="G850" t="n">
        <v>12.2</v>
      </c>
      <c r="H850" t="n">
        <v>0</v>
      </c>
      <c r="I850" t="n">
        <v>0</v>
      </c>
      <c r="J850" t="n">
        <v>0</v>
      </c>
      <c r="K850" t="n">
        <v>0</v>
      </c>
      <c r="L850" t="n">
        <v>0</v>
      </c>
      <c r="M850" t="n">
        <v>0</v>
      </c>
      <c r="N850" t="n">
        <v>0</v>
      </c>
      <c r="O850" t="n">
        <v>0</v>
      </c>
      <c r="P850" t="n">
        <v>0</v>
      </c>
      <c r="Q850" t="n">
        <v>0</v>
      </c>
      <c r="R850" s="2" t="inlineStr"/>
    </row>
    <row r="851" ht="15" customHeight="1">
      <c r="A851" t="inlineStr">
        <is>
          <t>A 26401-2021</t>
        </is>
      </c>
      <c r="B851" s="1" t="n">
        <v>44348</v>
      </c>
      <c r="C851" s="1" t="n">
        <v>45337</v>
      </c>
      <c r="D851" t="inlineStr">
        <is>
          <t>VÄSTERNORRLANDS LÄN</t>
        </is>
      </c>
      <c r="E851" t="inlineStr">
        <is>
          <t>SOLLEFTEÅ</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26498-2021</t>
        </is>
      </c>
      <c r="B852" s="1" t="n">
        <v>44348</v>
      </c>
      <c r="C852" s="1" t="n">
        <v>45337</v>
      </c>
      <c r="D852" t="inlineStr">
        <is>
          <t>VÄSTERNORRLANDS LÄN</t>
        </is>
      </c>
      <c r="E852" t="inlineStr">
        <is>
          <t>SOLLEFTEÅ</t>
        </is>
      </c>
      <c r="G852" t="n">
        <v>7.8</v>
      </c>
      <c r="H852" t="n">
        <v>0</v>
      </c>
      <c r="I852" t="n">
        <v>0</v>
      </c>
      <c r="J852" t="n">
        <v>0</v>
      </c>
      <c r="K852" t="n">
        <v>0</v>
      </c>
      <c r="L852" t="n">
        <v>0</v>
      </c>
      <c r="M852" t="n">
        <v>0</v>
      </c>
      <c r="N852" t="n">
        <v>0</v>
      </c>
      <c r="O852" t="n">
        <v>0</v>
      </c>
      <c r="P852" t="n">
        <v>0</v>
      </c>
      <c r="Q852" t="n">
        <v>0</v>
      </c>
      <c r="R852" s="2" t="inlineStr"/>
    </row>
    <row r="853" ht="15" customHeight="1">
      <c r="A853" t="inlineStr">
        <is>
          <t>A 26559-2021</t>
        </is>
      </c>
      <c r="B853" s="1" t="n">
        <v>44348</v>
      </c>
      <c r="C853" s="1" t="n">
        <v>45337</v>
      </c>
      <c r="D853" t="inlineStr">
        <is>
          <t>VÄSTERNORRLANDS LÄN</t>
        </is>
      </c>
      <c r="E853" t="inlineStr">
        <is>
          <t>SOLLEFTEÅ</t>
        </is>
      </c>
      <c r="G853" t="n">
        <v>9</v>
      </c>
      <c r="H853" t="n">
        <v>0</v>
      </c>
      <c r="I853" t="n">
        <v>0</v>
      </c>
      <c r="J853" t="n">
        <v>0</v>
      </c>
      <c r="K853" t="n">
        <v>0</v>
      </c>
      <c r="L853" t="n">
        <v>0</v>
      </c>
      <c r="M853" t="n">
        <v>0</v>
      </c>
      <c r="N853" t="n">
        <v>0</v>
      </c>
      <c r="O853" t="n">
        <v>0</v>
      </c>
      <c r="P853" t="n">
        <v>0</v>
      </c>
      <c r="Q853" t="n">
        <v>0</v>
      </c>
      <c r="R853" s="2" t="inlineStr"/>
    </row>
    <row r="854" ht="15" customHeight="1">
      <c r="A854" t="inlineStr">
        <is>
          <t>A 26669-2021</t>
        </is>
      </c>
      <c r="B854" s="1" t="n">
        <v>44349</v>
      </c>
      <c r="C854" s="1" t="n">
        <v>45337</v>
      </c>
      <c r="D854" t="inlineStr">
        <is>
          <t>VÄSTERNORRLANDS LÄN</t>
        </is>
      </c>
      <c r="E854" t="inlineStr">
        <is>
          <t>SOLLEFTEÅ</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27809-2021</t>
        </is>
      </c>
      <c r="B855" s="1" t="n">
        <v>44354</v>
      </c>
      <c r="C855" s="1" t="n">
        <v>45337</v>
      </c>
      <c r="D855" t="inlineStr">
        <is>
          <t>VÄSTERNORRLANDS LÄN</t>
        </is>
      </c>
      <c r="E855" t="inlineStr">
        <is>
          <t>SOLLEFTEÅ</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27972-2021</t>
        </is>
      </c>
      <c r="B856" s="1" t="n">
        <v>44355</v>
      </c>
      <c r="C856" s="1" t="n">
        <v>45337</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28288-2021</t>
        </is>
      </c>
      <c r="B857" s="1" t="n">
        <v>44355</v>
      </c>
      <c r="C857" s="1" t="n">
        <v>45337</v>
      </c>
      <c r="D857" t="inlineStr">
        <is>
          <t>VÄSTERNORRLANDS LÄN</t>
        </is>
      </c>
      <c r="E857" t="inlineStr">
        <is>
          <t>SOLLEFTEÅ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28615-2021</t>
        </is>
      </c>
      <c r="B858" s="1" t="n">
        <v>44357</v>
      </c>
      <c r="C858" s="1" t="n">
        <v>45337</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28939-2021</t>
        </is>
      </c>
      <c r="B859" s="1" t="n">
        <v>44358</v>
      </c>
      <c r="C859" s="1" t="n">
        <v>45337</v>
      </c>
      <c r="D859" t="inlineStr">
        <is>
          <t>VÄSTERNORRLANDS LÄN</t>
        </is>
      </c>
      <c r="E859" t="inlineStr">
        <is>
          <t>SOLLEFTEÅ</t>
        </is>
      </c>
      <c r="G859" t="n">
        <v>4.4</v>
      </c>
      <c r="H859" t="n">
        <v>0</v>
      </c>
      <c r="I859" t="n">
        <v>0</v>
      </c>
      <c r="J859" t="n">
        <v>0</v>
      </c>
      <c r="K859" t="n">
        <v>0</v>
      </c>
      <c r="L859" t="n">
        <v>0</v>
      </c>
      <c r="M859" t="n">
        <v>0</v>
      </c>
      <c r="N859" t="n">
        <v>0</v>
      </c>
      <c r="O859" t="n">
        <v>0</v>
      </c>
      <c r="P859" t="n">
        <v>0</v>
      </c>
      <c r="Q859" t="n">
        <v>0</v>
      </c>
      <c r="R859" s="2" t="inlineStr"/>
    </row>
    <row r="860" ht="15" customHeight="1">
      <c r="A860" t="inlineStr">
        <is>
          <t>A 29623-2021</t>
        </is>
      </c>
      <c r="B860" s="1" t="n">
        <v>44361</v>
      </c>
      <c r="C860" s="1" t="n">
        <v>45337</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29602-2021</t>
        </is>
      </c>
      <c r="B861" s="1" t="n">
        <v>44362</v>
      </c>
      <c r="C861" s="1" t="n">
        <v>45337</v>
      </c>
      <c r="D861" t="inlineStr">
        <is>
          <t>VÄSTERNORRLANDS LÄN</t>
        </is>
      </c>
      <c r="E861" t="inlineStr">
        <is>
          <t>SOLLEFTEÅ</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29829-2021</t>
        </is>
      </c>
      <c r="B862" s="1" t="n">
        <v>44362</v>
      </c>
      <c r="C862" s="1" t="n">
        <v>45337</v>
      </c>
      <c r="D862" t="inlineStr">
        <is>
          <t>VÄSTERNORRLANDS LÄN</t>
        </is>
      </c>
      <c r="E862" t="inlineStr">
        <is>
          <t>SOLLEFTEÅ</t>
        </is>
      </c>
      <c r="G862" t="n">
        <v>4</v>
      </c>
      <c r="H862" t="n">
        <v>0</v>
      </c>
      <c r="I862" t="n">
        <v>0</v>
      </c>
      <c r="J862" t="n">
        <v>0</v>
      </c>
      <c r="K862" t="n">
        <v>0</v>
      </c>
      <c r="L862" t="n">
        <v>0</v>
      </c>
      <c r="M862" t="n">
        <v>0</v>
      </c>
      <c r="N862" t="n">
        <v>0</v>
      </c>
      <c r="O862" t="n">
        <v>0</v>
      </c>
      <c r="P862" t="n">
        <v>0</v>
      </c>
      <c r="Q862" t="n">
        <v>0</v>
      </c>
      <c r="R862" s="2" t="inlineStr"/>
    </row>
    <row r="863" ht="15" customHeight="1">
      <c r="A863" t="inlineStr">
        <is>
          <t>A 30692-2021</t>
        </is>
      </c>
      <c r="B863" s="1" t="n">
        <v>44365</v>
      </c>
      <c r="C863" s="1" t="n">
        <v>45337</v>
      </c>
      <c r="D863" t="inlineStr">
        <is>
          <t>VÄSTERNORRLANDS LÄN</t>
        </is>
      </c>
      <c r="E863" t="inlineStr">
        <is>
          <t>SOLLEFTEÅ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31354-2021</t>
        </is>
      </c>
      <c r="B864" s="1" t="n">
        <v>44369</v>
      </c>
      <c r="C864" s="1" t="n">
        <v>45337</v>
      </c>
      <c r="D864" t="inlineStr">
        <is>
          <t>VÄSTERNORRLANDS LÄN</t>
        </is>
      </c>
      <c r="E864" t="inlineStr">
        <is>
          <t>SOLLEFTEÅ</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31600-2021</t>
        </is>
      </c>
      <c r="B865" s="1" t="n">
        <v>44369</v>
      </c>
      <c r="C865" s="1" t="n">
        <v>45337</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31737-2021</t>
        </is>
      </c>
      <c r="B866" s="1" t="n">
        <v>44370</v>
      </c>
      <c r="C866" s="1" t="n">
        <v>45337</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32091-2021</t>
        </is>
      </c>
      <c r="B867" s="1" t="n">
        <v>44370</v>
      </c>
      <c r="C867" s="1" t="n">
        <v>45337</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33207-2021</t>
        </is>
      </c>
      <c r="B868" s="1" t="n">
        <v>44376</v>
      </c>
      <c r="C868" s="1" t="n">
        <v>45337</v>
      </c>
      <c r="D868" t="inlineStr">
        <is>
          <t>VÄSTERNORRLANDS LÄN</t>
        </is>
      </c>
      <c r="E868" t="inlineStr">
        <is>
          <t>SOLLEFTEÅ</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33214-2021</t>
        </is>
      </c>
      <c r="B869" s="1" t="n">
        <v>44377</v>
      </c>
      <c r="C869" s="1" t="n">
        <v>45337</v>
      </c>
      <c r="D869" t="inlineStr">
        <is>
          <t>VÄSTERNORRLANDS LÄN</t>
        </is>
      </c>
      <c r="E869" t="inlineStr">
        <is>
          <t>SOLLEFTEÅ</t>
        </is>
      </c>
      <c r="F869" t="inlineStr">
        <is>
          <t>SCA</t>
        </is>
      </c>
      <c r="G869" t="n">
        <v>13.9</v>
      </c>
      <c r="H869" t="n">
        <v>0</v>
      </c>
      <c r="I869" t="n">
        <v>0</v>
      </c>
      <c r="J869" t="n">
        <v>0</v>
      </c>
      <c r="K869" t="n">
        <v>0</v>
      </c>
      <c r="L869" t="n">
        <v>0</v>
      </c>
      <c r="M869" t="n">
        <v>0</v>
      </c>
      <c r="N869" t="n">
        <v>0</v>
      </c>
      <c r="O869" t="n">
        <v>0</v>
      </c>
      <c r="P869" t="n">
        <v>0</v>
      </c>
      <c r="Q869" t="n">
        <v>0</v>
      </c>
      <c r="R869" s="2" t="inlineStr"/>
    </row>
    <row r="870" ht="15" customHeight="1">
      <c r="A870" t="inlineStr">
        <is>
          <t>A 33895-2021</t>
        </is>
      </c>
      <c r="B870" s="1" t="n">
        <v>44378</v>
      </c>
      <c r="C870" s="1" t="n">
        <v>45337</v>
      </c>
      <c r="D870" t="inlineStr">
        <is>
          <t>VÄSTERNORRLANDS LÄN</t>
        </is>
      </c>
      <c r="E870" t="inlineStr">
        <is>
          <t>SOLLEFTEÅ</t>
        </is>
      </c>
      <c r="F870" t="inlineStr">
        <is>
          <t>Kyrkan</t>
        </is>
      </c>
      <c r="G870" t="n">
        <v>3.6</v>
      </c>
      <c r="H870" t="n">
        <v>0</v>
      </c>
      <c r="I870" t="n">
        <v>0</v>
      </c>
      <c r="J870" t="n">
        <v>0</v>
      </c>
      <c r="K870" t="n">
        <v>0</v>
      </c>
      <c r="L870" t="n">
        <v>0</v>
      </c>
      <c r="M870" t="n">
        <v>0</v>
      </c>
      <c r="N870" t="n">
        <v>0</v>
      </c>
      <c r="O870" t="n">
        <v>0</v>
      </c>
      <c r="P870" t="n">
        <v>0</v>
      </c>
      <c r="Q870" t="n">
        <v>0</v>
      </c>
      <c r="R870" s="2" t="inlineStr"/>
    </row>
    <row r="871" ht="15" customHeight="1">
      <c r="A871" t="inlineStr">
        <is>
          <t>A 34396-2021</t>
        </is>
      </c>
      <c r="B871" s="1" t="n">
        <v>44379</v>
      </c>
      <c r="C871" s="1" t="n">
        <v>45337</v>
      </c>
      <c r="D871" t="inlineStr">
        <is>
          <t>VÄSTERNORRLANDS LÄN</t>
        </is>
      </c>
      <c r="E871" t="inlineStr">
        <is>
          <t>SOLLEFTEÅ</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34395-2021</t>
        </is>
      </c>
      <c r="B872" s="1" t="n">
        <v>44379</v>
      </c>
      <c r="C872" s="1" t="n">
        <v>45337</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34397-2021</t>
        </is>
      </c>
      <c r="B873" s="1" t="n">
        <v>44379</v>
      </c>
      <c r="C873" s="1" t="n">
        <v>45337</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34475-2021</t>
        </is>
      </c>
      <c r="B874" s="1" t="n">
        <v>44381</v>
      </c>
      <c r="C874" s="1" t="n">
        <v>45337</v>
      </c>
      <c r="D874" t="inlineStr">
        <is>
          <t>VÄSTERNORRLANDS LÄN</t>
        </is>
      </c>
      <c r="E874" t="inlineStr">
        <is>
          <t>SOLLEFTEÅ</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34473-2021</t>
        </is>
      </c>
      <c r="B875" s="1" t="n">
        <v>44382</v>
      </c>
      <c r="C875" s="1" t="n">
        <v>45337</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35071-2021</t>
        </is>
      </c>
      <c r="B876" s="1" t="n">
        <v>44383</v>
      </c>
      <c r="C876" s="1" t="n">
        <v>45337</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35333-2021</t>
        </is>
      </c>
      <c r="B877" s="1" t="n">
        <v>44384</v>
      </c>
      <c r="C877" s="1" t="n">
        <v>45337</v>
      </c>
      <c r="D877" t="inlineStr">
        <is>
          <t>VÄSTERNORRLANDS LÄN</t>
        </is>
      </c>
      <c r="E877" t="inlineStr">
        <is>
          <t>SOLLEFTEÅ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35358-2021</t>
        </is>
      </c>
      <c r="B878" s="1" t="n">
        <v>44385</v>
      </c>
      <c r="C878" s="1" t="n">
        <v>45337</v>
      </c>
      <c r="D878" t="inlineStr">
        <is>
          <t>VÄSTERNORRLANDS LÄN</t>
        </is>
      </c>
      <c r="E878" t="inlineStr">
        <is>
          <t>SOLLEFTEÅ</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35574-2021</t>
        </is>
      </c>
      <c r="B879" s="1" t="n">
        <v>44386</v>
      </c>
      <c r="C879" s="1" t="n">
        <v>45337</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35862-2021</t>
        </is>
      </c>
      <c r="B880" s="1" t="n">
        <v>44386</v>
      </c>
      <c r="C880" s="1" t="n">
        <v>45337</v>
      </c>
      <c r="D880" t="inlineStr">
        <is>
          <t>VÄSTERNORRLANDS LÄN</t>
        </is>
      </c>
      <c r="E880" t="inlineStr">
        <is>
          <t>SOLLEFTEÅ</t>
        </is>
      </c>
      <c r="G880" t="n">
        <v>5.5</v>
      </c>
      <c r="H880" t="n">
        <v>0</v>
      </c>
      <c r="I880" t="n">
        <v>0</v>
      </c>
      <c r="J880" t="n">
        <v>0</v>
      </c>
      <c r="K880" t="n">
        <v>0</v>
      </c>
      <c r="L880" t="n">
        <v>0</v>
      </c>
      <c r="M880" t="n">
        <v>0</v>
      </c>
      <c r="N880" t="n">
        <v>0</v>
      </c>
      <c r="O880" t="n">
        <v>0</v>
      </c>
      <c r="P880" t="n">
        <v>0</v>
      </c>
      <c r="Q880" t="n">
        <v>0</v>
      </c>
      <c r="R880" s="2" t="inlineStr"/>
    </row>
    <row r="881" ht="15" customHeight="1">
      <c r="A881" t="inlineStr">
        <is>
          <t>A 36447-2021</t>
        </is>
      </c>
      <c r="B881" s="1" t="n">
        <v>44390</v>
      </c>
      <c r="C881" s="1" t="n">
        <v>45337</v>
      </c>
      <c r="D881" t="inlineStr">
        <is>
          <t>VÄSTERNORRLANDS LÄN</t>
        </is>
      </c>
      <c r="E881" t="inlineStr">
        <is>
          <t>SOLLEFTEÅ</t>
        </is>
      </c>
      <c r="F881" t="inlineStr">
        <is>
          <t>SCA</t>
        </is>
      </c>
      <c r="G881" t="n">
        <v>10.2</v>
      </c>
      <c r="H881" t="n">
        <v>0</v>
      </c>
      <c r="I881" t="n">
        <v>0</v>
      </c>
      <c r="J881" t="n">
        <v>0</v>
      </c>
      <c r="K881" t="n">
        <v>0</v>
      </c>
      <c r="L881" t="n">
        <v>0</v>
      </c>
      <c r="M881" t="n">
        <v>0</v>
      </c>
      <c r="N881" t="n">
        <v>0</v>
      </c>
      <c r="O881" t="n">
        <v>0</v>
      </c>
      <c r="P881" t="n">
        <v>0</v>
      </c>
      <c r="Q881" t="n">
        <v>0</v>
      </c>
      <c r="R881" s="2" t="inlineStr"/>
    </row>
    <row r="882" ht="15" customHeight="1">
      <c r="A882" t="inlineStr">
        <is>
          <t>A 36448-2021</t>
        </is>
      </c>
      <c r="B882" s="1" t="n">
        <v>44390</v>
      </c>
      <c r="C882" s="1" t="n">
        <v>45337</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36579-2021</t>
        </is>
      </c>
      <c r="B883" s="1" t="n">
        <v>44391</v>
      </c>
      <c r="C883" s="1" t="n">
        <v>45337</v>
      </c>
      <c r="D883" t="inlineStr">
        <is>
          <t>VÄSTERNORRLANDS LÄN</t>
        </is>
      </c>
      <c r="E883" t="inlineStr">
        <is>
          <t>SOLLEFTEÅ</t>
        </is>
      </c>
      <c r="G883" t="n">
        <v>6.9</v>
      </c>
      <c r="H883" t="n">
        <v>0</v>
      </c>
      <c r="I883" t="n">
        <v>0</v>
      </c>
      <c r="J883" t="n">
        <v>0</v>
      </c>
      <c r="K883" t="n">
        <v>0</v>
      </c>
      <c r="L883" t="n">
        <v>0</v>
      </c>
      <c r="M883" t="n">
        <v>0</v>
      </c>
      <c r="N883" t="n">
        <v>0</v>
      </c>
      <c r="O883" t="n">
        <v>0</v>
      </c>
      <c r="P883" t="n">
        <v>0</v>
      </c>
      <c r="Q883" t="n">
        <v>0</v>
      </c>
      <c r="R883" s="2" t="inlineStr"/>
    </row>
    <row r="884" ht="15" customHeight="1">
      <c r="A884" t="inlineStr">
        <is>
          <t>A 36816-2021</t>
        </is>
      </c>
      <c r="B884" s="1" t="n">
        <v>44393</v>
      </c>
      <c r="C884" s="1" t="n">
        <v>45337</v>
      </c>
      <c r="D884" t="inlineStr">
        <is>
          <t>VÄSTERNORRLANDS LÄN</t>
        </is>
      </c>
      <c r="E884" t="inlineStr">
        <is>
          <t>SOLLEFTEÅ</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36815-2021</t>
        </is>
      </c>
      <c r="B885" s="1" t="n">
        <v>44393</v>
      </c>
      <c r="C885" s="1" t="n">
        <v>45337</v>
      </c>
      <c r="D885" t="inlineStr">
        <is>
          <t>VÄSTERNORRLANDS LÄN</t>
        </is>
      </c>
      <c r="E885" t="inlineStr">
        <is>
          <t>SOLLEFTEÅ</t>
        </is>
      </c>
      <c r="F885" t="inlineStr">
        <is>
          <t>SCA</t>
        </is>
      </c>
      <c r="G885" t="n">
        <v>4.2</v>
      </c>
      <c r="H885" t="n">
        <v>0</v>
      </c>
      <c r="I885" t="n">
        <v>0</v>
      </c>
      <c r="J885" t="n">
        <v>0</v>
      </c>
      <c r="K885" t="n">
        <v>0</v>
      </c>
      <c r="L885" t="n">
        <v>0</v>
      </c>
      <c r="M885" t="n">
        <v>0</v>
      </c>
      <c r="N885" t="n">
        <v>0</v>
      </c>
      <c r="O885" t="n">
        <v>0</v>
      </c>
      <c r="P885" t="n">
        <v>0</v>
      </c>
      <c r="Q885" t="n">
        <v>0</v>
      </c>
      <c r="R885" s="2" t="inlineStr"/>
    </row>
    <row r="886" ht="15" customHeight="1">
      <c r="A886" t="inlineStr">
        <is>
          <t>A 37043-2021</t>
        </is>
      </c>
      <c r="B886" s="1" t="n">
        <v>44393</v>
      </c>
      <c r="C886" s="1" t="n">
        <v>45337</v>
      </c>
      <c r="D886" t="inlineStr">
        <is>
          <t>VÄSTERNORRLANDS LÄN</t>
        </is>
      </c>
      <c r="E886" t="inlineStr">
        <is>
          <t>SOLLEFTEÅ</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37041-2021</t>
        </is>
      </c>
      <c r="B887" s="1" t="n">
        <v>44394</v>
      </c>
      <c r="C887" s="1" t="n">
        <v>45337</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37042-2021</t>
        </is>
      </c>
      <c r="B888" s="1" t="n">
        <v>44394</v>
      </c>
      <c r="C888" s="1" t="n">
        <v>45337</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37369-2021</t>
        </is>
      </c>
      <c r="B889" s="1" t="n">
        <v>44397</v>
      </c>
      <c r="C889" s="1" t="n">
        <v>45337</v>
      </c>
      <c r="D889" t="inlineStr">
        <is>
          <t>VÄSTERNORRLANDS LÄN</t>
        </is>
      </c>
      <c r="E889" t="inlineStr">
        <is>
          <t>SOLLEFTEÅ</t>
        </is>
      </c>
      <c r="F889" t="inlineStr">
        <is>
          <t>SCA</t>
        </is>
      </c>
      <c r="G889" t="n">
        <v>20.3</v>
      </c>
      <c r="H889" t="n">
        <v>0</v>
      </c>
      <c r="I889" t="n">
        <v>0</v>
      </c>
      <c r="J889" t="n">
        <v>0</v>
      </c>
      <c r="K889" t="n">
        <v>0</v>
      </c>
      <c r="L889" t="n">
        <v>0</v>
      </c>
      <c r="M889" t="n">
        <v>0</v>
      </c>
      <c r="N889" t="n">
        <v>0</v>
      </c>
      <c r="O889" t="n">
        <v>0</v>
      </c>
      <c r="P889" t="n">
        <v>0</v>
      </c>
      <c r="Q889" t="n">
        <v>0</v>
      </c>
      <c r="R889" s="2" t="inlineStr"/>
    </row>
    <row r="890" ht="15" customHeight="1">
      <c r="A890" t="inlineStr">
        <is>
          <t>A 37639-2021</t>
        </is>
      </c>
      <c r="B890" s="1" t="n">
        <v>44400</v>
      </c>
      <c r="C890" s="1" t="n">
        <v>45337</v>
      </c>
      <c r="D890" t="inlineStr">
        <is>
          <t>VÄSTERNORRLANDS LÄN</t>
        </is>
      </c>
      <c r="E890" t="inlineStr">
        <is>
          <t>SOLLEFTEÅ</t>
        </is>
      </c>
      <c r="G890" t="n">
        <v>10.7</v>
      </c>
      <c r="H890" t="n">
        <v>0</v>
      </c>
      <c r="I890" t="n">
        <v>0</v>
      </c>
      <c r="J890" t="n">
        <v>0</v>
      </c>
      <c r="K890" t="n">
        <v>0</v>
      </c>
      <c r="L890" t="n">
        <v>0</v>
      </c>
      <c r="M890" t="n">
        <v>0</v>
      </c>
      <c r="N890" t="n">
        <v>0</v>
      </c>
      <c r="O890" t="n">
        <v>0</v>
      </c>
      <c r="P890" t="n">
        <v>0</v>
      </c>
      <c r="Q890" t="n">
        <v>0</v>
      </c>
      <c r="R890" s="2" t="inlineStr"/>
    </row>
    <row r="891" ht="15" customHeight="1">
      <c r="A891" t="inlineStr">
        <is>
          <t>A 37648-2021</t>
        </is>
      </c>
      <c r="B891" s="1" t="n">
        <v>44400</v>
      </c>
      <c r="C891" s="1" t="n">
        <v>45337</v>
      </c>
      <c r="D891" t="inlineStr">
        <is>
          <t>VÄSTERNORRLANDS LÄN</t>
        </is>
      </c>
      <c r="E891" t="inlineStr">
        <is>
          <t>SOLLEFTEÅ</t>
        </is>
      </c>
      <c r="G891" t="n">
        <v>33.6</v>
      </c>
      <c r="H891" t="n">
        <v>0</v>
      </c>
      <c r="I891" t="n">
        <v>0</v>
      </c>
      <c r="J891" t="n">
        <v>0</v>
      </c>
      <c r="K891" t="n">
        <v>0</v>
      </c>
      <c r="L891" t="n">
        <v>0</v>
      </c>
      <c r="M891" t="n">
        <v>0</v>
      </c>
      <c r="N891" t="n">
        <v>0</v>
      </c>
      <c r="O891" t="n">
        <v>0</v>
      </c>
      <c r="P891" t="n">
        <v>0</v>
      </c>
      <c r="Q891" t="n">
        <v>0</v>
      </c>
      <c r="R891" s="2" t="inlineStr"/>
    </row>
    <row r="892" ht="15" customHeight="1">
      <c r="A892" t="inlineStr">
        <is>
          <t>A 37634-2021</t>
        </is>
      </c>
      <c r="B892" s="1" t="n">
        <v>44400</v>
      </c>
      <c r="C892" s="1" t="n">
        <v>45337</v>
      </c>
      <c r="D892" t="inlineStr">
        <is>
          <t>VÄSTERNORRLANDS LÄN</t>
        </is>
      </c>
      <c r="E892" t="inlineStr">
        <is>
          <t>SOLLEFTEÅ</t>
        </is>
      </c>
      <c r="G892" t="n">
        <v>5.1</v>
      </c>
      <c r="H892" t="n">
        <v>0</v>
      </c>
      <c r="I892" t="n">
        <v>0</v>
      </c>
      <c r="J892" t="n">
        <v>0</v>
      </c>
      <c r="K892" t="n">
        <v>0</v>
      </c>
      <c r="L892" t="n">
        <v>0</v>
      </c>
      <c r="M892" t="n">
        <v>0</v>
      </c>
      <c r="N892" t="n">
        <v>0</v>
      </c>
      <c r="O892" t="n">
        <v>0</v>
      </c>
      <c r="P892" t="n">
        <v>0</v>
      </c>
      <c r="Q892" t="n">
        <v>0</v>
      </c>
      <c r="R892" s="2" t="inlineStr"/>
    </row>
    <row r="893" ht="15" customHeight="1">
      <c r="A893" t="inlineStr">
        <is>
          <t>A 38283-2021</t>
        </is>
      </c>
      <c r="B893" s="1" t="n">
        <v>44405</v>
      </c>
      <c r="C893" s="1" t="n">
        <v>45337</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39334-2021</t>
        </is>
      </c>
      <c r="B894" s="1" t="n">
        <v>44414</v>
      </c>
      <c r="C894" s="1" t="n">
        <v>45337</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39594-2021</t>
        </is>
      </c>
      <c r="B895" s="1" t="n">
        <v>44413</v>
      </c>
      <c r="C895" s="1" t="n">
        <v>45337</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39230-2021</t>
        </is>
      </c>
      <c r="B896" s="1" t="n">
        <v>44413</v>
      </c>
      <c r="C896" s="1" t="n">
        <v>45337</v>
      </c>
      <c r="D896" t="inlineStr">
        <is>
          <t>VÄSTERNORRLANDS LÄN</t>
        </is>
      </c>
      <c r="E896" t="inlineStr">
        <is>
          <t>SOLLEFTEÅ</t>
        </is>
      </c>
      <c r="G896" t="n">
        <v>13.6</v>
      </c>
      <c r="H896" t="n">
        <v>0</v>
      </c>
      <c r="I896" t="n">
        <v>0</v>
      </c>
      <c r="J896" t="n">
        <v>0</v>
      </c>
      <c r="K896" t="n">
        <v>0</v>
      </c>
      <c r="L896" t="n">
        <v>0</v>
      </c>
      <c r="M896" t="n">
        <v>0</v>
      </c>
      <c r="N896" t="n">
        <v>0</v>
      </c>
      <c r="O896" t="n">
        <v>0</v>
      </c>
      <c r="P896" t="n">
        <v>0</v>
      </c>
      <c r="Q896" t="n">
        <v>0</v>
      </c>
      <c r="R896" s="2" t="inlineStr"/>
    </row>
    <row r="897" ht="15" customHeight="1">
      <c r="A897" t="inlineStr">
        <is>
          <t>A 39504-2021</t>
        </is>
      </c>
      <c r="B897" s="1" t="n">
        <v>44415</v>
      </c>
      <c r="C897" s="1" t="n">
        <v>45337</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40539-2021</t>
        </is>
      </c>
      <c r="B898" s="1" t="n">
        <v>44420</v>
      </c>
      <c r="C898" s="1" t="n">
        <v>45337</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41334-2021</t>
        </is>
      </c>
      <c r="B899" s="1" t="n">
        <v>44424</v>
      </c>
      <c r="C899" s="1" t="n">
        <v>45337</v>
      </c>
      <c r="D899" t="inlineStr">
        <is>
          <t>VÄSTERNORRLANDS LÄN</t>
        </is>
      </c>
      <c r="E899" t="inlineStr">
        <is>
          <t>SOLLEFTEÅ</t>
        </is>
      </c>
      <c r="G899" t="n">
        <v>1</v>
      </c>
      <c r="H899" t="n">
        <v>0</v>
      </c>
      <c r="I899" t="n">
        <v>0</v>
      </c>
      <c r="J899" t="n">
        <v>0</v>
      </c>
      <c r="K899" t="n">
        <v>0</v>
      </c>
      <c r="L899" t="n">
        <v>0</v>
      </c>
      <c r="M899" t="n">
        <v>0</v>
      </c>
      <c r="N899" t="n">
        <v>0</v>
      </c>
      <c r="O899" t="n">
        <v>0</v>
      </c>
      <c r="P899" t="n">
        <v>0</v>
      </c>
      <c r="Q899" t="n">
        <v>0</v>
      </c>
      <c r="R899" s="2" t="inlineStr"/>
    </row>
    <row r="900" ht="15" customHeight="1">
      <c r="A900" t="inlineStr">
        <is>
          <t>A 42219-2021</t>
        </is>
      </c>
      <c r="B900" s="1" t="n">
        <v>44426</v>
      </c>
      <c r="C900" s="1" t="n">
        <v>45337</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42231-2021</t>
        </is>
      </c>
      <c r="B901" s="1" t="n">
        <v>44426</v>
      </c>
      <c r="C901" s="1" t="n">
        <v>45337</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42228-2021</t>
        </is>
      </c>
      <c r="B902" s="1" t="n">
        <v>44426</v>
      </c>
      <c r="C902" s="1" t="n">
        <v>45337</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42229-2021</t>
        </is>
      </c>
      <c r="B903" s="1" t="n">
        <v>44427</v>
      </c>
      <c r="C903" s="1" t="n">
        <v>45337</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42531-2021</t>
        </is>
      </c>
      <c r="B904" s="1" t="n">
        <v>44428</v>
      </c>
      <c r="C904" s="1" t="n">
        <v>45337</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45213-2021</t>
        </is>
      </c>
      <c r="B905" s="1" t="n">
        <v>44431</v>
      </c>
      <c r="C905" s="1" t="n">
        <v>45337</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43220-2021</t>
        </is>
      </c>
      <c r="B906" s="1" t="n">
        <v>44432</v>
      </c>
      <c r="C906" s="1" t="n">
        <v>45337</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43525-2021</t>
        </is>
      </c>
      <c r="B907" s="1" t="n">
        <v>44433</v>
      </c>
      <c r="C907" s="1" t="n">
        <v>45337</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44592-2021</t>
        </is>
      </c>
      <c r="B908" s="1" t="n">
        <v>44435</v>
      </c>
      <c r="C908" s="1" t="n">
        <v>45337</v>
      </c>
      <c r="D908" t="inlineStr">
        <is>
          <t>VÄSTERNORRLANDS LÄN</t>
        </is>
      </c>
      <c r="E908" t="inlineStr">
        <is>
          <t>SOLLEFTEÅ</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44587-2021</t>
        </is>
      </c>
      <c r="B909" s="1" t="n">
        <v>44435</v>
      </c>
      <c r="C909" s="1" t="n">
        <v>45337</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45187-2021</t>
        </is>
      </c>
      <c r="B910" s="1" t="n">
        <v>44439</v>
      </c>
      <c r="C910" s="1" t="n">
        <v>45337</v>
      </c>
      <c r="D910" t="inlineStr">
        <is>
          <t>VÄSTERNORRLANDS LÄN</t>
        </is>
      </c>
      <c r="E910" t="inlineStr">
        <is>
          <t>SOLLEFTEÅ</t>
        </is>
      </c>
      <c r="G910" t="n">
        <v>3.2</v>
      </c>
      <c r="H910" t="n">
        <v>0</v>
      </c>
      <c r="I910" t="n">
        <v>0</v>
      </c>
      <c r="J910" t="n">
        <v>0</v>
      </c>
      <c r="K910" t="n">
        <v>0</v>
      </c>
      <c r="L910" t="n">
        <v>0</v>
      </c>
      <c r="M910" t="n">
        <v>0</v>
      </c>
      <c r="N910" t="n">
        <v>0</v>
      </c>
      <c r="O910" t="n">
        <v>0</v>
      </c>
      <c r="P910" t="n">
        <v>0</v>
      </c>
      <c r="Q910" t="n">
        <v>0</v>
      </c>
      <c r="R910" s="2" t="inlineStr"/>
    </row>
    <row r="911" ht="15" customHeight="1">
      <c r="A911" t="inlineStr">
        <is>
          <t>A 45105-2021</t>
        </is>
      </c>
      <c r="B911" s="1" t="n">
        <v>44439</v>
      </c>
      <c r="C911" s="1" t="n">
        <v>45337</v>
      </c>
      <c r="D911" t="inlineStr">
        <is>
          <t>VÄSTERNORRLANDS LÄN</t>
        </is>
      </c>
      <c r="E911" t="inlineStr">
        <is>
          <t>SOLLEFTEÅ</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46049-2021</t>
        </is>
      </c>
      <c r="B912" s="1" t="n">
        <v>44442</v>
      </c>
      <c r="C912" s="1" t="n">
        <v>45337</v>
      </c>
      <c r="D912" t="inlineStr">
        <is>
          <t>VÄSTERNORRLANDS LÄN</t>
        </is>
      </c>
      <c r="E912" t="inlineStr">
        <is>
          <t>SOLLEFTEÅ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46058-2021</t>
        </is>
      </c>
      <c r="B913" s="1" t="n">
        <v>44442</v>
      </c>
      <c r="C913" s="1" t="n">
        <v>45337</v>
      </c>
      <c r="D913" t="inlineStr">
        <is>
          <t>VÄSTERNORRLANDS LÄN</t>
        </is>
      </c>
      <c r="E913" t="inlineStr">
        <is>
          <t>SOLLEFTEÅ</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47643-2021</t>
        </is>
      </c>
      <c r="B914" s="1" t="n">
        <v>44448</v>
      </c>
      <c r="C914" s="1" t="n">
        <v>45337</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47675-2021</t>
        </is>
      </c>
      <c r="B915" s="1" t="n">
        <v>44448</v>
      </c>
      <c r="C915" s="1" t="n">
        <v>45337</v>
      </c>
      <c r="D915" t="inlineStr">
        <is>
          <t>VÄSTERNORRLANDS LÄN</t>
        </is>
      </c>
      <c r="E915" t="inlineStr">
        <is>
          <t>SOLLEFTEÅ</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47626-2021</t>
        </is>
      </c>
      <c r="B916" s="1" t="n">
        <v>44448</v>
      </c>
      <c r="C916" s="1" t="n">
        <v>45337</v>
      </c>
      <c r="D916" t="inlineStr">
        <is>
          <t>VÄSTERNORRLANDS LÄN</t>
        </is>
      </c>
      <c r="E916" t="inlineStr">
        <is>
          <t>SOLLEFTEÅ</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47696-2021</t>
        </is>
      </c>
      <c r="B917" s="1" t="n">
        <v>44448</v>
      </c>
      <c r="C917" s="1" t="n">
        <v>45337</v>
      </c>
      <c r="D917" t="inlineStr">
        <is>
          <t>VÄSTERNORRLANDS LÄN</t>
        </is>
      </c>
      <c r="E917" t="inlineStr">
        <is>
          <t>SOLLEFTEÅ</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47681-2021</t>
        </is>
      </c>
      <c r="B918" s="1" t="n">
        <v>44448</v>
      </c>
      <c r="C918" s="1" t="n">
        <v>45337</v>
      </c>
      <c r="D918" t="inlineStr">
        <is>
          <t>VÄSTERNORRLANDS LÄN</t>
        </is>
      </c>
      <c r="E918" t="inlineStr">
        <is>
          <t>SOLLEFTEÅ</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48555-2021</t>
        </is>
      </c>
      <c r="B919" s="1" t="n">
        <v>44452</v>
      </c>
      <c r="C919" s="1" t="n">
        <v>45337</v>
      </c>
      <c r="D919" t="inlineStr">
        <is>
          <t>VÄSTERNORRLANDS LÄN</t>
        </is>
      </c>
      <c r="E919" t="inlineStr">
        <is>
          <t>SOLLEFTEÅ</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48578-2021</t>
        </is>
      </c>
      <c r="B920" s="1" t="n">
        <v>44452</v>
      </c>
      <c r="C920" s="1" t="n">
        <v>45337</v>
      </c>
      <c r="D920" t="inlineStr">
        <is>
          <t>VÄSTERNORRLANDS LÄN</t>
        </is>
      </c>
      <c r="E920" t="inlineStr">
        <is>
          <t>SOLLEFTEÅ</t>
        </is>
      </c>
      <c r="G920" t="n">
        <v>26</v>
      </c>
      <c r="H920" t="n">
        <v>0</v>
      </c>
      <c r="I920" t="n">
        <v>0</v>
      </c>
      <c r="J920" t="n">
        <v>0</v>
      </c>
      <c r="K920" t="n">
        <v>0</v>
      </c>
      <c r="L920" t="n">
        <v>0</v>
      </c>
      <c r="M920" t="n">
        <v>0</v>
      </c>
      <c r="N920" t="n">
        <v>0</v>
      </c>
      <c r="O920" t="n">
        <v>0</v>
      </c>
      <c r="P920" t="n">
        <v>0</v>
      </c>
      <c r="Q920" t="n">
        <v>0</v>
      </c>
      <c r="R920" s="2" t="inlineStr"/>
    </row>
    <row r="921" ht="15" customHeight="1">
      <c r="A921" t="inlineStr">
        <is>
          <t>A 49160-2021</t>
        </is>
      </c>
      <c r="B921" s="1" t="n">
        <v>44454</v>
      </c>
      <c r="C921" s="1" t="n">
        <v>45337</v>
      </c>
      <c r="D921" t="inlineStr">
        <is>
          <t>VÄSTERNORRLANDS LÄN</t>
        </is>
      </c>
      <c r="E921" t="inlineStr">
        <is>
          <t>SOLLEFTEÅ</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49492-2021</t>
        </is>
      </c>
      <c r="B922" s="1" t="n">
        <v>44455</v>
      </c>
      <c r="C922" s="1" t="n">
        <v>45337</v>
      </c>
      <c r="D922" t="inlineStr">
        <is>
          <t>VÄSTERNORRLANDS LÄN</t>
        </is>
      </c>
      <c r="E922" t="inlineStr">
        <is>
          <t>SOLLEFTEÅ</t>
        </is>
      </c>
      <c r="F922" t="inlineStr">
        <is>
          <t>SCA</t>
        </is>
      </c>
      <c r="G922" t="n">
        <v>4.3</v>
      </c>
      <c r="H922" t="n">
        <v>0</v>
      </c>
      <c r="I922" t="n">
        <v>0</v>
      </c>
      <c r="J922" t="n">
        <v>0</v>
      </c>
      <c r="K922" t="n">
        <v>0</v>
      </c>
      <c r="L922" t="n">
        <v>0</v>
      </c>
      <c r="M922" t="n">
        <v>0</v>
      </c>
      <c r="N922" t="n">
        <v>0</v>
      </c>
      <c r="O922" t="n">
        <v>0</v>
      </c>
      <c r="P922" t="n">
        <v>0</v>
      </c>
      <c r="Q922" t="n">
        <v>0</v>
      </c>
      <c r="R922" s="2" t="inlineStr"/>
    </row>
    <row r="923" ht="15" customHeight="1">
      <c r="A923" t="inlineStr">
        <is>
          <t>A 49518-2021</t>
        </is>
      </c>
      <c r="B923" s="1" t="n">
        <v>44455</v>
      </c>
      <c r="C923" s="1" t="n">
        <v>45337</v>
      </c>
      <c r="D923" t="inlineStr">
        <is>
          <t>VÄSTERNORRLANDS LÄN</t>
        </is>
      </c>
      <c r="E923" t="inlineStr">
        <is>
          <t>SOLLEFTEÅ</t>
        </is>
      </c>
      <c r="G923" t="n">
        <v>12.9</v>
      </c>
      <c r="H923" t="n">
        <v>0</v>
      </c>
      <c r="I923" t="n">
        <v>0</v>
      </c>
      <c r="J923" t="n">
        <v>0</v>
      </c>
      <c r="K923" t="n">
        <v>0</v>
      </c>
      <c r="L923" t="n">
        <v>0</v>
      </c>
      <c r="M923" t="n">
        <v>0</v>
      </c>
      <c r="N923" t="n">
        <v>0</v>
      </c>
      <c r="O923" t="n">
        <v>0</v>
      </c>
      <c r="P923" t="n">
        <v>0</v>
      </c>
      <c r="Q923" t="n">
        <v>0</v>
      </c>
      <c r="R923" s="2" t="inlineStr"/>
    </row>
    <row r="924" ht="15" customHeight="1">
      <c r="A924" t="inlineStr">
        <is>
          <t>A 49711-2021</t>
        </is>
      </c>
      <c r="B924" s="1" t="n">
        <v>44455</v>
      </c>
      <c r="C924" s="1" t="n">
        <v>45337</v>
      </c>
      <c r="D924" t="inlineStr">
        <is>
          <t>VÄSTERNORRLANDS LÄN</t>
        </is>
      </c>
      <c r="E924" t="inlineStr">
        <is>
          <t>SOLLEFTEÅ</t>
        </is>
      </c>
      <c r="G924" t="n">
        <v>3.7</v>
      </c>
      <c r="H924" t="n">
        <v>0</v>
      </c>
      <c r="I924" t="n">
        <v>0</v>
      </c>
      <c r="J924" t="n">
        <v>0</v>
      </c>
      <c r="K924" t="n">
        <v>0</v>
      </c>
      <c r="L924" t="n">
        <v>0</v>
      </c>
      <c r="M924" t="n">
        <v>0</v>
      </c>
      <c r="N924" t="n">
        <v>0</v>
      </c>
      <c r="O924" t="n">
        <v>0</v>
      </c>
      <c r="P924" t="n">
        <v>0</v>
      </c>
      <c r="Q924" t="n">
        <v>0</v>
      </c>
      <c r="R924" s="2" t="inlineStr"/>
    </row>
    <row r="925" ht="15" customHeight="1">
      <c r="A925" t="inlineStr">
        <is>
          <t>A 50360-2021</t>
        </is>
      </c>
      <c r="B925" s="1" t="n">
        <v>44459</v>
      </c>
      <c r="C925" s="1" t="n">
        <v>45337</v>
      </c>
      <c r="D925" t="inlineStr">
        <is>
          <t>VÄSTERNORRLANDS LÄN</t>
        </is>
      </c>
      <c r="E925" t="inlineStr">
        <is>
          <t>SOLLEFTEÅ</t>
        </is>
      </c>
      <c r="G925" t="n">
        <v>4.4</v>
      </c>
      <c r="H925" t="n">
        <v>0</v>
      </c>
      <c r="I925" t="n">
        <v>0</v>
      </c>
      <c r="J925" t="n">
        <v>0</v>
      </c>
      <c r="K925" t="n">
        <v>0</v>
      </c>
      <c r="L925" t="n">
        <v>0</v>
      </c>
      <c r="M925" t="n">
        <v>0</v>
      </c>
      <c r="N925" t="n">
        <v>0</v>
      </c>
      <c r="O925" t="n">
        <v>0</v>
      </c>
      <c r="P925" t="n">
        <v>0</v>
      </c>
      <c r="Q925" t="n">
        <v>0</v>
      </c>
      <c r="R925" s="2" t="inlineStr"/>
    </row>
    <row r="926" ht="15" customHeight="1">
      <c r="A926" t="inlineStr">
        <is>
          <t>A 51104-2021</t>
        </is>
      </c>
      <c r="B926" s="1" t="n">
        <v>44459</v>
      </c>
      <c r="C926" s="1" t="n">
        <v>45337</v>
      </c>
      <c r="D926" t="inlineStr">
        <is>
          <t>VÄSTERNORRLANDS LÄN</t>
        </is>
      </c>
      <c r="E926" t="inlineStr">
        <is>
          <t>SOLLEFTEÅ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51020-2021</t>
        </is>
      </c>
      <c r="B927" s="1" t="n">
        <v>44460</v>
      </c>
      <c r="C927" s="1" t="n">
        <v>45337</v>
      </c>
      <c r="D927" t="inlineStr">
        <is>
          <t>VÄSTERNORRLANDS LÄN</t>
        </is>
      </c>
      <c r="E927" t="inlineStr">
        <is>
          <t>SOLLEFTEÅ</t>
        </is>
      </c>
      <c r="F927" t="inlineStr">
        <is>
          <t>SCA</t>
        </is>
      </c>
      <c r="G927" t="n">
        <v>3.9</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44461</v>
      </c>
      <c r="C928" s="1" t="n">
        <v>45337</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51440-2021</t>
        </is>
      </c>
      <c r="B929" s="1" t="n">
        <v>44461</v>
      </c>
      <c r="C929" s="1" t="n">
        <v>45337</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51443-2021</t>
        </is>
      </c>
      <c r="B930" s="1" t="n">
        <v>44461</v>
      </c>
      <c r="C930" s="1" t="n">
        <v>45337</v>
      </c>
      <c r="D930" t="inlineStr">
        <is>
          <t>VÄSTERNORRLANDS LÄN</t>
        </is>
      </c>
      <c r="E930" t="inlineStr">
        <is>
          <t>SOLLEFTEÅ</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51442-2021</t>
        </is>
      </c>
      <c r="B931" s="1" t="n">
        <v>44462</v>
      </c>
      <c r="C931" s="1" t="n">
        <v>45337</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51491-2021</t>
        </is>
      </c>
      <c r="B932" s="1" t="n">
        <v>44462</v>
      </c>
      <c r="C932" s="1" t="n">
        <v>45337</v>
      </c>
      <c r="D932" t="inlineStr">
        <is>
          <t>VÄSTERNORRLANDS LÄN</t>
        </is>
      </c>
      <c r="E932" t="inlineStr">
        <is>
          <t>SOLLEFTEÅ</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51847-2021</t>
        </is>
      </c>
      <c r="B933" s="1" t="n">
        <v>44462</v>
      </c>
      <c r="C933" s="1" t="n">
        <v>45337</v>
      </c>
      <c r="D933" t="inlineStr">
        <is>
          <t>VÄSTERNORRLANDS LÄN</t>
        </is>
      </c>
      <c r="E933" t="inlineStr">
        <is>
          <t>SOLLEFTEÅ</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51952-2021</t>
        </is>
      </c>
      <c r="B934" s="1" t="n">
        <v>44463</v>
      </c>
      <c r="C934" s="1" t="n">
        <v>45337</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52447-2021</t>
        </is>
      </c>
      <c r="B935" s="1" t="n">
        <v>44466</v>
      </c>
      <c r="C935" s="1" t="n">
        <v>45337</v>
      </c>
      <c r="D935" t="inlineStr">
        <is>
          <t>VÄSTERNORRLANDS LÄN</t>
        </is>
      </c>
      <c r="E935" t="inlineStr">
        <is>
          <t>SOLLEFTEÅ</t>
        </is>
      </c>
      <c r="F935" t="inlineStr">
        <is>
          <t>Holmen skog AB</t>
        </is>
      </c>
      <c r="G935" t="n">
        <v>8.9</v>
      </c>
      <c r="H935" t="n">
        <v>0</v>
      </c>
      <c r="I935" t="n">
        <v>0</v>
      </c>
      <c r="J935" t="n">
        <v>0</v>
      </c>
      <c r="K935" t="n">
        <v>0</v>
      </c>
      <c r="L935" t="n">
        <v>0</v>
      </c>
      <c r="M935" t="n">
        <v>0</v>
      </c>
      <c r="N935" t="n">
        <v>0</v>
      </c>
      <c r="O935" t="n">
        <v>0</v>
      </c>
      <c r="P935" t="n">
        <v>0</v>
      </c>
      <c r="Q935" t="n">
        <v>0</v>
      </c>
      <c r="R935" s="2" t="inlineStr"/>
    </row>
    <row r="936" ht="15" customHeight="1">
      <c r="A936" t="inlineStr">
        <is>
          <t>A 53289-2021</t>
        </is>
      </c>
      <c r="B936" s="1" t="n">
        <v>44467</v>
      </c>
      <c r="C936" s="1" t="n">
        <v>45337</v>
      </c>
      <c r="D936" t="inlineStr">
        <is>
          <t>VÄSTERNORRLANDS LÄN</t>
        </is>
      </c>
      <c r="E936" t="inlineStr">
        <is>
          <t>SOLLEFTEÅ</t>
        </is>
      </c>
      <c r="G936" t="n">
        <v>6.5</v>
      </c>
      <c r="H936" t="n">
        <v>0</v>
      </c>
      <c r="I936" t="n">
        <v>0</v>
      </c>
      <c r="J936" t="n">
        <v>0</v>
      </c>
      <c r="K936" t="n">
        <v>0</v>
      </c>
      <c r="L936" t="n">
        <v>0</v>
      </c>
      <c r="M936" t="n">
        <v>0</v>
      </c>
      <c r="N936" t="n">
        <v>0</v>
      </c>
      <c r="O936" t="n">
        <v>0</v>
      </c>
      <c r="P936" t="n">
        <v>0</v>
      </c>
      <c r="Q936" t="n">
        <v>0</v>
      </c>
      <c r="R936" s="2" t="inlineStr"/>
    </row>
    <row r="937" ht="15" customHeight="1">
      <c r="A937" t="inlineStr">
        <is>
          <t>A 53278-2021</t>
        </is>
      </c>
      <c r="B937" s="1" t="n">
        <v>44467</v>
      </c>
      <c r="C937" s="1" t="n">
        <v>45337</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53524-2021</t>
        </is>
      </c>
      <c r="B938" s="1" t="n">
        <v>44468</v>
      </c>
      <c r="C938" s="1" t="n">
        <v>45337</v>
      </c>
      <c r="D938" t="inlineStr">
        <is>
          <t>VÄSTERNORRLANDS LÄN</t>
        </is>
      </c>
      <c r="E938" t="inlineStr">
        <is>
          <t>SOLLEFTEÅ</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53955-2021</t>
        </is>
      </c>
      <c r="B939" s="1" t="n">
        <v>44469</v>
      </c>
      <c r="C939" s="1" t="n">
        <v>45337</v>
      </c>
      <c r="D939" t="inlineStr">
        <is>
          <t>VÄSTERNORRLANDS LÄN</t>
        </is>
      </c>
      <c r="E939" t="inlineStr">
        <is>
          <t>SOLLEFTEÅ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54146-2021</t>
        </is>
      </c>
      <c r="B940" s="1" t="n">
        <v>44469</v>
      </c>
      <c r="C940" s="1" t="n">
        <v>45337</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54728-2021</t>
        </is>
      </c>
      <c r="B941" s="1" t="n">
        <v>44473</v>
      </c>
      <c r="C941" s="1" t="n">
        <v>45337</v>
      </c>
      <c r="D941" t="inlineStr">
        <is>
          <t>VÄSTERNORRLANDS LÄN</t>
        </is>
      </c>
      <c r="E941" t="inlineStr">
        <is>
          <t>SOLLEFTEÅ</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55016-2021</t>
        </is>
      </c>
      <c r="B942" s="1" t="n">
        <v>44474</v>
      </c>
      <c r="C942" s="1" t="n">
        <v>45337</v>
      </c>
      <c r="D942" t="inlineStr">
        <is>
          <t>VÄSTERNORRLANDS LÄN</t>
        </is>
      </c>
      <c r="E942" t="inlineStr">
        <is>
          <t>SOLLEFTEÅ</t>
        </is>
      </c>
      <c r="F942" t="inlineStr">
        <is>
          <t>Övriga Aktiebolag</t>
        </is>
      </c>
      <c r="G942" t="n">
        <v>12.7</v>
      </c>
      <c r="H942" t="n">
        <v>0</v>
      </c>
      <c r="I942" t="n">
        <v>0</v>
      </c>
      <c r="J942" t="n">
        <v>0</v>
      </c>
      <c r="K942" t="n">
        <v>0</v>
      </c>
      <c r="L942" t="n">
        <v>0</v>
      </c>
      <c r="M942" t="n">
        <v>0</v>
      </c>
      <c r="N942" t="n">
        <v>0</v>
      </c>
      <c r="O942" t="n">
        <v>0</v>
      </c>
      <c r="P942" t="n">
        <v>0</v>
      </c>
      <c r="Q942" t="n">
        <v>0</v>
      </c>
      <c r="R942" s="2" t="inlineStr"/>
    </row>
    <row r="943" ht="15" customHeight="1">
      <c r="A943" t="inlineStr">
        <is>
          <t>A 55018-2021</t>
        </is>
      </c>
      <c r="B943" s="1" t="n">
        <v>44474</v>
      </c>
      <c r="C943" s="1" t="n">
        <v>45337</v>
      </c>
      <c r="D943" t="inlineStr">
        <is>
          <t>VÄSTERNORRLANDS LÄN</t>
        </is>
      </c>
      <c r="E943" t="inlineStr">
        <is>
          <t>SOLLEFTEÅ</t>
        </is>
      </c>
      <c r="F943" t="inlineStr">
        <is>
          <t>Övriga Aktiebolag</t>
        </is>
      </c>
      <c r="G943" t="n">
        <v>11.2</v>
      </c>
      <c r="H943" t="n">
        <v>0</v>
      </c>
      <c r="I943" t="n">
        <v>0</v>
      </c>
      <c r="J943" t="n">
        <v>0</v>
      </c>
      <c r="K943" t="n">
        <v>0</v>
      </c>
      <c r="L943" t="n">
        <v>0</v>
      </c>
      <c r="M943" t="n">
        <v>0</v>
      </c>
      <c r="N943" t="n">
        <v>0</v>
      </c>
      <c r="O943" t="n">
        <v>0</v>
      </c>
      <c r="P943" t="n">
        <v>0</v>
      </c>
      <c r="Q943" t="n">
        <v>0</v>
      </c>
      <c r="R943" s="2" t="inlineStr"/>
    </row>
    <row r="944" ht="15" customHeight="1">
      <c r="A944" t="inlineStr">
        <is>
          <t>A 55610-2021</t>
        </is>
      </c>
      <c r="B944" s="1" t="n">
        <v>44476</v>
      </c>
      <c r="C944" s="1" t="n">
        <v>45337</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55643-2021</t>
        </is>
      </c>
      <c r="B945" s="1" t="n">
        <v>44475</v>
      </c>
      <c r="C945" s="1" t="n">
        <v>45337</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55904-2021</t>
        </is>
      </c>
      <c r="B946" s="1" t="n">
        <v>44476</v>
      </c>
      <c r="C946" s="1" t="n">
        <v>45337</v>
      </c>
      <c r="D946" t="inlineStr">
        <is>
          <t>VÄSTERNORRLANDS LÄN</t>
        </is>
      </c>
      <c r="E946" t="inlineStr">
        <is>
          <t>SOLLEFTEÅ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56211-2021</t>
        </is>
      </c>
      <c r="B947" s="1" t="n">
        <v>44478</v>
      </c>
      <c r="C947" s="1" t="n">
        <v>45337</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56918-2021</t>
        </is>
      </c>
      <c r="B948" s="1" t="n">
        <v>44482</v>
      </c>
      <c r="C948" s="1" t="n">
        <v>45337</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57007-2021</t>
        </is>
      </c>
      <c r="B949" s="1" t="n">
        <v>44482</v>
      </c>
      <c r="C949" s="1" t="n">
        <v>45337</v>
      </c>
      <c r="D949" t="inlineStr">
        <is>
          <t>VÄSTERNORRLANDS LÄN</t>
        </is>
      </c>
      <c r="E949" t="inlineStr">
        <is>
          <t>SOLLEFTEÅ</t>
        </is>
      </c>
      <c r="G949" t="n">
        <v>7.4</v>
      </c>
      <c r="H949" t="n">
        <v>0</v>
      </c>
      <c r="I949" t="n">
        <v>0</v>
      </c>
      <c r="J949" t="n">
        <v>0</v>
      </c>
      <c r="K949" t="n">
        <v>0</v>
      </c>
      <c r="L949" t="n">
        <v>0</v>
      </c>
      <c r="M949" t="n">
        <v>0</v>
      </c>
      <c r="N949" t="n">
        <v>0</v>
      </c>
      <c r="O949" t="n">
        <v>0</v>
      </c>
      <c r="P949" t="n">
        <v>0</v>
      </c>
      <c r="Q949" t="n">
        <v>0</v>
      </c>
      <c r="R949" s="2" t="inlineStr"/>
    </row>
    <row r="950" ht="15" customHeight="1">
      <c r="A950" t="inlineStr">
        <is>
          <t>A 57550-2021</t>
        </is>
      </c>
      <c r="B950" s="1" t="n">
        <v>44484</v>
      </c>
      <c r="C950" s="1" t="n">
        <v>45337</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57552-2021</t>
        </is>
      </c>
      <c r="B951" s="1" t="n">
        <v>44483</v>
      </c>
      <c r="C951" s="1" t="n">
        <v>45337</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57856-2021</t>
        </is>
      </c>
      <c r="B952" s="1" t="n">
        <v>44485</v>
      </c>
      <c r="C952" s="1" t="n">
        <v>45337</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57911-2021</t>
        </is>
      </c>
      <c r="B953" s="1" t="n">
        <v>44486</v>
      </c>
      <c r="C953" s="1" t="n">
        <v>45337</v>
      </c>
      <c r="D953" t="inlineStr">
        <is>
          <t>VÄSTERNORRLANDS LÄN</t>
        </is>
      </c>
      <c r="E953" t="inlineStr">
        <is>
          <t>SOLLEFTEÅ</t>
        </is>
      </c>
      <c r="G953" t="n">
        <v>3.1</v>
      </c>
      <c r="H953" t="n">
        <v>0</v>
      </c>
      <c r="I953" t="n">
        <v>0</v>
      </c>
      <c r="J953" t="n">
        <v>0</v>
      </c>
      <c r="K953" t="n">
        <v>0</v>
      </c>
      <c r="L953" t="n">
        <v>0</v>
      </c>
      <c r="M953" t="n">
        <v>0</v>
      </c>
      <c r="N953" t="n">
        <v>0</v>
      </c>
      <c r="O953" t="n">
        <v>0</v>
      </c>
      <c r="P953" t="n">
        <v>0</v>
      </c>
      <c r="Q953" t="n">
        <v>0</v>
      </c>
      <c r="R953" s="2" t="inlineStr"/>
    </row>
    <row r="954" ht="15" customHeight="1">
      <c r="A954" t="inlineStr">
        <is>
          <t>A 58268-2021</t>
        </is>
      </c>
      <c r="B954" s="1" t="n">
        <v>44487</v>
      </c>
      <c r="C954" s="1" t="n">
        <v>45337</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58276-2021</t>
        </is>
      </c>
      <c r="B955" s="1" t="n">
        <v>44488</v>
      </c>
      <c r="C955" s="1" t="n">
        <v>45337</v>
      </c>
      <c r="D955" t="inlineStr">
        <is>
          <t>VÄSTERNORRLANDS LÄN</t>
        </is>
      </c>
      <c r="E955" t="inlineStr">
        <is>
          <t>SOLLEFTEÅ</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58179-2021</t>
        </is>
      </c>
      <c r="B956" s="1" t="n">
        <v>44487</v>
      </c>
      <c r="C956" s="1" t="n">
        <v>45337</v>
      </c>
      <c r="D956" t="inlineStr">
        <is>
          <t>VÄSTERNORRLANDS LÄN</t>
        </is>
      </c>
      <c r="E956" t="inlineStr">
        <is>
          <t>SOLLEFTEÅ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58478-2021</t>
        </is>
      </c>
      <c r="B957" s="1" t="n">
        <v>44488</v>
      </c>
      <c r="C957" s="1" t="n">
        <v>45337</v>
      </c>
      <c r="D957" t="inlineStr">
        <is>
          <t>VÄSTERNORRLANDS LÄN</t>
        </is>
      </c>
      <c r="E957" t="inlineStr">
        <is>
          <t>SOLLEFTEÅ</t>
        </is>
      </c>
      <c r="G957" t="n">
        <v>9.5</v>
      </c>
      <c r="H957" t="n">
        <v>0</v>
      </c>
      <c r="I957" t="n">
        <v>0</v>
      </c>
      <c r="J957" t="n">
        <v>0</v>
      </c>
      <c r="K957" t="n">
        <v>0</v>
      </c>
      <c r="L957" t="n">
        <v>0</v>
      </c>
      <c r="M957" t="n">
        <v>0</v>
      </c>
      <c r="N957" t="n">
        <v>0</v>
      </c>
      <c r="O957" t="n">
        <v>0</v>
      </c>
      <c r="P957" t="n">
        <v>0</v>
      </c>
      <c r="Q957" t="n">
        <v>0</v>
      </c>
      <c r="R957" s="2" t="inlineStr"/>
    </row>
    <row r="958" ht="15" customHeight="1">
      <c r="A958" t="inlineStr">
        <is>
          <t>A 58486-2021</t>
        </is>
      </c>
      <c r="B958" s="1" t="n">
        <v>44488</v>
      </c>
      <c r="C958" s="1" t="n">
        <v>45337</v>
      </c>
      <c r="D958" t="inlineStr">
        <is>
          <t>VÄSTERNORRLANDS LÄN</t>
        </is>
      </c>
      <c r="E958" t="inlineStr">
        <is>
          <t>SOLLEFTEÅ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58572-2021</t>
        </is>
      </c>
      <c r="B959" s="1" t="n">
        <v>44488</v>
      </c>
      <c r="C959" s="1" t="n">
        <v>45337</v>
      </c>
      <c r="D959" t="inlineStr">
        <is>
          <t>VÄSTERNORRLANDS LÄN</t>
        </is>
      </c>
      <c r="E959" t="inlineStr">
        <is>
          <t>SOLLEFTEÅ</t>
        </is>
      </c>
      <c r="G959" t="n">
        <v>0.1</v>
      </c>
      <c r="H959" t="n">
        <v>0</v>
      </c>
      <c r="I959" t="n">
        <v>0</v>
      </c>
      <c r="J959" t="n">
        <v>0</v>
      </c>
      <c r="K959" t="n">
        <v>0</v>
      </c>
      <c r="L959" t="n">
        <v>0</v>
      </c>
      <c r="M959" t="n">
        <v>0</v>
      </c>
      <c r="N959" t="n">
        <v>0</v>
      </c>
      <c r="O959" t="n">
        <v>0</v>
      </c>
      <c r="P959" t="n">
        <v>0</v>
      </c>
      <c r="Q959" t="n">
        <v>0</v>
      </c>
      <c r="R959" s="2" t="inlineStr"/>
    </row>
    <row r="960" ht="15" customHeight="1">
      <c r="A960" t="inlineStr">
        <is>
          <t>A 58571-2021</t>
        </is>
      </c>
      <c r="B960" s="1" t="n">
        <v>44488</v>
      </c>
      <c r="C960" s="1" t="n">
        <v>45337</v>
      </c>
      <c r="D960" t="inlineStr">
        <is>
          <t>VÄSTERNORRLANDS LÄN</t>
        </is>
      </c>
      <c r="E960" t="inlineStr">
        <is>
          <t>SOLLEFTEÅ</t>
        </is>
      </c>
      <c r="G960" t="n">
        <v>2.5</v>
      </c>
      <c r="H960" t="n">
        <v>0</v>
      </c>
      <c r="I960" t="n">
        <v>0</v>
      </c>
      <c r="J960" t="n">
        <v>0</v>
      </c>
      <c r="K960" t="n">
        <v>0</v>
      </c>
      <c r="L960" t="n">
        <v>0</v>
      </c>
      <c r="M960" t="n">
        <v>0</v>
      </c>
      <c r="N960" t="n">
        <v>0</v>
      </c>
      <c r="O960" t="n">
        <v>0</v>
      </c>
      <c r="P960" t="n">
        <v>0</v>
      </c>
      <c r="Q960" t="n">
        <v>0</v>
      </c>
      <c r="R960" s="2" t="inlineStr"/>
    </row>
    <row r="961" ht="15" customHeight="1">
      <c r="A961" t="inlineStr">
        <is>
          <t>A 58573-2021</t>
        </is>
      </c>
      <c r="B961" s="1" t="n">
        <v>44488</v>
      </c>
      <c r="C961" s="1" t="n">
        <v>45337</v>
      </c>
      <c r="D961" t="inlineStr">
        <is>
          <t>VÄSTERNORRLANDS LÄN</t>
        </is>
      </c>
      <c r="E961" t="inlineStr">
        <is>
          <t>SOLLEFTEÅ</t>
        </is>
      </c>
      <c r="G961" t="n">
        <v>0.3</v>
      </c>
      <c r="H961" t="n">
        <v>0</v>
      </c>
      <c r="I961" t="n">
        <v>0</v>
      </c>
      <c r="J961" t="n">
        <v>0</v>
      </c>
      <c r="K961" t="n">
        <v>0</v>
      </c>
      <c r="L961" t="n">
        <v>0</v>
      </c>
      <c r="M961" t="n">
        <v>0</v>
      </c>
      <c r="N961" t="n">
        <v>0</v>
      </c>
      <c r="O961" t="n">
        <v>0</v>
      </c>
      <c r="P961" t="n">
        <v>0</v>
      </c>
      <c r="Q961" t="n">
        <v>0</v>
      </c>
      <c r="R961" s="2" t="inlineStr"/>
    </row>
    <row r="962" ht="15" customHeight="1">
      <c r="A962" t="inlineStr">
        <is>
          <t>A 58726-2021</t>
        </is>
      </c>
      <c r="B962" s="1" t="n">
        <v>44489</v>
      </c>
      <c r="C962" s="1" t="n">
        <v>45337</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58742-2021</t>
        </is>
      </c>
      <c r="B963" s="1" t="n">
        <v>44489</v>
      </c>
      <c r="C963" s="1" t="n">
        <v>45337</v>
      </c>
      <c r="D963" t="inlineStr">
        <is>
          <t>VÄSTERNORRLANDS LÄN</t>
        </is>
      </c>
      <c r="E963" t="inlineStr">
        <is>
          <t>SOLLEFTEÅ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58755-2021</t>
        </is>
      </c>
      <c r="B964" s="1" t="n">
        <v>44489</v>
      </c>
      <c r="C964" s="1" t="n">
        <v>45337</v>
      </c>
      <c r="D964" t="inlineStr">
        <is>
          <t>VÄSTERNORRLANDS LÄN</t>
        </is>
      </c>
      <c r="E964" t="inlineStr">
        <is>
          <t>SOLLEFTEÅ</t>
        </is>
      </c>
      <c r="G964" t="n">
        <v>12.2</v>
      </c>
      <c r="H964" t="n">
        <v>0</v>
      </c>
      <c r="I964" t="n">
        <v>0</v>
      </c>
      <c r="J964" t="n">
        <v>0</v>
      </c>
      <c r="K964" t="n">
        <v>0</v>
      </c>
      <c r="L964" t="n">
        <v>0</v>
      </c>
      <c r="M964" t="n">
        <v>0</v>
      </c>
      <c r="N964" t="n">
        <v>0</v>
      </c>
      <c r="O964" t="n">
        <v>0</v>
      </c>
      <c r="P964" t="n">
        <v>0</v>
      </c>
      <c r="Q964" t="n">
        <v>0</v>
      </c>
      <c r="R964" s="2" t="inlineStr"/>
    </row>
    <row r="965" ht="15" customHeight="1">
      <c r="A965" t="inlineStr">
        <is>
          <t>A 58688-2021</t>
        </is>
      </c>
      <c r="B965" s="1" t="n">
        <v>44489</v>
      </c>
      <c r="C965" s="1" t="n">
        <v>45337</v>
      </c>
      <c r="D965" t="inlineStr">
        <is>
          <t>VÄSTERNORRLANDS LÄN</t>
        </is>
      </c>
      <c r="E965" t="inlineStr">
        <is>
          <t>SOLLEFTEÅ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58715-2021</t>
        </is>
      </c>
      <c r="B966" s="1" t="n">
        <v>44489</v>
      </c>
      <c r="C966" s="1" t="n">
        <v>45337</v>
      </c>
      <c r="D966" t="inlineStr">
        <is>
          <t>VÄSTERNORRLANDS LÄN</t>
        </is>
      </c>
      <c r="E966" t="inlineStr">
        <is>
          <t>SOLLEFTEÅ</t>
        </is>
      </c>
      <c r="G966" t="n">
        <v>4.7</v>
      </c>
      <c r="H966" t="n">
        <v>0</v>
      </c>
      <c r="I966" t="n">
        <v>0</v>
      </c>
      <c r="J966" t="n">
        <v>0</v>
      </c>
      <c r="K966" t="n">
        <v>0</v>
      </c>
      <c r="L966" t="n">
        <v>0</v>
      </c>
      <c r="M966" t="n">
        <v>0</v>
      </c>
      <c r="N966" t="n">
        <v>0</v>
      </c>
      <c r="O966" t="n">
        <v>0</v>
      </c>
      <c r="P966" t="n">
        <v>0</v>
      </c>
      <c r="Q966" t="n">
        <v>0</v>
      </c>
      <c r="R966" s="2" t="inlineStr"/>
    </row>
    <row r="967" ht="15" customHeight="1">
      <c r="A967" t="inlineStr">
        <is>
          <t>A 59344-2021</t>
        </is>
      </c>
      <c r="B967" s="1" t="n">
        <v>44490</v>
      </c>
      <c r="C967" s="1" t="n">
        <v>45337</v>
      </c>
      <c r="D967" t="inlineStr">
        <is>
          <t>VÄSTERNORRLANDS LÄN</t>
        </is>
      </c>
      <c r="E967" t="inlineStr">
        <is>
          <t>SOLLEFTEÅ</t>
        </is>
      </c>
      <c r="G967" t="n">
        <v>6.9</v>
      </c>
      <c r="H967" t="n">
        <v>0</v>
      </c>
      <c r="I967" t="n">
        <v>0</v>
      </c>
      <c r="J967" t="n">
        <v>0</v>
      </c>
      <c r="K967" t="n">
        <v>0</v>
      </c>
      <c r="L967" t="n">
        <v>0</v>
      </c>
      <c r="M967" t="n">
        <v>0</v>
      </c>
      <c r="N967" t="n">
        <v>0</v>
      </c>
      <c r="O967" t="n">
        <v>0</v>
      </c>
      <c r="P967" t="n">
        <v>0</v>
      </c>
      <c r="Q967" t="n">
        <v>0</v>
      </c>
      <c r="R967" s="2" t="inlineStr"/>
    </row>
    <row r="968" ht="15" customHeight="1">
      <c r="A968" t="inlineStr">
        <is>
          <t>A 59309-2021</t>
        </is>
      </c>
      <c r="B968" s="1" t="n">
        <v>44491</v>
      </c>
      <c r="C968" s="1" t="n">
        <v>45337</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59343-2021</t>
        </is>
      </c>
      <c r="B969" s="1" t="n">
        <v>44490</v>
      </c>
      <c r="C969" s="1" t="n">
        <v>45337</v>
      </c>
      <c r="D969" t="inlineStr">
        <is>
          <t>VÄSTERNORRLANDS LÄN</t>
        </is>
      </c>
      <c r="E969" t="inlineStr">
        <is>
          <t>SOLLEFTEÅ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60324-2021</t>
        </is>
      </c>
      <c r="B970" s="1" t="n">
        <v>44496</v>
      </c>
      <c r="C970" s="1" t="n">
        <v>45337</v>
      </c>
      <c r="D970" t="inlineStr">
        <is>
          <t>VÄSTERNORRLANDS LÄN</t>
        </is>
      </c>
      <c r="E970" t="inlineStr">
        <is>
          <t>SOLLEFTEÅ</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60757-2021</t>
        </is>
      </c>
      <c r="B971" s="1" t="n">
        <v>44497</v>
      </c>
      <c r="C971" s="1" t="n">
        <v>45337</v>
      </c>
      <c r="D971" t="inlineStr">
        <is>
          <t>VÄSTERNORRLANDS LÄN</t>
        </is>
      </c>
      <c r="E971" t="inlineStr">
        <is>
          <t>SOLLEFTEÅ</t>
        </is>
      </c>
      <c r="G971" t="n">
        <v>4.4</v>
      </c>
      <c r="H971" t="n">
        <v>0</v>
      </c>
      <c r="I971" t="n">
        <v>0</v>
      </c>
      <c r="J971" t="n">
        <v>0</v>
      </c>
      <c r="K971" t="n">
        <v>0</v>
      </c>
      <c r="L971" t="n">
        <v>0</v>
      </c>
      <c r="M971" t="n">
        <v>0</v>
      </c>
      <c r="N971" t="n">
        <v>0</v>
      </c>
      <c r="O971" t="n">
        <v>0</v>
      </c>
      <c r="P971" t="n">
        <v>0</v>
      </c>
      <c r="Q971" t="n">
        <v>0</v>
      </c>
      <c r="R971" s="2" t="inlineStr"/>
    </row>
    <row r="972" ht="15" customHeight="1">
      <c r="A972" t="inlineStr">
        <is>
          <t>A 60756-2021</t>
        </is>
      </c>
      <c r="B972" s="1" t="n">
        <v>44496</v>
      </c>
      <c r="C972" s="1" t="n">
        <v>45337</v>
      </c>
      <c r="D972" t="inlineStr">
        <is>
          <t>VÄSTERNORRLANDS LÄN</t>
        </is>
      </c>
      <c r="E972" t="inlineStr">
        <is>
          <t>SOLLEFTEÅ</t>
        </is>
      </c>
      <c r="G972" t="n">
        <v>2.9</v>
      </c>
      <c r="H972" t="n">
        <v>0</v>
      </c>
      <c r="I972" t="n">
        <v>0</v>
      </c>
      <c r="J972" t="n">
        <v>0</v>
      </c>
      <c r="K972" t="n">
        <v>0</v>
      </c>
      <c r="L972" t="n">
        <v>0</v>
      </c>
      <c r="M972" t="n">
        <v>0</v>
      </c>
      <c r="N972" t="n">
        <v>0</v>
      </c>
      <c r="O972" t="n">
        <v>0</v>
      </c>
      <c r="P972" t="n">
        <v>0</v>
      </c>
      <c r="Q972" t="n">
        <v>0</v>
      </c>
      <c r="R972" s="2" t="inlineStr"/>
    </row>
    <row r="973" ht="15" customHeight="1">
      <c r="A973" t="inlineStr">
        <is>
          <t>A 61739-2021</t>
        </is>
      </c>
      <c r="B973" s="1" t="n">
        <v>44498</v>
      </c>
      <c r="C973" s="1" t="n">
        <v>45337</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61424-2021</t>
        </is>
      </c>
      <c r="B974" s="1" t="n">
        <v>44500</v>
      </c>
      <c r="C974" s="1" t="n">
        <v>45337</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61470-2021</t>
        </is>
      </c>
      <c r="B975" s="1" t="n">
        <v>44500</v>
      </c>
      <c r="C975" s="1" t="n">
        <v>45337</v>
      </c>
      <c r="D975" t="inlineStr">
        <is>
          <t>VÄSTERNORRLANDS LÄN</t>
        </is>
      </c>
      <c r="E975" t="inlineStr">
        <is>
          <t>SOLLEFTEÅ</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61480-2021</t>
        </is>
      </c>
      <c r="B976" s="1" t="n">
        <v>44500</v>
      </c>
      <c r="C976" s="1" t="n">
        <v>45337</v>
      </c>
      <c r="D976" t="inlineStr">
        <is>
          <t>VÄSTERNORRLANDS LÄN</t>
        </is>
      </c>
      <c r="E976" t="inlineStr">
        <is>
          <t>SOLLEFTEÅ</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61426-2021</t>
        </is>
      </c>
      <c r="B977" s="1" t="n">
        <v>44500</v>
      </c>
      <c r="C977" s="1" t="n">
        <v>45337</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61469-2021</t>
        </is>
      </c>
      <c r="B978" s="1" t="n">
        <v>44500</v>
      </c>
      <c r="C978" s="1" t="n">
        <v>45337</v>
      </c>
      <c r="D978" t="inlineStr">
        <is>
          <t>VÄSTERNORRLANDS LÄN</t>
        </is>
      </c>
      <c r="E978" t="inlineStr">
        <is>
          <t>SOLLEFTEÅ</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61496-2021</t>
        </is>
      </c>
      <c r="B979" s="1" t="n">
        <v>44501</v>
      </c>
      <c r="C979" s="1" t="n">
        <v>45337</v>
      </c>
      <c r="D979" t="inlineStr">
        <is>
          <t>VÄSTERNORRLANDS LÄN</t>
        </is>
      </c>
      <c r="E979" t="inlineStr">
        <is>
          <t>SOLLEFTEÅ</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62214-2021</t>
        </is>
      </c>
      <c r="B980" s="1" t="n">
        <v>44502</v>
      </c>
      <c r="C980" s="1" t="n">
        <v>45337</v>
      </c>
      <c r="D980" t="inlineStr">
        <is>
          <t>VÄSTERNORRLANDS LÄN</t>
        </is>
      </c>
      <c r="E980" t="inlineStr">
        <is>
          <t>SOLLEFTEÅ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62210-2021</t>
        </is>
      </c>
      <c r="B981" s="1" t="n">
        <v>44502</v>
      </c>
      <c r="C981" s="1" t="n">
        <v>45337</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62418-2021</t>
        </is>
      </c>
      <c r="B982" s="1" t="n">
        <v>44503</v>
      </c>
      <c r="C982" s="1" t="n">
        <v>45337</v>
      </c>
      <c r="D982" t="inlineStr">
        <is>
          <t>VÄSTERNORRLANDS LÄN</t>
        </is>
      </c>
      <c r="E982" t="inlineStr">
        <is>
          <t>SOLLEFTEÅ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62790-2021</t>
        </is>
      </c>
      <c r="B983" s="1" t="n">
        <v>44503</v>
      </c>
      <c r="C983" s="1" t="n">
        <v>45337</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62697-2021</t>
        </is>
      </c>
      <c r="B984" s="1" t="n">
        <v>44504</v>
      </c>
      <c r="C984" s="1" t="n">
        <v>45337</v>
      </c>
      <c r="D984" t="inlineStr">
        <is>
          <t>VÄSTERNORRLANDS LÄN</t>
        </is>
      </c>
      <c r="E984" t="inlineStr">
        <is>
          <t>SOLLEFTEÅ</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62692-2021</t>
        </is>
      </c>
      <c r="B985" s="1" t="n">
        <v>44504</v>
      </c>
      <c r="C985" s="1" t="n">
        <v>45337</v>
      </c>
      <c r="D985" t="inlineStr">
        <is>
          <t>VÄSTERNORRLANDS LÄN</t>
        </is>
      </c>
      <c r="E985" t="inlineStr">
        <is>
          <t>SOLLEFTEÅ</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63710-2021</t>
        </is>
      </c>
      <c r="B986" s="1" t="n">
        <v>44504</v>
      </c>
      <c r="C986" s="1" t="n">
        <v>45337</v>
      </c>
      <c r="D986" t="inlineStr">
        <is>
          <t>VÄSTERNORRLANDS LÄN</t>
        </is>
      </c>
      <c r="E986" t="inlineStr">
        <is>
          <t>SOLLEFTEÅ</t>
        </is>
      </c>
      <c r="G986" t="n">
        <v>10.6</v>
      </c>
      <c r="H986" t="n">
        <v>0</v>
      </c>
      <c r="I986" t="n">
        <v>0</v>
      </c>
      <c r="J986" t="n">
        <v>0</v>
      </c>
      <c r="K986" t="n">
        <v>0</v>
      </c>
      <c r="L986" t="n">
        <v>0</v>
      </c>
      <c r="M986" t="n">
        <v>0</v>
      </c>
      <c r="N986" t="n">
        <v>0</v>
      </c>
      <c r="O986" t="n">
        <v>0</v>
      </c>
      <c r="P986" t="n">
        <v>0</v>
      </c>
      <c r="Q986" t="n">
        <v>0</v>
      </c>
      <c r="R986" s="2" t="inlineStr"/>
    </row>
    <row r="987" ht="15" customHeight="1">
      <c r="A987" t="inlineStr">
        <is>
          <t>A 64638-2021</t>
        </is>
      </c>
      <c r="B987" s="1" t="n">
        <v>44511</v>
      </c>
      <c r="C987" s="1" t="n">
        <v>45337</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64651-2021</t>
        </is>
      </c>
      <c r="B988" s="1" t="n">
        <v>44511</v>
      </c>
      <c r="C988" s="1" t="n">
        <v>45337</v>
      </c>
      <c r="D988" t="inlineStr">
        <is>
          <t>VÄSTERNORRLANDS LÄN</t>
        </is>
      </c>
      <c r="E988" t="inlineStr">
        <is>
          <t>SOLLEFTEÅ</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64653-2021</t>
        </is>
      </c>
      <c r="B989" s="1" t="n">
        <v>44511</v>
      </c>
      <c r="C989" s="1" t="n">
        <v>45337</v>
      </c>
      <c r="D989" t="inlineStr">
        <is>
          <t>VÄSTERNORRLANDS LÄN</t>
        </is>
      </c>
      <c r="E989" t="inlineStr">
        <is>
          <t>SOLLEFTEÅ</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64939-2021</t>
        </is>
      </c>
      <c r="B990" s="1" t="n">
        <v>44512</v>
      </c>
      <c r="C990" s="1" t="n">
        <v>45337</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64947-2021</t>
        </is>
      </c>
      <c r="B991" s="1" t="n">
        <v>44512</v>
      </c>
      <c r="C991" s="1" t="n">
        <v>45337</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64944-2021</t>
        </is>
      </c>
      <c r="B992" s="1" t="n">
        <v>44512</v>
      </c>
      <c r="C992" s="1" t="n">
        <v>45337</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65009-2021</t>
        </is>
      </c>
      <c r="B993" s="1" t="n">
        <v>44514</v>
      </c>
      <c r="C993" s="1" t="n">
        <v>45337</v>
      </c>
      <c r="D993" t="inlineStr">
        <is>
          <t>VÄSTERNORRLANDS LÄN</t>
        </is>
      </c>
      <c r="E993" t="inlineStr">
        <is>
          <t>SOLLEFTEÅ</t>
        </is>
      </c>
      <c r="G993" t="n">
        <v>17.3</v>
      </c>
      <c r="H993" t="n">
        <v>0</v>
      </c>
      <c r="I993" t="n">
        <v>0</v>
      </c>
      <c r="J993" t="n">
        <v>0</v>
      </c>
      <c r="K993" t="n">
        <v>0</v>
      </c>
      <c r="L993" t="n">
        <v>0</v>
      </c>
      <c r="M993" t="n">
        <v>0</v>
      </c>
      <c r="N993" t="n">
        <v>0</v>
      </c>
      <c r="O993" t="n">
        <v>0</v>
      </c>
      <c r="P993" t="n">
        <v>0</v>
      </c>
      <c r="Q993" t="n">
        <v>0</v>
      </c>
      <c r="R993" s="2" t="inlineStr"/>
    </row>
    <row r="994" ht="15" customHeight="1">
      <c r="A994" t="inlineStr">
        <is>
          <t>A 65419-2021</t>
        </is>
      </c>
      <c r="B994" s="1" t="n">
        <v>44515</v>
      </c>
      <c r="C994" s="1" t="n">
        <v>45337</v>
      </c>
      <c r="D994" t="inlineStr">
        <is>
          <t>VÄSTERNORRLANDS LÄN</t>
        </is>
      </c>
      <c r="E994" t="inlineStr">
        <is>
          <t>SOLLEFTEÅ</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66178-2021</t>
        </is>
      </c>
      <c r="B995" s="1" t="n">
        <v>44517</v>
      </c>
      <c r="C995" s="1" t="n">
        <v>45337</v>
      </c>
      <c r="D995" t="inlineStr">
        <is>
          <t>VÄSTERNORRLANDS LÄN</t>
        </is>
      </c>
      <c r="E995" t="inlineStr">
        <is>
          <t>SOLLEFTEÅ</t>
        </is>
      </c>
      <c r="F995" t="inlineStr">
        <is>
          <t>SCA</t>
        </is>
      </c>
      <c r="G995" t="n">
        <v>31.7</v>
      </c>
      <c r="H995" t="n">
        <v>0</v>
      </c>
      <c r="I995" t="n">
        <v>0</v>
      </c>
      <c r="J995" t="n">
        <v>0</v>
      </c>
      <c r="K995" t="n">
        <v>0</v>
      </c>
      <c r="L995" t="n">
        <v>0</v>
      </c>
      <c r="M995" t="n">
        <v>0</v>
      </c>
      <c r="N995" t="n">
        <v>0</v>
      </c>
      <c r="O995" t="n">
        <v>0</v>
      </c>
      <c r="P995" t="n">
        <v>0</v>
      </c>
      <c r="Q995" t="n">
        <v>0</v>
      </c>
      <c r="R995" s="2" t="inlineStr"/>
    </row>
    <row r="996" ht="15" customHeight="1">
      <c r="A996" t="inlineStr">
        <is>
          <t>A 66856-2021</t>
        </is>
      </c>
      <c r="B996" s="1" t="n">
        <v>44522</v>
      </c>
      <c r="C996" s="1" t="n">
        <v>45337</v>
      </c>
      <c r="D996" t="inlineStr">
        <is>
          <t>VÄSTERNORRLANDS LÄN</t>
        </is>
      </c>
      <c r="E996" t="inlineStr">
        <is>
          <t>SOLLEFTEÅ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67085-2021</t>
        </is>
      </c>
      <c r="B997" s="1" t="n">
        <v>44522</v>
      </c>
      <c r="C997" s="1" t="n">
        <v>45337</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67143-2021</t>
        </is>
      </c>
      <c r="B998" s="1" t="n">
        <v>44523</v>
      </c>
      <c r="C998" s="1" t="n">
        <v>45337</v>
      </c>
      <c r="D998" t="inlineStr">
        <is>
          <t>VÄSTERNORRLANDS LÄN</t>
        </is>
      </c>
      <c r="E998" t="inlineStr">
        <is>
          <t>SOLLEFTEÅ</t>
        </is>
      </c>
      <c r="G998" t="n">
        <v>19.7</v>
      </c>
      <c r="H998" t="n">
        <v>0</v>
      </c>
      <c r="I998" t="n">
        <v>0</v>
      </c>
      <c r="J998" t="n">
        <v>0</v>
      </c>
      <c r="K998" t="n">
        <v>0</v>
      </c>
      <c r="L998" t="n">
        <v>0</v>
      </c>
      <c r="M998" t="n">
        <v>0</v>
      </c>
      <c r="N998" t="n">
        <v>0</v>
      </c>
      <c r="O998" t="n">
        <v>0</v>
      </c>
      <c r="P998" t="n">
        <v>0</v>
      </c>
      <c r="Q998" t="n">
        <v>0</v>
      </c>
      <c r="R998" s="2" t="inlineStr"/>
    </row>
    <row r="999" ht="15" customHeight="1">
      <c r="A999" t="inlineStr">
        <is>
          <t>A 67136-2021</t>
        </is>
      </c>
      <c r="B999" s="1" t="n">
        <v>44523</v>
      </c>
      <c r="C999" s="1" t="n">
        <v>45337</v>
      </c>
      <c r="D999" t="inlineStr">
        <is>
          <t>VÄSTERNORRLANDS LÄN</t>
        </is>
      </c>
      <c r="E999" t="inlineStr">
        <is>
          <t>SOLLEFTEÅ</t>
        </is>
      </c>
      <c r="G999" t="n">
        <v>5.2</v>
      </c>
      <c r="H999" t="n">
        <v>0</v>
      </c>
      <c r="I999" t="n">
        <v>0</v>
      </c>
      <c r="J999" t="n">
        <v>0</v>
      </c>
      <c r="K999" t="n">
        <v>0</v>
      </c>
      <c r="L999" t="n">
        <v>0</v>
      </c>
      <c r="M999" t="n">
        <v>0</v>
      </c>
      <c r="N999" t="n">
        <v>0</v>
      </c>
      <c r="O999" t="n">
        <v>0</v>
      </c>
      <c r="P999" t="n">
        <v>0</v>
      </c>
      <c r="Q999" t="n">
        <v>0</v>
      </c>
      <c r="R999" s="2" t="inlineStr"/>
    </row>
    <row r="1000" ht="15" customHeight="1">
      <c r="A1000" t="inlineStr">
        <is>
          <t>A 67390-2021</t>
        </is>
      </c>
      <c r="B1000" s="1" t="n">
        <v>44523</v>
      </c>
      <c r="C1000" s="1" t="n">
        <v>45337</v>
      </c>
      <c r="D1000" t="inlineStr">
        <is>
          <t>VÄSTERNORRLANDS LÄN</t>
        </is>
      </c>
      <c r="E1000" t="inlineStr">
        <is>
          <t>SOLLEFTEÅ</t>
        </is>
      </c>
      <c r="F1000" t="inlineStr">
        <is>
          <t>SCA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67401-2021</t>
        </is>
      </c>
      <c r="B1001" s="1" t="n">
        <v>44523</v>
      </c>
      <c r="C1001" s="1" t="n">
        <v>45337</v>
      </c>
      <c r="D1001" t="inlineStr">
        <is>
          <t>VÄSTERNORRLANDS LÄN</t>
        </is>
      </c>
      <c r="E1001" t="inlineStr">
        <is>
          <t>SOLLEFTEÅ</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67689-2021</t>
        </is>
      </c>
      <c r="B1002" s="1" t="n">
        <v>44524</v>
      </c>
      <c r="C1002" s="1" t="n">
        <v>45337</v>
      </c>
      <c r="D1002" t="inlineStr">
        <is>
          <t>VÄSTERNORRLANDS LÄN</t>
        </is>
      </c>
      <c r="E1002" t="inlineStr">
        <is>
          <t>SOLLEFTEÅ</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67702-2021</t>
        </is>
      </c>
      <c r="B1003" s="1" t="n">
        <v>44524</v>
      </c>
      <c r="C1003" s="1" t="n">
        <v>45337</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67822-2021</t>
        </is>
      </c>
      <c r="B1004" s="1" t="n">
        <v>44525</v>
      </c>
      <c r="C1004" s="1" t="n">
        <v>45337</v>
      </c>
      <c r="D1004" t="inlineStr">
        <is>
          <t>VÄSTERNORRLANDS LÄN</t>
        </is>
      </c>
      <c r="E1004" t="inlineStr">
        <is>
          <t>SOLLEFTEÅ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68317-2021</t>
        </is>
      </c>
      <c r="B1005" s="1" t="n">
        <v>44526</v>
      </c>
      <c r="C1005" s="1" t="n">
        <v>45337</v>
      </c>
      <c r="D1005" t="inlineStr">
        <is>
          <t>VÄSTERNORRLANDS LÄN</t>
        </is>
      </c>
      <c r="E1005" t="inlineStr">
        <is>
          <t>SOLLEFTEÅ</t>
        </is>
      </c>
      <c r="F1005" t="inlineStr">
        <is>
          <t>SCA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68792-2021</t>
        </is>
      </c>
      <c r="B1006" s="1" t="n">
        <v>44529</v>
      </c>
      <c r="C1006" s="1" t="n">
        <v>45337</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68843-2021</t>
        </is>
      </c>
      <c r="B1007" s="1" t="n">
        <v>44530</v>
      </c>
      <c r="C1007" s="1" t="n">
        <v>45337</v>
      </c>
      <c r="D1007" t="inlineStr">
        <is>
          <t>VÄSTERNORRLANDS LÄN</t>
        </is>
      </c>
      <c r="E1007" t="inlineStr">
        <is>
          <t>SOLLEFTEÅ</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68863-2021</t>
        </is>
      </c>
      <c r="B1008" s="1" t="n">
        <v>44530</v>
      </c>
      <c r="C1008" s="1" t="n">
        <v>45337</v>
      </c>
      <c r="D1008" t="inlineStr">
        <is>
          <t>VÄSTERNORRLANDS LÄN</t>
        </is>
      </c>
      <c r="E1008" t="inlineStr">
        <is>
          <t>SOLLEFTEÅ</t>
        </is>
      </c>
      <c r="F1008" t="inlineStr">
        <is>
          <t>Holmen skog AB</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69121-2021</t>
        </is>
      </c>
      <c r="B1009" s="1" t="n">
        <v>44530</v>
      </c>
      <c r="C1009" s="1" t="n">
        <v>45337</v>
      </c>
      <c r="D1009" t="inlineStr">
        <is>
          <t>VÄSTERNORRLANDS LÄN</t>
        </is>
      </c>
      <c r="E1009" t="inlineStr">
        <is>
          <t>SOLLEFTEÅ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69543-2021</t>
        </is>
      </c>
      <c r="B1010" s="1" t="n">
        <v>44531</v>
      </c>
      <c r="C1010" s="1" t="n">
        <v>45337</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69542-2021</t>
        </is>
      </c>
      <c r="B1011" s="1" t="n">
        <v>44531</v>
      </c>
      <c r="C1011" s="1" t="n">
        <v>45337</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69919-2021</t>
        </is>
      </c>
      <c r="B1012" s="1" t="n">
        <v>44532</v>
      </c>
      <c r="C1012" s="1" t="n">
        <v>45337</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69916-2021</t>
        </is>
      </c>
      <c r="B1013" s="1" t="n">
        <v>44532</v>
      </c>
      <c r="C1013" s="1" t="n">
        <v>45337</v>
      </c>
      <c r="D1013" t="inlineStr">
        <is>
          <t>VÄSTERNORRLANDS LÄN</t>
        </is>
      </c>
      <c r="E1013" t="inlineStr">
        <is>
          <t>SOLLEFTEÅ</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70180-2021</t>
        </is>
      </c>
      <c r="B1014" s="1" t="n">
        <v>44533</v>
      </c>
      <c r="C1014" s="1" t="n">
        <v>45337</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70821-2021</t>
        </is>
      </c>
      <c r="B1015" s="1" t="n">
        <v>44537</v>
      </c>
      <c r="C1015" s="1" t="n">
        <v>45337</v>
      </c>
      <c r="D1015" t="inlineStr">
        <is>
          <t>VÄSTERNORRLANDS LÄN</t>
        </is>
      </c>
      <c r="E1015" t="inlineStr">
        <is>
          <t>SOLLEFTEÅ</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71080-2021</t>
        </is>
      </c>
      <c r="B1016" s="1" t="n">
        <v>44538</v>
      </c>
      <c r="C1016" s="1" t="n">
        <v>45337</v>
      </c>
      <c r="D1016" t="inlineStr">
        <is>
          <t>VÄSTERNORRLANDS LÄN</t>
        </is>
      </c>
      <c r="E1016" t="inlineStr">
        <is>
          <t>SOLLEFTEÅ</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71079-2021</t>
        </is>
      </c>
      <c r="B1017" s="1" t="n">
        <v>44538</v>
      </c>
      <c r="C1017" s="1" t="n">
        <v>45337</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71348-2021</t>
        </is>
      </c>
      <c r="B1018" s="1" t="n">
        <v>44539</v>
      </c>
      <c r="C1018" s="1" t="n">
        <v>45337</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71351-2021</t>
        </is>
      </c>
      <c r="B1019" s="1" t="n">
        <v>44539</v>
      </c>
      <c r="C1019" s="1" t="n">
        <v>45337</v>
      </c>
      <c r="D1019" t="inlineStr">
        <is>
          <t>VÄSTERNORRLANDS LÄN</t>
        </is>
      </c>
      <c r="E1019" t="inlineStr">
        <is>
          <t>SOLLEFTEÅ</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71350-2021</t>
        </is>
      </c>
      <c r="B1020" s="1" t="n">
        <v>44539</v>
      </c>
      <c r="C1020" s="1" t="n">
        <v>45337</v>
      </c>
      <c r="D1020" t="inlineStr">
        <is>
          <t>VÄSTERNORRLANDS LÄN</t>
        </is>
      </c>
      <c r="E1020" t="inlineStr">
        <is>
          <t>SOLLEFTEÅ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71580-2021</t>
        </is>
      </c>
      <c r="B1021" s="1" t="n">
        <v>44540</v>
      </c>
      <c r="C1021" s="1" t="n">
        <v>45337</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72244-2021</t>
        </is>
      </c>
      <c r="B1022" s="1" t="n">
        <v>44544</v>
      </c>
      <c r="C1022" s="1" t="n">
        <v>45337</v>
      </c>
      <c r="D1022" t="inlineStr">
        <is>
          <t>VÄSTERNORRLANDS LÄN</t>
        </is>
      </c>
      <c r="E1022" t="inlineStr">
        <is>
          <t>SOLLEFTEÅ</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72249-2021</t>
        </is>
      </c>
      <c r="B1023" s="1" t="n">
        <v>44544</v>
      </c>
      <c r="C1023" s="1" t="n">
        <v>45337</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72315-2021</t>
        </is>
      </c>
      <c r="B1024" s="1" t="n">
        <v>44545</v>
      </c>
      <c r="C1024" s="1" t="n">
        <v>45337</v>
      </c>
      <c r="D1024" t="inlineStr">
        <is>
          <t>VÄSTERNORRLANDS LÄN</t>
        </is>
      </c>
      <c r="E1024" t="inlineStr">
        <is>
          <t>SOLLEFTEÅ</t>
        </is>
      </c>
      <c r="F1024" t="inlineStr">
        <is>
          <t>SCA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72485-2021</t>
        </is>
      </c>
      <c r="B1025" s="1" t="n">
        <v>44545</v>
      </c>
      <c r="C1025" s="1" t="n">
        <v>45337</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72496-2021</t>
        </is>
      </c>
      <c r="B1026" s="1" t="n">
        <v>44545</v>
      </c>
      <c r="C1026" s="1" t="n">
        <v>45337</v>
      </c>
      <c r="D1026" t="inlineStr">
        <is>
          <t>VÄSTERNORRLANDS LÄN</t>
        </is>
      </c>
      <c r="E1026" t="inlineStr">
        <is>
          <t>SOLLEFTEÅ</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72949-2021</t>
        </is>
      </c>
      <c r="B1027" s="1" t="n">
        <v>44547</v>
      </c>
      <c r="C1027" s="1" t="n">
        <v>45337</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72958-2021</t>
        </is>
      </c>
      <c r="B1028" s="1" t="n">
        <v>44547</v>
      </c>
      <c r="C1028" s="1" t="n">
        <v>45337</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72977-2021</t>
        </is>
      </c>
      <c r="B1029" s="1" t="n">
        <v>44548</v>
      </c>
      <c r="C1029" s="1" t="n">
        <v>45337</v>
      </c>
      <c r="D1029" t="inlineStr">
        <is>
          <t>VÄSTERNORRLANDS LÄN</t>
        </is>
      </c>
      <c r="E1029" t="inlineStr">
        <is>
          <t>SOLLEFTEÅ</t>
        </is>
      </c>
      <c r="F1029" t="inlineStr">
        <is>
          <t>SCA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73285-2021</t>
        </is>
      </c>
      <c r="B1030" s="1" t="n">
        <v>44550</v>
      </c>
      <c r="C1030" s="1" t="n">
        <v>45337</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73367-2021</t>
        </is>
      </c>
      <c r="B1031" s="1" t="n">
        <v>44550</v>
      </c>
      <c r="C1031" s="1" t="n">
        <v>45337</v>
      </c>
      <c r="D1031" t="inlineStr">
        <is>
          <t>VÄSTERNORRLANDS LÄN</t>
        </is>
      </c>
      <c r="E1031" t="inlineStr">
        <is>
          <t>SOLLEFTEÅ</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73566-2021</t>
        </is>
      </c>
      <c r="B1032" s="1" t="n">
        <v>44551</v>
      </c>
      <c r="C1032" s="1" t="n">
        <v>45337</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73564-2021</t>
        </is>
      </c>
      <c r="B1033" s="1" t="n">
        <v>44551</v>
      </c>
      <c r="C1033" s="1" t="n">
        <v>45337</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73567-2021</t>
        </is>
      </c>
      <c r="B1034" s="1" t="n">
        <v>44551</v>
      </c>
      <c r="C1034" s="1" t="n">
        <v>45337</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73886-2021</t>
        </is>
      </c>
      <c r="B1035" s="1" t="n">
        <v>44553</v>
      </c>
      <c r="C1035" s="1" t="n">
        <v>45337</v>
      </c>
      <c r="D1035" t="inlineStr">
        <is>
          <t>VÄSTERNORRLANDS LÄN</t>
        </is>
      </c>
      <c r="E1035" t="inlineStr">
        <is>
          <t>SOLLEFTEÅ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73847-2021</t>
        </is>
      </c>
      <c r="B1036" s="1" t="n">
        <v>44553</v>
      </c>
      <c r="C1036" s="1" t="n">
        <v>45337</v>
      </c>
      <c r="D1036" t="inlineStr">
        <is>
          <t>VÄSTERNORRLANDS LÄN</t>
        </is>
      </c>
      <c r="E1036" t="inlineStr">
        <is>
          <t>SOLLEFTEÅ</t>
        </is>
      </c>
      <c r="F1036" t="inlineStr">
        <is>
          <t>Övriga Aktiebolag</t>
        </is>
      </c>
      <c r="G1036" t="n">
        <v>20.1</v>
      </c>
      <c r="H1036" t="n">
        <v>0</v>
      </c>
      <c r="I1036" t="n">
        <v>0</v>
      </c>
      <c r="J1036" t="n">
        <v>0</v>
      </c>
      <c r="K1036" t="n">
        <v>0</v>
      </c>
      <c r="L1036" t="n">
        <v>0</v>
      </c>
      <c r="M1036" t="n">
        <v>0</v>
      </c>
      <c r="N1036" t="n">
        <v>0</v>
      </c>
      <c r="O1036" t="n">
        <v>0</v>
      </c>
      <c r="P1036" t="n">
        <v>0</v>
      </c>
      <c r="Q1036" t="n">
        <v>0</v>
      </c>
      <c r="R1036" s="2" t="inlineStr"/>
    </row>
    <row r="1037" ht="15" customHeight="1">
      <c r="A1037" t="inlineStr">
        <is>
          <t>A 2-2022</t>
        </is>
      </c>
      <c r="B1037" s="1" t="n">
        <v>44562</v>
      </c>
      <c r="C1037" s="1" t="n">
        <v>45337</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19-2022</t>
        </is>
      </c>
      <c r="B1038" s="1" t="n">
        <v>44564</v>
      </c>
      <c r="C1038" s="1" t="n">
        <v>45337</v>
      </c>
      <c r="D1038" t="inlineStr">
        <is>
          <t>VÄSTERNORRLANDS LÄN</t>
        </is>
      </c>
      <c r="E1038" t="inlineStr">
        <is>
          <t>SOLLEFTEÅ</t>
        </is>
      </c>
      <c r="G1038" t="n">
        <v>14.9</v>
      </c>
      <c r="H1038" t="n">
        <v>0</v>
      </c>
      <c r="I1038" t="n">
        <v>0</v>
      </c>
      <c r="J1038" t="n">
        <v>0</v>
      </c>
      <c r="K1038" t="n">
        <v>0</v>
      </c>
      <c r="L1038" t="n">
        <v>0</v>
      </c>
      <c r="M1038" t="n">
        <v>0</v>
      </c>
      <c r="N1038" t="n">
        <v>0</v>
      </c>
      <c r="O1038" t="n">
        <v>0</v>
      </c>
      <c r="P1038" t="n">
        <v>0</v>
      </c>
      <c r="Q1038" t="n">
        <v>0</v>
      </c>
      <c r="R1038" s="2" t="inlineStr"/>
    </row>
    <row r="1039" ht="15" customHeight="1">
      <c r="A1039" t="inlineStr">
        <is>
          <t>A 576-2022</t>
        </is>
      </c>
      <c r="B1039" s="1" t="n">
        <v>44566</v>
      </c>
      <c r="C1039" s="1" t="n">
        <v>45337</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1095-2022</t>
        </is>
      </c>
      <c r="B1040" s="1" t="n">
        <v>44571</v>
      </c>
      <c r="C1040" s="1" t="n">
        <v>45337</v>
      </c>
      <c r="D1040" t="inlineStr">
        <is>
          <t>VÄSTERNORRLANDS LÄN</t>
        </is>
      </c>
      <c r="E1040" t="inlineStr">
        <is>
          <t>SOLLEFTEÅ</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1094-2022</t>
        </is>
      </c>
      <c r="B1041" s="1" t="n">
        <v>44571</v>
      </c>
      <c r="C1041" s="1" t="n">
        <v>45337</v>
      </c>
      <c r="D1041" t="inlineStr">
        <is>
          <t>VÄSTERNORRLANDS LÄN</t>
        </is>
      </c>
      <c r="E1041" t="inlineStr">
        <is>
          <t>SOLLEFTEÅ</t>
        </is>
      </c>
      <c r="F1041" t="inlineStr">
        <is>
          <t>SCA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1402-2022</t>
        </is>
      </c>
      <c r="B1042" s="1" t="n">
        <v>44573</v>
      </c>
      <c r="C1042" s="1" t="n">
        <v>45337</v>
      </c>
      <c r="D1042" t="inlineStr">
        <is>
          <t>VÄSTERNORRLANDS LÄN</t>
        </is>
      </c>
      <c r="E1042" t="inlineStr">
        <is>
          <t>SOLLEFTEÅ</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1987-2022</t>
        </is>
      </c>
      <c r="B1043" s="1" t="n">
        <v>44575</v>
      </c>
      <c r="C1043" s="1" t="n">
        <v>45337</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1997-2022</t>
        </is>
      </c>
      <c r="B1044" s="1" t="n">
        <v>44575</v>
      </c>
      <c r="C1044" s="1" t="n">
        <v>45337</v>
      </c>
      <c r="D1044" t="inlineStr">
        <is>
          <t>VÄSTERNORRLANDS LÄN</t>
        </is>
      </c>
      <c r="E1044" t="inlineStr">
        <is>
          <t>SOLLEFTEÅ</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2536-2022</t>
        </is>
      </c>
      <c r="B1045" s="1" t="n">
        <v>44579</v>
      </c>
      <c r="C1045" s="1" t="n">
        <v>45337</v>
      </c>
      <c r="D1045" t="inlineStr">
        <is>
          <t>VÄSTERNORRLANDS LÄN</t>
        </is>
      </c>
      <c r="E1045" t="inlineStr">
        <is>
          <t>SOLLEFTEÅ</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2543-2022</t>
        </is>
      </c>
      <c r="B1046" s="1" t="n">
        <v>44580</v>
      </c>
      <c r="C1046" s="1" t="n">
        <v>45337</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2542-2022</t>
        </is>
      </c>
      <c r="B1047" s="1" t="n">
        <v>44580</v>
      </c>
      <c r="C1047" s="1" t="n">
        <v>45337</v>
      </c>
      <c r="D1047" t="inlineStr">
        <is>
          <t>VÄSTERNORRLANDS LÄN</t>
        </is>
      </c>
      <c r="E1047" t="inlineStr">
        <is>
          <t>SOLLEFTEÅ</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2541-2022</t>
        </is>
      </c>
      <c r="B1048" s="1" t="n">
        <v>44580</v>
      </c>
      <c r="C1048" s="1" t="n">
        <v>45337</v>
      </c>
      <c r="D1048" t="inlineStr">
        <is>
          <t>VÄSTERNORRLANDS LÄN</t>
        </is>
      </c>
      <c r="E1048" t="inlineStr">
        <is>
          <t>SOLLEFTEÅ</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2747-2022</t>
        </is>
      </c>
      <c r="B1049" s="1" t="n">
        <v>44580</v>
      </c>
      <c r="C1049" s="1" t="n">
        <v>45337</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3001-2022</t>
        </is>
      </c>
      <c r="B1050" s="1" t="n">
        <v>44581</v>
      </c>
      <c r="C1050" s="1" t="n">
        <v>45337</v>
      </c>
      <c r="D1050" t="inlineStr">
        <is>
          <t>VÄSTERNORRLANDS LÄN</t>
        </is>
      </c>
      <c r="E1050" t="inlineStr">
        <is>
          <t>SOLLEFTEÅ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3541-2022</t>
        </is>
      </c>
      <c r="B1051" s="1" t="n">
        <v>44585</v>
      </c>
      <c r="C1051" s="1" t="n">
        <v>45337</v>
      </c>
      <c r="D1051" t="inlineStr">
        <is>
          <t>VÄSTERNORRLANDS LÄN</t>
        </is>
      </c>
      <c r="E1051" t="inlineStr">
        <is>
          <t>SOLLEFTEÅ</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3548-2022</t>
        </is>
      </c>
      <c r="B1052" s="1" t="n">
        <v>44585</v>
      </c>
      <c r="C1052" s="1" t="n">
        <v>45337</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3554-2022</t>
        </is>
      </c>
      <c r="B1053" s="1" t="n">
        <v>44585</v>
      </c>
      <c r="C1053" s="1" t="n">
        <v>45337</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3560-2022</t>
        </is>
      </c>
      <c r="B1054" s="1" t="n">
        <v>44585</v>
      </c>
      <c r="C1054" s="1" t="n">
        <v>45337</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3549-2022</t>
        </is>
      </c>
      <c r="B1055" s="1" t="n">
        <v>44585</v>
      </c>
      <c r="C1055" s="1" t="n">
        <v>45337</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3551-2022</t>
        </is>
      </c>
      <c r="B1056" s="1" t="n">
        <v>44585</v>
      </c>
      <c r="C1056" s="1" t="n">
        <v>45337</v>
      </c>
      <c r="D1056" t="inlineStr">
        <is>
          <t>VÄSTERNORRLANDS LÄN</t>
        </is>
      </c>
      <c r="E1056" t="inlineStr">
        <is>
          <t>SOLLEFTEÅ</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3556-2022</t>
        </is>
      </c>
      <c r="B1057" s="1" t="n">
        <v>44585</v>
      </c>
      <c r="C1057" s="1" t="n">
        <v>45337</v>
      </c>
      <c r="D1057" t="inlineStr">
        <is>
          <t>VÄSTERNORRLANDS LÄN</t>
        </is>
      </c>
      <c r="E1057" t="inlineStr">
        <is>
          <t>SOLLEFTEÅ</t>
        </is>
      </c>
      <c r="F1057" t="inlineStr">
        <is>
          <t>SCA</t>
        </is>
      </c>
      <c r="G1057" t="n">
        <v>18.2</v>
      </c>
      <c r="H1057" t="n">
        <v>0</v>
      </c>
      <c r="I1057" t="n">
        <v>0</v>
      </c>
      <c r="J1057" t="n">
        <v>0</v>
      </c>
      <c r="K1057" t="n">
        <v>0</v>
      </c>
      <c r="L1057" t="n">
        <v>0</v>
      </c>
      <c r="M1057" t="n">
        <v>0</v>
      </c>
      <c r="N1057" t="n">
        <v>0</v>
      </c>
      <c r="O1057" t="n">
        <v>0</v>
      </c>
      <c r="P1057" t="n">
        <v>0</v>
      </c>
      <c r="Q1057" t="n">
        <v>0</v>
      </c>
      <c r="R1057" s="2" t="inlineStr"/>
    </row>
    <row r="1058" ht="15" customHeight="1">
      <c r="A1058" t="inlineStr">
        <is>
          <t>A 3555-2022</t>
        </is>
      </c>
      <c r="B1058" s="1" t="n">
        <v>44585</v>
      </c>
      <c r="C1058" s="1" t="n">
        <v>45337</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3552-2022</t>
        </is>
      </c>
      <c r="B1059" s="1" t="n">
        <v>44585</v>
      </c>
      <c r="C1059" s="1" t="n">
        <v>45337</v>
      </c>
      <c r="D1059" t="inlineStr">
        <is>
          <t>VÄSTERNORRLANDS LÄN</t>
        </is>
      </c>
      <c r="E1059" t="inlineStr">
        <is>
          <t>SOLLEFTEÅ</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3557-2022</t>
        </is>
      </c>
      <c r="B1060" s="1" t="n">
        <v>44585</v>
      </c>
      <c r="C1060" s="1" t="n">
        <v>45337</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3699-2022</t>
        </is>
      </c>
      <c r="B1061" s="1" t="n">
        <v>44586</v>
      </c>
      <c r="C1061" s="1" t="n">
        <v>45337</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3793-2022</t>
        </is>
      </c>
      <c r="B1062" s="1" t="n">
        <v>44586</v>
      </c>
      <c r="C1062" s="1" t="n">
        <v>45337</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3795-2022</t>
        </is>
      </c>
      <c r="B1063" s="1" t="n">
        <v>44586</v>
      </c>
      <c r="C1063" s="1" t="n">
        <v>45337</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4018-2022</t>
        </is>
      </c>
      <c r="B1064" s="1" t="n">
        <v>44587</v>
      </c>
      <c r="C1064" s="1" t="n">
        <v>45337</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4343-2022</t>
        </is>
      </c>
      <c r="B1065" s="1" t="n">
        <v>44588</v>
      </c>
      <c r="C1065" s="1" t="n">
        <v>45337</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4555-2022</t>
        </is>
      </c>
      <c r="B1066" s="1" t="n">
        <v>44590</v>
      </c>
      <c r="C1066" s="1" t="n">
        <v>45337</v>
      </c>
      <c r="D1066" t="inlineStr">
        <is>
          <t>VÄSTERNORRLANDS LÄN</t>
        </is>
      </c>
      <c r="E1066" t="inlineStr">
        <is>
          <t>SOLLEFTEÅ</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5108-2022</t>
        </is>
      </c>
      <c r="B1067" s="1" t="n">
        <v>44593</v>
      </c>
      <c r="C1067" s="1" t="n">
        <v>45337</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5110-2022</t>
        </is>
      </c>
      <c r="B1068" s="1" t="n">
        <v>44593</v>
      </c>
      <c r="C1068" s="1" t="n">
        <v>45337</v>
      </c>
      <c r="D1068" t="inlineStr">
        <is>
          <t>VÄSTERNORRLANDS LÄN</t>
        </is>
      </c>
      <c r="E1068" t="inlineStr">
        <is>
          <t>SOLLEFTEÅ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5111-2022</t>
        </is>
      </c>
      <c r="B1069" s="1" t="n">
        <v>44593</v>
      </c>
      <c r="C1069" s="1" t="n">
        <v>45337</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5134-2022</t>
        </is>
      </c>
      <c r="B1070" s="1" t="n">
        <v>44594</v>
      </c>
      <c r="C1070" s="1" t="n">
        <v>45337</v>
      </c>
      <c r="D1070" t="inlineStr">
        <is>
          <t>VÄSTERNORRLANDS LÄN</t>
        </is>
      </c>
      <c r="E1070" t="inlineStr">
        <is>
          <t>SOLLEFTEÅ</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5657-2022</t>
        </is>
      </c>
      <c r="B1071" s="1" t="n">
        <v>44595</v>
      </c>
      <c r="C1071" s="1" t="n">
        <v>45337</v>
      </c>
      <c r="D1071" t="inlineStr">
        <is>
          <t>VÄSTERNORRLANDS LÄN</t>
        </is>
      </c>
      <c r="E1071" t="inlineStr">
        <is>
          <t>SOLLEFTEÅ</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5909-2022</t>
        </is>
      </c>
      <c r="B1072" s="1" t="n">
        <v>44596</v>
      </c>
      <c r="C1072" s="1" t="n">
        <v>45337</v>
      </c>
      <c r="D1072" t="inlineStr">
        <is>
          <t>VÄSTERNORRLANDS LÄN</t>
        </is>
      </c>
      <c r="E1072" t="inlineStr">
        <is>
          <t>SOLLEFTEÅ</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6121-2022</t>
        </is>
      </c>
      <c r="B1073" s="1" t="n">
        <v>44599</v>
      </c>
      <c r="C1073" s="1" t="n">
        <v>45337</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6172-2022</t>
        </is>
      </c>
      <c r="B1074" s="1" t="n">
        <v>44599</v>
      </c>
      <c r="C1074" s="1" t="n">
        <v>45337</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6170-2022</t>
        </is>
      </c>
      <c r="B1075" s="1" t="n">
        <v>44599</v>
      </c>
      <c r="C1075" s="1" t="n">
        <v>45337</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7667-2022</t>
        </is>
      </c>
      <c r="B1076" s="1" t="n">
        <v>44607</v>
      </c>
      <c r="C1076" s="1" t="n">
        <v>45337</v>
      </c>
      <c r="D1076" t="inlineStr">
        <is>
          <t>VÄSTERNORRLANDS LÄN</t>
        </is>
      </c>
      <c r="E1076" t="inlineStr">
        <is>
          <t>SOLLEFTEÅ</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7965-2022</t>
        </is>
      </c>
      <c r="B1077" s="1" t="n">
        <v>44608</v>
      </c>
      <c r="C1077" s="1" t="n">
        <v>45337</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7963-2022</t>
        </is>
      </c>
      <c r="B1078" s="1" t="n">
        <v>44608</v>
      </c>
      <c r="C1078" s="1" t="n">
        <v>45337</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7935-2022</t>
        </is>
      </c>
      <c r="B1079" s="1" t="n">
        <v>44608</v>
      </c>
      <c r="C1079" s="1" t="n">
        <v>45337</v>
      </c>
      <c r="D1079" t="inlineStr">
        <is>
          <t>VÄSTERNORRLANDS LÄN</t>
        </is>
      </c>
      <c r="E1079" t="inlineStr">
        <is>
          <t>SOLLEFTEÅ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7964-2022</t>
        </is>
      </c>
      <c r="B1080" s="1" t="n">
        <v>44608</v>
      </c>
      <c r="C1080" s="1" t="n">
        <v>45337</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8221-2022</t>
        </is>
      </c>
      <c r="B1081" s="1" t="n">
        <v>44609</v>
      </c>
      <c r="C1081" s="1" t="n">
        <v>45337</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8222-2022</t>
        </is>
      </c>
      <c r="B1082" s="1" t="n">
        <v>44609</v>
      </c>
      <c r="C1082" s="1" t="n">
        <v>45337</v>
      </c>
      <c r="D1082" t="inlineStr">
        <is>
          <t>VÄSTERNORRLANDS LÄN</t>
        </is>
      </c>
      <c r="E1082" t="inlineStr">
        <is>
          <t>SOLLEFTEÅ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8728-2022</t>
        </is>
      </c>
      <c r="B1083" s="1" t="n">
        <v>44613</v>
      </c>
      <c r="C1083" s="1" t="n">
        <v>45337</v>
      </c>
      <c r="D1083" t="inlineStr">
        <is>
          <t>VÄSTERNORRLANDS LÄN</t>
        </is>
      </c>
      <c r="E1083" t="inlineStr">
        <is>
          <t>SOLLEFTEÅ</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8729-2022</t>
        </is>
      </c>
      <c r="B1084" s="1" t="n">
        <v>44613</v>
      </c>
      <c r="C1084" s="1" t="n">
        <v>45337</v>
      </c>
      <c r="D1084" t="inlineStr">
        <is>
          <t>VÄSTERNORRLANDS LÄN</t>
        </is>
      </c>
      <c r="E1084" t="inlineStr">
        <is>
          <t>SOLLEFTEÅ</t>
        </is>
      </c>
      <c r="F1084" t="inlineStr">
        <is>
          <t>SCA</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8734-2022</t>
        </is>
      </c>
      <c r="B1085" s="1" t="n">
        <v>44613</v>
      </c>
      <c r="C1085" s="1" t="n">
        <v>45337</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9124-2022</t>
        </is>
      </c>
      <c r="B1086" s="1" t="n">
        <v>44615</v>
      </c>
      <c r="C1086" s="1" t="n">
        <v>45337</v>
      </c>
      <c r="D1086" t="inlineStr">
        <is>
          <t>VÄSTERNORRLANDS LÄN</t>
        </is>
      </c>
      <c r="E1086" t="inlineStr">
        <is>
          <t>SOLLEFTEÅ</t>
        </is>
      </c>
      <c r="G1086" t="n">
        <v>20.2</v>
      </c>
      <c r="H1086" t="n">
        <v>0</v>
      </c>
      <c r="I1086" t="n">
        <v>0</v>
      </c>
      <c r="J1086" t="n">
        <v>0</v>
      </c>
      <c r="K1086" t="n">
        <v>0</v>
      </c>
      <c r="L1086" t="n">
        <v>0</v>
      </c>
      <c r="M1086" t="n">
        <v>0</v>
      </c>
      <c r="N1086" t="n">
        <v>0</v>
      </c>
      <c r="O1086" t="n">
        <v>0</v>
      </c>
      <c r="P1086" t="n">
        <v>0</v>
      </c>
      <c r="Q1086" t="n">
        <v>0</v>
      </c>
      <c r="R1086" s="2" t="inlineStr"/>
    </row>
    <row r="1087" ht="15" customHeight="1">
      <c r="A1087" t="inlineStr">
        <is>
          <t>A 9487-2022</t>
        </is>
      </c>
      <c r="B1087" s="1" t="n">
        <v>44616</v>
      </c>
      <c r="C1087" s="1" t="n">
        <v>45337</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9586-2022</t>
        </is>
      </c>
      <c r="B1088" s="1" t="n">
        <v>44617</v>
      </c>
      <c r="C1088" s="1" t="n">
        <v>45337</v>
      </c>
      <c r="D1088" t="inlineStr">
        <is>
          <t>VÄSTERNORRLANDS LÄN</t>
        </is>
      </c>
      <c r="E1088" t="inlineStr">
        <is>
          <t>SOLLEFTEÅ</t>
        </is>
      </c>
      <c r="F1088" t="inlineStr">
        <is>
          <t>Övriga Aktiebolag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10138-2022</t>
        </is>
      </c>
      <c r="B1089" s="1" t="n">
        <v>44621</v>
      </c>
      <c r="C1089" s="1" t="n">
        <v>45337</v>
      </c>
      <c r="D1089" t="inlineStr">
        <is>
          <t>VÄSTERNORRLANDS LÄN</t>
        </is>
      </c>
      <c r="E1089" t="inlineStr">
        <is>
          <t>SOLLEFTEÅ</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10139-2022</t>
        </is>
      </c>
      <c r="B1090" s="1" t="n">
        <v>44621</v>
      </c>
      <c r="C1090" s="1" t="n">
        <v>45337</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10140-2022</t>
        </is>
      </c>
      <c r="B1091" s="1" t="n">
        <v>44621</v>
      </c>
      <c r="C1091" s="1" t="n">
        <v>45337</v>
      </c>
      <c r="D1091" t="inlineStr">
        <is>
          <t>VÄSTERNORRLANDS LÄN</t>
        </is>
      </c>
      <c r="E1091" t="inlineStr">
        <is>
          <t>SOLLEFTEÅ</t>
        </is>
      </c>
      <c r="F1091" t="inlineStr">
        <is>
          <t>SCA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10141-2022</t>
        </is>
      </c>
      <c r="B1092" s="1" t="n">
        <v>44621</v>
      </c>
      <c r="C1092" s="1" t="n">
        <v>45337</v>
      </c>
      <c r="D1092" t="inlineStr">
        <is>
          <t>VÄSTERNORRLANDS LÄN</t>
        </is>
      </c>
      <c r="E1092" t="inlineStr">
        <is>
          <t>SOLLEFTEÅ</t>
        </is>
      </c>
      <c r="F1092" t="inlineStr">
        <is>
          <t>SCA</t>
        </is>
      </c>
      <c r="G1092" t="n">
        <v>15.5</v>
      </c>
      <c r="H1092" t="n">
        <v>0</v>
      </c>
      <c r="I1092" t="n">
        <v>0</v>
      </c>
      <c r="J1092" t="n">
        <v>0</v>
      </c>
      <c r="K1092" t="n">
        <v>0</v>
      </c>
      <c r="L1092" t="n">
        <v>0</v>
      </c>
      <c r="M1092" t="n">
        <v>0</v>
      </c>
      <c r="N1092" t="n">
        <v>0</v>
      </c>
      <c r="O1092" t="n">
        <v>0</v>
      </c>
      <c r="P1092" t="n">
        <v>0</v>
      </c>
      <c r="Q1092" t="n">
        <v>0</v>
      </c>
      <c r="R1092" s="2" t="inlineStr"/>
    </row>
    <row r="1093" ht="15" customHeight="1">
      <c r="A1093" t="inlineStr">
        <is>
          <t>A 10198-2022</t>
        </is>
      </c>
      <c r="B1093" s="1" t="n">
        <v>44622</v>
      </c>
      <c r="C1093" s="1" t="n">
        <v>45337</v>
      </c>
      <c r="D1093" t="inlineStr">
        <is>
          <t>VÄSTERNORRLANDS LÄN</t>
        </is>
      </c>
      <c r="E1093" t="inlineStr">
        <is>
          <t>SOLLEFTEÅ</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10242-2022</t>
        </is>
      </c>
      <c r="B1094" s="1" t="n">
        <v>44622</v>
      </c>
      <c r="C1094" s="1" t="n">
        <v>45337</v>
      </c>
      <c r="D1094" t="inlineStr">
        <is>
          <t>VÄSTERNORRLANDS LÄN</t>
        </is>
      </c>
      <c r="E1094" t="inlineStr">
        <is>
          <t>SOLLEFTEÅ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10308-2022</t>
        </is>
      </c>
      <c r="B1095" s="1" t="n">
        <v>44622</v>
      </c>
      <c r="C1095" s="1" t="n">
        <v>45337</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10250-2022</t>
        </is>
      </c>
      <c r="B1096" s="1" t="n">
        <v>44622</v>
      </c>
      <c r="C1096" s="1" t="n">
        <v>45337</v>
      </c>
      <c r="D1096" t="inlineStr">
        <is>
          <t>VÄSTERNORRLANDS LÄN</t>
        </is>
      </c>
      <c r="E1096" t="inlineStr">
        <is>
          <t>SOLLEFTEÅ</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10310-2022</t>
        </is>
      </c>
      <c r="B1097" s="1" t="n">
        <v>44622</v>
      </c>
      <c r="C1097" s="1" t="n">
        <v>45337</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10307-2022</t>
        </is>
      </c>
      <c r="B1098" s="1" t="n">
        <v>44622</v>
      </c>
      <c r="C1098" s="1" t="n">
        <v>45337</v>
      </c>
      <c r="D1098" t="inlineStr">
        <is>
          <t>VÄSTERNORRLANDS LÄN</t>
        </is>
      </c>
      <c r="E1098" t="inlineStr">
        <is>
          <t>SOLLEFTEÅ</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10311-2022</t>
        </is>
      </c>
      <c r="B1099" s="1" t="n">
        <v>44622</v>
      </c>
      <c r="C1099" s="1" t="n">
        <v>45337</v>
      </c>
      <c r="D1099" t="inlineStr">
        <is>
          <t>VÄSTERNORRLANDS LÄN</t>
        </is>
      </c>
      <c r="E1099" t="inlineStr">
        <is>
          <t>SOLLEFTEÅ</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10309-2022</t>
        </is>
      </c>
      <c r="B1100" s="1" t="n">
        <v>44622</v>
      </c>
      <c r="C1100" s="1" t="n">
        <v>45337</v>
      </c>
      <c r="D1100" t="inlineStr">
        <is>
          <t>VÄSTERNORRLANDS LÄN</t>
        </is>
      </c>
      <c r="E1100" t="inlineStr">
        <is>
          <t>SOLLEFTEÅ</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10314-2022</t>
        </is>
      </c>
      <c r="B1101" s="1" t="n">
        <v>44622</v>
      </c>
      <c r="C1101" s="1" t="n">
        <v>45337</v>
      </c>
      <c r="D1101" t="inlineStr">
        <is>
          <t>VÄSTERNORRLANDS LÄN</t>
        </is>
      </c>
      <c r="E1101" t="inlineStr">
        <is>
          <t>SOLLEFTEÅ</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10417-2022</t>
        </is>
      </c>
      <c r="B1102" s="1" t="n">
        <v>44623</v>
      </c>
      <c r="C1102" s="1" t="n">
        <v>45337</v>
      </c>
      <c r="D1102" t="inlineStr">
        <is>
          <t>VÄSTERNORRLANDS LÄN</t>
        </is>
      </c>
      <c r="E1102" t="inlineStr">
        <is>
          <t>SOLLEFTEÅ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10924-2022</t>
        </is>
      </c>
      <c r="B1103" s="1" t="n">
        <v>44627</v>
      </c>
      <c r="C1103" s="1" t="n">
        <v>45337</v>
      </c>
      <c r="D1103" t="inlineStr">
        <is>
          <t>VÄSTERNORRLANDS LÄN</t>
        </is>
      </c>
      <c r="E1103" t="inlineStr">
        <is>
          <t>SOLLEFTEÅ</t>
        </is>
      </c>
      <c r="F1103" t="inlineStr">
        <is>
          <t>SCA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10926-2022</t>
        </is>
      </c>
      <c r="B1104" s="1" t="n">
        <v>44627</v>
      </c>
      <c r="C1104" s="1" t="n">
        <v>45337</v>
      </c>
      <c r="D1104" t="inlineStr">
        <is>
          <t>VÄSTERNORRLANDS LÄN</t>
        </is>
      </c>
      <c r="E1104" t="inlineStr">
        <is>
          <t>SOLLEFTEÅ</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10925-2022</t>
        </is>
      </c>
      <c r="B1105" s="1" t="n">
        <v>44627</v>
      </c>
      <c r="C1105" s="1" t="n">
        <v>45337</v>
      </c>
      <c r="D1105" t="inlineStr">
        <is>
          <t>VÄSTERNORRLANDS LÄN</t>
        </is>
      </c>
      <c r="E1105" t="inlineStr">
        <is>
          <t>SOLLEFTEÅ</t>
        </is>
      </c>
      <c r="F1105" t="inlineStr">
        <is>
          <t>SCA</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10927-2022</t>
        </is>
      </c>
      <c r="B1106" s="1" t="n">
        <v>44627</v>
      </c>
      <c r="C1106" s="1" t="n">
        <v>45337</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11117-2022</t>
        </is>
      </c>
      <c r="B1107" s="1" t="n">
        <v>44628</v>
      </c>
      <c r="C1107" s="1" t="n">
        <v>45337</v>
      </c>
      <c r="D1107" t="inlineStr">
        <is>
          <t>VÄSTERNORRLANDS LÄN</t>
        </is>
      </c>
      <c r="E1107" t="inlineStr">
        <is>
          <t>SOLLEFTEÅ</t>
        </is>
      </c>
      <c r="F1107" t="inlineStr">
        <is>
          <t>SCA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11131-2022</t>
        </is>
      </c>
      <c r="B1108" s="1" t="n">
        <v>44628</v>
      </c>
      <c r="C1108" s="1" t="n">
        <v>45337</v>
      </c>
      <c r="D1108" t="inlineStr">
        <is>
          <t>VÄSTERNORRLANDS LÄN</t>
        </is>
      </c>
      <c r="E1108" t="inlineStr">
        <is>
          <t>SOLLEFTEÅ</t>
        </is>
      </c>
      <c r="F1108" t="inlineStr">
        <is>
          <t>SCA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11133-2022</t>
        </is>
      </c>
      <c r="B1109" s="1" t="n">
        <v>44628</v>
      </c>
      <c r="C1109" s="1" t="n">
        <v>45337</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11125-2022</t>
        </is>
      </c>
      <c r="B1110" s="1" t="n">
        <v>44628</v>
      </c>
      <c r="C1110" s="1" t="n">
        <v>45337</v>
      </c>
      <c r="D1110" t="inlineStr">
        <is>
          <t>VÄSTERNORRLANDS LÄN</t>
        </is>
      </c>
      <c r="E1110" t="inlineStr">
        <is>
          <t>SOLLEFTEÅ</t>
        </is>
      </c>
      <c r="F1110" t="inlineStr">
        <is>
          <t>SCA</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11241-2022</t>
        </is>
      </c>
      <c r="B1111" s="1" t="n">
        <v>44629</v>
      </c>
      <c r="C1111" s="1" t="n">
        <v>45337</v>
      </c>
      <c r="D1111" t="inlineStr">
        <is>
          <t>VÄSTERNORRLANDS LÄN</t>
        </is>
      </c>
      <c r="E1111" t="inlineStr">
        <is>
          <t>SOLLEFTEÅ</t>
        </is>
      </c>
      <c r="F1111" t="inlineStr">
        <is>
          <t>Kommuner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11318-2022</t>
        </is>
      </c>
      <c r="B1112" s="1" t="n">
        <v>44629</v>
      </c>
      <c r="C1112" s="1" t="n">
        <v>45337</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11475-2022</t>
        </is>
      </c>
      <c r="B1113" s="1" t="n">
        <v>44630</v>
      </c>
      <c r="C1113" s="1" t="n">
        <v>45337</v>
      </c>
      <c r="D1113" t="inlineStr">
        <is>
          <t>VÄSTERNORRLANDS LÄN</t>
        </is>
      </c>
      <c r="E1113" t="inlineStr">
        <is>
          <t>SOLLEFTEÅ</t>
        </is>
      </c>
      <c r="G1113" t="n">
        <v>18.7</v>
      </c>
      <c r="H1113" t="n">
        <v>0</v>
      </c>
      <c r="I1113" t="n">
        <v>0</v>
      </c>
      <c r="J1113" t="n">
        <v>0</v>
      </c>
      <c r="K1113" t="n">
        <v>0</v>
      </c>
      <c r="L1113" t="n">
        <v>0</v>
      </c>
      <c r="M1113" t="n">
        <v>0</v>
      </c>
      <c r="N1113" t="n">
        <v>0</v>
      </c>
      <c r="O1113" t="n">
        <v>0</v>
      </c>
      <c r="P1113" t="n">
        <v>0</v>
      </c>
      <c r="Q1113" t="n">
        <v>0</v>
      </c>
      <c r="R1113" s="2" t="inlineStr"/>
    </row>
    <row r="1114" ht="15" customHeight="1">
      <c r="A1114" t="inlineStr">
        <is>
          <t>A 11484-2022</t>
        </is>
      </c>
      <c r="B1114" s="1" t="n">
        <v>44630</v>
      </c>
      <c r="C1114" s="1" t="n">
        <v>45337</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11474-2022</t>
        </is>
      </c>
      <c r="B1115" s="1" t="n">
        <v>44630</v>
      </c>
      <c r="C1115" s="1" t="n">
        <v>45337</v>
      </c>
      <c r="D1115" t="inlineStr">
        <is>
          <t>VÄSTERNORRLANDS LÄN</t>
        </is>
      </c>
      <c r="E1115" t="inlineStr">
        <is>
          <t>SOLLEFTEÅ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11483-2022</t>
        </is>
      </c>
      <c r="B1116" s="1" t="n">
        <v>44630</v>
      </c>
      <c r="C1116" s="1" t="n">
        <v>45337</v>
      </c>
      <c r="D1116" t="inlineStr">
        <is>
          <t>VÄSTERNORRLANDS LÄN</t>
        </is>
      </c>
      <c r="E1116" t="inlineStr">
        <is>
          <t>SOLLEFTEÅ</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11652-2022</t>
        </is>
      </c>
      <c r="B1117" s="1" t="n">
        <v>44631</v>
      </c>
      <c r="C1117" s="1" t="n">
        <v>45337</v>
      </c>
      <c r="D1117" t="inlineStr">
        <is>
          <t>VÄSTERNORRLANDS LÄN</t>
        </is>
      </c>
      <c r="E1117" t="inlineStr">
        <is>
          <t>SOLLEFTEÅ</t>
        </is>
      </c>
      <c r="F1117" t="inlineStr">
        <is>
          <t>SCA</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11656-2022</t>
        </is>
      </c>
      <c r="B1118" s="1" t="n">
        <v>44631</v>
      </c>
      <c r="C1118" s="1" t="n">
        <v>45337</v>
      </c>
      <c r="D1118" t="inlineStr">
        <is>
          <t>VÄSTERNORRLANDS LÄN</t>
        </is>
      </c>
      <c r="E1118" t="inlineStr">
        <is>
          <t>SOLLEFTEÅ</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11653-2022</t>
        </is>
      </c>
      <c r="B1119" s="1" t="n">
        <v>44631</v>
      </c>
      <c r="C1119" s="1" t="n">
        <v>45337</v>
      </c>
      <c r="D1119" t="inlineStr">
        <is>
          <t>VÄSTERNORRLANDS LÄN</t>
        </is>
      </c>
      <c r="E1119" t="inlineStr">
        <is>
          <t>SOLLEFTEÅ</t>
        </is>
      </c>
      <c r="F1119" t="inlineStr">
        <is>
          <t>SCA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11677-2022</t>
        </is>
      </c>
      <c r="B1120" s="1" t="n">
        <v>44633</v>
      </c>
      <c r="C1120" s="1" t="n">
        <v>45337</v>
      </c>
      <c r="D1120" t="inlineStr">
        <is>
          <t>VÄSTERNORRLANDS LÄN</t>
        </is>
      </c>
      <c r="E1120" t="inlineStr">
        <is>
          <t>SOLLEFTEÅ</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11842-2022</t>
        </is>
      </c>
      <c r="B1121" s="1" t="n">
        <v>44634</v>
      </c>
      <c r="C1121" s="1" t="n">
        <v>45337</v>
      </c>
      <c r="D1121" t="inlineStr">
        <is>
          <t>VÄSTERNORRLANDS LÄN</t>
        </is>
      </c>
      <c r="E1121" t="inlineStr">
        <is>
          <t>SOLLEFTEÅ</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11845-2022</t>
        </is>
      </c>
      <c r="B1122" s="1" t="n">
        <v>44634</v>
      </c>
      <c r="C1122" s="1" t="n">
        <v>45337</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11846-2022</t>
        </is>
      </c>
      <c r="B1123" s="1" t="n">
        <v>44634</v>
      </c>
      <c r="C1123" s="1" t="n">
        <v>45337</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11870-2022</t>
        </is>
      </c>
      <c r="B1124" s="1" t="n">
        <v>44635</v>
      </c>
      <c r="C1124" s="1" t="n">
        <v>45337</v>
      </c>
      <c r="D1124" t="inlineStr">
        <is>
          <t>VÄSTERNORRLANDS LÄN</t>
        </is>
      </c>
      <c r="E1124" t="inlineStr">
        <is>
          <t>SOLLEFTEÅ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11874-2022</t>
        </is>
      </c>
      <c r="B1125" s="1" t="n">
        <v>44635</v>
      </c>
      <c r="C1125" s="1" t="n">
        <v>45337</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12007-2022</t>
        </is>
      </c>
      <c r="B1126" s="1" t="n">
        <v>44635</v>
      </c>
      <c r="C1126" s="1" t="n">
        <v>45337</v>
      </c>
      <c r="D1126" t="inlineStr">
        <is>
          <t>VÄSTERNORRLANDS LÄN</t>
        </is>
      </c>
      <c r="E1126" t="inlineStr">
        <is>
          <t>SOLLEFTEÅ</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12001-2022</t>
        </is>
      </c>
      <c r="B1127" s="1" t="n">
        <v>44635</v>
      </c>
      <c r="C1127" s="1" t="n">
        <v>45337</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12006-2022</t>
        </is>
      </c>
      <c r="B1128" s="1" t="n">
        <v>44635</v>
      </c>
      <c r="C1128" s="1" t="n">
        <v>45337</v>
      </c>
      <c r="D1128" t="inlineStr">
        <is>
          <t>VÄSTERNORRLANDS LÄN</t>
        </is>
      </c>
      <c r="E1128" t="inlineStr">
        <is>
          <t>SOLLEFTEÅ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12022-2022</t>
        </is>
      </c>
      <c r="B1129" s="1" t="n">
        <v>44635</v>
      </c>
      <c r="C1129" s="1" t="n">
        <v>45337</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12191-2022</t>
        </is>
      </c>
      <c r="B1130" s="1" t="n">
        <v>44636</v>
      </c>
      <c r="C1130" s="1" t="n">
        <v>45337</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12201-2022</t>
        </is>
      </c>
      <c r="B1131" s="1" t="n">
        <v>44636</v>
      </c>
      <c r="C1131" s="1" t="n">
        <v>45337</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12395-2022</t>
        </is>
      </c>
      <c r="B1132" s="1" t="n">
        <v>44637</v>
      </c>
      <c r="C1132" s="1" t="n">
        <v>45337</v>
      </c>
      <c r="D1132" t="inlineStr">
        <is>
          <t>VÄSTERNORRLANDS LÄN</t>
        </is>
      </c>
      <c r="E1132" t="inlineStr">
        <is>
          <t>SOLLEFTEÅ</t>
        </is>
      </c>
      <c r="F1132" t="inlineStr">
        <is>
          <t>SCA</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12561-2022</t>
        </is>
      </c>
      <c r="B1133" s="1" t="n">
        <v>44638</v>
      </c>
      <c r="C1133" s="1" t="n">
        <v>45337</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12565-2022</t>
        </is>
      </c>
      <c r="B1134" s="1" t="n">
        <v>44638</v>
      </c>
      <c r="C1134" s="1" t="n">
        <v>45337</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12572-2022</t>
        </is>
      </c>
      <c r="B1135" s="1" t="n">
        <v>44638</v>
      </c>
      <c r="C1135" s="1" t="n">
        <v>45337</v>
      </c>
      <c r="D1135" t="inlineStr">
        <is>
          <t>VÄSTERNORRLANDS LÄN</t>
        </is>
      </c>
      <c r="E1135" t="inlineStr">
        <is>
          <t>SOLLEFTEÅ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12564-2022</t>
        </is>
      </c>
      <c r="B1136" s="1" t="n">
        <v>44638</v>
      </c>
      <c r="C1136" s="1" t="n">
        <v>45337</v>
      </c>
      <c r="D1136" t="inlineStr">
        <is>
          <t>VÄSTERNORRLANDS LÄN</t>
        </is>
      </c>
      <c r="E1136" t="inlineStr">
        <is>
          <t>SOLLEFTEÅ</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12568-2022</t>
        </is>
      </c>
      <c r="B1137" s="1" t="n">
        <v>44638</v>
      </c>
      <c r="C1137" s="1" t="n">
        <v>45337</v>
      </c>
      <c r="D1137" t="inlineStr">
        <is>
          <t>VÄSTERNORRLANDS LÄN</t>
        </is>
      </c>
      <c r="E1137" t="inlineStr">
        <is>
          <t>SOLLEFTEÅ</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12557-2022</t>
        </is>
      </c>
      <c r="B1138" s="1" t="n">
        <v>44638</v>
      </c>
      <c r="C1138" s="1" t="n">
        <v>45337</v>
      </c>
      <c r="D1138" t="inlineStr">
        <is>
          <t>VÄSTERNORRLANDS LÄN</t>
        </is>
      </c>
      <c r="E1138" t="inlineStr">
        <is>
          <t>SOLLEFTEÅ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12563-2022</t>
        </is>
      </c>
      <c r="B1139" s="1" t="n">
        <v>44638</v>
      </c>
      <c r="C1139" s="1" t="n">
        <v>45337</v>
      </c>
      <c r="D1139" t="inlineStr">
        <is>
          <t>VÄSTERNORRLANDS LÄN</t>
        </is>
      </c>
      <c r="E1139" t="inlineStr">
        <is>
          <t>SOLLEFTEÅ</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12567-2022</t>
        </is>
      </c>
      <c r="B1140" s="1" t="n">
        <v>44638</v>
      </c>
      <c r="C1140" s="1" t="n">
        <v>45337</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12562-2022</t>
        </is>
      </c>
      <c r="B1141" s="1" t="n">
        <v>44638</v>
      </c>
      <c r="C1141" s="1" t="n">
        <v>45337</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12566-2022</t>
        </is>
      </c>
      <c r="B1142" s="1" t="n">
        <v>44638</v>
      </c>
      <c r="C1142" s="1" t="n">
        <v>45337</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12758-2022</t>
        </is>
      </c>
      <c r="B1143" s="1" t="n">
        <v>44641</v>
      </c>
      <c r="C1143" s="1" t="n">
        <v>45337</v>
      </c>
      <c r="D1143" t="inlineStr">
        <is>
          <t>VÄSTERNORRLANDS LÄN</t>
        </is>
      </c>
      <c r="E1143" t="inlineStr">
        <is>
          <t>SOLLEFTEÅ</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12764-2022</t>
        </is>
      </c>
      <c r="B1144" s="1" t="n">
        <v>44641</v>
      </c>
      <c r="C1144" s="1" t="n">
        <v>45337</v>
      </c>
      <c r="D1144" t="inlineStr">
        <is>
          <t>VÄSTERNORRLANDS LÄN</t>
        </is>
      </c>
      <c r="E1144" t="inlineStr">
        <is>
          <t>SOLLEFTEÅ</t>
        </is>
      </c>
      <c r="F1144" t="inlineStr">
        <is>
          <t>SCA</t>
        </is>
      </c>
      <c r="G1144" t="n">
        <v>13.7</v>
      </c>
      <c r="H1144" t="n">
        <v>0</v>
      </c>
      <c r="I1144" t="n">
        <v>0</v>
      </c>
      <c r="J1144" t="n">
        <v>0</v>
      </c>
      <c r="K1144" t="n">
        <v>0</v>
      </c>
      <c r="L1144" t="n">
        <v>0</v>
      </c>
      <c r="M1144" t="n">
        <v>0</v>
      </c>
      <c r="N1144" t="n">
        <v>0</v>
      </c>
      <c r="O1144" t="n">
        <v>0</v>
      </c>
      <c r="P1144" t="n">
        <v>0</v>
      </c>
      <c r="Q1144" t="n">
        <v>0</v>
      </c>
      <c r="R1144" s="2" t="inlineStr"/>
    </row>
    <row r="1145" ht="15" customHeight="1">
      <c r="A1145" t="inlineStr">
        <is>
          <t>A 12774-2022</t>
        </is>
      </c>
      <c r="B1145" s="1" t="n">
        <v>44641</v>
      </c>
      <c r="C1145" s="1" t="n">
        <v>45337</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13300-2022</t>
        </is>
      </c>
      <c r="B1146" s="1" t="n">
        <v>44644</v>
      </c>
      <c r="C1146" s="1" t="n">
        <v>45337</v>
      </c>
      <c r="D1146" t="inlineStr">
        <is>
          <t>VÄSTERNORRLANDS LÄN</t>
        </is>
      </c>
      <c r="E1146" t="inlineStr">
        <is>
          <t>SOLLEFTEÅ</t>
        </is>
      </c>
      <c r="F1146" t="inlineStr">
        <is>
          <t>SCA</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13311-2022</t>
        </is>
      </c>
      <c r="B1147" s="1" t="n">
        <v>44644</v>
      </c>
      <c r="C1147" s="1" t="n">
        <v>45337</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13309-2022</t>
        </is>
      </c>
      <c r="B1148" s="1" t="n">
        <v>44644</v>
      </c>
      <c r="C1148" s="1" t="n">
        <v>45337</v>
      </c>
      <c r="D1148" t="inlineStr">
        <is>
          <t>VÄSTERNORRLANDS LÄN</t>
        </is>
      </c>
      <c r="E1148" t="inlineStr">
        <is>
          <t>SOLLEFTEÅ</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13492-2022</t>
        </is>
      </c>
      <c r="B1149" s="1" t="n">
        <v>44646</v>
      </c>
      <c r="C1149" s="1" t="n">
        <v>45337</v>
      </c>
      <c r="D1149" t="inlineStr">
        <is>
          <t>VÄSTERNORRLANDS LÄN</t>
        </is>
      </c>
      <c r="E1149" t="inlineStr">
        <is>
          <t>SOLLEFTEÅ</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13598-2022</t>
        </is>
      </c>
      <c r="B1150" s="1" t="n">
        <v>44648</v>
      </c>
      <c r="C1150" s="1" t="n">
        <v>45337</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13658-2022</t>
        </is>
      </c>
      <c r="B1151" s="1" t="n">
        <v>44648</v>
      </c>
      <c r="C1151" s="1" t="n">
        <v>45337</v>
      </c>
      <c r="D1151" t="inlineStr">
        <is>
          <t>VÄSTERNORRLANDS LÄN</t>
        </is>
      </c>
      <c r="E1151" t="inlineStr">
        <is>
          <t>SOLLEFTEÅ</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13710-2022</t>
        </is>
      </c>
      <c r="B1152" s="1" t="n">
        <v>44649</v>
      </c>
      <c r="C1152" s="1" t="n">
        <v>45337</v>
      </c>
      <c r="D1152" t="inlineStr">
        <is>
          <t>VÄSTERNORRLANDS LÄN</t>
        </is>
      </c>
      <c r="E1152" t="inlineStr">
        <is>
          <t>SOLLEFTEÅ</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14061-2022</t>
        </is>
      </c>
      <c r="B1153" s="1" t="n">
        <v>44651</v>
      </c>
      <c r="C1153" s="1" t="n">
        <v>45337</v>
      </c>
      <c r="D1153" t="inlineStr">
        <is>
          <t>VÄSTERNORRLANDS LÄN</t>
        </is>
      </c>
      <c r="E1153" t="inlineStr">
        <is>
          <t>SOLLEFTEÅ</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14066-2022</t>
        </is>
      </c>
      <c r="B1154" s="1" t="n">
        <v>44650</v>
      </c>
      <c r="C1154" s="1" t="n">
        <v>45337</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14058-2022</t>
        </is>
      </c>
      <c r="B1155" s="1" t="n">
        <v>44651</v>
      </c>
      <c r="C1155" s="1" t="n">
        <v>45337</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14063-2022</t>
        </is>
      </c>
      <c r="B1156" s="1" t="n">
        <v>44651</v>
      </c>
      <c r="C1156" s="1" t="n">
        <v>45337</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14055-2022</t>
        </is>
      </c>
      <c r="B1157" s="1" t="n">
        <v>44651</v>
      </c>
      <c r="C1157" s="1" t="n">
        <v>45337</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14060-2022</t>
        </is>
      </c>
      <c r="B1158" s="1" t="n">
        <v>44651</v>
      </c>
      <c r="C1158" s="1" t="n">
        <v>45337</v>
      </c>
      <c r="D1158" t="inlineStr">
        <is>
          <t>VÄSTERNORRLANDS LÄN</t>
        </is>
      </c>
      <c r="E1158" t="inlineStr">
        <is>
          <t>SOLLEFTEÅ</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14065-2022</t>
        </is>
      </c>
      <c r="B1159" s="1" t="n">
        <v>44650</v>
      </c>
      <c r="C1159" s="1" t="n">
        <v>45337</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14059-2022</t>
        </is>
      </c>
      <c r="B1160" s="1" t="n">
        <v>44651</v>
      </c>
      <c r="C1160" s="1" t="n">
        <v>45337</v>
      </c>
      <c r="D1160" t="inlineStr">
        <is>
          <t>VÄSTERNORRLANDS LÄN</t>
        </is>
      </c>
      <c r="E1160" t="inlineStr">
        <is>
          <t>SOLLEFTEÅ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14064-2022</t>
        </is>
      </c>
      <c r="B1161" s="1" t="n">
        <v>44651</v>
      </c>
      <c r="C1161" s="1" t="n">
        <v>45337</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14276-2022</t>
        </is>
      </c>
      <c r="B1162" s="1" t="n">
        <v>44652</v>
      </c>
      <c r="C1162" s="1" t="n">
        <v>45337</v>
      </c>
      <c r="D1162" t="inlineStr">
        <is>
          <t>VÄSTERNORRLANDS LÄN</t>
        </is>
      </c>
      <c r="E1162" t="inlineStr">
        <is>
          <t>SOLLEFTEÅ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14297-2022</t>
        </is>
      </c>
      <c r="B1163" s="1" t="n">
        <v>44651</v>
      </c>
      <c r="C1163" s="1" t="n">
        <v>45337</v>
      </c>
      <c r="D1163" t="inlineStr">
        <is>
          <t>VÄSTERNORRLANDS LÄN</t>
        </is>
      </c>
      <c r="E1163" t="inlineStr">
        <is>
          <t>SOLLEFTEÅ</t>
        </is>
      </c>
      <c r="F1163" t="inlineStr">
        <is>
          <t>SCA</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14300-2022</t>
        </is>
      </c>
      <c r="B1164" s="1" t="n">
        <v>44652</v>
      </c>
      <c r="C1164" s="1" t="n">
        <v>45337</v>
      </c>
      <c r="D1164" t="inlineStr">
        <is>
          <t>VÄSTERNORRLANDS LÄN</t>
        </is>
      </c>
      <c r="E1164" t="inlineStr">
        <is>
          <t>SOLLEFTEÅ</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14308-2022</t>
        </is>
      </c>
      <c r="B1165" s="1" t="n">
        <v>44652</v>
      </c>
      <c r="C1165" s="1" t="n">
        <v>45337</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14275-2022</t>
        </is>
      </c>
      <c r="B1166" s="1" t="n">
        <v>44651</v>
      </c>
      <c r="C1166" s="1" t="n">
        <v>45337</v>
      </c>
      <c r="D1166" t="inlineStr">
        <is>
          <t>VÄSTERNORRLANDS LÄN</t>
        </is>
      </c>
      <c r="E1166" t="inlineStr">
        <is>
          <t>SOLLEFTEÅ</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14299-2022</t>
        </is>
      </c>
      <c r="B1167" s="1" t="n">
        <v>44652</v>
      </c>
      <c r="C1167" s="1" t="n">
        <v>45337</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14296-2022</t>
        </is>
      </c>
      <c r="B1168" s="1" t="n">
        <v>44652</v>
      </c>
      <c r="C1168" s="1" t="n">
        <v>45337</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14302-2022</t>
        </is>
      </c>
      <c r="B1169" s="1" t="n">
        <v>44651</v>
      </c>
      <c r="C1169" s="1" t="n">
        <v>45337</v>
      </c>
      <c r="D1169" t="inlineStr">
        <is>
          <t>VÄSTERNORRLANDS LÄN</t>
        </is>
      </c>
      <c r="E1169" t="inlineStr">
        <is>
          <t>SOLLEFTEÅ</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14448-2022</t>
        </is>
      </c>
      <c r="B1170" s="1" t="n">
        <v>44652</v>
      </c>
      <c r="C1170" s="1" t="n">
        <v>45337</v>
      </c>
      <c r="D1170" t="inlineStr">
        <is>
          <t>VÄSTERNORRLANDS LÄN</t>
        </is>
      </c>
      <c r="E1170" t="inlineStr">
        <is>
          <t>SOLLEFTEÅ</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14449-2022</t>
        </is>
      </c>
      <c r="B1171" s="1" t="n">
        <v>44652</v>
      </c>
      <c r="C1171" s="1" t="n">
        <v>45337</v>
      </c>
      <c r="D1171" t="inlineStr">
        <is>
          <t>VÄSTERNORRLANDS LÄN</t>
        </is>
      </c>
      <c r="E1171" t="inlineStr">
        <is>
          <t>SOLLEFTEÅ</t>
        </is>
      </c>
      <c r="F1171" t="inlineStr">
        <is>
          <t>SCA</t>
        </is>
      </c>
      <c r="G1171" t="n">
        <v>31.8</v>
      </c>
      <c r="H1171" t="n">
        <v>0</v>
      </c>
      <c r="I1171" t="n">
        <v>0</v>
      </c>
      <c r="J1171" t="n">
        <v>0</v>
      </c>
      <c r="K1171" t="n">
        <v>0</v>
      </c>
      <c r="L1171" t="n">
        <v>0</v>
      </c>
      <c r="M1171" t="n">
        <v>0</v>
      </c>
      <c r="N1171" t="n">
        <v>0</v>
      </c>
      <c r="O1171" t="n">
        <v>0</v>
      </c>
      <c r="P1171" t="n">
        <v>0</v>
      </c>
      <c r="Q1171" t="n">
        <v>0</v>
      </c>
      <c r="R1171" s="2" t="inlineStr"/>
    </row>
    <row r="1172" ht="15" customHeight="1">
      <c r="A1172" t="inlineStr">
        <is>
          <t>A 14450-2022</t>
        </is>
      </c>
      <c r="B1172" s="1" t="n">
        <v>44653</v>
      </c>
      <c r="C1172" s="1" t="n">
        <v>45337</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14447-2022</t>
        </is>
      </c>
      <c r="B1173" s="1" t="n">
        <v>44653</v>
      </c>
      <c r="C1173" s="1" t="n">
        <v>45337</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14477-2022</t>
        </is>
      </c>
      <c r="B1174" s="1" t="n">
        <v>44655</v>
      </c>
      <c r="C1174" s="1" t="n">
        <v>45337</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14910-2022</t>
        </is>
      </c>
      <c r="B1175" s="1" t="n">
        <v>44657</v>
      </c>
      <c r="C1175" s="1" t="n">
        <v>45337</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15090-2022</t>
        </is>
      </c>
      <c r="B1176" s="1" t="n">
        <v>44658</v>
      </c>
      <c r="C1176" s="1" t="n">
        <v>45337</v>
      </c>
      <c r="D1176" t="inlineStr">
        <is>
          <t>VÄSTERNORRLANDS LÄN</t>
        </is>
      </c>
      <c r="E1176" t="inlineStr">
        <is>
          <t>SOLLEFTEÅ</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15241-2022</t>
        </is>
      </c>
      <c r="B1177" s="1" t="n">
        <v>44659</v>
      </c>
      <c r="C1177" s="1" t="n">
        <v>45337</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15234-2022</t>
        </is>
      </c>
      <c r="B1178" s="1" t="n">
        <v>44659</v>
      </c>
      <c r="C1178" s="1" t="n">
        <v>45337</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15658-2022</t>
        </is>
      </c>
      <c r="B1179" s="1" t="n">
        <v>44663</v>
      </c>
      <c r="C1179" s="1" t="n">
        <v>45337</v>
      </c>
      <c r="D1179" t="inlineStr">
        <is>
          <t>VÄSTERNORRLANDS LÄN</t>
        </is>
      </c>
      <c r="E1179" t="inlineStr">
        <is>
          <t>SOLLEFTEÅ</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15809-2022</t>
        </is>
      </c>
      <c r="B1180" s="1" t="n">
        <v>44663</v>
      </c>
      <c r="C1180" s="1" t="n">
        <v>45337</v>
      </c>
      <c r="D1180" t="inlineStr">
        <is>
          <t>VÄSTERNORRLANDS LÄN</t>
        </is>
      </c>
      <c r="E1180" t="inlineStr">
        <is>
          <t>SOLLEFTEÅ</t>
        </is>
      </c>
      <c r="F1180" t="inlineStr">
        <is>
          <t>SCA</t>
        </is>
      </c>
      <c r="G1180" t="n">
        <v>16.3</v>
      </c>
      <c r="H1180" t="n">
        <v>0</v>
      </c>
      <c r="I1180" t="n">
        <v>0</v>
      </c>
      <c r="J1180" t="n">
        <v>0</v>
      </c>
      <c r="K1180" t="n">
        <v>0</v>
      </c>
      <c r="L1180" t="n">
        <v>0</v>
      </c>
      <c r="M1180" t="n">
        <v>0</v>
      </c>
      <c r="N1180" t="n">
        <v>0</v>
      </c>
      <c r="O1180" t="n">
        <v>0</v>
      </c>
      <c r="P1180" t="n">
        <v>0</v>
      </c>
      <c r="Q1180" t="n">
        <v>0</v>
      </c>
      <c r="R1180" s="2" t="inlineStr"/>
    </row>
    <row r="1181" ht="15" customHeight="1">
      <c r="A1181" t="inlineStr">
        <is>
          <t>A 15964-2022</t>
        </is>
      </c>
      <c r="B1181" s="1" t="n">
        <v>44665</v>
      </c>
      <c r="C1181" s="1" t="n">
        <v>45337</v>
      </c>
      <c r="D1181" t="inlineStr">
        <is>
          <t>VÄSTERNORRLANDS LÄN</t>
        </is>
      </c>
      <c r="E1181" t="inlineStr">
        <is>
          <t>SOLLEFTEÅ</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15974-2022</t>
        </is>
      </c>
      <c r="B1182" s="1" t="n">
        <v>44665</v>
      </c>
      <c r="C1182" s="1" t="n">
        <v>45337</v>
      </c>
      <c r="D1182" t="inlineStr">
        <is>
          <t>VÄSTERNORRLANDS LÄN</t>
        </is>
      </c>
      <c r="E1182" t="inlineStr">
        <is>
          <t>SOLLEFTEÅ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16088-2022</t>
        </is>
      </c>
      <c r="B1183" s="1" t="n">
        <v>44665</v>
      </c>
      <c r="C1183" s="1" t="n">
        <v>45337</v>
      </c>
      <c r="D1183" t="inlineStr">
        <is>
          <t>VÄSTERNORRLANDS LÄN</t>
        </is>
      </c>
      <c r="E1183" t="inlineStr">
        <is>
          <t>SOLLEFTEÅ</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16000-2022</t>
        </is>
      </c>
      <c r="B1184" s="1" t="n">
        <v>44665</v>
      </c>
      <c r="C1184" s="1" t="n">
        <v>45337</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16083-2022</t>
        </is>
      </c>
      <c r="B1185" s="1" t="n">
        <v>44665</v>
      </c>
      <c r="C1185" s="1" t="n">
        <v>45337</v>
      </c>
      <c r="D1185" t="inlineStr">
        <is>
          <t>VÄSTERNORRLANDS LÄN</t>
        </is>
      </c>
      <c r="E1185" t="inlineStr">
        <is>
          <t>SOLLEFTEÅ</t>
        </is>
      </c>
      <c r="F1185" t="inlineStr">
        <is>
          <t>Holmen skog AB</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16093-2022</t>
        </is>
      </c>
      <c r="B1186" s="1" t="n">
        <v>44665</v>
      </c>
      <c r="C1186" s="1" t="n">
        <v>45337</v>
      </c>
      <c r="D1186" t="inlineStr">
        <is>
          <t>VÄSTERNORRLANDS LÄN</t>
        </is>
      </c>
      <c r="E1186" t="inlineStr">
        <is>
          <t>SOLLEFTEÅ</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16365-2022</t>
        </is>
      </c>
      <c r="B1187" s="1" t="n">
        <v>44671</v>
      </c>
      <c r="C1187" s="1" t="n">
        <v>45337</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16419-2022</t>
        </is>
      </c>
      <c r="B1188" s="1" t="n">
        <v>44671</v>
      </c>
      <c r="C1188" s="1" t="n">
        <v>45337</v>
      </c>
      <c r="D1188" t="inlineStr">
        <is>
          <t>VÄSTERNORRLANDS LÄN</t>
        </is>
      </c>
      <c r="E1188" t="inlineStr">
        <is>
          <t>SOLLEFTEÅ</t>
        </is>
      </c>
      <c r="F1188" t="inlineStr">
        <is>
          <t>Kommuner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16521-2022</t>
        </is>
      </c>
      <c r="B1189" s="1" t="n">
        <v>44671</v>
      </c>
      <c r="C1189" s="1" t="n">
        <v>45337</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16675-2022</t>
        </is>
      </c>
      <c r="B1190" s="1" t="n">
        <v>44672</v>
      </c>
      <c r="C1190" s="1" t="n">
        <v>45337</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16611-2022</t>
        </is>
      </c>
      <c r="B1191" s="1" t="n">
        <v>44672</v>
      </c>
      <c r="C1191" s="1" t="n">
        <v>45337</v>
      </c>
      <c r="D1191" t="inlineStr">
        <is>
          <t>VÄSTERNORRLANDS LÄN</t>
        </is>
      </c>
      <c r="E1191" t="inlineStr">
        <is>
          <t>SOLLEFTEÅ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16670-2022</t>
        </is>
      </c>
      <c r="B1192" s="1" t="n">
        <v>44673</v>
      </c>
      <c r="C1192" s="1" t="n">
        <v>45337</v>
      </c>
      <c r="D1192" t="inlineStr">
        <is>
          <t>VÄSTERNORRLANDS LÄN</t>
        </is>
      </c>
      <c r="E1192" t="inlineStr">
        <is>
          <t>SOLLEFTEÅ</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17045-2022</t>
        </is>
      </c>
      <c r="B1193" s="1" t="n">
        <v>44676</v>
      </c>
      <c r="C1193" s="1" t="n">
        <v>45337</v>
      </c>
      <c r="D1193" t="inlineStr">
        <is>
          <t>VÄSTERNORRLANDS LÄN</t>
        </is>
      </c>
      <c r="E1193" t="inlineStr">
        <is>
          <t>SOLLEFTEÅ</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17049-2022</t>
        </is>
      </c>
      <c r="B1194" s="1" t="n">
        <v>44676</v>
      </c>
      <c r="C1194" s="1" t="n">
        <v>45337</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c r="U1194">
        <f>HYPERLINK("https://klasma.github.io/Logging_2283/knärot/A 17049-2022 karta knärot.png", "A 17049-2022")</f>
        <v/>
      </c>
      <c r="V1194">
        <f>HYPERLINK("https://klasma.github.io/Logging_2283/klagomål/A 17049-2022 FSC-klagomål.docx", "A 17049-2022")</f>
        <v/>
      </c>
      <c r="W1194">
        <f>HYPERLINK("https://klasma.github.io/Logging_2283/klagomålsmail/A 17049-2022 FSC-klagomål mail.docx", "A 17049-2022")</f>
        <v/>
      </c>
      <c r="X1194">
        <f>HYPERLINK("https://klasma.github.io/Logging_2283/tillsyn/A 17049-2022 tillsynsbegäran.docx", "A 17049-2022")</f>
        <v/>
      </c>
      <c r="Y1194">
        <f>HYPERLINK("https://klasma.github.io/Logging_2283/tillsynsmail/A 17049-2022 tillsynsbegäran mail.docx", "A 17049-2022")</f>
        <v/>
      </c>
    </row>
    <row r="1195" ht="15" customHeight="1">
      <c r="A1195" t="inlineStr">
        <is>
          <t>A 17344-2022</t>
        </is>
      </c>
      <c r="B1195" s="1" t="n">
        <v>44678</v>
      </c>
      <c r="C1195" s="1" t="n">
        <v>45337</v>
      </c>
      <c r="D1195" t="inlineStr">
        <is>
          <t>VÄSTERNORRLANDS LÄN</t>
        </is>
      </c>
      <c r="E1195" t="inlineStr">
        <is>
          <t>SOLLEFTEÅ</t>
        </is>
      </c>
      <c r="G1195" t="n">
        <v>34.2</v>
      </c>
      <c r="H1195" t="n">
        <v>0</v>
      </c>
      <c r="I1195" t="n">
        <v>0</v>
      </c>
      <c r="J1195" t="n">
        <v>0</v>
      </c>
      <c r="K1195" t="n">
        <v>0</v>
      </c>
      <c r="L1195" t="n">
        <v>0</v>
      </c>
      <c r="M1195" t="n">
        <v>0</v>
      </c>
      <c r="N1195" t="n">
        <v>0</v>
      </c>
      <c r="O1195" t="n">
        <v>0</v>
      </c>
      <c r="P1195" t="n">
        <v>0</v>
      </c>
      <c r="Q1195" t="n">
        <v>0</v>
      </c>
      <c r="R1195" s="2" t="inlineStr"/>
    </row>
    <row r="1196" ht="15" customHeight="1">
      <c r="A1196" t="inlineStr">
        <is>
          <t>A 17995-2022</t>
        </is>
      </c>
      <c r="B1196" s="1" t="n">
        <v>44684</v>
      </c>
      <c r="C1196" s="1" t="n">
        <v>45337</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18000-2022</t>
        </is>
      </c>
      <c r="B1197" s="1" t="n">
        <v>44684</v>
      </c>
      <c r="C1197" s="1" t="n">
        <v>45337</v>
      </c>
      <c r="D1197" t="inlineStr">
        <is>
          <t>VÄSTERNORRLANDS LÄN</t>
        </is>
      </c>
      <c r="E1197" t="inlineStr">
        <is>
          <t>SOLLEFTEÅ</t>
        </is>
      </c>
      <c r="F1197" t="inlineStr">
        <is>
          <t>SCA</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18011-2022</t>
        </is>
      </c>
      <c r="B1198" s="1" t="n">
        <v>44683</v>
      </c>
      <c r="C1198" s="1" t="n">
        <v>45337</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18015-2022</t>
        </is>
      </c>
      <c r="B1199" s="1" t="n">
        <v>44684</v>
      </c>
      <c r="C1199" s="1" t="n">
        <v>45337</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18016-2022</t>
        </is>
      </c>
      <c r="B1200" s="1" t="n">
        <v>44684</v>
      </c>
      <c r="C1200" s="1" t="n">
        <v>45337</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17999-2022</t>
        </is>
      </c>
      <c r="B1201" s="1" t="n">
        <v>44683</v>
      </c>
      <c r="C1201" s="1" t="n">
        <v>45337</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18013-2022</t>
        </is>
      </c>
      <c r="B1202" s="1" t="n">
        <v>44684</v>
      </c>
      <c r="C1202" s="1" t="n">
        <v>45337</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18017-2022</t>
        </is>
      </c>
      <c r="B1203" s="1" t="n">
        <v>44683</v>
      </c>
      <c r="C1203" s="1" t="n">
        <v>45337</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18019-2022</t>
        </is>
      </c>
      <c r="B1204" s="1" t="n">
        <v>44684</v>
      </c>
      <c r="C1204" s="1" t="n">
        <v>45337</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18187-2022</t>
        </is>
      </c>
      <c r="B1205" s="1" t="n">
        <v>44684</v>
      </c>
      <c r="C1205" s="1" t="n">
        <v>45337</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18190-2022</t>
        </is>
      </c>
      <c r="B1206" s="1" t="n">
        <v>44685</v>
      </c>
      <c r="C1206" s="1" t="n">
        <v>45337</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18197-2022</t>
        </is>
      </c>
      <c r="B1207" s="1" t="n">
        <v>44684</v>
      </c>
      <c r="C1207" s="1" t="n">
        <v>45337</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18188-2022</t>
        </is>
      </c>
      <c r="B1208" s="1" t="n">
        <v>44685</v>
      </c>
      <c r="C1208" s="1" t="n">
        <v>45337</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18196-2022</t>
        </is>
      </c>
      <c r="B1209" s="1" t="n">
        <v>44685</v>
      </c>
      <c r="C1209" s="1" t="n">
        <v>45337</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18202-2022</t>
        </is>
      </c>
      <c r="B1210" s="1" t="n">
        <v>44684</v>
      </c>
      <c r="C1210" s="1" t="n">
        <v>45337</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18304-2022</t>
        </is>
      </c>
      <c r="B1211" s="1" t="n">
        <v>44685</v>
      </c>
      <c r="C1211" s="1" t="n">
        <v>45337</v>
      </c>
      <c r="D1211" t="inlineStr">
        <is>
          <t>VÄSTERNORRLANDS LÄN</t>
        </is>
      </c>
      <c r="E1211" t="inlineStr">
        <is>
          <t>SOLLEFTEÅ</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18372-2022</t>
        </is>
      </c>
      <c r="B1212" s="1" t="n">
        <v>44685</v>
      </c>
      <c r="C1212" s="1" t="n">
        <v>45337</v>
      </c>
      <c r="D1212" t="inlineStr">
        <is>
          <t>VÄSTERNORRLANDS LÄN</t>
        </is>
      </c>
      <c r="E1212" t="inlineStr">
        <is>
          <t>SOLLEFTEÅ</t>
        </is>
      </c>
      <c r="F1212" t="inlineStr">
        <is>
          <t>SCA</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18570-2022</t>
        </is>
      </c>
      <c r="B1213" s="1" t="n">
        <v>44687</v>
      </c>
      <c r="C1213" s="1" t="n">
        <v>45337</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18852-2022</t>
        </is>
      </c>
      <c r="B1214" s="1" t="n">
        <v>44690</v>
      </c>
      <c r="C1214" s="1" t="n">
        <v>45337</v>
      </c>
      <c r="D1214" t="inlineStr">
        <is>
          <t>VÄSTERNORRLANDS LÄN</t>
        </is>
      </c>
      <c r="E1214" t="inlineStr">
        <is>
          <t>SOLLEFTEÅ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19055-2022</t>
        </is>
      </c>
      <c r="B1215" s="1" t="n">
        <v>44691</v>
      </c>
      <c r="C1215" s="1" t="n">
        <v>45337</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19051-2022</t>
        </is>
      </c>
      <c r="B1216" s="1" t="n">
        <v>44691</v>
      </c>
      <c r="C1216" s="1" t="n">
        <v>45337</v>
      </c>
      <c r="D1216" t="inlineStr">
        <is>
          <t>VÄSTERNORRLANDS LÄN</t>
        </is>
      </c>
      <c r="E1216" t="inlineStr">
        <is>
          <t>SOLLEFTEÅ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19053-2022</t>
        </is>
      </c>
      <c r="B1217" s="1" t="n">
        <v>44691</v>
      </c>
      <c r="C1217" s="1" t="n">
        <v>45337</v>
      </c>
      <c r="D1217" t="inlineStr">
        <is>
          <t>VÄSTERNORRLANDS LÄN</t>
        </is>
      </c>
      <c r="E1217" t="inlineStr">
        <is>
          <t>SOLLEFTEÅ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19203-2022</t>
        </is>
      </c>
      <c r="B1218" s="1" t="n">
        <v>44692</v>
      </c>
      <c r="C1218" s="1" t="n">
        <v>45337</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19208-2022</t>
        </is>
      </c>
      <c r="B1219" s="1" t="n">
        <v>44691</v>
      </c>
      <c r="C1219" s="1" t="n">
        <v>45337</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19295-2022</t>
        </is>
      </c>
      <c r="B1220" s="1" t="n">
        <v>44692</v>
      </c>
      <c r="C1220" s="1" t="n">
        <v>45337</v>
      </c>
      <c r="D1220" t="inlineStr">
        <is>
          <t>VÄSTERNORRLANDS LÄN</t>
        </is>
      </c>
      <c r="E1220" t="inlineStr">
        <is>
          <t>SOLLEFTEÅ</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19414-2022</t>
        </is>
      </c>
      <c r="B1221" s="1" t="n">
        <v>44693</v>
      </c>
      <c r="C1221" s="1" t="n">
        <v>45337</v>
      </c>
      <c r="D1221" t="inlineStr">
        <is>
          <t>VÄSTERNORRLANDS LÄN</t>
        </is>
      </c>
      <c r="E1221" t="inlineStr">
        <is>
          <t>SOLLEFTEÅ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19416-2022</t>
        </is>
      </c>
      <c r="B1222" s="1" t="n">
        <v>44693</v>
      </c>
      <c r="C1222" s="1" t="n">
        <v>45337</v>
      </c>
      <c r="D1222" t="inlineStr">
        <is>
          <t>VÄSTERNORRLANDS LÄN</t>
        </is>
      </c>
      <c r="E1222" t="inlineStr">
        <is>
          <t>SOLLEFTEÅ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19508-2022</t>
        </is>
      </c>
      <c r="B1223" s="1" t="n">
        <v>44693</v>
      </c>
      <c r="C1223" s="1" t="n">
        <v>45337</v>
      </c>
      <c r="D1223" t="inlineStr">
        <is>
          <t>VÄSTERNORRLANDS LÄN</t>
        </is>
      </c>
      <c r="E1223" t="inlineStr">
        <is>
          <t>SOLLEFTEÅ</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19585-2022</t>
        </is>
      </c>
      <c r="B1224" s="1" t="n">
        <v>44693</v>
      </c>
      <c r="C1224" s="1" t="n">
        <v>45337</v>
      </c>
      <c r="D1224" t="inlineStr">
        <is>
          <t>VÄSTERNORRLANDS LÄN</t>
        </is>
      </c>
      <c r="E1224" t="inlineStr">
        <is>
          <t>SOLLEFTEÅ</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19583-2022</t>
        </is>
      </c>
      <c r="B1225" s="1" t="n">
        <v>44693</v>
      </c>
      <c r="C1225" s="1" t="n">
        <v>45337</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19593-2022</t>
        </is>
      </c>
      <c r="B1226" s="1" t="n">
        <v>44694</v>
      </c>
      <c r="C1226" s="1" t="n">
        <v>45337</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19588-2022</t>
        </is>
      </c>
      <c r="B1227" s="1" t="n">
        <v>44694</v>
      </c>
      <c r="C1227" s="1" t="n">
        <v>45337</v>
      </c>
      <c r="D1227" t="inlineStr">
        <is>
          <t>VÄSTERNORRLANDS LÄN</t>
        </is>
      </c>
      <c r="E1227" t="inlineStr">
        <is>
          <t>SOLLEFTEÅ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19595-2022</t>
        </is>
      </c>
      <c r="B1228" s="1" t="n">
        <v>44693</v>
      </c>
      <c r="C1228" s="1" t="n">
        <v>45337</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19594-2022</t>
        </is>
      </c>
      <c r="B1229" s="1" t="n">
        <v>44694</v>
      </c>
      <c r="C1229" s="1" t="n">
        <v>45337</v>
      </c>
      <c r="D1229" t="inlineStr">
        <is>
          <t>VÄSTERNORRLANDS LÄN</t>
        </is>
      </c>
      <c r="E1229" t="inlineStr">
        <is>
          <t>SOLLEFTEÅ</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19825-2022</t>
        </is>
      </c>
      <c r="B1230" s="1" t="n">
        <v>44695</v>
      </c>
      <c r="C1230" s="1" t="n">
        <v>45337</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19813-2022</t>
        </is>
      </c>
      <c r="B1231" s="1" t="n">
        <v>44695</v>
      </c>
      <c r="C1231" s="1" t="n">
        <v>45337</v>
      </c>
      <c r="D1231" t="inlineStr">
        <is>
          <t>VÄSTERNORRLANDS LÄN</t>
        </is>
      </c>
      <c r="E1231" t="inlineStr">
        <is>
          <t>SOLLEFTEÅ</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19814-2022</t>
        </is>
      </c>
      <c r="B1232" s="1" t="n">
        <v>44695</v>
      </c>
      <c r="C1232" s="1" t="n">
        <v>45337</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20061-2022</t>
        </is>
      </c>
      <c r="B1233" s="1" t="n">
        <v>44698</v>
      </c>
      <c r="C1233" s="1" t="n">
        <v>45337</v>
      </c>
      <c r="D1233" t="inlineStr">
        <is>
          <t>VÄSTERNORRLANDS LÄN</t>
        </is>
      </c>
      <c r="E1233" t="inlineStr">
        <is>
          <t>SOLLEFTEÅ</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20062-2022</t>
        </is>
      </c>
      <c r="B1234" s="1" t="n">
        <v>44697</v>
      </c>
      <c r="C1234" s="1" t="n">
        <v>45337</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20296-2022</t>
        </is>
      </c>
      <c r="B1235" s="1" t="n">
        <v>44698</v>
      </c>
      <c r="C1235" s="1" t="n">
        <v>45337</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20551-2022</t>
        </is>
      </c>
      <c r="B1236" s="1" t="n">
        <v>44699</v>
      </c>
      <c r="C1236" s="1" t="n">
        <v>45337</v>
      </c>
      <c r="D1236" t="inlineStr">
        <is>
          <t>VÄSTERNORRLANDS LÄN</t>
        </is>
      </c>
      <c r="E1236" t="inlineStr">
        <is>
          <t>SOLLEFTEÅ</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20699-2022</t>
        </is>
      </c>
      <c r="B1237" s="1" t="n">
        <v>44701</v>
      </c>
      <c r="C1237" s="1" t="n">
        <v>45337</v>
      </c>
      <c r="D1237" t="inlineStr">
        <is>
          <t>VÄSTERNORRLANDS LÄN</t>
        </is>
      </c>
      <c r="E1237" t="inlineStr">
        <is>
          <t>SOLLEFTEÅ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20704-2022</t>
        </is>
      </c>
      <c r="B1238" s="1" t="n">
        <v>44700</v>
      </c>
      <c r="C1238" s="1" t="n">
        <v>45337</v>
      </c>
      <c r="D1238" t="inlineStr">
        <is>
          <t>VÄSTERNORRLANDS LÄN</t>
        </is>
      </c>
      <c r="E1238" t="inlineStr">
        <is>
          <t>SOLLEFTEÅ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20702-2022</t>
        </is>
      </c>
      <c r="B1239" s="1" t="n">
        <v>44701</v>
      </c>
      <c r="C1239" s="1" t="n">
        <v>45337</v>
      </c>
      <c r="D1239" t="inlineStr">
        <is>
          <t>VÄSTERNORRLANDS LÄN</t>
        </is>
      </c>
      <c r="E1239" t="inlineStr">
        <is>
          <t>SOLLEFTEÅ</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20703-2022</t>
        </is>
      </c>
      <c r="B1240" s="1" t="n">
        <v>44701</v>
      </c>
      <c r="C1240" s="1" t="n">
        <v>45337</v>
      </c>
      <c r="D1240" t="inlineStr">
        <is>
          <t>VÄSTERNORRLANDS LÄN</t>
        </is>
      </c>
      <c r="E1240" t="inlineStr">
        <is>
          <t>SOLLEFTEÅ</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20724-2022</t>
        </is>
      </c>
      <c r="B1241" s="1" t="n">
        <v>44700</v>
      </c>
      <c r="C1241" s="1" t="n">
        <v>45337</v>
      </c>
      <c r="D1241" t="inlineStr">
        <is>
          <t>VÄSTERNORRLANDS LÄN</t>
        </is>
      </c>
      <c r="E1241" t="inlineStr">
        <is>
          <t>SOLLEFTEÅ</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20738-2022</t>
        </is>
      </c>
      <c r="B1242" s="1" t="n">
        <v>44700</v>
      </c>
      <c r="C1242" s="1" t="n">
        <v>45337</v>
      </c>
      <c r="D1242" t="inlineStr">
        <is>
          <t>VÄSTERNORRLANDS LÄN</t>
        </is>
      </c>
      <c r="E1242" t="inlineStr">
        <is>
          <t>SOLLEFTEÅ</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20955-2022</t>
        </is>
      </c>
      <c r="B1243" s="1" t="n">
        <v>44702</v>
      </c>
      <c r="C1243" s="1" t="n">
        <v>45337</v>
      </c>
      <c r="D1243" t="inlineStr">
        <is>
          <t>VÄSTERNORRLANDS LÄN</t>
        </is>
      </c>
      <c r="E1243" t="inlineStr">
        <is>
          <t>SOLLEFTEÅ</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20950-2022</t>
        </is>
      </c>
      <c r="B1244" s="1" t="n">
        <v>44701</v>
      </c>
      <c r="C1244" s="1" t="n">
        <v>45337</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20954-2022</t>
        </is>
      </c>
      <c r="B1245" s="1" t="n">
        <v>44702</v>
      </c>
      <c r="C1245" s="1" t="n">
        <v>45337</v>
      </c>
      <c r="D1245" t="inlineStr">
        <is>
          <t>VÄSTERNORRLANDS LÄN</t>
        </is>
      </c>
      <c r="E1245" t="inlineStr">
        <is>
          <t>SOLLEFTEÅ</t>
        </is>
      </c>
      <c r="F1245" t="inlineStr">
        <is>
          <t>SCA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20951-2022</t>
        </is>
      </c>
      <c r="B1246" s="1" t="n">
        <v>44701</v>
      </c>
      <c r="C1246" s="1" t="n">
        <v>45337</v>
      </c>
      <c r="D1246" t="inlineStr">
        <is>
          <t>VÄSTERNORRLANDS LÄN</t>
        </is>
      </c>
      <c r="E1246" t="inlineStr">
        <is>
          <t>SOLLEFTEÅ</t>
        </is>
      </c>
      <c r="F1246" t="inlineStr">
        <is>
          <t>SCA</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20942-2022</t>
        </is>
      </c>
      <c r="B1247" s="1" t="n">
        <v>44701</v>
      </c>
      <c r="C1247" s="1" t="n">
        <v>45337</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20996-2022</t>
        </is>
      </c>
      <c r="B1248" s="1" t="n">
        <v>44703</v>
      </c>
      <c r="C1248" s="1" t="n">
        <v>45337</v>
      </c>
      <c r="D1248" t="inlineStr">
        <is>
          <t>VÄSTERNORRLANDS LÄN</t>
        </is>
      </c>
      <c r="E1248" t="inlineStr">
        <is>
          <t>SOLLEFTEÅ</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20994-2022</t>
        </is>
      </c>
      <c r="B1249" s="1" t="n">
        <v>44703</v>
      </c>
      <c r="C1249" s="1" t="n">
        <v>45337</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21050-2022</t>
        </is>
      </c>
      <c r="B1250" s="1" t="n">
        <v>44704</v>
      </c>
      <c r="C1250" s="1" t="n">
        <v>45337</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21191-2022</t>
        </is>
      </c>
      <c r="B1251" s="1" t="n">
        <v>44705</v>
      </c>
      <c r="C1251" s="1" t="n">
        <v>45337</v>
      </c>
      <c r="D1251" t="inlineStr">
        <is>
          <t>VÄSTERNORRLANDS LÄN</t>
        </is>
      </c>
      <c r="E1251" t="inlineStr">
        <is>
          <t>SOLLEFTEÅ</t>
        </is>
      </c>
      <c r="F1251" t="inlineStr">
        <is>
          <t>SCA</t>
        </is>
      </c>
      <c r="G1251" t="n">
        <v>26.5</v>
      </c>
      <c r="H1251" t="n">
        <v>0</v>
      </c>
      <c r="I1251" t="n">
        <v>0</v>
      </c>
      <c r="J1251" t="n">
        <v>0</v>
      </c>
      <c r="K1251" t="n">
        <v>0</v>
      </c>
      <c r="L1251" t="n">
        <v>0</v>
      </c>
      <c r="M1251" t="n">
        <v>0</v>
      </c>
      <c r="N1251" t="n">
        <v>0</v>
      </c>
      <c r="O1251" t="n">
        <v>0</v>
      </c>
      <c r="P1251" t="n">
        <v>0</v>
      </c>
      <c r="Q1251" t="n">
        <v>0</v>
      </c>
      <c r="R1251" s="2" t="inlineStr"/>
    </row>
    <row r="1252" ht="15" customHeight="1">
      <c r="A1252" t="inlineStr">
        <is>
          <t>A 21210-2022</t>
        </is>
      </c>
      <c r="B1252" s="1" t="n">
        <v>44705</v>
      </c>
      <c r="C1252" s="1" t="n">
        <v>45337</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21404-2022</t>
        </is>
      </c>
      <c r="B1253" s="1" t="n">
        <v>44706</v>
      </c>
      <c r="C1253" s="1" t="n">
        <v>45337</v>
      </c>
      <c r="D1253" t="inlineStr">
        <is>
          <t>VÄSTERNORRLANDS LÄN</t>
        </is>
      </c>
      <c r="E1253" t="inlineStr">
        <is>
          <t>SOLLEFTEÅ</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21582-2022</t>
        </is>
      </c>
      <c r="B1254" s="1" t="n">
        <v>44706</v>
      </c>
      <c r="C1254" s="1" t="n">
        <v>45337</v>
      </c>
      <c r="D1254" t="inlineStr">
        <is>
          <t>VÄSTERNORRLANDS LÄN</t>
        </is>
      </c>
      <c r="E1254" t="inlineStr">
        <is>
          <t>SOLLEFTEÅ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21637-2022</t>
        </is>
      </c>
      <c r="B1255" s="1" t="n">
        <v>44707</v>
      </c>
      <c r="C1255" s="1" t="n">
        <v>45337</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21636-2022</t>
        </is>
      </c>
      <c r="B1256" s="1" t="n">
        <v>44707</v>
      </c>
      <c r="C1256" s="1" t="n">
        <v>45337</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21635-2022</t>
        </is>
      </c>
      <c r="B1257" s="1" t="n">
        <v>44707</v>
      </c>
      <c r="C1257" s="1" t="n">
        <v>45337</v>
      </c>
      <c r="D1257" t="inlineStr">
        <is>
          <t>VÄSTERNORRLANDS LÄN</t>
        </is>
      </c>
      <c r="E1257" t="inlineStr">
        <is>
          <t>SOLLEFTEÅ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21713-2022</t>
        </is>
      </c>
      <c r="B1258" s="1" t="n">
        <v>44708</v>
      </c>
      <c r="C1258" s="1" t="n">
        <v>45337</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21714-2022</t>
        </is>
      </c>
      <c r="B1259" s="1" t="n">
        <v>44708</v>
      </c>
      <c r="C1259" s="1" t="n">
        <v>45337</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21715-2022</t>
        </is>
      </c>
      <c r="B1260" s="1" t="n">
        <v>44708</v>
      </c>
      <c r="C1260" s="1" t="n">
        <v>45337</v>
      </c>
      <c r="D1260" t="inlineStr">
        <is>
          <t>VÄSTERNORRLANDS LÄN</t>
        </is>
      </c>
      <c r="E1260" t="inlineStr">
        <is>
          <t>SOLLEFTEÅ</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21711-2022</t>
        </is>
      </c>
      <c r="B1261" s="1" t="n">
        <v>44707</v>
      </c>
      <c r="C1261" s="1" t="n">
        <v>45337</v>
      </c>
      <c r="D1261" t="inlineStr">
        <is>
          <t>VÄSTERNORRLANDS LÄN</t>
        </is>
      </c>
      <c r="E1261" t="inlineStr">
        <is>
          <t>SOLLEFTEÅ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21807-2022</t>
        </is>
      </c>
      <c r="B1262" s="1" t="n">
        <v>44708</v>
      </c>
      <c r="C1262" s="1" t="n">
        <v>45337</v>
      </c>
      <c r="D1262" t="inlineStr">
        <is>
          <t>VÄSTERNORRLANDS LÄN</t>
        </is>
      </c>
      <c r="E1262" t="inlineStr">
        <is>
          <t>SOLLEFTEÅ</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22101-2022</t>
        </is>
      </c>
      <c r="B1263" s="1" t="n">
        <v>44712</v>
      </c>
      <c r="C1263" s="1" t="n">
        <v>45337</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22087-2022</t>
        </is>
      </c>
      <c r="B1264" s="1" t="n">
        <v>44712</v>
      </c>
      <c r="C1264" s="1" t="n">
        <v>45337</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22103-2022</t>
        </is>
      </c>
      <c r="B1265" s="1" t="n">
        <v>44712</v>
      </c>
      <c r="C1265" s="1" t="n">
        <v>45337</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22323-2022</t>
        </is>
      </c>
      <c r="B1266" s="1" t="n">
        <v>44713</v>
      </c>
      <c r="C1266" s="1" t="n">
        <v>45337</v>
      </c>
      <c r="D1266" t="inlineStr">
        <is>
          <t>VÄSTERNORRLANDS LÄN</t>
        </is>
      </c>
      <c r="E1266" t="inlineStr">
        <is>
          <t>SOLLEFTEÅ</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22330-2022</t>
        </is>
      </c>
      <c r="B1267" s="1" t="n">
        <v>44712</v>
      </c>
      <c r="C1267" s="1" t="n">
        <v>45337</v>
      </c>
      <c r="D1267" t="inlineStr">
        <is>
          <t>VÄSTERNORRLANDS LÄN</t>
        </is>
      </c>
      <c r="E1267" t="inlineStr">
        <is>
          <t>SOLLEFTEÅ</t>
        </is>
      </c>
      <c r="F1267" t="inlineStr">
        <is>
          <t>SCA</t>
        </is>
      </c>
      <c r="G1267" t="n">
        <v>21.9</v>
      </c>
      <c r="H1267" t="n">
        <v>0</v>
      </c>
      <c r="I1267" t="n">
        <v>0</v>
      </c>
      <c r="J1267" t="n">
        <v>0</v>
      </c>
      <c r="K1267" t="n">
        <v>0</v>
      </c>
      <c r="L1267" t="n">
        <v>0</v>
      </c>
      <c r="M1267" t="n">
        <v>0</v>
      </c>
      <c r="N1267" t="n">
        <v>0</v>
      </c>
      <c r="O1267" t="n">
        <v>0</v>
      </c>
      <c r="P1267" t="n">
        <v>0</v>
      </c>
      <c r="Q1267" t="n">
        <v>0</v>
      </c>
      <c r="R1267" s="2" t="inlineStr"/>
    </row>
    <row r="1268" ht="15" customHeight="1">
      <c r="A1268" t="inlineStr">
        <is>
          <t>A 22341-2022</t>
        </is>
      </c>
      <c r="B1268" s="1" t="n">
        <v>44713</v>
      </c>
      <c r="C1268" s="1" t="n">
        <v>45337</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22342-2022</t>
        </is>
      </c>
      <c r="B1269" s="1" t="n">
        <v>44713</v>
      </c>
      <c r="C1269" s="1" t="n">
        <v>45337</v>
      </c>
      <c r="D1269" t="inlineStr">
        <is>
          <t>VÄSTERNORRLANDS LÄN</t>
        </is>
      </c>
      <c r="E1269" t="inlineStr">
        <is>
          <t>SOLLEFTEÅ</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22343-2022</t>
        </is>
      </c>
      <c r="B1270" s="1" t="n">
        <v>44713</v>
      </c>
      <c r="C1270" s="1" t="n">
        <v>45337</v>
      </c>
      <c r="D1270" t="inlineStr">
        <is>
          <t>VÄSTERNORRLANDS LÄN</t>
        </is>
      </c>
      <c r="E1270" t="inlineStr">
        <is>
          <t>SOLLEFTEÅ</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22664-2022</t>
        </is>
      </c>
      <c r="B1271" s="1" t="n">
        <v>44714</v>
      </c>
      <c r="C1271" s="1" t="n">
        <v>45337</v>
      </c>
      <c r="D1271" t="inlineStr">
        <is>
          <t>VÄSTERNORRLANDS LÄN</t>
        </is>
      </c>
      <c r="E1271" t="inlineStr">
        <is>
          <t>SOLLEFTEÅ</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22762-2022</t>
        </is>
      </c>
      <c r="B1272" s="1" t="n">
        <v>44715</v>
      </c>
      <c r="C1272" s="1" t="n">
        <v>45337</v>
      </c>
      <c r="D1272" t="inlineStr">
        <is>
          <t>VÄSTERNORRLANDS LÄN</t>
        </is>
      </c>
      <c r="E1272" t="inlineStr">
        <is>
          <t>SOLLEFTEÅ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22956-2022</t>
        </is>
      </c>
      <c r="B1273" s="1" t="n">
        <v>44716</v>
      </c>
      <c r="C1273" s="1" t="n">
        <v>45337</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22952-2022</t>
        </is>
      </c>
      <c r="B1274" s="1" t="n">
        <v>44716</v>
      </c>
      <c r="C1274" s="1" t="n">
        <v>45337</v>
      </c>
      <c r="D1274" t="inlineStr">
        <is>
          <t>VÄSTERNORRLANDS LÄN</t>
        </is>
      </c>
      <c r="E1274" t="inlineStr">
        <is>
          <t>SOLLEFTEÅ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22962-2022</t>
        </is>
      </c>
      <c r="B1275" s="1" t="n">
        <v>44715</v>
      </c>
      <c r="C1275" s="1" t="n">
        <v>45337</v>
      </c>
      <c r="D1275" t="inlineStr">
        <is>
          <t>VÄSTERNORRLANDS LÄN</t>
        </is>
      </c>
      <c r="E1275" t="inlineStr">
        <is>
          <t>SOLLEFTEÅ</t>
        </is>
      </c>
      <c r="F1275" t="inlineStr">
        <is>
          <t>SCA</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23111-2022</t>
        </is>
      </c>
      <c r="B1276" s="1" t="n">
        <v>44720</v>
      </c>
      <c r="C1276" s="1" t="n">
        <v>45337</v>
      </c>
      <c r="D1276" t="inlineStr">
        <is>
          <t>VÄSTERNORRLANDS LÄN</t>
        </is>
      </c>
      <c r="E1276" t="inlineStr">
        <is>
          <t>SOLLEFTEÅ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23230-2022</t>
        </is>
      </c>
      <c r="B1277" s="1" t="n">
        <v>44720</v>
      </c>
      <c r="C1277" s="1" t="n">
        <v>45337</v>
      </c>
      <c r="D1277" t="inlineStr">
        <is>
          <t>VÄSTERNORRLANDS LÄN</t>
        </is>
      </c>
      <c r="E1277" t="inlineStr">
        <is>
          <t>SOLLEFTEÅ</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23282-2022</t>
        </is>
      </c>
      <c r="B1278" s="1" t="n">
        <v>44720</v>
      </c>
      <c r="C1278" s="1" t="n">
        <v>45337</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23436-2022</t>
        </is>
      </c>
      <c r="B1279" s="1" t="n">
        <v>44720</v>
      </c>
      <c r="C1279" s="1" t="n">
        <v>45337</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23445-2022</t>
        </is>
      </c>
      <c r="B1280" s="1" t="n">
        <v>44721</v>
      </c>
      <c r="C1280" s="1" t="n">
        <v>45337</v>
      </c>
      <c r="D1280" t="inlineStr">
        <is>
          <t>VÄSTERNORRLANDS LÄN</t>
        </is>
      </c>
      <c r="E1280" t="inlineStr">
        <is>
          <t>SOLLEFTEÅ</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23447-2022</t>
        </is>
      </c>
      <c r="B1281" s="1" t="n">
        <v>44721</v>
      </c>
      <c r="C1281" s="1" t="n">
        <v>45337</v>
      </c>
      <c r="D1281" t="inlineStr">
        <is>
          <t>VÄSTERNORRLANDS LÄN</t>
        </is>
      </c>
      <c r="E1281" t="inlineStr">
        <is>
          <t>SOLLEFTEÅ</t>
        </is>
      </c>
      <c r="F1281" t="inlineStr">
        <is>
          <t>SCA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23450-2022</t>
        </is>
      </c>
      <c r="B1282" s="1" t="n">
        <v>44720</v>
      </c>
      <c r="C1282" s="1" t="n">
        <v>45337</v>
      </c>
      <c r="D1282" t="inlineStr">
        <is>
          <t>VÄSTERNORRLANDS LÄN</t>
        </is>
      </c>
      <c r="E1282" t="inlineStr">
        <is>
          <t>SOLLEFTEÅ</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24008-2022</t>
        </is>
      </c>
      <c r="B1283" s="1" t="n">
        <v>44723</v>
      </c>
      <c r="C1283" s="1" t="n">
        <v>45337</v>
      </c>
      <c r="D1283" t="inlineStr">
        <is>
          <t>VÄSTERNORRLANDS LÄN</t>
        </is>
      </c>
      <c r="E1283" t="inlineStr">
        <is>
          <t>SOLLEFTEÅ</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24024-2022</t>
        </is>
      </c>
      <c r="B1284" s="1" t="n">
        <v>44723</v>
      </c>
      <c r="C1284" s="1" t="n">
        <v>45337</v>
      </c>
      <c r="D1284" t="inlineStr">
        <is>
          <t>VÄSTERNORRLANDS LÄN</t>
        </is>
      </c>
      <c r="E1284" t="inlineStr">
        <is>
          <t>SOLLEFTEÅ</t>
        </is>
      </c>
      <c r="F1284" t="inlineStr">
        <is>
          <t>SCA</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24322-2022</t>
        </is>
      </c>
      <c r="B1285" s="1" t="n">
        <v>44726</v>
      </c>
      <c r="C1285" s="1" t="n">
        <v>45337</v>
      </c>
      <c r="D1285" t="inlineStr">
        <is>
          <t>VÄSTERNORRLANDS LÄN</t>
        </is>
      </c>
      <c r="E1285" t="inlineStr">
        <is>
          <t>SOLLEFTEÅ</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24723-2022</t>
        </is>
      </c>
      <c r="B1286" s="1" t="n">
        <v>44728</v>
      </c>
      <c r="C1286" s="1" t="n">
        <v>45337</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24739-2022</t>
        </is>
      </c>
      <c r="B1287" s="1" t="n">
        <v>44728</v>
      </c>
      <c r="C1287" s="1" t="n">
        <v>45337</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24734-2022</t>
        </is>
      </c>
      <c r="B1288" s="1" t="n">
        <v>44728</v>
      </c>
      <c r="C1288" s="1" t="n">
        <v>45337</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24735-2022</t>
        </is>
      </c>
      <c r="B1289" s="1" t="n">
        <v>44728</v>
      </c>
      <c r="C1289" s="1" t="n">
        <v>45337</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24721-2022</t>
        </is>
      </c>
      <c r="B1290" s="1" t="n">
        <v>44728</v>
      </c>
      <c r="C1290" s="1" t="n">
        <v>45337</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24737-2022</t>
        </is>
      </c>
      <c r="B1291" s="1" t="n">
        <v>44728</v>
      </c>
      <c r="C1291" s="1" t="n">
        <v>45337</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25019-2022</t>
        </is>
      </c>
      <c r="B1292" s="1" t="n">
        <v>44728</v>
      </c>
      <c r="C1292" s="1" t="n">
        <v>45337</v>
      </c>
      <c r="D1292" t="inlineStr">
        <is>
          <t>VÄSTERNORRLANDS LÄN</t>
        </is>
      </c>
      <c r="E1292" t="inlineStr">
        <is>
          <t>SOLLEFTEÅ</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25024-2022</t>
        </is>
      </c>
      <c r="B1293" s="1" t="n">
        <v>44729</v>
      </c>
      <c r="C1293" s="1" t="n">
        <v>45337</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25026-2022</t>
        </is>
      </c>
      <c r="B1294" s="1" t="n">
        <v>44729</v>
      </c>
      <c r="C1294" s="1" t="n">
        <v>45337</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25017-2022</t>
        </is>
      </c>
      <c r="B1295" s="1" t="n">
        <v>44729</v>
      </c>
      <c r="C1295" s="1" t="n">
        <v>45337</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25295-2022</t>
        </is>
      </c>
      <c r="B1296" s="1" t="n">
        <v>44731</v>
      </c>
      <c r="C1296" s="1" t="n">
        <v>45337</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25339-2022</t>
        </is>
      </c>
      <c r="B1297" s="1" t="n">
        <v>44732</v>
      </c>
      <c r="C1297" s="1" t="n">
        <v>45337</v>
      </c>
      <c r="D1297" t="inlineStr">
        <is>
          <t>VÄSTERNORRLANDS LÄN</t>
        </is>
      </c>
      <c r="E1297" t="inlineStr">
        <is>
          <t>SOLLEFTEÅ</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25338-2022</t>
        </is>
      </c>
      <c r="B1298" s="1" t="n">
        <v>44731</v>
      </c>
      <c r="C1298" s="1" t="n">
        <v>45337</v>
      </c>
      <c r="D1298" t="inlineStr">
        <is>
          <t>VÄSTERNORRLANDS LÄN</t>
        </is>
      </c>
      <c r="E1298" t="inlineStr">
        <is>
          <t>SOLLEFTEÅ</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25341-2022</t>
        </is>
      </c>
      <c r="B1299" s="1" t="n">
        <v>44731</v>
      </c>
      <c r="C1299" s="1" t="n">
        <v>45337</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26407-2022</t>
        </is>
      </c>
      <c r="B1300" s="1" t="n">
        <v>44735</v>
      </c>
      <c r="C1300" s="1" t="n">
        <v>45337</v>
      </c>
      <c r="D1300" t="inlineStr">
        <is>
          <t>VÄSTERNORRLANDS LÄN</t>
        </is>
      </c>
      <c r="E1300" t="inlineStr">
        <is>
          <t>SOLLEFTEÅ</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26416-2022</t>
        </is>
      </c>
      <c r="B1301" s="1" t="n">
        <v>44736</v>
      </c>
      <c r="C1301" s="1" t="n">
        <v>45337</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26415-2022</t>
        </is>
      </c>
      <c r="B1302" s="1" t="n">
        <v>44735</v>
      </c>
      <c r="C1302" s="1" t="n">
        <v>45337</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26435-2022</t>
        </is>
      </c>
      <c r="B1303" s="1" t="n">
        <v>44737</v>
      </c>
      <c r="C1303" s="1" t="n">
        <v>45337</v>
      </c>
      <c r="D1303" t="inlineStr">
        <is>
          <t>VÄSTERNORRLANDS LÄN</t>
        </is>
      </c>
      <c r="E1303" t="inlineStr">
        <is>
          <t>SOLLEFTEÅ</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26594-2022</t>
        </is>
      </c>
      <c r="B1304" s="1" t="n">
        <v>44739</v>
      </c>
      <c r="C1304" s="1" t="n">
        <v>45337</v>
      </c>
      <c r="D1304" t="inlineStr">
        <is>
          <t>VÄSTERNORRLANDS LÄN</t>
        </is>
      </c>
      <c r="E1304" t="inlineStr">
        <is>
          <t>SOLLEFTEÅ</t>
        </is>
      </c>
      <c r="F1304" t="inlineStr">
        <is>
          <t>Holmen skog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45337</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45337</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45337</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45337</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45337</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45337</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45337</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45337</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45337</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45337</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45337</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45337</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45337</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45337</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45337</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45337</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45337</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45337</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45337</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45337</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45337</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45337</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45337</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45337</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45337</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45337</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45337</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45337</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45337</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45337</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45337</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45337</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45337</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45337</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45337</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45337</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45337</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45337</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45337</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45337</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45337</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45337</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45337</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45337</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45337</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30047-2022</t>
        </is>
      </c>
      <c r="B1350" s="1" t="n">
        <v>44757</v>
      </c>
      <c r="C1350" s="1" t="n">
        <v>45337</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30238-2022</t>
        </is>
      </c>
      <c r="B1351" s="1" t="n">
        <v>44757</v>
      </c>
      <c r="C1351" s="1" t="n">
        <v>45337</v>
      </c>
      <c r="D1351" t="inlineStr">
        <is>
          <t>VÄSTERNORRLANDS LÄN</t>
        </is>
      </c>
      <c r="E1351" t="inlineStr">
        <is>
          <t>SOLLEFTEÅ</t>
        </is>
      </c>
      <c r="F1351" t="inlineStr">
        <is>
          <t>SCA</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30239-2022</t>
        </is>
      </c>
      <c r="B1352" s="1" t="n">
        <v>44758</v>
      </c>
      <c r="C1352" s="1" t="n">
        <v>45337</v>
      </c>
      <c r="D1352" t="inlineStr">
        <is>
          <t>VÄSTERNORRLANDS LÄN</t>
        </is>
      </c>
      <c r="E1352" t="inlineStr">
        <is>
          <t>SOLLEFTEÅ</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30237-2022</t>
        </is>
      </c>
      <c r="B1353" s="1" t="n">
        <v>44758</v>
      </c>
      <c r="C1353" s="1" t="n">
        <v>45337</v>
      </c>
      <c r="D1353" t="inlineStr">
        <is>
          <t>VÄSTERNORRLANDS LÄN</t>
        </is>
      </c>
      <c r="E1353" t="inlineStr">
        <is>
          <t>SOLLEFTEÅ</t>
        </is>
      </c>
      <c r="F1353" t="inlineStr">
        <is>
          <t>SCA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30236-2022</t>
        </is>
      </c>
      <c r="B1354" s="1" t="n">
        <v>44757</v>
      </c>
      <c r="C1354" s="1" t="n">
        <v>45337</v>
      </c>
      <c r="D1354" t="inlineStr">
        <is>
          <t>VÄSTERNORRLANDS LÄN</t>
        </is>
      </c>
      <c r="E1354" t="inlineStr">
        <is>
          <t>SOLLEFTEÅ</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30240-2022</t>
        </is>
      </c>
      <c r="B1355" s="1" t="n">
        <v>44757</v>
      </c>
      <c r="C1355" s="1" t="n">
        <v>45337</v>
      </c>
      <c r="D1355" t="inlineStr">
        <is>
          <t>VÄSTERNORRLANDS LÄN</t>
        </is>
      </c>
      <c r="E1355" t="inlineStr">
        <is>
          <t>SOLLEFTEÅ</t>
        </is>
      </c>
      <c r="F1355" t="inlineStr">
        <is>
          <t>SCA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30606-2022</t>
        </is>
      </c>
      <c r="B1356" s="1" t="n">
        <v>44763</v>
      </c>
      <c r="C1356" s="1" t="n">
        <v>45337</v>
      </c>
      <c r="D1356" t="inlineStr">
        <is>
          <t>VÄSTERNORRLANDS LÄN</t>
        </is>
      </c>
      <c r="E1356" t="inlineStr">
        <is>
          <t>SOLLEFTEÅ</t>
        </is>
      </c>
      <c r="F1356" t="inlineStr">
        <is>
          <t>SCA</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30805-2022</t>
        </is>
      </c>
      <c r="B1357" s="1" t="n">
        <v>44765</v>
      </c>
      <c r="C1357" s="1" t="n">
        <v>45337</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30936-2022</t>
        </is>
      </c>
      <c r="B1358" s="1" t="n">
        <v>44768</v>
      </c>
      <c r="C1358" s="1" t="n">
        <v>45337</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30937-2022</t>
        </is>
      </c>
      <c r="B1359" s="1" t="n">
        <v>44768</v>
      </c>
      <c r="C1359" s="1" t="n">
        <v>45337</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31005-2022</t>
        </is>
      </c>
      <c r="B1360" s="1" t="n">
        <v>44768</v>
      </c>
      <c r="C1360" s="1" t="n">
        <v>45337</v>
      </c>
      <c r="D1360" t="inlineStr">
        <is>
          <t>VÄSTERNORRLANDS LÄN</t>
        </is>
      </c>
      <c r="E1360" t="inlineStr">
        <is>
          <t>SOLLEFTEÅ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31444-2022</t>
        </is>
      </c>
      <c r="B1361" s="1" t="n">
        <v>44774</v>
      </c>
      <c r="C1361" s="1" t="n">
        <v>45337</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31453-2022</t>
        </is>
      </c>
      <c r="B1362" s="1" t="n">
        <v>44775</v>
      </c>
      <c r="C1362" s="1" t="n">
        <v>45337</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31474-2022</t>
        </is>
      </c>
      <c r="B1363" s="1" t="n">
        <v>44775</v>
      </c>
      <c r="C1363" s="1" t="n">
        <v>45337</v>
      </c>
      <c r="D1363" t="inlineStr">
        <is>
          <t>VÄSTERNORRLANDS LÄN</t>
        </is>
      </c>
      <c r="E1363" t="inlineStr">
        <is>
          <t>SOLLEFTEÅ</t>
        </is>
      </c>
      <c r="F1363" t="inlineStr">
        <is>
          <t>SCA</t>
        </is>
      </c>
      <c r="G1363" t="n">
        <v>28.3</v>
      </c>
      <c r="H1363" t="n">
        <v>0</v>
      </c>
      <c r="I1363" t="n">
        <v>0</v>
      </c>
      <c r="J1363" t="n">
        <v>0</v>
      </c>
      <c r="K1363" t="n">
        <v>0</v>
      </c>
      <c r="L1363" t="n">
        <v>0</v>
      </c>
      <c r="M1363" t="n">
        <v>0</v>
      </c>
      <c r="N1363" t="n">
        <v>0</v>
      </c>
      <c r="O1363" t="n">
        <v>0</v>
      </c>
      <c r="P1363" t="n">
        <v>0</v>
      </c>
      <c r="Q1363" t="n">
        <v>0</v>
      </c>
      <c r="R1363" s="2" t="inlineStr"/>
    </row>
    <row r="1364" ht="15" customHeight="1">
      <c r="A1364" t="inlineStr">
        <is>
          <t>A 31440-2022</t>
        </is>
      </c>
      <c r="B1364" s="1" t="n">
        <v>44775</v>
      </c>
      <c r="C1364" s="1" t="n">
        <v>45337</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31464-2022</t>
        </is>
      </c>
      <c r="B1365" s="1" t="n">
        <v>44774</v>
      </c>
      <c r="C1365" s="1" t="n">
        <v>45337</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31452-2022</t>
        </is>
      </c>
      <c r="B1366" s="1" t="n">
        <v>44775</v>
      </c>
      <c r="C1366" s="1" t="n">
        <v>45337</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31490-2022</t>
        </is>
      </c>
      <c r="B1367" s="1" t="n">
        <v>44775</v>
      </c>
      <c r="C1367" s="1" t="n">
        <v>45337</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31451-2022</t>
        </is>
      </c>
      <c r="B1368" s="1" t="n">
        <v>44775</v>
      </c>
      <c r="C1368" s="1" t="n">
        <v>45337</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31482-2022</t>
        </is>
      </c>
      <c r="B1369" s="1" t="n">
        <v>44775</v>
      </c>
      <c r="C1369" s="1" t="n">
        <v>45337</v>
      </c>
      <c r="D1369" t="inlineStr">
        <is>
          <t>VÄSTERNORRLANDS LÄN</t>
        </is>
      </c>
      <c r="E1369" t="inlineStr">
        <is>
          <t>SOLLEFTEÅ</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31588-2022</t>
        </is>
      </c>
      <c r="B1370" s="1" t="n">
        <v>44775</v>
      </c>
      <c r="C1370" s="1" t="n">
        <v>45337</v>
      </c>
      <c r="D1370" t="inlineStr">
        <is>
          <t>VÄSTERNORRLANDS LÄN</t>
        </is>
      </c>
      <c r="E1370" t="inlineStr">
        <is>
          <t>SOLLEFTEÅ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31646-2022</t>
        </is>
      </c>
      <c r="B1371" s="1" t="n">
        <v>44776</v>
      </c>
      <c r="C1371" s="1" t="n">
        <v>45337</v>
      </c>
      <c r="D1371" t="inlineStr">
        <is>
          <t>VÄSTERNORRLANDS LÄN</t>
        </is>
      </c>
      <c r="E1371" t="inlineStr">
        <is>
          <t>SOLLEFTEÅ</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31672-2022</t>
        </is>
      </c>
      <c r="B1372" s="1" t="n">
        <v>44776</v>
      </c>
      <c r="C1372" s="1" t="n">
        <v>45337</v>
      </c>
      <c r="D1372" t="inlineStr">
        <is>
          <t>VÄSTERNORRLANDS LÄN</t>
        </is>
      </c>
      <c r="E1372" t="inlineStr">
        <is>
          <t>SOLLEFTEÅ</t>
        </is>
      </c>
      <c r="G1372" t="n">
        <v>16.3</v>
      </c>
      <c r="H1372" t="n">
        <v>0</v>
      </c>
      <c r="I1372" t="n">
        <v>0</v>
      </c>
      <c r="J1372" t="n">
        <v>0</v>
      </c>
      <c r="K1372" t="n">
        <v>0</v>
      </c>
      <c r="L1372" t="n">
        <v>0</v>
      </c>
      <c r="M1372" t="n">
        <v>0</v>
      </c>
      <c r="N1372" t="n">
        <v>0</v>
      </c>
      <c r="O1372" t="n">
        <v>0</v>
      </c>
      <c r="P1372" t="n">
        <v>0</v>
      </c>
      <c r="Q1372" t="n">
        <v>0</v>
      </c>
      <c r="R1372" s="2" t="inlineStr"/>
    </row>
    <row r="1373" ht="15" customHeight="1">
      <c r="A1373" t="inlineStr">
        <is>
          <t>A 31856-2022</t>
        </is>
      </c>
      <c r="B1373" s="1" t="n">
        <v>44776</v>
      </c>
      <c r="C1373" s="1" t="n">
        <v>45337</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31968-2022</t>
        </is>
      </c>
      <c r="B1374" s="1" t="n">
        <v>44778</v>
      </c>
      <c r="C1374" s="1" t="n">
        <v>45337</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31967-2022</t>
        </is>
      </c>
      <c r="B1375" s="1" t="n">
        <v>44778</v>
      </c>
      <c r="C1375" s="1" t="n">
        <v>45337</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31965-2022</t>
        </is>
      </c>
      <c r="B1376" s="1" t="n">
        <v>44778</v>
      </c>
      <c r="C1376" s="1" t="n">
        <v>45337</v>
      </c>
      <c r="D1376" t="inlineStr">
        <is>
          <t>VÄSTERNORRLANDS LÄN</t>
        </is>
      </c>
      <c r="E1376" t="inlineStr">
        <is>
          <t>SOLLEFTEÅ</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31966-2022</t>
        </is>
      </c>
      <c r="B1377" s="1" t="n">
        <v>44778</v>
      </c>
      <c r="C1377" s="1" t="n">
        <v>45337</v>
      </c>
      <c r="D1377" t="inlineStr">
        <is>
          <t>VÄSTERNORRLANDS LÄN</t>
        </is>
      </c>
      <c r="E1377" t="inlineStr">
        <is>
          <t>SOLLEFTEÅ</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32127-2022</t>
        </is>
      </c>
      <c r="B1378" s="1" t="n">
        <v>44779</v>
      </c>
      <c r="C1378" s="1" t="n">
        <v>45337</v>
      </c>
      <c r="D1378" t="inlineStr">
        <is>
          <t>VÄSTERNORRLANDS LÄN</t>
        </is>
      </c>
      <c r="E1378" t="inlineStr">
        <is>
          <t>SOLLEFTEÅ</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32129-2022</t>
        </is>
      </c>
      <c r="B1379" s="1" t="n">
        <v>44779</v>
      </c>
      <c r="C1379" s="1" t="n">
        <v>45337</v>
      </c>
      <c r="D1379" t="inlineStr">
        <is>
          <t>VÄSTERNORRLANDS LÄN</t>
        </is>
      </c>
      <c r="E1379" t="inlineStr">
        <is>
          <t>SOLLEFTEÅ</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32126-2022</t>
        </is>
      </c>
      <c r="B1380" s="1" t="n">
        <v>44778</v>
      </c>
      <c r="C1380" s="1" t="n">
        <v>45337</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32130-2022</t>
        </is>
      </c>
      <c r="B1381" s="1" t="n">
        <v>44779</v>
      </c>
      <c r="C1381" s="1" t="n">
        <v>45337</v>
      </c>
      <c r="D1381" t="inlineStr">
        <is>
          <t>VÄSTERNORRLANDS LÄN</t>
        </is>
      </c>
      <c r="E1381" t="inlineStr">
        <is>
          <t>SOLLEFTEÅ</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32453-2022</t>
        </is>
      </c>
      <c r="B1382" s="1" t="n">
        <v>44782</v>
      </c>
      <c r="C1382" s="1" t="n">
        <v>45337</v>
      </c>
      <c r="D1382" t="inlineStr">
        <is>
          <t>VÄSTERNORRLANDS LÄN</t>
        </is>
      </c>
      <c r="E1382" t="inlineStr">
        <is>
          <t>SOLLEFTEÅ</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32531-2022</t>
        </is>
      </c>
      <c r="B1383" s="1" t="n">
        <v>44783</v>
      </c>
      <c r="C1383" s="1" t="n">
        <v>45337</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32779-2022</t>
        </is>
      </c>
      <c r="B1384" s="1" t="n">
        <v>44784</v>
      </c>
      <c r="C1384" s="1" t="n">
        <v>45337</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32969-2022</t>
        </is>
      </c>
      <c r="B1385" s="1" t="n">
        <v>44785</v>
      </c>
      <c r="C1385" s="1" t="n">
        <v>45337</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33056-2022</t>
        </is>
      </c>
      <c r="B1386" s="1" t="n">
        <v>44785</v>
      </c>
      <c r="C1386" s="1" t="n">
        <v>45337</v>
      </c>
      <c r="D1386" t="inlineStr">
        <is>
          <t>VÄSTERNORRLANDS LÄN</t>
        </is>
      </c>
      <c r="E1386" t="inlineStr">
        <is>
          <t>SOLLEFTEÅ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33083-2022</t>
        </is>
      </c>
      <c r="B1387" s="1" t="n">
        <v>44785</v>
      </c>
      <c r="C1387" s="1" t="n">
        <v>45337</v>
      </c>
      <c r="D1387" t="inlineStr">
        <is>
          <t>VÄSTERNORRLANDS LÄN</t>
        </is>
      </c>
      <c r="E1387" t="inlineStr">
        <is>
          <t>SOLLEFTEÅ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33077-2022</t>
        </is>
      </c>
      <c r="B1388" s="1" t="n">
        <v>44785</v>
      </c>
      <c r="C1388" s="1" t="n">
        <v>45337</v>
      </c>
      <c r="D1388" t="inlineStr">
        <is>
          <t>VÄSTERNORRLANDS LÄN</t>
        </is>
      </c>
      <c r="E1388" t="inlineStr">
        <is>
          <t>SOLLEFTEÅ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33226-2022</t>
        </is>
      </c>
      <c r="B1389" s="1" t="n">
        <v>44786</v>
      </c>
      <c r="C1389" s="1" t="n">
        <v>45337</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33505-2022</t>
        </is>
      </c>
      <c r="B1390" s="1" t="n">
        <v>44789</v>
      </c>
      <c r="C1390" s="1" t="n">
        <v>45337</v>
      </c>
      <c r="D1390" t="inlineStr">
        <is>
          <t>VÄSTERNORRLANDS LÄN</t>
        </is>
      </c>
      <c r="E1390" t="inlineStr">
        <is>
          <t>SOLLEFTEÅ</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33519-2022</t>
        </is>
      </c>
      <c r="B1391" s="1" t="n">
        <v>44789</v>
      </c>
      <c r="C1391" s="1" t="n">
        <v>45337</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33528-2022</t>
        </is>
      </c>
      <c r="B1392" s="1" t="n">
        <v>44788</v>
      </c>
      <c r="C1392" s="1" t="n">
        <v>45337</v>
      </c>
      <c r="D1392" t="inlineStr">
        <is>
          <t>VÄSTERNORRLANDS LÄN</t>
        </is>
      </c>
      <c r="E1392" t="inlineStr">
        <is>
          <t>SOLLEFTEÅ</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33734-2022</t>
        </is>
      </c>
      <c r="B1393" s="1" t="n">
        <v>44790</v>
      </c>
      <c r="C1393" s="1" t="n">
        <v>45337</v>
      </c>
      <c r="D1393" t="inlineStr">
        <is>
          <t>VÄSTERNORRLANDS LÄN</t>
        </is>
      </c>
      <c r="E1393" t="inlineStr">
        <is>
          <t>SOLLEFTEÅ</t>
        </is>
      </c>
      <c r="F1393" t="inlineStr">
        <is>
          <t>SCA</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33990-2022</t>
        </is>
      </c>
      <c r="B1394" s="1" t="n">
        <v>44790</v>
      </c>
      <c r="C1394" s="1" t="n">
        <v>45337</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33995-2022</t>
        </is>
      </c>
      <c r="B1395" s="1" t="n">
        <v>44791</v>
      </c>
      <c r="C1395" s="1" t="n">
        <v>45337</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33994-2022</t>
        </is>
      </c>
      <c r="B1396" s="1" t="n">
        <v>44791</v>
      </c>
      <c r="C1396" s="1" t="n">
        <v>45337</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34242-2022</t>
        </is>
      </c>
      <c r="B1397" s="1" t="n">
        <v>44792</v>
      </c>
      <c r="C1397" s="1" t="n">
        <v>45337</v>
      </c>
      <c r="D1397" t="inlineStr">
        <is>
          <t>VÄSTERNORRLANDS LÄN</t>
        </is>
      </c>
      <c r="E1397" t="inlineStr">
        <is>
          <t>SOLLEFTEÅ</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34252-2022</t>
        </is>
      </c>
      <c r="B1398" s="1" t="n">
        <v>44792</v>
      </c>
      <c r="C1398" s="1" t="n">
        <v>45337</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34267-2022</t>
        </is>
      </c>
      <c r="B1399" s="1" t="n">
        <v>44792</v>
      </c>
      <c r="C1399" s="1" t="n">
        <v>45337</v>
      </c>
      <c r="D1399" t="inlineStr">
        <is>
          <t>VÄSTERNORRLANDS LÄN</t>
        </is>
      </c>
      <c r="E1399" t="inlineStr">
        <is>
          <t>SOLLEFTEÅ</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34281-2022</t>
        </is>
      </c>
      <c r="B1400" s="1" t="n">
        <v>44791</v>
      </c>
      <c r="C1400" s="1" t="n">
        <v>45337</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34518-2022</t>
        </is>
      </c>
      <c r="B1401" s="1" t="n">
        <v>44793</v>
      </c>
      <c r="C1401" s="1" t="n">
        <v>45337</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34517-2022</t>
        </is>
      </c>
      <c r="B1402" s="1" t="n">
        <v>44793</v>
      </c>
      <c r="C1402" s="1" t="n">
        <v>45337</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34527-2022</t>
        </is>
      </c>
      <c r="B1403" s="1" t="n">
        <v>44793</v>
      </c>
      <c r="C1403" s="1" t="n">
        <v>45337</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34534-2022</t>
        </is>
      </c>
      <c r="B1404" s="1" t="n">
        <v>44793</v>
      </c>
      <c r="C1404" s="1" t="n">
        <v>45337</v>
      </c>
      <c r="D1404" t="inlineStr">
        <is>
          <t>VÄSTERNORRLANDS LÄN</t>
        </is>
      </c>
      <c r="E1404" t="inlineStr">
        <is>
          <t>SOLLEFTEÅ</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34516-2022</t>
        </is>
      </c>
      <c r="B1405" s="1" t="n">
        <v>44792</v>
      </c>
      <c r="C1405" s="1" t="n">
        <v>45337</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34648-2022</t>
        </is>
      </c>
      <c r="B1406" s="1" t="n">
        <v>44792</v>
      </c>
      <c r="C1406" s="1" t="n">
        <v>45337</v>
      </c>
      <c r="D1406" t="inlineStr">
        <is>
          <t>VÄSTERNORRLANDS LÄN</t>
        </is>
      </c>
      <c r="E1406" t="inlineStr">
        <is>
          <t>SOLLEFTEÅ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34549-2022</t>
        </is>
      </c>
      <c r="B1407" s="1" t="n">
        <v>44793</v>
      </c>
      <c r="C1407" s="1" t="n">
        <v>45337</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34542-2022</t>
        </is>
      </c>
      <c r="B1408" s="1" t="n">
        <v>44793</v>
      </c>
      <c r="C1408" s="1" t="n">
        <v>45337</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34543-2022</t>
        </is>
      </c>
      <c r="B1409" s="1" t="n">
        <v>44793</v>
      </c>
      <c r="C1409" s="1" t="n">
        <v>45337</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34552-2022</t>
        </is>
      </c>
      <c r="B1410" s="1" t="n">
        <v>44794</v>
      </c>
      <c r="C1410" s="1" t="n">
        <v>45337</v>
      </c>
      <c r="D1410" t="inlineStr">
        <is>
          <t>VÄSTERNORRLANDS LÄN</t>
        </is>
      </c>
      <c r="E1410" t="inlineStr">
        <is>
          <t>SOLLEFTEÅ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34804-2022</t>
        </is>
      </c>
      <c r="B1411" s="1" t="n">
        <v>44796</v>
      </c>
      <c r="C1411" s="1" t="n">
        <v>45337</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35019-2022</t>
        </is>
      </c>
      <c r="B1412" s="1" t="n">
        <v>44797</v>
      </c>
      <c r="C1412" s="1" t="n">
        <v>45337</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35229-2022</t>
        </is>
      </c>
      <c r="B1413" s="1" t="n">
        <v>44798</v>
      </c>
      <c r="C1413" s="1" t="n">
        <v>45337</v>
      </c>
      <c r="D1413" t="inlineStr">
        <is>
          <t>VÄSTERNORRLANDS LÄN</t>
        </is>
      </c>
      <c r="E1413" t="inlineStr">
        <is>
          <t>SOLLEFTEÅ</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35747-2022</t>
        </is>
      </c>
      <c r="B1414" s="1" t="n">
        <v>44799</v>
      </c>
      <c r="C1414" s="1" t="n">
        <v>45337</v>
      </c>
      <c r="D1414" t="inlineStr">
        <is>
          <t>VÄSTERNORRLANDS LÄN</t>
        </is>
      </c>
      <c r="E1414" t="inlineStr">
        <is>
          <t>SOLLEFTEÅ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35797-2022</t>
        </is>
      </c>
      <c r="B1415" s="1" t="n">
        <v>44802</v>
      </c>
      <c r="C1415" s="1" t="n">
        <v>45337</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36080-2022</t>
        </is>
      </c>
      <c r="B1416" s="1" t="n">
        <v>44803</v>
      </c>
      <c r="C1416" s="1" t="n">
        <v>45337</v>
      </c>
      <c r="D1416" t="inlineStr">
        <is>
          <t>VÄSTERNORRLANDS LÄN</t>
        </is>
      </c>
      <c r="E1416" t="inlineStr">
        <is>
          <t>SOLLEFTEÅ</t>
        </is>
      </c>
      <c r="F1416" t="inlineStr">
        <is>
          <t>SCA</t>
        </is>
      </c>
      <c r="G1416" t="n">
        <v>78.2</v>
      </c>
      <c r="H1416" t="n">
        <v>0</v>
      </c>
      <c r="I1416" t="n">
        <v>0</v>
      </c>
      <c r="J1416" t="n">
        <v>0</v>
      </c>
      <c r="K1416" t="n">
        <v>0</v>
      </c>
      <c r="L1416" t="n">
        <v>0</v>
      </c>
      <c r="M1416" t="n">
        <v>0</v>
      </c>
      <c r="N1416" t="n">
        <v>0</v>
      </c>
      <c r="O1416" t="n">
        <v>0</v>
      </c>
      <c r="P1416" t="n">
        <v>0</v>
      </c>
      <c r="Q1416" t="n">
        <v>0</v>
      </c>
      <c r="R1416" s="2" t="inlineStr"/>
    </row>
    <row r="1417" ht="15" customHeight="1">
      <c r="A1417" t="inlineStr">
        <is>
          <t>A 36078-2022</t>
        </is>
      </c>
      <c r="B1417" s="1" t="n">
        <v>44803</v>
      </c>
      <c r="C1417" s="1" t="n">
        <v>45337</v>
      </c>
      <c r="D1417" t="inlineStr">
        <is>
          <t>VÄSTERNORRLANDS LÄN</t>
        </is>
      </c>
      <c r="E1417" t="inlineStr">
        <is>
          <t>SOLLEFTEÅ</t>
        </is>
      </c>
      <c r="F1417" t="inlineStr">
        <is>
          <t>SCA</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36368-2022</t>
        </is>
      </c>
      <c r="B1418" s="1" t="n">
        <v>44804</v>
      </c>
      <c r="C1418" s="1" t="n">
        <v>45337</v>
      </c>
      <c r="D1418" t="inlineStr">
        <is>
          <t>VÄSTERNORRLANDS LÄN</t>
        </is>
      </c>
      <c r="E1418" t="inlineStr">
        <is>
          <t>SOLLEFTEÅ</t>
        </is>
      </c>
      <c r="F1418" t="inlineStr">
        <is>
          <t>SCA</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36367-2022</t>
        </is>
      </c>
      <c r="B1419" s="1" t="n">
        <v>44804</v>
      </c>
      <c r="C1419" s="1" t="n">
        <v>45337</v>
      </c>
      <c r="D1419" t="inlineStr">
        <is>
          <t>VÄSTERNORRLANDS LÄN</t>
        </is>
      </c>
      <c r="E1419" t="inlineStr">
        <is>
          <t>SOLLEFTEÅ</t>
        </is>
      </c>
      <c r="F1419" t="inlineStr">
        <is>
          <t>SCA</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36688-2022</t>
        </is>
      </c>
      <c r="B1420" s="1" t="n">
        <v>44804</v>
      </c>
      <c r="C1420" s="1" t="n">
        <v>45337</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36681-2022</t>
        </is>
      </c>
      <c r="B1421" s="1" t="n">
        <v>44804</v>
      </c>
      <c r="C1421" s="1" t="n">
        <v>45337</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36926-2022</t>
        </is>
      </c>
      <c r="B1422" s="1" t="n">
        <v>44806</v>
      </c>
      <c r="C1422" s="1" t="n">
        <v>45337</v>
      </c>
      <c r="D1422" t="inlineStr">
        <is>
          <t>VÄSTERNORRLANDS LÄN</t>
        </is>
      </c>
      <c r="E1422" t="inlineStr">
        <is>
          <t>SOLLEFTEÅ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37242-2022</t>
        </is>
      </c>
      <c r="B1423" s="1" t="n">
        <v>44807</v>
      </c>
      <c r="C1423" s="1" t="n">
        <v>45337</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37589-2022</t>
        </is>
      </c>
      <c r="B1424" s="1" t="n">
        <v>44810</v>
      </c>
      <c r="C1424" s="1" t="n">
        <v>45337</v>
      </c>
      <c r="D1424" t="inlineStr">
        <is>
          <t>VÄSTERNORRLANDS LÄN</t>
        </is>
      </c>
      <c r="E1424" t="inlineStr">
        <is>
          <t>SOLLEFTEÅ</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37596-2022</t>
        </is>
      </c>
      <c r="B1425" s="1" t="n">
        <v>44810</v>
      </c>
      <c r="C1425" s="1" t="n">
        <v>45337</v>
      </c>
      <c r="D1425" t="inlineStr">
        <is>
          <t>VÄSTERNORRLANDS LÄN</t>
        </is>
      </c>
      <c r="E1425" t="inlineStr">
        <is>
          <t>SOLLEFTEÅ</t>
        </is>
      </c>
      <c r="F1425" t="inlineStr">
        <is>
          <t>Holmen skog AB</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37597-2022</t>
        </is>
      </c>
      <c r="B1426" s="1" t="n">
        <v>44810</v>
      </c>
      <c r="C1426" s="1" t="n">
        <v>45337</v>
      </c>
      <c r="D1426" t="inlineStr">
        <is>
          <t>VÄSTERNORRLANDS LÄN</t>
        </is>
      </c>
      <c r="E1426" t="inlineStr">
        <is>
          <t>SOLLEFTEÅ</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37835-2022</t>
        </is>
      </c>
      <c r="B1427" s="1" t="n">
        <v>44810</v>
      </c>
      <c r="C1427" s="1" t="n">
        <v>45337</v>
      </c>
      <c r="D1427" t="inlineStr">
        <is>
          <t>VÄSTERNORRLANDS LÄN</t>
        </is>
      </c>
      <c r="E1427" t="inlineStr">
        <is>
          <t>SOLLEFTEÅ</t>
        </is>
      </c>
      <c r="F1427" t="inlineStr">
        <is>
          <t>SCA</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37826-2022</t>
        </is>
      </c>
      <c r="B1428" s="1" t="n">
        <v>44811</v>
      </c>
      <c r="C1428" s="1" t="n">
        <v>45337</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37840-2022</t>
        </is>
      </c>
      <c r="B1429" s="1" t="n">
        <v>44810</v>
      </c>
      <c r="C1429" s="1" t="n">
        <v>45337</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38096-2022</t>
        </is>
      </c>
      <c r="B1430" s="1" t="n">
        <v>44812</v>
      </c>
      <c r="C1430" s="1" t="n">
        <v>45337</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38095-2022</t>
        </is>
      </c>
      <c r="B1431" s="1" t="n">
        <v>44811</v>
      </c>
      <c r="C1431" s="1" t="n">
        <v>45337</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37977-2022</t>
        </is>
      </c>
      <c r="B1432" s="1" t="n">
        <v>44811</v>
      </c>
      <c r="C1432" s="1" t="n">
        <v>45337</v>
      </c>
      <c r="D1432" t="inlineStr">
        <is>
          <t>VÄSTERNORRLANDS LÄN</t>
        </is>
      </c>
      <c r="E1432" t="inlineStr">
        <is>
          <t>SOLLEFTEÅ</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38102-2022</t>
        </is>
      </c>
      <c r="B1433" s="1" t="n">
        <v>44811</v>
      </c>
      <c r="C1433" s="1" t="n">
        <v>45337</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c r="U1433">
        <f>HYPERLINK("https://klasma.github.io/Logging_2283/knärot/A 38102-2022 karta knärot.png", "A 38102-2022")</f>
        <v/>
      </c>
      <c r="V1433">
        <f>HYPERLINK("https://klasma.github.io/Logging_2283/klagomål/A 38102-2022 FSC-klagomål.docx", "A 38102-2022")</f>
        <v/>
      </c>
      <c r="W1433">
        <f>HYPERLINK("https://klasma.github.io/Logging_2283/klagomålsmail/A 38102-2022 FSC-klagomål mail.docx", "A 38102-2022")</f>
        <v/>
      </c>
      <c r="X1433">
        <f>HYPERLINK("https://klasma.github.io/Logging_2283/tillsyn/A 38102-2022 tillsynsbegäran.docx", "A 38102-2022")</f>
        <v/>
      </c>
      <c r="Y1433">
        <f>HYPERLINK("https://klasma.github.io/Logging_2283/tillsynsmail/A 38102-2022 tillsynsbegäran mail.docx", "A 38102-2022")</f>
        <v/>
      </c>
    </row>
    <row r="1434" ht="15" customHeight="1">
      <c r="A1434" t="inlineStr">
        <is>
          <t>A 38230-2022</t>
        </is>
      </c>
      <c r="B1434" s="1" t="n">
        <v>44812</v>
      </c>
      <c r="C1434" s="1" t="n">
        <v>45337</v>
      </c>
      <c r="D1434" t="inlineStr">
        <is>
          <t>VÄSTERNORRLANDS LÄN</t>
        </is>
      </c>
      <c r="E1434" t="inlineStr">
        <is>
          <t>SOLLEFTEÅ</t>
        </is>
      </c>
      <c r="F1434" t="inlineStr">
        <is>
          <t>Kommuner</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38430-2022</t>
        </is>
      </c>
      <c r="B1435" s="1" t="n">
        <v>44812</v>
      </c>
      <c r="C1435" s="1" t="n">
        <v>45337</v>
      </c>
      <c r="D1435" t="inlineStr">
        <is>
          <t>VÄSTERNORRLANDS LÄN</t>
        </is>
      </c>
      <c r="E1435" t="inlineStr">
        <is>
          <t>SOLLEFTEÅ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38433-2022</t>
        </is>
      </c>
      <c r="B1436" s="1" t="n">
        <v>44812</v>
      </c>
      <c r="C1436" s="1" t="n">
        <v>45337</v>
      </c>
      <c r="D1436" t="inlineStr">
        <is>
          <t>VÄSTERNORRLANDS LÄN</t>
        </is>
      </c>
      <c r="E1436" t="inlineStr">
        <is>
          <t>SOLLEFTEÅ</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38312-2022</t>
        </is>
      </c>
      <c r="B1437" s="1" t="n">
        <v>44812</v>
      </c>
      <c r="C1437" s="1" t="n">
        <v>45337</v>
      </c>
      <c r="D1437" t="inlineStr">
        <is>
          <t>VÄSTERNORRLANDS LÄN</t>
        </is>
      </c>
      <c r="E1437" t="inlineStr">
        <is>
          <t>SOLLEFTEÅ</t>
        </is>
      </c>
      <c r="F1437" t="inlineStr">
        <is>
          <t>Holmen skog AB</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38428-2022</t>
        </is>
      </c>
      <c r="B1438" s="1" t="n">
        <v>44812</v>
      </c>
      <c r="C1438" s="1" t="n">
        <v>45337</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38432-2022</t>
        </is>
      </c>
      <c r="B1439" s="1" t="n">
        <v>44812</v>
      </c>
      <c r="C1439" s="1" t="n">
        <v>45337</v>
      </c>
      <c r="D1439" t="inlineStr">
        <is>
          <t>VÄSTERNORRLANDS LÄN</t>
        </is>
      </c>
      <c r="E1439" t="inlineStr">
        <is>
          <t>SOLLEFTEÅ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38663-2022</t>
        </is>
      </c>
      <c r="B1440" s="1" t="n">
        <v>44814</v>
      </c>
      <c r="C1440" s="1" t="n">
        <v>45337</v>
      </c>
      <c r="D1440" t="inlineStr">
        <is>
          <t>VÄSTERNORRLANDS LÄN</t>
        </is>
      </c>
      <c r="E1440" t="inlineStr">
        <is>
          <t>SOLLEFTEÅ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39006-2022</t>
        </is>
      </c>
      <c r="B1441" s="1" t="n">
        <v>44817</v>
      </c>
      <c r="C1441" s="1" t="n">
        <v>45337</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39012-2022</t>
        </is>
      </c>
      <c r="B1442" s="1" t="n">
        <v>44816</v>
      </c>
      <c r="C1442" s="1" t="n">
        <v>45337</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39384-2022</t>
        </is>
      </c>
      <c r="B1443" s="1" t="n">
        <v>44818</v>
      </c>
      <c r="C1443" s="1" t="n">
        <v>45337</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44818</v>
      </c>
      <c r="C1444" s="1" t="n">
        <v>45337</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39371-2022</t>
        </is>
      </c>
      <c r="B1445" s="1" t="n">
        <v>44818</v>
      </c>
      <c r="C1445" s="1" t="n">
        <v>45337</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39688-2022</t>
        </is>
      </c>
      <c r="B1446" s="1" t="n">
        <v>44818</v>
      </c>
      <c r="C1446" s="1" t="n">
        <v>45337</v>
      </c>
      <c r="D1446" t="inlineStr">
        <is>
          <t>VÄSTERNORRLANDS LÄN</t>
        </is>
      </c>
      <c r="E1446" t="inlineStr">
        <is>
          <t>SOLLEFTEÅ</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39699-2022</t>
        </is>
      </c>
      <c r="B1447" s="1" t="n">
        <v>44819</v>
      </c>
      <c r="C1447" s="1" t="n">
        <v>45337</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39944-2022</t>
        </is>
      </c>
      <c r="B1448" s="1" t="n">
        <v>44819</v>
      </c>
      <c r="C1448" s="1" t="n">
        <v>45337</v>
      </c>
      <c r="D1448" t="inlineStr">
        <is>
          <t>VÄSTERNORRLANDS LÄN</t>
        </is>
      </c>
      <c r="E1448" t="inlineStr">
        <is>
          <t>SOLLEFTEÅ</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39942-2022</t>
        </is>
      </c>
      <c r="B1449" s="1" t="n">
        <v>44820</v>
      </c>
      <c r="C1449" s="1" t="n">
        <v>45337</v>
      </c>
      <c r="D1449" t="inlineStr">
        <is>
          <t>VÄSTERNORRLANDS LÄN</t>
        </is>
      </c>
      <c r="E1449" t="inlineStr">
        <is>
          <t>SOLLEFTEÅ</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39947-2022</t>
        </is>
      </c>
      <c r="B1450" s="1" t="n">
        <v>44819</v>
      </c>
      <c r="C1450" s="1" t="n">
        <v>45337</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39943-2022</t>
        </is>
      </c>
      <c r="B1451" s="1" t="n">
        <v>44820</v>
      </c>
      <c r="C1451" s="1" t="n">
        <v>45337</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39951-2022</t>
        </is>
      </c>
      <c r="B1452" s="1" t="n">
        <v>44820</v>
      </c>
      <c r="C1452" s="1" t="n">
        <v>45337</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39934-2022</t>
        </is>
      </c>
      <c r="B1453" s="1" t="n">
        <v>44820</v>
      </c>
      <c r="C1453" s="1" t="n">
        <v>45337</v>
      </c>
      <c r="D1453" t="inlineStr">
        <is>
          <t>VÄSTERNORRLANDS LÄN</t>
        </is>
      </c>
      <c r="E1453" t="inlineStr">
        <is>
          <t>SOLLEFTEÅ</t>
        </is>
      </c>
      <c r="F1453" t="inlineStr">
        <is>
          <t>SCA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39946-2022</t>
        </is>
      </c>
      <c r="B1454" s="1" t="n">
        <v>44819</v>
      </c>
      <c r="C1454" s="1" t="n">
        <v>45337</v>
      </c>
      <c r="D1454" t="inlineStr">
        <is>
          <t>VÄSTERNORRLANDS LÄN</t>
        </is>
      </c>
      <c r="E1454" t="inlineStr">
        <is>
          <t>SOLLEFTEÅ</t>
        </is>
      </c>
      <c r="F1454" t="inlineStr">
        <is>
          <t>SCA</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40608-2022</t>
        </is>
      </c>
      <c r="B1455" s="1" t="n">
        <v>44824</v>
      </c>
      <c r="C1455" s="1" t="n">
        <v>45337</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40609-2022</t>
        </is>
      </c>
      <c r="B1456" s="1" t="n">
        <v>44824</v>
      </c>
      <c r="C1456" s="1" t="n">
        <v>45337</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40610-2022</t>
        </is>
      </c>
      <c r="B1457" s="1" t="n">
        <v>44824</v>
      </c>
      <c r="C1457" s="1" t="n">
        <v>45337</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40599-2022</t>
        </is>
      </c>
      <c r="B1458" s="1" t="n">
        <v>44824</v>
      </c>
      <c r="C1458" s="1" t="n">
        <v>45337</v>
      </c>
      <c r="D1458" t="inlineStr">
        <is>
          <t>VÄSTERNORRLANDS LÄN</t>
        </is>
      </c>
      <c r="E1458" t="inlineStr">
        <is>
          <t>SOLLEFTEÅ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40611-2022</t>
        </is>
      </c>
      <c r="B1459" s="1" t="n">
        <v>44824</v>
      </c>
      <c r="C1459" s="1" t="n">
        <v>45337</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40832-2022</t>
        </is>
      </c>
      <c r="B1460" s="1" t="n">
        <v>44825</v>
      </c>
      <c r="C1460" s="1" t="n">
        <v>45337</v>
      </c>
      <c r="D1460" t="inlineStr">
        <is>
          <t>VÄSTERNORRLANDS LÄN</t>
        </is>
      </c>
      <c r="E1460" t="inlineStr">
        <is>
          <t>SOLLEFTEÅ</t>
        </is>
      </c>
      <c r="F1460" t="inlineStr">
        <is>
          <t>SCA</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41187-2022</t>
        </is>
      </c>
      <c r="B1461" s="1" t="n">
        <v>44826</v>
      </c>
      <c r="C1461" s="1" t="n">
        <v>45337</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41192-2022</t>
        </is>
      </c>
      <c r="B1462" s="1" t="n">
        <v>44826</v>
      </c>
      <c r="C1462" s="1" t="n">
        <v>45337</v>
      </c>
      <c r="D1462" t="inlineStr">
        <is>
          <t>VÄSTERNORRLANDS LÄN</t>
        </is>
      </c>
      <c r="E1462" t="inlineStr">
        <is>
          <t>SOLLEFTEÅ</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41168-2022</t>
        </is>
      </c>
      <c r="B1463" s="1" t="n">
        <v>44826</v>
      </c>
      <c r="C1463" s="1" t="n">
        <v>45337</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41172-2022</t>
        </is>
      </c>
      <c r="B1464" s="1" t="n">
        <v>44826</v>
      </c>
      <c r="C1464" s="1" t="n">
        <v>45337</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41176-2022</t>
        </is>
      </c>
      <c r="B1465" s="1" t="n">
        <v>44826</v>
      </c>
      <c r="C1465" s="1" t="n">
        <v>45337</v>
      </c>
      <c r="D1465" t="inlineStr">
        <is>
          <t>VÄSTERNORRLANDS LÄN</t>
        </is>
      </c>
      <c r="E1465" t="inlineStr">
        <is>
          <t>SOLLEFTEÅ</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41189-2022</t>
        </is>
      </c>
      <c r="B1466" s="1" t="n">
        <v>44826</v>
      </c>
      <c r="C1466" s="1" t="n">
        <v>45337</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41196-2022</t>
        </is>
      </c>
      <c r="B1467" s="1" t="n">
        <v>44826</v>
      </c>
      <c r="C1467" s="1" t="n">
        <v>45337</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41195-2022</t>
        </is>
      </c>
      <c r="B1468" s="1" t="n">
        <v>44826</v>
      </c>
      <c r="C1468" s="1" t="n">
        <v>45337</v>
      </c>
      <c r="D1468" t="inlineStr">
        <is>
          <t>VÄSTERNORRLANDS LÄN</t>
        </is>
      </c>
      <c r="E1468" t="inlineStr">
        <is>
          <t>SOLLEFTEÅ</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41456-2022</t>
        </is>
      </c>
      <c r="B1469" s="1" t="n">
        <v>44826</v>
      </c>
      <c r="C1469" s="1" t="n">
        <v>45337</v>
      </c>
      <c r="D1469" t="inlineStr">
        <is>
          <t>VÄSTERNORRLANDS LÄN</t>
        </is>
      </c>
      <c r="E1469" t="inlineStr">
        <is>
          <t>SOLLEFTEÅ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41463-2022</t>
        </is>
      </c>
      <c r="B1470" s="1" t="n">
        <v>44827</v>
      </c>
      <c r="C1470" s="1" t="n">
        <v>45337</v>
      </c>
      <c r="D1470" t="inlineStr">
        <is>
          <t>VÄSTERNORRLANDS LÄN</t>
        </is>
      </c>
      <c r="E1470" t="inlineStr">
        <is>
          <t>SOLLEFTEÅ</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41475-2022</t>
        </is>
      </c>
      <c r="B1471" s="1" t="n">
        <v>44826</v>
      </c>
      <c r="C1471" s="1" t="n">
        <v>45337</v>
      </c>
      <c r="D1471" t="inlineStr">
        <is>
          <t>VÄSTERNORRLANDS LÄN</t>
        </is>
      </c>
      <c r="E1471" t="inlineStr">
        <is>
          <t>SOLLEFTEÅ</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41481-2022</t>
        </is>
      </c>
      <c r="B1472" s="1" t="n">
        <v>44827</v>
      </c>
      <c r="C1472" s="1" t="n">
        <v>45337</v>
      </c>
      <c r="D1472" t="inlineStr">
        <is>
          <t>VÄSTERNORRLANDS LÄN</t>
        </is>
      </c>
      <c r="E1472" t="inlineStr">
        <is>
          <t>SOLLEFTEÅ</t>
        </is>
      </c>
      <c r="F1472" t="inlineStr">
        <is>
          <t>SCA</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41478-2022</t>
        </is>
      </c>
      <c r="B1473" s="1" t="n">
        <v>44827</v>
      </c>
      <c r="C1473" s="1" t="n">
        <v>45337</v>
      </c>
      <c r="D1473" t="inlineStr">
        <is>
          <t>VÄSTERNORRLANDS LÄN</t>
        </is>
      </c>
      <c r="E1473" t="inlineStr">
        <is>
          <t>SOLLEFTEÅ</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41486-2022</t>
        </is>
      </c>
      <c r="B1474" s="1" t="n">
        <v>44827</v>
      </c>
      <c r="C1474" s="1" t="n">
        <v>45337</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41455-2022</t>
        </is>
      </c>
      <c r="B1475" s="1" t="n">
        <v>44826</v>
      </c>
      <c r="C1475" s="1" t="n">
        <v>45337</v>
      </c>
      <c r="D1475" t="inlineStr">
        <is>
          <t>VÄSTERNORRLANDS LÄN</t>
        </is>
      </c>
      <c r="E1475" t="inlineStr">
        <is>
          <t>SOLLEFTEÅ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41474-2022</t>
        </is>
      </c>
      <c r="B1476" s="1" t="n">
        <v>44827</v>
      </c>
      <c r="C1476" s="1" t="n">
        <v>45337</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41480-2022</t>
        </is>
      </c>
      <c r="B1477" s="1" t="n">
        <v>44827</v>
      </c>
      <c r="C1477" s="1" t="n">
        <v>45337</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41488-2022</t>
        </is>
      </c>
      <c r="B1478" s="1" t="n">
        <v>44826</v>
      </c>
      <c r="C1478" s="1" t="n">
        <v>45337</v>
      </c>
      <c r="D1478" t="inlineStr">
        <is>
          <t>VÄSTERNORRLANDS LÄN</t>
        </is>
      </c>
      <c r="E1478" t="inlineStr">
        <is>
          <t>SOLLEFTEÅ</t>
        </is>
      </c>
      <c r="F1478" t="inlineStr">
        <is>
          <t>SCA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41487-2022</t>
        </is>
      </c>
      <c r="B1479" s="1" t="n">
        <v>44827</v>
      </c>
      <c r="C1479" s="1" t="n">
        <v>45337</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41479-2022</t>
        </is>
      </c>
      <c r="B1480" s="1" t="n">
        <v>44827</v>
      </c>
      <c r="C1480" s="1" t="n">
        <v>45337</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41813-2022</t>
        </is>
      </c>
      <c r="B1481" s="1" t="n">
        <v>44828</v>
      </c>
      <c r="C1481" s="1" t="n">
        <v>45337</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42272-2022</t>
        </is>
      </c>
      <c r="B1482" s="1" t="n">
        <v>44831</v>
      </c>
      <c r="C1482" s="1" t="n">
        <v>45337</v>
      </c>
      <c r="D1482" t="inlineStr">
        <is>
          <t>VÄSTERNORRLANDS LÄN</t>
        </is>
      </c>
      <c r="E1482" t="inlineStr">
        <is>
          <t>SOLLEFTEÅ</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42301-2022</t>
        </is>
      </c>
      <c r="B1483" s="1" t="n">
        <v>44831</v>
      </c>
      <c r="C1483" s="1" t="n">
        <v>45337</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42299-2022</t>
        </is>
      </c>
      <c r="B1484" s="1" t="n">
        <v>44830</v>
      </c>
      <c r="C1484" s="1" t="n">
        <v>45337</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42303-2022</t>
        </is>
      </c>
      <c r="B1485" s="1" t="n">
        <v>44831</v>
      </c>
      <c r="C1485" s="1" t="n">
        <v>45337</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42275-2022</t>
        </is>
      </c>
      <c r="B1486" s="1" t="n">
        <v>44830</v>
      </c>
      <c r="C1486" s="1" t="n">
        <v>45337</v>
      </c>
      <c r="D1486" t="inlineStr">
        <is>
          <t>VÄSTERNORRLANDS LÄN</t>
        </is>
      </c>
      <c r="E1486" t="inlineStr">
        <is>
          <t>SOLLEFTEÅ</t>
        </is>
      </c>
      <c r="F1486" t="inlineStr">
        <is>
          <t>SCA</t>
        </is>
      </c>
      <c r="G1486" t="n">
        <v>26.9</v>
      </c>
      <c r="H1486" t="n">
        <v>0</v>
      </c>
      <c r="I1486" t="n">
        <v>0</v>
      </c>
      <c r="J1486" t="n">
        <v>0</v>
      </c>
      <c r="K1486" t="n">
        <v>0</v>
      </c>
      <c r="L1486" t="n">
        <v>0</v>
      </c>
      <c r="M1486" t="n">
        <v>0</v>
      </c>
      <c r="N1486" t="n">
        <v>0</v>
      </c>
      <c r="O1486" t="n">
        <v>0</v>
      </c>
      <c r="P1486" t="n">
        <v>0</v>
      </c>
      <c r="Q1486" t="n">
        <v>0</v>
      </c>
      <c r="R1486" s="2" t="inlineStr"/>
    </row>
    <row r="1487" ht="15" customHeight="1">
      <c r="A1487" t="inlineStr">
        <is>
          <t>A 42300-2022</t>
        </is>
      </c>
      <c r="B1487" s="1" t="n">
        <v>44831</v>
      </c>
      <c r="C1487" s="1" t="n">
        <v>45337</v>
      </c>
      <c r="D1487" t="inlineStr">
        <is>
          <t>VÄSTERNORRLANDS LÄN</t>
        </is>
      </c>
      <c r="E1487" t="inlineStr">
        <is>
          <t>SOLLEFTEÅ</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42302-2022</t>
        </is>
      </c>
      <c r="B1488" s="1" t="n">
        <v>44830</v>
      </c>
      <c r="C1488" s="1" t="n">
        <v>45337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42482-2022</t>
        </is>
      </c>
      <c r="B1489" s="1" t="n">
        <v>44831</v>
      </c>
      <c r="C1489" s="1" t="n">
        <v>45337</v>
      </c>
      <c r="D1489" t="inlineStr">
        <is>
          <t>VÄSTERNORRLANDS LÄN</t>
        </is>
      </c>
      <c r="E1489" t="inlineStr">
        <is>
          <t>SOLLEFTEÅ</t>
        </is>
      </c>
      <c r="F1489" t="inlineStr">
        <is>
          <t>Holmen skog AB</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42430-2022</t>
        </is>
      </c>
      <c r="B1490" s="1" t="n">
        <v>44831</v>
      </c>
      <c r="C1490" s="1" t="n">
        <v>45337</v>
      </c>
      <c r="D1490" t="inlineStr">
        <is>
          <t>VÄSTERNORRLANDS LÄN</t>
        </is>
      </c>
      <c r="E1490" t="inlineStr">
        <is>
          <t>SOLLEFTEÅ</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42634-2022</t>
        </is>
      </c>
      <c r="B1491" s="1" t="n">
        <v>44832</v>
      </c>
      <c r="C1491" s="1" t="n">
        <v>45337</v>
      </c>
      <c r="D1491" t="inlineStr">
        <is>
          <t>VÄSTERNORRLANDS LÄN</t>
        </is>
      </c>
      <c r="E1491" t="inlineStr">
        <is>
          <t>SOLLEFTEÅ</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42663-2022</t>
        </is>
      </c>
      <c r="B1492" s="1" t="n">
        <v>44831</v>
      </c>
      <c r="C1492" s="1" t="n">
        <v>45337</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42664-2022</t>
        </is>
      </c>
      <c r="B1493" s="1" t="n">
        <v>44831</v>
      </c>
      <c r="C1493" s="1" t="n">
        <v>45337</v>
      </c>
      <c r="D1493" t="inlineStr">
        <is>
          <t>VÄSTERNORRLANDS LÄN</t>
        </is>
      </c>
      <c r="E1493" t="inlineStr">
        <is>
          <t>SOLLEFTEÅ</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42654-2022</t>
        </is>
      </c>
      <c r="B1494" s="1" t="n">
        <v>44832</v>
      </c>
      <c r="C1494" s="1" t="n">
        <v>45337</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42771-2022</t>
        </is>
      </c>
      <c r="B1495" s="1" t="n">
        <v>44832</v>
      </c>
      <c r="C1495" s="1" t="n">
        <v>45337</v>
      </c>
      <c r="D1495" t="inlineStr">
        <is>
          <t>VÄSTERNORRLANDS LÄN</t>
        </is>
      </c>
      <c r="E1495" t="inlineStr">
        <is>
          <t>SOLLEFTEÅ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42755-2022</t>
        </is>
      </c>
      <c r="B1496" s="1" t="n">
        <v>44832</v>
      </c>
      <c r="C1496" s="1" t="n">
        <v>45337</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42885-2022</t>
        </is>
      </c>
      <c r="B1497" s="1" t="n">
        <v>44833</v>
      </c>
      <c r="C1497" s="1" t="n">
        <v>45337</v>
      </c>
      <c r="D1497" t="inlineStr">
        <is>
          <t>VÄSTERNORRLANDS LÄN</t>
        </is>
      </c>
      <c r="E1497" t="inlineStr">
        <is>
          <t>SOLLEFTEÅ</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42891-2022</t>
        </is>
      </c>
      <c r="B1498" s="1" t="n">
        <v>44833</v>
      </c>
      <c r="C1498" s="1" t="n">
        <v>45337</v>
      </c>
      <c r="D1498" t="inlineStr">
        <is>
          <t>VÄSTERNORRLANDS LÄN</t>
        </is>
      </c>
      <c r="E1498" t="inlineStr">
        <is>
          <t>SOLLEFTEÅ</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43035-2022</t>
        </is>
      </c>
      <c r="B1499" s="1" t="n">
        <v>44833</v>
      </c>
      <c r="C1499" s="1" t="n">
        <v>45337</v>
      </c>
      <c r="D1499" t="inlineStr">
        <is>
          <t>VÄSTERNORRLANDS LÄN</t>
        </is>
      </c>
      <c r="E1499" t="inlineStr">
        <is>
          <t>SOLLEFTEÅ</t>
        </is>
      </c>
      <c r="F1499" t="inlineStr">
        <is>
          <t>Kommuner</t>
        </is>
      </c>
      <c r="G1499" t="n">
        <v>19.8</v>
      </c>
      <c r="H1499" t="n">
        <v>0</v>
      </c>
      <c r="I1499" t="n">
        <v>0</v>
      </c>
      <c r="J1499" t="n">
        <v>0</v>
      </c>
      <c r="K1499" t="n">
        <v>0</v>
      </c>
      <c r="L1499" t="n">
        <v>0</v>
      </c>
      <c r="M1499" t="n">
        <v>0</v>
      </c>
      <c r="N1499" t="n">
        <v>0</v>
      </c>
      <c r="O1499" t="n">
        <v>0</v>
      </c>
      <c r="P1499" t="n">
        <v>0</v>
      </c>
      <c r="Q1499" t="n">
        <v>0</v>
      </c>
      <c r="R1499" s="2" t="inlineStr"/>
    </row>
    <row r="1500" ht="15" customHeight="1">
      <c r="A1500" t="inlineStr">
        <is>
          <t>A 43130-2022</t>
        </is>
      </c>
      <c r="B1500" s="1" t="n">
        <v>44833</v>
      </c>
      <c r="C1500" s="1" t="n">
        <v>45337</v>
      </c>
      <c r="D1500" t="inlineStr">
        <is>
          <t>VÄSTERNORRLANDS LÄN</t>
        </is>
      </c>
      <c r="E1500" t="inlineStr">
        <is>
          <t>SOLLEFTEÅ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43137-2022</t>
        </is>
      </c>
      <c r="B1501" s="1" t="n">
        <v>44834</v>
      </c>
      <c r="C1501" s="1" t="n">
        <v>45337</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43124-2022</t>
        </is>
      </c>
      <c r="B1502" s="1" t="n">
        <v>44834</v>
      </c>
      <c r="C1502" s="1" t="n">
        <v>45337</v>
      </c>
      <c r="D1502" t="inlineStr">
        <is>
          <t>VÄSTERNORRLANDS LÄN</t>
        </is>
      </c>
      <c r="E1502" t="inlineStr">
        <is>
          <t>SOLLEFTEÅ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43122-2022</t>
        </is>
      </c>
      <c r="B1503" s="1" t="n">
        <v>44834</v>
      </c>
      <c r="C1503" s="1" t="n">
        <v>45337</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43148-2022</t>
        </is>
      </c>
      <c r="B1504" s="1" t="n">
        <v>44834</v>
      </c>
      <c r="C1504" s="1" t="n">
        <v>45337</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43149-2022</t>
        </is>
      </c>
      <c r="B1505" s="1" t="n">
        <v>44834</v>
      </c>
      <c r="C1505" s="1" t="n">
        <v>45337</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43442-2022</t>
        </is>
      </c>
      <c r="B1506" s="1" t="n">
        <v>44834</v>
      </c>
      <c r="C1506" s="1" t="n">
        <v>45337</v>
      </c>
      <c r="D1506" t="inlineStr">
        <is>
          <t>VÄSTERNORRLANDS LÄN</t>
        </is>
      </c>
      <c r="E1506" t="inlineStr">
        <is>
          <t>SOLLEFTEÅ</t>
        </is>
      </c>
      <c r="F1506" t="inlineStr">
        <is>
          <t>Kyrkan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43469-2022</t>
        </is>
      </c>
      <c r="B1507" s="1" t="n">
        <v>44836</v>
      </c>
      <c r="C1507" s="1" t="n">
        <v>45337</v>
      </c>
      <c r="D1507" t="inlineStr">
        <is>
          <t>VÄSTERNORRLANDS LÄN</t>
        </is>
      </c>
      <c r="E1507" t="inlineStr">
        <is>
          <t>SOLLEFTEÅ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43774-2022</t>
        </is>
      </c>
      <c r="B1508" s="1" t="n">
        <v>44837</v>
      </c>
      <c r="C1508" s="1" t="n">
        <v>45337</v>
      </c>
      <c r="D1508" t="inlineStr">
        <is>
          <t>VÄSTERNORRLANDS LÄN</t>
        </is>
      </c>
      <c r="E1508" t="inlineStr">
        <is>
          <t>SOLLEFTEÅ</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43772-2022</t>
        </is>
      </c>
      <c r="B1509" s="1" t="n">
        <v>44837</v>
      </c>
      <c r="C1509" s="1" t="n">
        <v>45337</v>
      </c>
      <c r="D1509" t="inlineStr">
        <is>
          <t>VÄSTERNORRLANDS LÄN</t>
        </is>
      </c>
      <c r="E1509" t="inlineStr">
        <is>
          <t>SOLLEFTEÅ</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43762-2022</t>
        </is>
      </c>
      <c r="B1510" s="1" t="n">
        <v>44838</v>
      </c>
      <c r="C1510" s="1" t="n">
        <v>45337</v>
      </c>
      <c r="D1510" t="inlineStr">
        <is>
          <t>VÄSTERNORRLANDS LÄN</t>
        </is>
      </c>
      <c r="E1510" t="inlineStr">
        <is>
          <t>SOLLEFTEÅ</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43766-2022</t>
        </is>
      </c>
      <c r="B1511" s="1" t="n">
        <v>44838</v>
      </c>
      <c r="C1511" s="1" t="n">
        <v>45337</v>
      </c>
      <c r="D1511" t="inlineStr">
        <is>
          <t>VÄSTERNORRLANDS LÄN</t>
        </is>
      </c>
      <c r="E1511" t="inlineStr">
        <is>
          <t>SOLLEFTEÅ</t>
        </is>
      </c>
      <c r="F1511" t="inlineStr">
        <is>
          <t>Kyrkan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43782-2022</t>
        </is>
      </c>
      <c r="B1512" s="1" t="n">
        <v>44838</v>
      </c>
      <c r="C1512" s="1" t="n">
        <v>45337</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43786-2022</t>
        </is>
      </c>
      <c r="B1513" s="1" t="n">
        <v>44837</v>
      </c>
      <c r="C1513" s="1" t="n">
        <v>45337</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44042-2022</t>
        </is>
      </c>
      <c r="B1514" s="1" t="n">
        <v>44839</v>
      </c>
      <c r="C1514" s="1" t="n">
        <v>45337</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44285-2022</t>
        </is>
      </c>
      <c r="B1515" s="1" t="n">
        <v>44839</v>
      </c>
      <c r="C1515" s="1" t="n">
        <v>45337</v>
      </c>
      <c r="D1515" t="inlineStr">
        <is>
          <t>VÄSTERNORRLANDS LÄN</t>
        </is>
      </c>
      <c r="E1515" t="inlineStr">
        <is>
          <t>SOLLEFTEÅ</t>
        </is>
      </c>
      <c r="F1515" t="inlineStr">
        <is>
          <t>Holmen skog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44438-2022</t>
        </is>
      </c>
      <c r="B1516" s="1" t="n">
        <v>44840</v>
      </c>
      <c r="C1516" s="1" t="n">
        <v>45337</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44454-2022</t>
        </is>
      </c>
      <c r="B1517" s="1" t="n">
        <v>44840</v>
      </c>
      <c r="C1517" s="1" t="n">
        <v>45337</v>
      </c>
      <c r="D1517" t="inlineStr">
        <is>
          <t>VÄSTERNORRLANDS LÄN</t>
        </is>
      </c>
      <c r="E1517" t="inlineStr">
        <is>
          <t>SOLLEFTEÅ</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44208-2022</t>
        </is>
      </c>
      <c r="B1518" s="1" t="n">
        <v>44839</v>
      </c>
      <c r="C1518" s="1" t="n">
        <v>45337</v>
      </c>
      <c r="D1518" t="inlineStr">
        <is>
          <t>VÄSTERNORRLANDS LÄN</t>
        </is>
      </c>
      <c r="E1518" t="inlineStr">
        <is>
          <t>SOLLEFTEÅ</t>
        </is>
      </c>
      <c r="F1518" t="inlineStr">
        <is>
          <t>Holmen skog AB</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44755-2022</t>
        </is>
      </c>
      <c r="B1519" s="1" t="n">
        <v>44841</v>
      </c>
      <c r="C1519" s="1" t="n">
        <v>45337</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44762-2022</t>
        </is>
      </c>
      <c r="B1520" s="1" t="n">
        <v>44840</v>
      </c>
      <c r="C1520" s="1" t="n">
        <v>45337</v>
      </c>
      <c r="D1520" t="inlineStr">
        <is>
          <t>VÄSTERNORRLANDS LÄN</t>
        </is>
      </c>
      <c r="E1520" t="inlineStr">
        <is>
          <t>SOLLEFTEÅ</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44761-2022</t>
        </is>
      </c>
      <c r="B1521" s="1" t="n">
        <v>44840</v>
      </c>
      <c r="C1521" s="1" t="n">
        <v>45337</v>
      </c>
      <c r="D1521" t="inlineStr">
        <is>
          <t>VÄSTERNORRLANDS LÄN</t>
        </is>
      </c>
      <c r="E1521" t="inlineStr">
        <is>
          <t>SOLLEFTEÅ</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44805-2022</t>
        </is>
      </c>
      <c r="B1522" s="1" t="n">
        <v>44841</v>
      </c>
      <c r="C1522" s="1" t="n">
        <v>45337</v>
      </c>
      <c r="D1522" t="inlineStr">
        <is>
          <t>VÄSTERNORRLANDS LÄN</t>
        </is>
      </c>
      <c r="E1522" t="inlineStr">
        <is>
          <t>SOLLEFTEÅ</t>
        </is>
      </c>
      <c r="F1522" t="inlineStr">
        <is>
          <t>Holmen skog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45085-2022</t>
        </is>
      </c>
      <c r="B1523" s="1" t="n">
        <v>44841</v>
      </c>
      <c r="C1523" s="1" t="n">
        <v>45337</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45119-2022</t>
        </is>
      </c>
      <c r="B1524" s="1" t="n">
        <v>44843</v>
      </c>
      <c r="C1524" s="1" t="n">
        <v>45337</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45117-2022</t>
        </is>
      </c>
      <c r="B1525" s="1" t="n">
        <v>44844</v>
      </c>
      <c r="C1525" s="1" t="n">
        <v>45337</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45121-2022</t>
        </is>
      </c>
      <c r="B1526" s="1" t="n">
        <v>44844</v>
      </c>
      <c r="C1526" s="1" t="n">
        <v>45337</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45120-2022</t>
        </is>
      </c>
      <c r="B1527" s="1" t="n">
        <v>44843</v>
      </c>
      <c r="C1527" s="1" t="n">
        <v>45337</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45118-2022</t>
        </is>
      </c>
      <c r="B1528" s="1" t="n">
        <v>44843</v>
      </c>
      <c r="C1528" s="1" t="n">
        <v>45337</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45419-2022</t>
        </is>
      </c>
      <c r="B1529" s="1" t="n">
        <v>44844</v>
      </c>
      <c r="C1529" s="1" t="n">
        <v>45337</v>
      </c>
      <c r="D1529" t="inlineStr">
        <is>
          <t>VÄSTERNORRLANDS LÄN</t>
        </is>
      </c>
      <c r="E1529" t="inlineStr">
        <is>
          <t>SOLLEFTEÅ</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44845</v>
      </c>
      <c r="C1530" s="1" t="n">
        <v>45337</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46130-2022</t>
        </is>
      </c>
      <c r="B1531" s="1" t="n">
        <v>44844</v>
      </c>
      <c r="C1531" s="1" t="n">
        <v>45337</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45719-2022</t>
        </is>
      </c>
      <c r="B1532" s="1" t="n">
        <v>44846</v>
      </c>
      <c r="C1532" s="1" t="n">
        <v>45337</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46039-2022</t>
        </is>
      </c>
      <c r="B1533" s="1" t="n">
        <v>44847</v>
      </c>
      <c r="C1533" s="1" t="n">
        <v>45337</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46032-2022</t>
        </is>
      </c>
      <c r="B1534" s="1" t="n">
        <v>44846</v>
      </c>
      <c r="C1534" s="1" t="n">
        <v>45337</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46036-2022</t>
        </is>
      </c>
      <c r="B1535" s="1" t="n">
        <v>44846</v>
      </c>
      <c r="C1535" s="1" t="n">
        <v>45337</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46052-2022</t>
        </is>
      </c>
      <c r="B1536" s="1" t="n">
        <v>44846</v>
      </c>
      <c r="C1536" s="1" t="n">
        <v>45337</v>
      </c>
      <c r="D1536" t="inlineStr">
        <is>
          <t>VÄSTERNORRLANDS LÄN</t>
        </is>
      </c>
      <c r="E1536" t="inlineStr">
        <is>
          <t>SOLLEFTEÅ</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46053-2022</t>
        </is>
      </c>
      <c r="B1537" s="1" t="n">
        <v>44846</v>
      </c>
      <c r="C1537" s="1" t="n">
        <v>45337</v>
      </c>
      <c r="D1537" t="inlineStr">
        <is>
          <t>VÄSTERNORRLANDS LÄN</t>
        </is>
      </c>
      <c r="E1537" t="inlineStr">
        <is>
          <t>SOLLEFTEÅ</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46324-2022</t>
        </is>
      </c>
      <c r="B1538" s="1" t="n">
        <v>44847</v>
      </c>
      <c r="C1538" s="1" t="n">
        <v>45337</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46626-2022</t>
        </is>
      </c>
      <c r="B1539" s="1" t="n">
        <v>44848</v>
      </c>
      <c r="C1539" s="1" t="n">
        <v>45337</v>
      </c>
      <c r="D1539" t="inlineStr">
        <is>
          <t>VÄSTERNORRLANDS LÄN</t>
        </is>
      </c>
      <c r="E1539" t="inlineStr">
        <is>
          <t>SOLLEFTEÅ</t>
        </is>
      </c>
      <c r="F1539" t="inlineStr">
        <is>
          <t>SCA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46616-2022</t>
        </is>
      </c>
      <c r="B1540" s="1" t="n">
        <v>44848</v>
      </c>
      <c r="C1540" s="1" t="n">
        <v>45337</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46664-2022</t>
        </is>
      </c>
      <c r="B1541" s="1" t="n">
        <v>44851</v>
      </c>
      <c r="C1541" s="1" t="n">
        <v>45337</v>
      </c>
      <c r="D1541" t="inlineStr">
        <is>
          <t>VÄSTERNORRLANDS LÄN</t>
        </is>
      </c>
      <c r="E1541" t="inlineStr">
        <is>
          <t>SOLLEFTEÅ</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46871-2022</t>
        </is>
      </c>
      <c r="B1542" s="1" t="n">
        <v>44851</v>
      </c>
      <c r="C1542" s="1" t="n">
        <v>45337</v>
      </c>
      <c r="D1542" t="inlineStr">
        <is>
          <t>VÄSTERNORRLANDS LÄN</t>
        </is>
      </c>
      <c r="E1542" t="inlineStr">
        <is>
          <t>SOLLEFTEÅ</t>
        </is>
      </c>
      <c r="F1542" t="inlineStr">
        <is>
          <t>Kyrkan</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46880-2022</t>
        </is>
      </c>
      <c r="B1543" s="1" t="n">
        <v>44851</v>
      </c>
      <c r="C1543" s="1" t="n">
        <v>45337</v>
      </c>
      <c r="D1543" t="inlineStr">
        <is>
          <t>VÄSTERNORRLANDS LÄN</t>
        </is>
      </c>
      <c r="E1543" t="inlineStr">
        <is>
          <t>SOLLEFTEÅ</t>
        </is>
      </c>
      <c r="F1543" t="inlineStr">
        <is>
          <t>Kyrkan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46986-2022</t>
        </is>
      </c>
      <c r="B1544" s="1" t="n">
        <v>44851</v>
      </c>
      <c r="C1544" s="1" t="n">
        <v>45337</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46985-2022</t>
        </is>
      </c>
      <c r="B1545" s="1" t="n">
        <v>44851</v>
      </c>
      <c r="C1545" s="1" t="n">
        <v>45337</v>
      </c>
      <c r="D1545" t="inlineStr">
        <is>
          <t>VÄSTERNORRLANDS LÄN</t>
        </is>
      </c>
      <c r="E1545" t="inlineStr">
        <is>
          <t>SOLLEFTEÅ</t>
        </is>
      </c>
      <c r="F1545" t="inlineStr">
        <is>
          <t>Kyrkan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47250-2022</t>
        </is>
      </c>
      <c r="B1546" s="1" t="n">
        <v>44852</v>
      </c>
      <c r="C1546" s="1" t="n">
        <v>45337</v>
      </c>
      <c r="D1546" t="inlineStr">
        <is>
          <t>VÄSTERNORRLANDS LÄN</t>
        </is>
      </c>
      <c r="E1546" t="inlineStr">
        <is>
          <t>SOLLEFTEÅ</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47268-2022</t>
        </is>
      </c>
      <c r="B1547" s="1" t="n">
        <v>44853</v>
      </c>
      <c r="C1547" s="1" t="n">
        <v>45337</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47269-2022</t>
        </is>
      </c>
      <c r="B1548" s="1" t="n">
        <v>44853</v>
      </c>
      <c r="C1548" s="1" t="n">
        <v>45337</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47272-2022</t>
        </is>
      </c>
      <c r="B1549" s="1" t="n">
        <v>44853</v>
      </c>
      <c r="C1549" s="1" t="n">
        <v>45337</v>
      </c>
      <c r="D1549" t="inlineStr">
        <is>
          <t>VÄSTERNORRLANDS LÄN</t>
        </is>
      </c>
      <c r="E1549" t="inlineStr">
        <is>
          <t>SOLLEFTEÅ</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47564-2022</t>
        </is>
      </c>
      <c r="B1550" s="1" t="n">
        <v>44854</v>
      </c>
      <c r="C1550" s="1" t="n">
        <v>45337</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47580-2022</t>
        </is>
      </c>
      <c r="B1551" s="1" t="n">
        <v>44854</v>
      </c>
      <c r="C1551" s="1" t="n">
        <v>45337</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47787-2022</t>
        </is>
      </c>
      <c r="B1552" s="1" t="n">
        <v>44855</v>
      </c>
      <c r="C1552" s="1" t="n">
        <v>45337</v>
      </c>
      <c r="D1552" t="inlineStr">
        <is>
          <t>VÄSTERNORRLANDS LÄN</t>
        </is>
      </c>
      <c r="E1552" t="inlineStr">
        <is>
          <t>SOLLEFTEÅ</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47814-2022</t>
        </is>
      </c>
      <c r="B1553" s="1" t="n">
        <v>44855</v>
      </c>
      <c r="C1553" s="1" t="n">
        <v>45337</v>
      </c>
      <c r="D1553" t="inlineStr">
        <is>
          <t>VÄSTERNORRLANDS LÄN</t>
        </is>
      </c>
      <c r="E1553" t="inlineStr">
        <is>
          <t>SOLLEFTEÅ</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47812-2022</t>
        </is>
      </c>
      <c r="B1554" s="1" t="n">
        <v>44855</v>
      </c>
      <c r="C1554" s="1" t="n">
        <v>45337</v>
      </c>
      <c r="D1554" t="inlineStr">
        <is>
          <t>VÄSTERNORRLANDS LÄN</t>
        </is>
      </c>
      <c r="E1554" t="inlineStr">
        <is>
          <t>SOLLEFTEÅ</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47875-2022</t>
        </is>
      </c>
      <c r="B1555" s="1" t="n">
        <v>44855</v>
      </c>
      <c r="C1555" s="1" t="n">
        <v>45337</v>
      </c>
      <c r="D1555" t="inlineStr">
        <is>
          <t>VÄSTERNORRLANDS LÄN</t>
        </is>
      </c>
      <c r="E1555" t="inlineStr">
        <is>
          <t>SOLLEFTEÅ</t>
        </is>
      </c>
      <c r="F1555" t="inlineStr">
        <is>
          <t>Holmen skog AB</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48056-2022</t>
        </is>
      </c>
      <c r="B1556" s="1" t="n">
        <v>44856</v>
      </c>
      <c r="C1556" s="1" t="n">
        <v>45337</v>
      </c>
      <c r="D1556" t="inlineStr">
        <is>
          <t>VÄSTERNORRLANDS LÄN</t>
        </is>
      </c>
      <c r="E1556" t="inlineStr">
        <is>
          <t>SOLLEFTEÅ</t>
        </is>
      </c>
      <c r="F1556" t="inlineStr">
        <is>
          <t>SCA</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48064-2022</t>
        </is>
      </c>
      <c r="B1557" s="1" t="n">
        <v>44856</v>
      </c>
      <c r="C1557" s="1" t="n">
        <v>45337</v>
      </c>
      <c r="D1557" t="inlineStr">
        <is>
          <t>VÄSTERNORRLANDS LÄN</t>
        </is>
      </c>
      <c r="E1557" t="inlineStr">
        <is>
          <t>SOLLEFTEÅ</t>
        </is>
      </c>
      <c r="F1557" t="inlineStr">
        <is>
          <t>SCA</t>
        </is>
      </c>
      <c r="G1557" t="n">
        <v>13.1</v>
      </c>
      <c r="H1557" t="n">
        <v>0</v>
      </c>
      <c r="I1557" t="n">
        <v>0</v>
      </c>
      <c r="J1557" t="n">
        <v>0</v>
      </c>
      <c r="K1557" t="n">
        <v>0</v>
      </c>
      <c r="L1557" t="n">
        <v>0</v>
      </c>
      <c r="M1557" t="n">
        <v>0</v>
      </c>
      <c r="N1557" t="n">
        <v>0</v>
      </c>
      <c r="O1557" t="n">
        <v>0</v>
      </c>
      <c r="P1557" t="n">
        <v>0</v>
      </c>
      <c r="Q1557" t="n">
        <v>0</v>
      </c>
      <c r="R1557" s="2" t="inlineStr"/>
    </row>
    <row r="1558" ht="15" customHeight="1">
      <c r="A1558" t="inlineStr">
        <is>
          <t>A 48067-2022</t>
        </is>
      </c>
      <c r="B1558" s="1" t="n">
        <v>44855</v>
      </c>
      <c r="C1558" s="1" t="n">
        <v>45337</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48062-2022</t>
        </is>
      </c>
      <c r="B1559" s="1" t="n">
        <v>44856</v>
      </c>
      <c r="C1559" s="1" t="n">
        <v>45337</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47826-2022</t>
        </is>
      </c>
      <c r="B1560" s="1" t="n">
        <v>44855</v>
      </c>
      <c r="C1560" s="1" t="n">
        <v>45337</v>
      </c>
      <c r="D1560" t="inlineStr">
        <is>
          <t>VÄSTERNORRLANDS LÄN</t>
        </is>
      </c>
      <c r="E1560" t="inlineStr">
        <is>
          <t>SOLLEFTEÅ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48057-2022</t>
        </is>
      </c>
      <c r="B1561" s="1" t="n">
        <v>44856</v>
      </c>
      <c r="C1561" s="1" t="n">
        <v>45337</v>
      </c>
      <c r="D1561" t="inlineStr">
        <is>
          <t>VÄSTERNORRLANDS LÄN</t>
        </is>
      </c>
      <c r="E1561" t="inlineStr">
        <is>
          <t>SOLLEFTEÅ</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48061-2022</t>
        </is>
      </c>
      <c r="B1562" s="1" t="n">
        <v>44855</v>
      </c>
      <c r="C1562" s="1" t="n">
        <v>45337</v>
      </c>
      <c r="D1562" t="inlineStr">
        <is>
          <t>VÄSTERNORRLANDS LÄN</t>
        </is>
      </c>
      <c r="E1562" t="inlineStr">
        <is>
          <t>SOLLEFTEÅ</t>
        </is>
      </c>
      <c r="F1562" t="inlineStr">
        <is>
          <t>SCA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48065-2022</t>
        </is>
      </c>
      <c r="B1563" s="1" t="n">
        <v>44856</v>
      </c>
      <c r="C1563" s="1" t="n">
        <v>45337</v>
      </c>
      <c r="D1563" t="inlineStr">
        <is>
          <t>VÄSTERNORRLANDS LÄN</t>
        </is>
      </c>
      <c r="E1563" t="inlineStr">
        <is>
          <t>SOLLEFTEÅ</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48738-2022</t>
        </is>
      </c>
      <c r="B1564" s="1" t="n">
        <v>44855</v>
      </c>
      <c r="C1564" s="1" t="n">
        <v>45337</v>
      </c>
      <c r="D1564" t="inlineStr">
        <is>
          <t>VÄSTERNORRLANDS LÄN</t>
        </is>
      </c>
      <c r="E1564" t="inlineStr">
        <is>
          <t>SOLLEFTEÅ</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48240-2022</t>
        </is>
      </c>
      <c r="B1565" s="1" t="n">
        <v>44858</v>
      </c>
      <c r="C1565" s="1" t="n">
        <v>45337</v>
      </c>
      <c r="D1565" t="inlineStr">
        <is>
          <t>VÄSTERNORRLANDS LÄN</t>
        </is>
      </c>
      <c r="E1565" t="inlineStr">
        <is>
          <t>SOLLEFTEÅ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48511-2022</t>
        </is>
      </c>
      <c r="B1566" s="1" t="n">
        <v>44859</v>
      </c>
      <c r="C1566" s="1" t="n">
        <v>45337</v>
      </c>
      <c r="D1566" t="inlineStr">
        <is>
          <t>VÄSTERNORRLANDS LÄN</t>
        </is>
      </c>
      <c r="E1566" t="inlineStr">
        <is>
          <t>SOLLEFTEÅ</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48512-2022</t>
        </is>
      </c>
      <c r="B1567" s="1" t="n">
        <v>44859</v>
      </c>
      <c r="C1567" s="1" t="n">
        <v>45337</v>
      </c>
      <c r="D1567" t="inlineStr">
        <is>
          <t>VÄSTERNORRLANDS LÄN</t>
        </is>
      </c>
      <c r="E1567" t="inlineStr">
        <is>
          <t>SOLLEFTEÅ</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48519-2022</t>
        </is>
      </c>
      <c r="B1568" s="1" t="n">
        <v>44858</v>
      </c>
      <c r="C1568" s="1" t="n">
        <v>45337</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48296-2022</t>
        </is>
      </c>
      <c r="B1569" s="1" t="n">
        <v>44858</v>
      </c>
      <c r="C1569" s="1" t="n">
        <v>45337</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48510-2022</t>
        </is>
      </c>
      <c r="B1570" s="1" t="n">
        <v>44858</v>
      </c>
      <c r="C1570" s="1" t="n">
        <v>45337</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48535-2022</t>
        </is>
      </c>
      <c r="B1571" s="1" t="n">
        <v>44859</v>
      </c>
      <c r="C1571" s="1" t="n">
        <v>45337</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48513-2022</t>
        </is>
      </c>
      <c r="B1572" s="1" t="n">
        <v>44859</v>
      </c>
      <c r="C1572" s="1" t="n">
        <v>45337</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48905-2022</t>
        </is>
      </c>
      <c r="B1573" s="1" t="n">
        <v>44859</v>
      </c>
      <c r="C1573" s="1" t="n">
        <v>45337</v>
      </c>
      <c r="D1573" t="inlineStr">
        <is>
          <t>VÄSTERNORRLANDS LÄN</t>
        </is>
      </c>
      <c r="E1573" t="inlineStr">
        <is>
          <t>SOLLEFTEÅ</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48915-2022</t>
        </is>
      </c>
      <c r="B1574" s="1" t="n">
        <v>44860</v>
      </c>
      <c r="C1574" s="1" t="n">
        <v>45337</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48919-2022</t>
        </is>
      </c>
      <c r="B1575" s="1" t="n">
        <v>44859</v>
      </c>
      <c r="C1575" s="1" t="n">
        <v>45337</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48901-2022</t>
        </is>
      </c>
      <c r="B1576" s="1" t="n">
        <v>44860</v>
      </c>
      <c r="C1576" s="1" t="n">
        <v>45337</v>
      </c>
      <c r="D1576" t="inlineStr">
        <is>
          <t>VÄSTERNORRLANDS LÄN</t>
        </is>
      </c>
      <c r="E1576" t="inlineStr">
        <is>
          <t>SOLLEFTEÅ</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48913-2022</t>
        </is>
      </c>
      <c r="B1577" s="1" t="n">
        <v>44860</v>
      </c>
      <c r="C1577" s="1" t="n">
        <v>45337</v>
      </c>
      <c r="D1577" t="inlineStr">
        <is>
          <t>VÄSTERNORRLANDS LÄN</t>
        </is>
      </c>
      <c r="E1577" t="inlineStr">
        <is>
          <t>SOLLEFTEÅ</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44860</v>
      </c>
      <c r="C1578" s="1" t="n">
        <v>45337</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48902-2022</t>
        </is>
      </c>
      <c r="B1579" s="1" t="n">
        <v>44859</v>
      </c>
      <c r="C1579" s="1" t="n">
        <v>45337</v>
      </c>
      <c r="D1579" t="inlineStr">
        <is>
          <t>VÄSTERNORRLANDS LÄN</t>
        </is>
      </c>
      <c r="E1579" t="inlineStr">
        <is>
          <t>SOLLEFTEÅ</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48914-2022</t>
        </is>
      </c>
      <c r="B1580" s="1" t="n">
        <v>44860</v>
      </c>
      <c r="C1580" s="1" t="n">
        <v>45337</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49694-2022</t>
        </is>
      </c>
      <c r="B1581" s="1" t="n">
        <v>44859</v>
      </c>
      <c r="C1581" s="1" t="n">
        <v>45337</v>
      </c>
      <c r="D1581" t="inlineStr">
        <is>
          <t>VÄSTERNORRLANDS LÄN</t>
        </is>
      </c>
      <c r="E1581" t="inlineStr">
        <is>
          <t>SOLLEFTEÅ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49708-2022</t>
        </is>
      </c>
      <c r="B1582" s="1" t="n">
        <v>44859</v>
      </c>
      <c r="C1582" s="1" t="n">
        <v>45337</v>
      </c>
      <c r="D1582" t="inlineStr">
        <is>
          <t>VÄSTERNORRLANDS LÄN</t>
        </is>
      </c>
      <c r="E1582" t="inlineStr">
        <is>
          <t>SOLLEFTEÅ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49176-2022</t>
        </is>
      </c>
      <c r="B1583" s="1" t="n">
        <v>44861</v>
      </c>
      <c r="C1583" s="1" t="n">
        <v>45337</v>
      </c>
      <c r="D1583" t="inlineStr">
        <is>
          <t>VÄSTERNORRLANDS LÄN</t>
        </is>
      </c>
      <c r="E1583" t="inlineStr">
        <is>
          <t>SOLLEFTEÅ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49181-2022</t>
        </is>
      </c>
      <c r="B1584" s="1" t="n">
        <v>44861</v>
      </c>
      <c r="C1584" s="1" t="n">
        <v>45337</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49170-2022</t>
        </is>
      </c>
      <c r="B1585" s="1" t="n">
        <v>44861</v>
      </c>
      <c r="C1585" s="1" t="n">
        <v>45337</v>
      </c>
      <c r="D1585" t="inlineStr">
        <is>
          <t>VÄSTERNORRLANDS LÄN</t>
        </is>
      </c>
      <c r="E1585" t="inlineStr">
        <is>
          <t>SOLLEFTEÅ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49198-2022</t>
        </is>
      </c>
      <c r="B1586" s="1" t="n">
        <v>44860</v>
      </c>
      <c r="C1586" s="1" t="n">
        <v>45337</v>
      </c>
      <c r="D1586" t="inlineStr">
        <is>
          <t>VÄSTERNORRLANDS LÄN</t>
        </is>
      </c>
      <c r="E1586" t="inlineStr">
        <is>
          <t>SOLLEFTEÅ</t>
        </is>
      </c>
      <c r="F1586" t="inlineStr">
        <is>
          <t>SCA</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49177-2022</t>
        </is>
      </c>
      <c r="B1587" s="1" t="n">
        <v>44861</v>
      </c>
      <c r="C1587" s="1" t="n">
        <v>45337</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49171-2022</t>
        </is>
      </c>
      <c r="B1588" s="1" t="n">
        <v>44861</v>
      </c>
      <c r="C1588" s="1" t="n">
        <v>45337</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49175-2022</t>
        </is>
      </c>
      <c r="B1589" s="1" t="n">
        <v>44861</v>
      </c>
      <c r="C1589" s="1" t="n">
        <v>45337</v>
      </c>
      <c r="D1589" t="inlineStr">
        <is>
          <t>VÄSTERNORRLANDS LÄN</t>
        </is>
      </c>
      <c r="E1589" t="inlineStr">
        <is>
          <t>SOLLEFTEÅ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49200-2022</t>
        </is>
      </c>
      <c r="B1590" s="1" t="n">
        <v>44861</v>
      </c>
      <c r="C1590" s="1" t="n">
        <v>45337</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49520-2022</t>
        </is>
      </c>
      <c r="B1591" s="1" t="n">
        <v>44862</v>
      </c>
      <c r="C1591" s="1" t="n">
        <v>45337</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49513-2022</t>
        </is>
      </c>
      <c r="B1592" s="1" t="n">
        <v>44862</v>
      </c>
      <c r="C1592" s="1" t="n">
        <v>45337</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49512-2022</t>
        </is>
      </c>
      <c r="B1593" s="1" t="n">
        <v>44861</v>
      </c>
      <c r="C1593" s="1" t="n">
        <v>45337</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49521-2022</t>
        </is>
      </c>
      <c r="B1594" s="1" t="n">
        <v>44861</v>
      </c>
      <c r="C1594" s="1" t="n">
        <v>45337</v>
      </c>
      <c r="D1594" t="inlineStr">
        <is>
          <t>VÄSTERNORRLANDS LÄN</t>
        </is>
      </c>
      <c r="E1594" t="inlineStr">
        <is>
          <t>SOLLEFTEÅ</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49538-2022</t>
        </is>
      </c>
      <c r="B1595" s="1" t="n">
        <v>44861</v>
      </c>
      <c r="C1595" s="1" t="n">
        <v>45337</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49665-2022</t>
        </is>
      </c>
      <c r="B1596" s="1" t="n">
        <v>44862</v>
      </c>
      <c r="C1596" s="1" t="n">
        <v>45337</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49860-2022</t>
        </is>
      </c>
      <c r="B1597" s="1" t="n">
        <v>44862</v>
      </c>
      <c r="C1597" s="1" t="n">
        <v>45337</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49866-2022</t>
        </is>
      </c>
      <c r="B1598" s="1" t="n">
        <v>44863</v>
      </c>
      <c r="C1598" s="1" t="n">
        <v>45337</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50813-2022</t>
        </is>
      </c>
      <c r="B1599" s="1" t="n">
        <v>44862</v>
      </c>
      <c r="C1599" s="1" t="n">
        <v>45337</v>
      </c>
      <c r="D1599" t="inlineStr">
        <is>
          <t>VÄSTERNORRLANDS LÄN</t>
        </is>
      </c>
      <c r="E1599" t="inlineStr">
        <is>
          <t>SOLLEFTEÅ</t>
        </is>
      </c>
      <c r="F1599" t="inlineStr">
        <is>
          <t>Övriga statliga verk och myndigheter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50825-2022</t>
        </is>
      </c>
      <c r="B1600" s="1" t="n">
        <v>44862</v>
      </c>
      <c r="C1600" s="1" t="n">
        <v>45337</v>
      </c>
      <c r="D1600" t="inlineStr">
        <is>
          <t>VÄSTERNORRLANDS LÄN</t>
        </is>
      </c>
      <c r="E1600" t="inlineStr">
        <is>
          <t>SOLLEFTEÅ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49911-2022</t>
        </is>
      </c>
      <c r="B1601" s="1" t="n">
        <v>44865</v>
      </c>
      <c r="C1601" s="1" t="n">
        <v>45337</v>
      </c>
      <c r="D1601" t="inlineStr">
        <is>
          <t>VÄSTERNORRLANDS LÄN</t>
        </is>
      </c>
      <c r="E1601" t="inlineStr">
        <is>
          <t>SOLLEFTEÅ</t>
        </is>
      </c>
      <c r="F1601" t="inlineStr">
        <is>
          <t>Holmen skog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50318-2022</t>
        </is>
      </c>
      <c r="B1602" s="1" t="n">
        <v>44865</v>
      </c>
      <c r="C1602" s="1" t="n">
        <v>45337</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51080-2022</t>
        </is>
      </c>
      <c r="B1603" s="1" t="n">
        <v>44865</v>
      </c>
      <c r="C1603" s="1" t="n">
        <v>45337</v>
      </c>
      <c r="D1603" t="inlineStr">
        <is>
          <t>VÄSTERNORRLANDS LÄN</t>
        </is>
      </c>
      <c r="E1603" t="inlineStr">
        <is>
          <t>SOLLEFTEÅ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50641-2022</t>
        </is>
      </c>
      <c r="B1604" s="1" t="n">
        <v>44866</v>
      </c>
      <c r="C1604" s="1" t="n">
        <v>45337</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50642-2022</t>
        </is>
      </c>
      <c r="B1605" s="1" t="n">
        <v>44866</v>
      </c>
      <c r="C1605" s="1" t="n">
        <v>45337</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50655-2022</t>
        </is>
      </c>
      <c r="B1606" s="1" t="n">
        <v>44866</v>
      </c>
      <c r="C1606" s="1" t="n">
        <v>45337</v>
      </c>
      <c r="D1606" t="inlineStr">
        <is>
          <t>VÄSTERNORRLANDS LÄN</t>
        </is>
      </c>
      <c r="E1606" t="inlineStr">
        <is>
          <t>SOLLEFTEÅ</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50656-2022</t>
        </is>
      </c>
      <c r="B1607" s="1" t="n">
        <v>44866</v>
      </c>
      <c r="C1607" s="1" t="n">
        <v>45337</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50662-2022</t>
        </is>
      </c>
      <c r="B1608" s="1" t="n">
        <v>44866</v>
      </c>
      <c r="C1608" s="1" t="n">
        <v>45337</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51249-2022</t>
        </is>
      </c>
      <c r="B1609" s="1" t="n">
        <v>44866</v>
      </c>
      <c r="C1609" s="1" t="n">
        <v>45337</v>
      </c>
      <c r="D1609" t="inlineStr">
        <is>
          <t>VÄSTERNORRLANDS LÄN</t>
        </is>
      </c>
      <c r="E1609" t="inlineStr">
        <is>
          <t>SOLLEFTEÅ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51006-2022</t>
        </is>
      </c>
      <c r="B1610" s="1" t="n">
        <v>44867</v>
      </c>
      <c r="C1610" s="1" t="n">
        <v>45337</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51212-2022</t>
        </is>
      </c>
      <c r="B1611" s="1" t="n">
        <v>44868</v>
      </c>
      <c r="C1611" s="1" t="n">
        <v>45337</v>
      </c>
      <c r="D1611" t="inlineStr">
        <is>
          <t>VÄSTERNORRLANDS LÄN</t>
        </is>
      </c>
      <c r="E1611" t="inlineStr">
        <is>
          <t>SOLLEFTEÅ</t>
        </is>
      </c>
      <c r="F1611" t="inlineStr">
        <is>
          <t>Holmen skog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51317-2022</t>
        </is>
      </c>
      <c r="B1612" s="1" t="n">
        <v>44868</v>
      </c>
      <c r="C1612" s="1" t="n">
        <v>45337</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51314-2022</t>
        </is>
      </c>
      <c r="B1613" s="1" t="n">
        <v>44868</v>
      </c>
      <c r="C1613" s="1" t="n">
        <v>45337</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51544-2022</t>
        </is>
      </c>
      <c r="B1614" s="1" t="n">
        <v>44869</v>
      </c>
      <c r="C1614" s="1" t="n">
        <v>45337</v>
      </c>
      <c r="D1614" t="inlineStr">
        <is>
          <t>VÄSTERNORRLANDS LÄN</t>
        </is>
      </c>
      <c r="E1614" t="inlineStr">
        <is>
          <t>SOLLEFTEÅ</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51541-2022</t>
        </is>
      </c>
      <c r="B1615" s="1" t="n">
        <v>44869</v>
      </c>
      <c r="C1615" s="1" t="n">
        <v>45337</v>
      </c>
      <c r="D1615" t="inlineStr">
        <is>
          <t>VÄSTERNORRLANDS LÄN</t>
        </is>
      </c>
      <c r="E1615" t="inlineStr">
        <is>
          <t>SOLLEFTEÅ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51543-2022</t>
        </is>
      </c>
      <c r="B1616" s="1" t="n">
        <v>44869</v>
      </c>
      <c r="C1616" s="1" t="n">
        <v>45337</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51739-2022</t>
        </is>
      </c>
      <c r="B1617" s="1" t="n">
        <v>44872</v>
      </c>
      <c r="C1617" s="1" t="n">
        <v>45337</v>
      </c>
      <c r="D1617" t="inlineStr">
        <is>
          <t>VÄSTERNORRLANDS LÄN</t>
        </is>
      </c>
      <c r="E1617" t="inlineStr">
        <is>
          <t>SOLLEFTEÅ</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52013-2022</t>
        </is>
      </c>
      <c r="B1618" s="1" t="n">
        <v>44872</v>
      </c>
      <c r="C1618" s="1" t="n">
        <v>45337</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52034-2022</t>
        </is>
      </c>
      <c r="B1619" s="1" t="n">
        <v>44872</v>
      </c>
      <c r="C1619" s="1" t="n">
        <v>45337</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52040-2022</t>
        </is>
      </c>
      <c r="B1620" s="1" t="n">
        <v>44872</v>
      </c>
      <c r="C1620" s="1" t="n">
        <v>45337</v>
      </c>
      <c r="D1620" t="inlineStr">
        <is>
          <t>VÄSTERNORRLANDS LÄN</t>
        </is>
      </c>
      <c r="E1620" t="inlineStr">
        <is>
          <t>SOLLEFTEÅ</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52035-2022</t>
        </is>
      </c>
      <c r="B1621" s="1" t="n">
        <v>44872</v>
      </c>
      <c r="C1621" s="1" t="n">
        <v>45337</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52039-2022</t>
        </is>
      </c>
      <c r="B1622" s="1" t="n">
        <v>44872</v>
      </c>
      <c r="C1622" s="1" t="n">
        <v>45337</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53128-2022</t>
        </is>
      </c>
      <c r="B1623" s="1" t="n">
        <v>44873</v>
      </c>
      <c r="C1623" s="1" t="n">
        <v>45337</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53123-2022</t>
        </is>
      </c>
      <c r="B1624" s="1" t="n">
        <v>44873</v>
      </c>
      <c r="C1624" s="1" t="n">
        <v>45337</v>
      </c>
      <c r="D1624" t="inlineStr">
        <is>
          <t>VÄSTERNORRLANDS LÄN</t>
        </is>
      </c>
      <c r="E1624" t="inlineStr">
        <is>
          <t>SOLLEFTEÅ</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52549-2022</t>
        </is>
      </c>
      <c r="B1625" s="1" t="n">
        <v>44874</v>
      </c>
      <c r="C1625" s="1" t="n">
        <v>45337</v>
      </c>
      <c r="D1625" t="inlineStr">
        <is>
          <t>VÄSTERNORRLANDS LÄN</t>
        </is>
      </c>
      <c r="E1625" t="inlineStr">
        <is>
          <t>SOLLEFTEÅ</t>
        </is>
      </c>
      <c r="F1625" t="inlineStr">
        <is>
          <t>Holmen skog AB</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52735-2022</t>
        </is>
      </c>
      <c r="B1626" s="1" t="n">
        <v>44874</v>
      </c>
      <c r="C1626" s="1" t="n">
        <v>45337</v>
      </c>
      <c r="D1626" t="inlineStr">
        <is>
          <t>VÄSTERNORRLANDS LÄN</t>
        </is>
      </c>
      <c r="E1626" t="inlineStr">
        <is>
          <t>SOLLEFTEÅ</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52595-2022</t>
        </is>
      </c>
      <c r="B1627" s="1" t="n">
        <v>44874</v>
      </c>
      <c r="C1627" s="1" t="n">
        <v>45337</v>
      </c>
      <c r="D1627" t="inlineStr">
        <is>
          <t>VÄSTERNORRLANDS LÄN</t>
        </is>
      </c>
      <c r="E1627" t="inlineStr">
        <is>
          <t>SOLLEFTEÅ</t>
        </is>
      </c>
      <c r="F1627" t="inlineStr">
        <is>
          <t>Holmen skog AB</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52717-2022</t>
        </is>
      </c>
      <c r="B1628" s="1" t="n">
        <v>44874</v>
      </c>
      <c r="C1628" s="1" t="n">
        <v>45337</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52718-2022</t>
        </is>
      </c>
      <c r="B1629" s="1" t="n">
        <v>44874</v>
      </c>
      <c r="C1629" s="1" t="n">
        <v>45337</v>
      </c>
      <c r="D1629" t="inlineStr">
        <is>
          <t>VÄSTERNORRLANDS LÄN</t>
        </is>
      </c>
      <c r="E1629" t="inlineStr">
        <is>
          <t>SOLLEFTEÅ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53012-2022</t>
        </is>
      </c>
      <c r="B1630" s="1" t="n">
        <v>44875</v>
      </c>
      <c r="C1630" s="1" t="n">
        <v>45337</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52777-2022</t>
        </is>
      </c>
      <c r="B1631" s="1" t="n">
        <v>44875</v>
      </c>
      <c r="C1631" s="1" t="n">
        <v>45337</v>
      </c>
      <c r="D1631" t="inlineStr">
        <is>
          <t>VÄSTERNORRLANDS LÄN</t>
        </is>
      </c>
      <c r="E1631" t="inlineStr">
        <is>
          <t>SOLLEFTEÅ</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53000-2022</t>
        </is>
      </c>
      <c r="B1632" s="1" t="n">
        <v>44875</v>
      </c>
      <c r="C1632" s="1" t="n">
        <v>45337</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53011-2022</t>
        </is>
      </c>
      <c r="B1633" s="1" t="n">
        <v>44875</v>
      </c>
      <c r="C1633" s="1" t="n">
        <v>45337</v>
      </c>
      <c r="D1633" t="inlineStr">
        <is>
          <t>VÄSTERNORRLANDS LÄN</t>
        </is>
      </c>
      <c r="E1633" t="inlineStr">
        <is>
          <t>SOLLEFTEÅ</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53669-2022</t>
        </is>
      </c>
      <c r="B1634" s="1" t="n">
        <v>44879</v>
      </c>
      <c r="C1634" s="1" t="n">
        <v>45337</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53933-2022</t>
        </is>
      </c>
      <c r="B1635" s="1" t="n">
        <v>44880</v>
      </c>
      <c r="C1635" s="1" t="n">
        <v>45337</v>
      </c>
      <c r="D1635" t="inlineStr">
        <is>
          <t>VÄSTERNORRLANDS LÄN</t>
        </is>
      </c>
      <c r="E1635" t="inlineStr">
        <is>
          <t>SOLLEFTEÅ</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53929-2022</t>
        </is>
      </c>
      <c r="B1636" s="1" t="n">
        <v>44880</v>
      </c>
      <c r="C1636" s="1" t="n">
        <v>45337</v>
      </c>
      <c r="D1636" t="inlineStr">
        <is>
          <t>VÄSTERNORRLANDS LÄN</t>
        </is>
      </c>
      <c r="E1636" t="inlineStr">
        <is>
          <t>SOLLEFTEÅ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53944-2022</t>
        </is>
      </c>
      <c r="B1637" s="1" t="n">
        <v>44880</v>
      </c>
      <c r="C1637" s="1" t="n">
        <v>45337</v>
      </c>
      <c r="D1637" t="inlineStr">
        <is>
          <t>VÄSTERNORRLANDS LÄN</t>
        </is>
      </c>
      <c r="E1637" t="inlineStr">
        <is>
          <t>SOLLEFTEÅ</t>
        </is>
      </c>
      <c r="F1637" t="inlineStr">
        <is>
          <t>SCA</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53947-2022</t>
        </is>
      </c>
      <c r="B1638" s="1" t="n">
        <v>44880</v>
      </c>
      <c r="C1638" s="1" t="n">
        <v>45337</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53985-2022</t>
        </is>
      </c>
      <c r="B1639" s="1" t="n">
        <v>44881</v>
      </c>
      <c r="C1639" s="1" t="n">
        <v>45337</v>
      </c>
      <c r="D1639" t="inlineStr">
        <is>
          <t>VÄSTERNORRLANDS LÄN</t>
        </is>
      </c>
      <c r="E1639" t="inlineStr">
        <is>
          <t>SOLLEFTEÅ</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54256-2022</t>
        </is>
      </c>
      <c r="B1640" s="1" t="n">
        <v>44881</v>
      </c>
      <c r="C1640" s="1" t="n">
        <v>45337</v>
      </c>
      <c r="D1640" t="inlineStr">
        <is>
          <t>VÄSTERNORRLANDS LÄN</t>
        </is>
      </c>
      <c r="E1640" t="inlineStr">
        <is>
          <t>SOLLEFTEÅ</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54242-2022</t>
        </is>
      </c>
      <c r="B1641" s="1" t="n">
        <v>44881</v>
      </c>
      <c r="C1641" s="1" t="n">
        <v>45337</v>
      </c>
      <c r="D1641" t="inlineStr">
        <is>
          <t>VÄSTERNORRLANDS LÄN</t>
        </is>
      </c>
      <c r="E1641" t="inlineStr">
        <is>
          <t>SOLLEFTEÅ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54249-2022</t>
        </is>
      </c>
      <c r="B1642" s="1" t="n">
        <v>44881</v>
      </c>
      <c r="C1642" s="1" t="n">
        <v>45337</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54255-2022</t>
        </is>
      </c>
      <c r="B1643" s="1" t="n">
        <v>44881</v>
      </c>
      <c r="C1643" s="1" t="n">
        <v>45337</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54280-2022</t>
        </is>
      </c>
      <c r="B1644" s="1" t="n">
        <v>44882</v>
      </c>
      <c r="C1644" s="1" t="n">
        <v>45337</v>
      </c>
      <c r="D1644" t="inlineStr">
        <is>
          <t>VÄSTERNORRLANDS LÄN</t>
        </is>
      </c>
      <c r="E1644" t="inlineStr">
        <is>
          <t>SOLLEFTEÅ</t>
        </is>
      </c>
      <c r="F1644" t="inlineStr">
        <is>
          <t>Holmen skog AB</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54538-2022</t>
        </is>
      </c>
      <c r="B1645" s="1" t="n">
        <v>44882</v>
      </c>
      <c r="C1645" s="1" t="n">
        <v>45337</v>
      </c>
      <c r="D1645" t="inlineStr">
        <is>
          <t>VÄSTERNORRLANDS LÄN</t>
        </is>
      </c>
      <c r="E1645" t="inlineStr">
        <is>
          <t>SOLLEFTEÅ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54559-2022</t>
        </is>
      </c>
      <c r="B1646" s="1" t="n">
        <v>44882</v>
      </c>
      <c r="C1646" s="1" t="n">
        <v>45337</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54573-2022</t>
        </is>
      </c>
      <c r="B1647" s="1" t="n">
        <v>44882</v>
      </c>
      <c r="C1647" s="1" t="n">
        <v>45337</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54558-2022</t>
        </is>
      </c>
      <c r="B1648" s="1" t="n">
        <v>44882</v>
      </c>
      <c r="C1648" s="1" t="n">
        <v>45337</v>
      </c>
      <c r="D1648" t="inlineStr">
        <is>
          <t>VÄSTERNORRLANDS LÄN</t>
        </is>
      </c>
      <c r="E1648" t="inlineStr">
        <is>
          <t>SOLLEFTEÅ</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54569-2022</t>
        </is>
      </c>
      <c r="B1649" s="1" t="n">
        <v>44882</v>
      </c>
      <c r="C1649" s="1" t="n">
        <v>45337</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44887</v>
      </c>
      <c r="C1650" s="1" t="n">
        <v>45337</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55692-2022</t>
        </is>
      </c>
      <c r="B1651" s="1" t="n">
        <v>44888</v>
      </c>
      <c r="C1651" s="1" t="n">
        <v>45337</v>
      </c>
      <c r="D1651" t="inlineStr">
        <is>
          <t>VÄSTERNORRLANDS LÄN</t>
        </is>
      </c>
      <c r="E1651" t="inlineStr">
        <is>
          <t>SOLLEFTEÅ</t>
        </is>
      </c>
      <c r="F1651" t="inlineStr">
        <is>
          <t>Holmen skog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55898-2022</t>
        </is>
      </c>
      <c r="B1652" s="1" t="n">
        <v>44888</v>
      </c>
      <c r="C1652" s="1" t="n">
        <v>45337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56176-2022</t>
        </is>
      </c>
      <c r="B1653" s="1" t="n">
        <v>44889</v>
      </c>
      <c r="C1653" s="1" t="n">
        <v>45337</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56175-2022</t>
        </is>
      </c>
      <c r="B1654" s="1" t="n">
        <v>44889</v>
      </c>
      <c r="C1654" s="1" t="n">
        <v>45337</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56184-2022</t>
        </is>
      </c>
      <c r="B1655" s="1" t="n">
        <v>44889</v>
      </c>
      <c r="C1655" s="1" t="n">
        <v>45337</v>
      </c>
      <c r="D1655" t="inlineStr">
        <is>
          <t>VÄSTERNORRLANDS LÄN</t>
        </is>
      </c>
      <c r="E1655" t="inlineStr">
        <is>
          <t>SOLLEFTEÅ</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56544-2022</t>
        </is>
      </c>
      <c r="B1656" s="1" t="n">
        <v>44893</v>
      </c>
      <c r="C1656" s="1" t="n">
        <v>45337</v>
      </c>
      <c r="D1656" t="inlineStr">
        <is>
          <t>VÄSTERNORRLANDS LÄN</t>
        </is>
      </c>
      <c r="E1656" t="inlineStr">
        <is>
          <t>SOLLEFTEÅ</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57019-2022</t>
        </is>
      </c>
      <c r="B1657" s="1" t="n">
        <v>44895</v>
      </c>
      <c r="C1657" s="1" t="n">
        <v>45337</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57020-2022</t>
        </is>
      </c>
      <c r="B1658" s="1" t="n">
        <v>44895</v>
      </c>
      <c r="C1658" s="1" t="n">
        <v>45337</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57282-2022</t>
        </is>
      </c>
      <c r="B1659" s="1" t="n">
        <v>44895</v>
      </c>
      <c r="C1659" s="1" t="n">
        <v>45337</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57273-2022</t>
        </is>
      </c>
      <c r="B1660" s="1" t="n">
        <v>44895</v>
      </c>
      <c r="C1660" s="1" t="n">
        <v>45337</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58643-2022</t>
        </is>
      </c>
      <c r="B1661" s="1" t="n">
        <v>44895</v>
      </c>
      <c r="C1661" s="1" t="n">
        <v>45337</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58636-2022</t>
        </is>
      </c>
      <c r="B1662" s="1" t="n">
        <v>44895</v>
      </c>
      <c r="C1662" s="1" t="n">
        <v>45337</v>
      </c>
      <c r="D1662" t="inlineStr">
        <is>
          <t>VÄSTERNORRLANDS LÄN</t>
        </is>
      </c>
      <c r="E1662" t="inlineStr">
        <is>
          <t>SOLLEFTEÅ</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58646-2022</t>
        </is>
      </c>
      <c r="B1663" s="1" t="n">
        <v>44895</v>
      </c>
      <c r="C1663" s="1" t="n">
        <v>45337</v>
      </c>
      <c r="D1663" t="inlineStr">
        <is>
          <t>VÄSTERNORRLANDS LÄN</t>
        </is>
      </c>
      <c r="E1663" t="inlineStr">
        <is>
          <t>SOLLEFTEÅ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57991-2022</t>
        </is>
      </c>
      <c r="B1664" s="1" t="n">
        <v>44900</v>
      </c>
      <c r="C1664" s="1" t="n">
        <v>45337</v>
      </c>
      <c r="D1664" t="inlineStr">
        <is>
          <t>VÄSTERNORRLANDS LÄN</t>
        </is>
      </c>
      <c r="E1664" t="inlineStr">
        <is>
          <t>SOLLEFTEÅ</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58173-2022</t>
        </is>
      </c>
      <c r="B1665" s="1" t="n">
        <v>44900</v>
      </c>
      <c r="C1665" s="1" t="n">
        <v>45337</v>
      </c>
      <c r="D1665" t="inlineStr">
        <is>
          <t>VÄSTERNORRLANDS LÄN</t>
        </is>
      </c>
      <c r="E1665" t="inlineStr">
        <is>
          <t>SOLLEFTEÅ</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58172-2022</t>
        </is>
      </c>
      <c r="B1666" s="1" t="n">
        <v>44900</v>
      </c>
      <c r="C1666" s="1" t="n">
        <v>45337</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58171-2022</t>
        </is>
      </c>
      <c r="B1667" s="1" t="n">
        <v>44900</v>
      </c>
      <c r="C1667" s="1" t="n">
        <v>45337</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58401-2022</t>
        </is>
      </c>
      <c r="B1668" s="1" t="n">
        <v>44901</v>
      </c>
      <c r="C1668" s="1" t="n">
        <v>45337</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58765-2022</t>
        </is>
      </c>
      <c r="B1669" s="1" t="n">
        <v>44903</v>
      </c>
      <c r="C1669" s="1" t="n">
        <v>45337</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59036-2022</t>
        </is>
      </c>
      <c r="B1670" s="1" t="n">
        <v>44903</v>
      </c>
      <c r="C1670" s="1" t="n">
        <v>45337</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59038-2022</t>
        </is>
      </c>
      <c r="B1671" s="1" t="n">
        <v>44903</v>
      </c>
      <c r="C1671" s="1" t="n">
        <v>45337</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59037-2022</t>
        </is>
      </c>
      <c r="B1672" s="1" t="n">
        <v>44903</v>
      </c>
      <c r="C1672" s="1" t="n">
        <v>45337</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59371-2022</t>
        </is>
      </c>
      <c r="B1673" s="1" t="n">
        <v>44904</v>
      </c>
      <c r="C1673" s="1" t="n">
        <v>45337</v>
      </c>
      <c r="D1673" t="inlineStr">
        <is>
          <t>VÄSTERNORRLANDS LÄN</t>
        </is>
      </c>
      <c r="E1673" t="inlineStr">
        <is>
          <t>SOLLEFTEÅ</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60482-2022</t>
        </is>
      </c>
      <c r="B1674" s="1" t="n">
        <v>44904</v>
      </c>
      <c r="C1674" s="1" t="n">
        <v>45337</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60856-2022</t>
        </is>
      </c>
      <c r="B1675" s="1" t="n">
        <v>44907</v>
      </c>
      <c r="C1675" s="1" t="n">
        <v>45337</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59647-2022</t>
        </is>
      </c>
      <c r="B1676" s="1" t="n">
        <v>44908</v>
      </c>
      <c r="C1676" s="1" t="n">
        <v>45337</v>
      </c>
      <c r="D1676" t="inlineStr">
        <is>
          <t>VÄSTERNORRLANDS LÄN</t>
        </is>
      </c>
      <c r="E1676" t="inlineStr">
        <is>
          <t>SOLLEFTEÅ</t>
        </is>
      </c>
      <c r="F1676" t="inlineStr">
        <is>
          <t>SCA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59908-2022</t>
        </is>
      </c>
      <c r="B1677" s="1" t="n">
        <v>44908</v>
      </c>
      <c r="C1677" s="1" t="n">
        <v>45337</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59854-2022</t>
        </is>
      </c>
      <c r="B1678" s="1" t="n">
        <v>44908</v>
      </c>
      <c r="C1678" s="1" t="n">
        <v>45337</v>
      </c>
      <c r="D1678" t="inlineStr">
        <is>
          <t>VÄSTERNORRLANDS LÄN</t>
        </is>
      </c>
      <c r="E1678" t="inlineStr">
        <is>
          <t>SOLLEFTEÅ</t>
        </is>
      </c>
      <c r="F1678" t="inlineStr">
        <is>
          <t>Holmen skog AB</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60170-2022</t>
        </is>
      </c>
      <c r="B1679" s="1" t="n">
        <v>44909</v>
      </c>
      <c r="C1679" s="1" t="n">
        <v>45337</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60169-2022</t>
        </is>
      </c>
      <c r="B1680" s="1" t="n">
        <v>44909</v>
      </c>
      <c r="C1680" s="1" t="n">
        <v>45337</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60171-2022</t>
        </is>
      </c>
      <c r="B1681" s="1" t="n">
        <v>44909</v>
      </c>
      <c r="C1681" s="1" t="n">
        <v>45337</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60168-2022</t>
        </is>
      </c>
      <c r="B1682" s="1" t="n">
        <v>44909</v>
      </c>
      <c r="C1682" s="1" t="n">
        <v>45337</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60338-2022</t>
        </is>
      </c>
      <c r="B1683" s="1" t="n">
        <v>44910</v>
      </c>
      <c r="C1683" s="1" t="n">
        <v>45337</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60420-2022</t>
        </is>
      </c>
      <c r="B1684" s="1" t="n">
        <v>44910</v>
      </c>
      <c r="C1684" s="1" t="n">
        <v>45337</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61473-2022</t>
        </is>
      </c>
      <c r="B1685" s="1" t="n">
        <v>44910</v>
      </c>
      <c r="C1685" s="1" t="n">
        <v>45337</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61459-2022</t>
        </is>
      </c>
      <c r="B1686" s="1" t="n">
        <v>44910</v>
      </c>
      <c r="C1686" s="1" t="n">
        <v>45337</v>
      </c>
      <c r="D1686" t="inlineStr">
        <is>
          <t>VÄSTERNORRLANDS LÄN</t>
        </is>
      </c>
      <c r="E1686" t="inlineStr">
        <is>
          <t>SOLLEFTEÅ</t>
        </is>
      </c>
      <c r="G1686" t="n">
        <v>20.6</v>
      </c>
      <c r="H1686" t="n">
        <v>0</v>
      </c>
      <c r="I1686" t="n">
        <v>0</v>
      </c>
      <c r="J1686" t="n">
        <v>0</v>
      </c>
      <c r="K1686" t="n">
        <v>0</v>
      </c>
      <c r="L1686" t="n">
        <v>0</v>
      </c>
      <c r="M1686" t="n">
        <v>0</v>
      </c>
      <c r="N1686" t="n">
        <v>0</v>
      </c>
      <c r="O1686" t="n">
        <v>0</v>
      </c>
      <c r="P1686" t="n">
        <v>0</v>
      </c>
      <c r="Q1686" t="n">
        <v>0</v>
      </c>
      <c r="R1686" s="2" t="inlineStr"/>
    </row>
    <row r="1687" ht="15" customHeight="1">
      <c r="A1687" t="inlineStr">
        <is>
          <t>A 60665-2022</t>
        </is>
      </c>
      <c r="B1687" s="1" t="n">
        <v>44911</v>
      </c>
      <c r="C1687" s="1" t="n">
        <v>45337</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60664-2022</t>
        </is>
      </c>
      <c r="B1688" s="1" t="n">
        <v>44911</v>
      </c>
      <c r="C1688" s="1" t="n">
        <v>45337</v>
      </c>
      <c r="D1688" t="inlineStr">
        <is>
          <t>VÄSTERNORRLANDS LÄN</t>
        </is>
      </c>
      <c r="E1688" t="inlineStr">
        <is>
          <t>SOLLEFTEÅ</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60666-2022</t>
        </is>
      </c>
      <c r="B1689" s="1" t="n">
        <v>44911</v>
      </c>
      <c r="C1689" s="1" t="n">
        <v>45337</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61384-2022</t>
        </is>
      </c>
      <c r="B1690" s="1" t="n">
        <v>44915</v>
      </c>
      <c r="C1690" s="1" t="n">
        <v>45337</v>
      </c>
      <c r="D1690" t="inlineStr">
        <is>
          <t>VÄSTERNORRLANDS LÄN</t>
        </is>
      </c>
      <c r="E1690" t="inlineStr">
        <is>
          <t>SOLLEFTEÅ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61345-2022</t>
        </is>
      </c>
      <c r="B1691" s="1" t="n">
        <v>44915</v>
      </c>
      <c r="C1691" s="1" t="n">
        <v>45337</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61341-2022</t>
        </is>
      </c>
      <c r="B1692" s="1" t="n">
        <v>44915</v>
      </c>
      <c r="C1692" s="1" t="n">
        <v>45337</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61376-2022</t>
        </is>
      </c>
      <c r="B1693" s="1" t="n">
        <v>44915</v>
      </c>
      <c r="C1693" s="1" t="n">
        <v>45337</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61391-2022</t>
        </is>
      </c>
      <c r="B1694" s="1" t="n">
        <v>44915</v>
      </c>
      <c r="C1694" s="1" t="n">
        <v>45337</v>
      </c>
      <c r="D1694" t="inlineStr">
        <is>
          <t>VÄSTERNORRLANDS LÄN</t>
        </is>
      </c>
      <c r="E1694" t="inlineStr">
        <is>
          <t>SOLLEFTEÅ</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61383-2022</t>
        </is>
      </c>
      <c r="B1695" s="1" t="n">
        <v>44915</v>
      </c>
      <c r="C1695" s="1" t="n">
        <v>45337</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61660-2022</t>
        </is>
      </c>
      <c r="B1696" s="1" t="n">
        <v>44917</v>
      </c>
      <c r="C1696" s="1" t="n">
        <v>45337</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45337</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45337</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45337</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45337</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45337</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45337</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45337</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45337</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45337</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45337</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45337</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45337</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45337</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45337</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45337</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45337</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45337</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45337</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45337</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45337</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45337</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45337</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45337</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45337</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45337</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45337</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45337</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45337</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45337</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45337</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45337</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45337</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45337</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45337</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45337</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45337</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45337</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45337</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45337</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45337</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45337</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45337</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45337</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45337</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45337</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45337</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45337</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45337</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45337</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45337</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45337</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45337</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45337</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45337</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45337</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45337</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45337</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45337</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45337</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45337</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45337</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45337</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45337</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45337</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45337</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6235-2023</t>
        </is>
      </c>
      <c r="B1762" s="1" t="n">
        <v>44964</v>
      </c>
      <c r="C1762" s="1" t="n">
        <v>45337</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6474-2023</t>
        </is>
      </c>
      <c r="B1763" s="1" t="n">
        <v>44965</v>
      </c>
      <c r="C1763" s="1" t="n">
        <v>45337</v>
      </c>
      <c r="D1763" t="inlineStr">
        <is>
          <t>VÄSTERNORRLANDS LÄN</t>
        </is>
      </c>
      <c r="E1763" t="inlineStr">
        <is>
          <t>SOLLEFTEÅ</t>
        </is>
      </c>
      <c r="F1763" t="inlineStr">
        <is>
          <t>SCA</t>
        </is>
      </c>
      <c r="G1763" t="n">
        <v>47.3</v>
      </c>
      <c r="H1763" t="n">
        <v>0</v>
      </c>
      <c r="I1763" t="n">
        <v>0</v>
      </c>
      <c r="J1763" t="n">
        <v>0</v>
      </c>
      <c r="K1763" t="n">
        <v>0</v>
      </c>
      <c r="L1763" t="n">
        <v>0</v>
      </c>
      <c r="M1763" t="n">
        <v>0</v>
      </c>
      <c r="N1763" t="n">
        <v>0</v>
      </c>
      <c r="O1763" t="n">
        <v>0</v>
      </c>
      <c r="P1763" t="n">
        <v>0</v>
      </c>
      <c r="Q1763" t="n">
        <v>0</v>
      </c>
      <c r="R1763" s="2" t="inlineStr"/>
    </row>
    <row r="1764" ht="15" customHeight="1">
      <c r="A1764" t="inlineStr">
        <is>
          <t>A 7009-2023</t>
        </is>
      </c>
      <c r="B1764" s="1" t="n">
        <v>44967</v>
      </c>
      <c r="C1764" s="1" t="n">
        <v>45337</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7332-2023</t>
        </is>
      </c>
      <c r="B1765" s="1" t="n">
        <v>44970</v>
      </c>
      <c r="C1765" s="1" t="n">
        <v>45337</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7324-2023</t>
        </is>
      </c>
      <c r="B1766" s="1" t="n">
        <v>44970</v>
      </c>
      <c r="C1766" s="1" t="n">
        <v>45337</v>
      </c>
      <c r="D1766" t="inlineStr">
        <is>
          <t>VÄSTERNORRLANDS LÄN</t>
        </is>
      </c>
      <c r="E1766" t="inlineStr">
        <is>
          <t>SOLLEFTEÅ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7325-2023</t>
        </is>
      </c>
      <c r="B1767" s="1" t="n">
        <v>44970</v>
      </c>
      <c r="C1767" s="1" t="n">
        <v>45337</v>
      </c>
      <c r="D1767" t="inlineStr">
        <is>
          <t>VÄSTERNORRLANDS LÄN</t>
        </is>
      </c>
      <c r="E1767" t="inlineStr">
        <is>
          <t>SOLLEFTEÅ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7330-2023</t>
        </is>
      </c>
      <c r="B1768" s="1" t="n">
        <v>44971</v>
      </c>
      <c r="C1768" s="1" t="n">
        <v>45337</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7331-2023</t>
        </is>
      </c>
      <c r="B1769" s="1" t="n">
        <v>44970</v>
      </c>
      <c r="C1769" s="1" t="n">
        <v>45337</v>
      </c>
      <c r="D1769" t="inlineStr">
        <is>
          <t>VÄSTERNORRLANDS LÄN</t>
        </is>
      </c>
      <c r="E1769" t="inlineStr">
        <is>
          <t>SOLLEFTEÅ</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7333-2023</t>
        </is>
      </c>
      <c r="B1770" s="1" t="n">
        <v>44971</v>
      </c>
      <c r="C1770" s="1" t="n">
        <v>45337</v>
      </c>
      <c r="D1770" t="inlineStr">
        <is>
          <t>VÄSTERNORRLANDS LÄN</t>
        </is>
      </c>
      <c r="E1770" t="inlineStr">
        <is>
          <t>SOLLEFTEÅ</t>
        </is>
      </c>
      <c r="F1770" t="inlineStr">
        <is>
          <t>SCA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7713-2023</t>
        </is>
      </c>
      <c r="B1771" s="1" t="n">
        <v>44972</v>
      </c>
      <c r="C1771" s="1" t="n">
        <v>45337</v>
      </c>
      <c r="D1771" t="inlineStr">
        <is>
          <t>VÄSTERNORRLANDS LÄN</t>
        </is>
      </c>
      <c r="E1771" t="inlineStr">
        <is>
          <t>SOLLEFTEÅ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7721-2023</t>
        </is>
      </c>
      <c r="B1772" s="1" t="n">
        <v>44972</v>
      </c>
      <c r="C1772" s="1" t="n">
        <v>45337</v>
      </c>
      <c r="D1772" t="inlineStr">
        <is>
          <t>VÄSTERNORRLANDS LÄN</t>
        </is>
      </c>
      <c r="E1772" t="inlineStr">
        <is>
          <t>SOLLEFTEÅ</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8030-2023</t>
        </is>
      </c>
      <c r="B1773" s="1" t="n">
        <v>44973</v>
      </c>
      <c r="C1773" s="1" t="n">
        <v>45337</v>
      </c>
      <c r="D1773" t="inlineStr">
        <is>
          <t>VÄSTERNORRLANDS LÄN</t>
        </is>
      </c>
      <c r="E1773" t="inlineStr">
        <is>
          <t>SOLLEFTEÅ</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8959-2023</t>
        </is>
      </c>
      <c r="B1774" s="1" t="n">
        <v>44974</v>
      </c>
      <c r="C1774" s="1" t="n">
        <v>45337</v>
      </c>
      <c r="D1774" t="inlineStr">
        <is>
          <t>VÄSTERNORRLANDS LÄN</t>
        </is>
      </c>
      <c r="E1774" t="inlineStr">
        <is>
          <t>SOLLEFTEÅ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8640-2023</t>
        </is>
      </c>
      <c r="B1775" s="1" t="n">
        <v>44978</v>
      </c>
      <c r="C1775" s="1" t="n">
        <v>45337</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8658-2023</t>
        </is>
      </c>
      <c r="B1776" s="1" t="n">
        <v>44978</v>
      </c>
      <c r="C1776" s="1" t="n">
        <v>45337</v>
      </c>
      <c r="D1776" t="inlineStr">
        <is>
          <t>VÄSTERNORRLANDS LÄN</t>
        </is>
      </c>
      <c r="E1776" t="inlineStr">
        <is>
          <t>SOLLEFTEÅ</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8668-2023</t>
        </is>
      </c>
      <c r="B1777" s="1" t="n">
        <v>44978</v>
      </c>
      <c r="C1777" s="1" t="n">
        <v>45337</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8672-2023</t>
        </is>
      </c>
      <c r="B1778" s="1" t="n">
        <v>44977</v>
      </c>
      <c r="C1778" s="1" t="n">
        <v>45337</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8656-2023</t>
        </is>
      </c>
      <c r="B1779" s="1" t="n">
        <v>44978</v>
      </c>
      <c r="C1779" s="1" t="n">
        <v>45337</v>
      </c>
      <c r="D1779" t="inlineStr">
        <is>
          <t>VÄSTERNORRLANDS LÄN</t>
        </is>
      </c>
      <c r="E1779" t="inlineStr">
        <is>
          <t>SOLLEFTEÅ</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8670-2023</t>
        </is>
      </c>
      <c r="B1780" s="1" t="n">
        <v>44977</v>
      </c>
      <c r="C1780" s="1" t="n">
        <v>45337</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8667-2023</t>
        </is>
      </c>
      <c r="B1781" s="1" t="n">
        <v>44978</v>
      </c>
      <c r="C1781" s="1" t="n">
        <v>45337</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8671-2023</t>
        </is>
      </c>
      <c r="B1782" s="1" t="n">
        <v>44978</v>
      </c>
      <c r="C1782" s="1" t="n">
        <v>45337</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8875-2023</t>
        </is>
      </c>
      <c r="B1783" s="1" t="n">
        <v>44978</v>
      </c>
      <c r="C1783" s="1" t="n">
        <v>45337</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8880-2023</t>
        </is>
      </c>
      <c r="B1784" s="1" t="n">
        <v>44978</v>
      </c>
      <c r="C1784" s="1" t="n">
        <v>45337</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9097-2023</t>
        </is>
      </c>
      <c r="B1785" s="1" t="n">
        <v>44979</v>
      </c>
      <c r="C1785" s="1" t="n">
        <v>45337</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9095-2023</t>
        </is>
      </c>
      <c r="B1786" s="1" t="n">
        <v>44979</v>
      </c>
      <c r="C1786" s="1" t="n">
        <v>45337</v>
      </c>
      <c r="D1786" t="inlineStr">
        <is>
          <t>VÄSTERNORRLANDS LÄN</t>
        </is>
      </c>
      <c r="E1786" t="inlineStr">
        <is>
          <t>SOLLEFTEÅ</t>
        </is>
      </c>
      <c r="F1786" t="inlineStr">
        <is>
          <t>SCA</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9099-2023</t>
        </is>
      </c>
      <c r="B1787" s="1" t="n">
        <v>44979</v>
      </c>
      <c r="C1787" s="1" t="n">
        <v>45337</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9096-2023</t>
        </is>
      </c>
      <c r="B1788" s="1" t="n">
        <v>44979</v>
      </c>
      <c r="C1788" s="1" t="n">
        <v>45337</v>
      </c>
      <c r="D1788" t="inlineStr">
        <is>
          <t>VÄSTERNORRLANDS LÄN</t>
        </is>
      </c>
      <c r="E1788" t="inlineStr">
        <is>
          <t>SOLLEFTEÅ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9104-2023</t>
        </is>
      </c>
      <c r="B1789" s="1" t="n">
        <v>44979</v>
      </c>
      <c r="C1789" s="1" t="n">
        <v>45337</v>
      </c>
      <c r="D1789" t="inlineStr">
        <is>
          <t>VÄSTERNORRLANDS LÄN</t>
        </is>
      </c>
      <c r="E1789" t="inlineStr">
        <is>
          <t>SOLLEFTEÅ</t>
        </is>
      </c>
      <c r="F1789" t="inlineStr">
        <is>
          <t>SCA</t>
        </is>
      </c>
      <c r="G1789" t="n">
        <v>22.1</v>
      </c>
      <c r="H1789" t="n">
        <v>0</v>
      </c>
      <c r="I1789" t="n">
        <v>0</v>
      </c>
      <c r="J1789" t="n">
        <v>0</v>
      </c>
      <c r="K1789" t="n">
        <v>0</v>
      </c>
      <c r="L1789" t="n">
        <v>0</v>
      </c>
      <c r="M1789" t="n">
        <v>0</v>
      </c>
      <c r="N1789" t="n">
        <v>0</v>
      </c>
      <c r="O1789" t="n">
        <v>0</v>
      </c>
      <c r="P1789" t="n">
        <v>0</v>
      </c>
      <c r="Q1789" t="n">
        <v>0</v>
      </c>
      <c r="R1789" s="2" t="inlineStr"/>
    </row>
    <row r="1790" ht="15" customHeight="1">
      <c r="A1790" t="inlineStr">
        <is>
          <t>A 9098-2023</t>
        </is>
      </c>
      <c r="B1790" s="1" t="n">
        <v>44979</v>
      </c>
      <c r="C1790" s="1" t="n">
        <v>45337</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9105-2023</t>
        </is>
      </c>
      <c r="B1791" s="1" t="n">
        <v>44979</v>
      </c>
      <c r="C1791" s="1" t="n">
        <v>45337</v>
      </c>
      <c r="D1791" t="inlineStr">
        <is>
          <t>VÄSTERNORRLANDS LÄN</t>
        </is>
      </c>
      <c r="E1791" t="inlineStr">
        <is>
          <t>SOLLEFTEÅ</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9358-2023</t>
        </is>
      </c>
      <c r="B1792" s="1" t="n">
        <v>44980</v>
      </c>
      <c r="C1792" s="1" t="n">
        <v>45337</v>
      </c>
      <c r="D1792" t="inlineStr">
        <is>
          <t>VÄSTERNORRLANDS LÄN</t>
        </is>
      </c>
      <c r="E1792" t="inlineStr">
        <is>
          <t>SOLLEFTEÅ</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9363-2023</t>
        </is>
      </c>
      <c r="B1793" s="1" t="n">
        <v>44980</v>
      </c>
      <c r="C1793" s="1" t="n">
        <v>45337</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9365-2023</t>
        </is>
      </c>
      <c r="B1794" s="1" t="n">
        <v>44980</v>
      </c>
      <c r="C1794" s="1" t="n">
        <v>45337</v>
      </c>
      <c r="D1794" t="inlineStr">
        <is>
          <t>VÄSTERNORRLANDS LÄN</t>
        </is>
      </c>
      <c r="E1794" t="inlineStr">
        <is>
          <t>SOLLEFTEÅ</t>
        </is>
      </c>
      <c r="F1794" t="inlineStr">
        <is>
          <t>SCA</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10256-2023</t>
        </is>
      </c>
      <c r="B1795" s="1" t="n">
        <v>44980</v>
      </c>
      <c r="C1795" s="1" t="n">
        <v>45337</v>
      </c>
      <c r="D1795" t="inlineStr">
        <is>
          <t>VÄSTERNORRLANDS LÄN</t>
        </is>
      </c>
      <c r="E1795" t="inlineStr">
        <is>
          <t>SOLLEFTEÅ</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9362-2023</t>
        </is>
      </c>
      <c r="B1796" s="1" t="n">
        <v>44980</v>
      </c>
      <c r="C1796" s="1" t="n">
        <v>45337</v>
      </c>
      <c r="D1796" t="inlineStr">
        <is>
          <t>VÄSTERNORRLANDS LÄN</t>
        </is>
      </c>
      <c r="E1796" t="inlineStr">
        <is>
          <t>SOLLEFTEÅ</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9549-2023</t>
        </is>
      </c>
      <c r="B1797" s="1" t="n">
        <v>44981</v>
      </c>
      <c r="C1797" s="1" t="n">
        <v>45337</v>
      </c>
      <c r="D1797" t="inlineStr">
        <is>
          <t>VÄSTERNORRLANDS LÄN</t>
        </is>
      </c>
      <c r="E1797" t="inlineStr">
        <is>
          <t>SOLLEFTEÅ</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10428-2023</t>
        </is>
      </c>
      <c r="B1798" s="1" t="n">
        <v>44981</v>
      </c>
      <c r="C1798" s="1" t="n">
        <v>45337</v>
      </c>
      <c r="D1798" t="inlineStr">
        <is>
          <t>VÄSTERNORRLANDS LÄN</t>
        </is>
      </c>
      <c r="E1798" t="inlineStr">
        <is>
          <t>SOLLEFTEÅ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9617-2023</t>
        </is>
      </c>
      <c r="B1799" s="1" t="n">
        <v>44983</v>
      </c>
      <c r="C1799" s="1" t="n">
        <v>45337</v>
      </c>
      <c r="D1799" t="inlineStr">
        <is>
          <t>VÄSTERNORRLANDS LÄN</t>
        </is>
      </c>
      <c r="E1799" t="inlineStr">
        <is>
          <t>SOLLEFTEÅ</t>
        </is>
      </c>
      <c r="F1799" t="inlineStr">
        <is>
          <t>SCA</t>
        </is>
      </c>
      <c r="G1799" t="n">
        <v>39.6</v>
      </c>
      <c r="H1799" t="n">
        <v>0</v>
      </c>
      <c r="I1799" t="n">
        <v>0</v>
      </c>
      <c r="J1799" t="n">
        <v>0</v>
      </c>
      <c r="K1799" t="n">
        <v>0</v>
      </c>
      <c r="L1799" t="n">
        <v>0</v>
      </c>
      <c r="M1799" t="n">
        <v>0</v>
      </c>
      <c r="N1799" t="n">
        <v>0</v>
      </c>
      <c r="O1799" t="n">
        <v>0</v>
      </c>
      <c r="P1799" t="n">
        <v>0</v>
      </c>
      <c r="Q1799" t="n">
        <v>0</v>
      </c>
      <c r="R1799" s="2" t="inlineStr"/>
    </row>
    <row r="1800" ht="15" customHeight="1">
      <c r="A1800" t="inlineStr">
        <is>
          <t>A 9616-2023</t>
        </is>
      </c>
      <c r="B1800" s="1" t="n">
        <v>44983</v>
      </c>
      <c r="C1800" s="1" t="n">
        <v>45337</v>
      </c>
      <c r="D1800" t="inlineStr">
        <is>
          <t>VÄSTERNORRLANDS LÄN</t>
        </is>
      </c>
      <c r="E1800" t="inlineStr">
        <is>
          <t>SOLLEFTEÅ</t>
        </is>
      </c>
      <c r="F1800" t="inlineStr">
        <is>
          <t>SCA</t>
        </is>
      </c>
      <c r="G1800" t="n">
        <v>45.9</v>
      </c>
      <c r="H1800" t="n">
        <v>0</v>
      </c>
      <c r="I1800" t="n">
        <v>0</v>
      </c>
      <c r="J1800" t="n">
        <v>0</v>
      </c>
      <c r="K1800" t="n">
        <v>0</v>
      </c>
      <c r="L1800" t="n">
        <v>0</v>
      </c>
      <c r="M1800" t="n">
        <v>0</v>
      </c>
      <c r="N1800" t="n">
        <v>0</v>
      </c>
      <c r="O1800" t="n">
        <v>0</v>
      </c>
      <c r="P1800" t="n">
        <v>0</v>
      </c>
      <c r="Q1800" t="n">
        <v>0</v>
      </c>
      <c r="R1800" s="2" t="inlineStr"/>
    </row>
    <row r="1801" ht="15" customHeight="1">
      <c r="A1801" t="inlineStr">
        <is>
          <t>A 9614-2023</t>
        </is>
      </c>
      <c r="B1801" s="1" t="n">
        <v>44983</v>
      </c>
      <c r="C1801" s="1" t="n">
        <v>45337</v>
      </c>
      <c r="D1801" t="inlineStr">
        <is>
          <t>VÄSTERNORRLANDS LÄN</t>
        </is>
      </c>
      <c r="E1801" t="inlineStr">
        <is>
          <t>SOLLEFTEÅ</t>
        </is>
      </c>
      <c r="F1801" t="inlineStr">
        <is>
          <t>SCA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9741-2023</t>
        </is>
      </c>
      <c r="B1802" s="1" t="n">
        <v>44984</v>
      </c>
      <c r="C1802" s="1" t="n">
        <v>45337</v>
      </c>
      <c r="D1802" t="inlineStr">
        <is>
          <t>VÄSTERNORRLANDS LÄN</t>
        </is>
      </c>
      <c r="E1802" t="inlineStr">
        <is>
          <t>SOLLEFTEÅ</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9829-2023</t>
        </is>
      </c>
      <c r="B1803" s="1" t="n">
        <v>44984</v>
      </c>
      <c r="C1803" s="1" t="n">
        <v>45337</v>
      </c>
      <c r="D1803" t="inlineStr">
        <is>
          <t>VÄSTERNORRLANDS LÄN</t>
        </is>
      </c>
      <c r="E1803" t="inlineStr">
        <is>
          <t>SOLLEFTEÅ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9858-2023</t>
        </is>
      </c>
      <c r="B1804" s="1" t="n">
        <v>44984</v>
      </c>
      <c r="C1804" s="1" t="n">
        <v>45337</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9879-2023</t>
        </is>
      </c>
      <c r="B1805" s="1" t="n">
        <v>44984</v>
      </c>
      <c r="C1805" s="1" t="n">
        <v>45337</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9871-2023</t>
        </is>
      </c>
      <c r="B1806" s="1" t="n">
        <v>44984</v>
      </c>
      <c r="C1806" s="1" t="n">
        <v>45337</v>
      </c>
      <c r="D1806" t="inlineStr">
        <is>
          <t>VÄSTERNORRLANDS LÄN</t>
        </is>
      </c>
      <c r="E1806" t="inlineStr">
        <is>
          <t>SOLLEFTEÅ</t>
        </is>
      </c>
      <c r="F1806" t="inlineStr">
        <is>
          <t>SCA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10079-2023</t>
        </is>
      </c>
      <c r="B1807" s="1" t="n">
        <v>44985</v>
      </c>
      <c r="C1807" s="1" t="n">
        <v>45337</v>
      </c>
      <c r="D1807" t="inlineStr">
        <is>
          <t>VÄSTERNORRLANDS LÄN</t>
        </is>
      </c>
      <c r="E1807" t="inlineStr">
        <is>
          <t>SOLLEFTEÅ</t>
        </is>
      </c>
      <c r="F1807" t="inlineStr">
        <is>
          <t>SCA</t>
        </is>
      </c>
      <c r="G1807" t="n">
        <v>32.7</v>
      </c>
      <c r="H1807" t="n">
        <v>0</v>
      </c>
      <c r="I1807" t="n">
        <v>0</v>
      </c>
      <c r="J1807" t="n">
        <v>0</v>
      </c>
      <c r="K1807" t="n">
        <v>0</v>
      </c>
      <c r="L1807" t="n">
        <v>0</v>
      </c>
      <c r="M1807" t="n">
        <v>0</v>
      </c>
      <c r="N1807" t="n">
        <v>0</v>
      </c>
      <c r="O1807" t="n">
        <v>0</v>
      </c>
      <c r="P1807" t="n">
        <v>0</v>
      </c>
      <c r="Q1807" t="n">
        <v>0</v>
      </c>
      <c r="R1807" s="2" t="inlineStr"/>
    </row>
    <row r="1808" ht="15" customHeight="1">
      <c r="A1808" t="inlineStr">
        <is>
          <t>A 10094-2023</t>
        </is>
      </c>
      <c r="B1808" s="1" t="n">
        <v>44985</v>
      </c>
      <c r="C1808" s="1" t="n">
        <v>45337</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10095-2023</t>
        </is>
      </c>
      <c r="B1809" s="1" t="n">
        <v>44985</v>
      </c>
      <c r="C1809" s="1" t="n">
        <v>45337</v>
      </c>
      <c r="D1809" t="inlineStr">
        <is>
          <t>VÄSTERNORRLANDS LÄN</t>
        </is>
      </c>
      <c r="E1809" t="inlineStr">
        <is>
          <t>SOLLEFTEÅ</t>
        </is>
      </c>
      <c r="F1809" t="inlineStr">
        <is>
          <t>SCA</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10077-2023</t>
        </is>
      </c>
      <c r="B1810" s="1" t="n">
        <v>44985</v>
      </c>
      <c r="C1810" s="1" t="n">
        <v>45337</v>
      </c>
      <c r="D1810" t="inlineStr">
        <is>
          <t>VÄSTERNORRLANDS LÄN</t>
        </is>
      </c>
      <c r="E1810" t="inlineStr">
        <is>
          <t>SOLLEFTEÅ</t>
        </is>
      </c>
      <c r="F1810" t="inlineStr">
        <is>
          <t>SCA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10099-2023</t>
        </is>
      </c>
      <c r="B1811" s="1" t="n">
        <v>44985</v>
      </c>
      <c r="C1811" s="1" t="n">
        <v>45337</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10078-2023</t>
        </is>
      </c>
      <c r="B1812" s="1" t="n">
        <v>44985</v>
      </c>
      <c r="C1812" s="1" t="n">
        <v>45337</v>
      </c>
      <c r="D1812" t="inlineStr">
        <is>
          <t>VÄSTERNORRLANDS LÄN</t>
        </is>
      </c>
      <c r="E1812" t="inlineStr">
        <is>
          <t>SOLLEFTEÅ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10093-2023</t>
        </is>
      </c>
      <c r="B1813" s="1" t="n">
        <v>44985</v>
      </c>
      <c r="C1813" s="1" t="n">
        <v>45337</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10294-2023</t>
        </is>
      </c>
      <c r="B1814" s="1" t="n">
        <v>44986</v>
      </c>
      <c r="C1814" s="1" t="n">
        <v>45337</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10311-2023</t>
        </is>
      </c>
      <c r="B1815" s="1" t="n">
        <v>44986</v>
      </c>
      <c r="C1815" s="1" t="n">
        <v>45337</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11094-2023</t>
        </is>
      </c>
      <c r="B1816" s="1" t="n">
        <v>44986</v>
      </c>
      <c r="C1816" s="1" t="n">
        <v>45337</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10526-2023</t>
        </is>
      </c>
      <c r="B1817" s="1" t="n">
        <v>44987</v>
      </c>
      <c r="C1817" s="1" t="n">
        <v>45337</v>
      </c>
      <c r="D1817" t="inlineStr">
        <is>
          <t>VÄSTERNORRLANDS LÄN</t>
        </is>
      </c>
      <c r="E1817" t="inlineStr">
        <is>
          <t>SOLLEFTEÅ</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10541-2023</t>
        </is>
      </c>
      <c r="B1818" s="1" t="n">
        <v>44987</v>
      </c>
      <c r="C1818" s="1" t="n">
        <v>45337</v>
      </c>
      <c r="D1818" t="inlineStr">
        <is>
          <t>VÄSTERNORRLANDS LÄN</t>
        </is>
      </c>
      <c r="E1818" t="inlineStr">
        <is>
          <t>SOLLEFTEÅ</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10549-2023</t>
        </is>
      </c>
      <c r="B1819" s="1" t="n">
        <v>44987</v>
      </c>
      <c r="C1819" s="1" t="n">
        <v>45337</v>
      </c>
      <c r="D1819" t="inlineStr">
        <is>
          <t>VÄSTERNORRLANDS LÄN</t>
        </is>
      </c>
      <c r="E1819" t="inlineStr">
        <is>
          <t>SOLLEFTEÅ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10777-2023</t>
        </is>
      </c>
      <c r="B1820" s="1" t="n">
        <v>44988</v>
      </c>
      <c r="C1820" s="1" t="n">
        <v>45337</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10771-2023</t>
        </is>
      </c>
      <c r="B1821" s="1" t="n">
        <v>44988</v>
      </c>
      <c r="C1821" s="1" t="n">
        <v>45337</v>
      </c>
      <c r="D1821" t="inlineStr">
        <is>
          <t>VÄSTERNORRLANDS LÄN</t>
        </is>
      </c>
      <c r="E1821" t="inlineStr">
        <is>
          <t>SOLLEFTEÅ</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10783-2023</t>
        </is>
      </c>
      <c r="B1822" s="1" t="n">
        <v>44988</v>
      </c>
      <c r="C1822" s="1" t="n">
        <v>45337</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10768-2023</t>
        </is>
      </c>
      <c r="B1823" s="1" t="n">
        <v>44988</v>
      </c>
      <c r="C1823" s="1" t="n">
        <v>45337</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10785-2023</t>
        </is>
      </c>
      <c r="B1824" s="1" t="n">
        <v>44988</v>
      </c>
      <c r="C1824" s="1" t="n">
        <v>45337</v>
      </c>
      <c r="D1824" t="inlineStr">
        <is>
          <t>VÄSTERNORRLANDS LÄN</t>
        </is>
      </c>
      <c r="E1824" t="inlineStr">
        <is>
          <t>SOLLEFTEÅ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11038-2023</t>
        </is>
      </c>
      <c r="B1825" s="1" t="n">
        <v>44991</v>
      </c>
      <c r="C1825" s="1" t="n">
        <v>45337</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11052-2023</t>
        </is>
      </c>
      <c r="B1826" s="1" t="n">
        <v>44991</v>
      </c>
      <c r="C1826" s="1" t="n">
        <v>45337</v>
      </c>
      <c r="D1826" t="inlineStr">
        <is>
          <t>VÄSTERNORRLANDS LÄN</t>
        </is>
      </c>
      <c r="E1826" t="inlineStr">
        <is>
          <t>SOLLEFTEÅ</t>
        </is>
      </c>
      <c r="F1826" t="inlineStr">
        <is>
          <t>SCA</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11039-2023</t>
        </is>
      </c>
      <c r="B1827" s="1" t="n">
        <v>44991</v>
      </c>
      <c r="C1827" s="1" t="n">
        <v>45337</v>
      </c>
      <c r="D1827" t="inlineStr">
        <is>
          <t>VÄSTERNORRLANDS LÄN</t>
        </is>
      </c>
      <c r="E1827" t="inlineStr">
        <is>
          <t>SOLLEFTEÅ</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11301-2023</t>
        </is>
      </c>
      <c r="B1828" s="1" t="n">
        <v>44993</v>
      </c>
      <c r="C1828" s="1" t="n">
        <v>45337</v>
      </c>
      <c r="D1828" t="inlineStr">
        <is>
          <t>VÄSTERNORRLANDS LÄN</t>
        </is>
      </c>
      <c r="E1828" t="inlineStr">
        <is>
          <t>SOLLEFTEÅ</t>
        </is>
      </c>
      <c r="F1828" t="inlineStr">
        <is>
          <t>SCA</t>
        </is>
      </c>
      <c r="G1828" t="n">
        <v>19.9</v>
      </c>
      <c r="H1828" t="n">
        <v>0</v>
      </c>
      <c r="I1828" t="n">
        <v>0</v>
      </c>
      <c r="J1828" t="n">
        <v>0</v>
      </c>
      <c r="K1828" t="n">
        <v>0</v>
      </c>
      <c r="L1828" t="n">
        <v>0</v>
      </c>
      <c r="M1828" t="n">
        <v>0</v>
      </c>
      <c r="N1828" t="n">
        <v>0</v>
      </c>
      <c r="O1828" t="n">
        <v>0</v>
      </c>
      <c r="P1828" t="n">
        <v>0</v>
      </c>
      <c r="Q1828" t="n">
        <v>0</v>
      </c>
      <c r="R1828" s="2" t="inlineStr"/>
    </row>
    <row r="1829" ht="15" customHeight="1">
      <c r="A1829" t="inlineStr">
        <is>
          <t>A 11306-2023</t>
        </is>
      </c>
      <c r="B1829" s="1" t="n">
        <v>44993</v>
      </c>
      <c r="C1829" s="1" t="n">
        <v>45337</v>
      </c>
      <c r="D1829" t="inlineStr">
        <is>
          <t>VÄSTERNORRLANDS LÄN</t>
        </is>
      </c>
      <c r="E1829" t="inlineStr">
        <is>
          <t>SOLLEFTEÅ</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11551-2023</t>
        </is>
      </c>
      <c r="B1830" s="1" t="n">
        <v>44993</v>
      </c>
      <c r="C1830" s="1" t="n">
        <v>45337</v>
      </c>
      <c r="D1830" t="inlineStr">
        <is>
          <t>VÄSTERNORRLANDS LÄN</t>
        </is>
      </c>
      <c r="E1830" t="inlineStr">
        <is>
          <t>SOLLEFTEÅ</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11555-2023</t>
        </is>
      </c>
      <c r="B1831" s="1" t="n">
        <v>44993</v>
      </c>
      <c r="C1831" s="1" t="n">
        <v>45337</v>
      </c>
      <c r="D1831" t="inlineStr">
        <is>
          <t>VÄSTERNORRLANDS LÄN</t>
        </is>
      </c>
      <c r="E1831" t="inlineStr">
        <is>
          <t>SOLLEFTEÅ</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11554-2023</t>
        </is>
      </c>
      <c r="B1832" s="1" t="n">
        <v>44993</v>
      </c>
      <c r="C1832" s="1" t="n">
        <v>45337</v>
      </c>
      <c r="D1832" t="inlineStr">
        <is>
          <t>VÄSTERNORRLANDS LÄN</t>
        </is>
      </c>
      <c r="E1832" t="inlineStr">
        <is>
          <t>SOLLEFTEÅ</t>
        </is>
      </c>
      <c r="F1832" t="inlineStr">
        <is>
          <t>SCA</t>
        </is>
      </c>
      <c r="G1832" t="n">
        <v>23.1</v>
      </c>
      <c r="H1832" t="n">
        <v>0</v>
      </c>
      <c r="I1832" t="n">
        <v>0</v>
      </c>
      <c r="J1832" t="n">
        <v>0</v>
      </c>
      <c r="K1832" t="n">
        <v>0</v>
      </c>
      <c r="L1832" t="n">
        <v>0</v>
      </c>
      <c r="M1832" t="n">
        <v>0</v>
      </c>
      <c r="N1832" t="n">
        <v>0</v>
      </c>
      <c r="O1832" t="n">
        <v>0</v>
      </c>
      <c r="P1832" t="n">
        <v>0</v>
      </c>
      <c r="Q1832" t="n">
        <v>0</v>
      </c>
      <c r="R1832" s="2" t="inlineStr"/>
    </row>
    <row r="1833" ht="15" customHeight="1">
      <c r="A1833" t="inlineStr">
        <is>
          <t>A 11831-2023</t>
        </is>
      </c>
      <c r="B1833" s="1" t="n">
        <v>44994</v>
      </c>
      <c r="C1833" s="1" t="n">
        <v>45337</v>
      </c>
      <c r="D1833" t="inlineStr">
        <is>
          <t>VÄSTERNORRLANDS LÄN</t>
        </is>
      </c>
      <c r="E1833" t="inlineStr">
        <is>
          <t>SOLLEFTEÅ</t>
        </is>
      </c>
      <c r="F1833" t="inlineStr">
        <is>
          <t>SCA</t>
        </is>
      </c>
      <c r="G1833" t="n">
        <v>14.8</v>
      </c>
      <c r="H1833" t="n">
        <v>0</v>
      </c>
      <c r="I1833" t="n">
        <v>0</v>
      </c>
      <c r="J1833" t="n">
        <v>0</v>
      </c>
      <c r="K1833" t="n">
        <v>0</v>
      </c>
      <c r="L1833" t="n">
        <v>0</v>
      </c>
      <c r="M1833" t="n">
        <v>0</v>
      </c>
      <c r="N1833" t="n">
        <v>0</v>
      </c>
      <c r="O1833" t="n">
        <v>0</v>
      </c>
      <c r="P1833" t="n">
        <v>0</v>
      </c>
      <c r="Q1833" t="n">
        <v>0</v>
      </c>
      <c r="R1833" s="2" t="inlineStr"/>
    </row>
    <row r="1834" ht="15" customHeight="1">
      <c r="A1834" t="inlineStr">
        <is>
          <t>A 12107-2023</t>
        </is>
      </c>
      <c r="B1834" s="1" t="n">
        <v>44995</v>
      </c>
      <c r="C1834" s="1" t="n">
        <v>45337</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12135-2023</t>
        </is>
      </c>
      <c r="B1835" s="1" t="n">
        <v>44995</v>
      </c>
      <c r="C1835" s="1" t="n">
        <v>45337</v>
      </c>
      <c r="D1835" t="inlineStr">
        <is>
          <t>VÄSTERNORRLANDS LÄN</t>
        </is>
      </c>
      <c r="E1835" t="inlineStr">
        <is>
          <t>SOLLEFTEÅ</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12038-2023</t>
        </is>
      </c>
      <c r="B1836" s="1" t="n">
        <v>44996</v>
      </c>
      <c r="C1836" s="1" t="n">
        <v>45337</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12053-2023</t>
        </is>
      </c>
      <c r="B1837" s="1" t="n">
        <v>44996</v>
      </c>
      <c r="C1837" s="1" t="n">
        <v>45337</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12129-2023</t>
        </is>
      </c>
      <c r="B1838" s="1" t="n">
        <v>44995</v>
      </c>
      <c r="C1838" s="1" t="n">
        <v>45337</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12164-2023</t>
        </is>
      </c>
      <c r="B1839" s="1" t="n">
        <v>44995</v>
      </c>
      <c r="C1839" s="1" t="n">
        <v>45337</v>
      </c>
      <c r="D1839" t="inlineStr">
        <is>
          <t>VÄSTERNORRLANDS LÄN</t>
        </is>
      </c>
      <c r="E1839" t="inlineStr">
        <is>
          <t>SOLLEFTEÅ</t>
        </is>
      </c>
      <c r="G1839" t="n">
        <v>18.3</v>
      </c>
      <c r="H1839" t="n">
        <v>0</v>
      </c>
      <c r="I1839" t="n">
        <v>0</v>
      </c>
      <c r="J1839" t="n">
        <v>0</v>
      </c>
      <c r="K1839" t="n">
        <v>0</v>
      </c>
      <c r="L1839" t="n">
        <v>0</v>
      </c>
      <c r="M1839" t="n">
        <v>0</v>
      </c>
      <c r="N1839" t="n">
        <v>0</v>
      </c>
      <c r="O1839" t="n">
        <v>0</v>
      </c>
      <c r="P1839" t="n">
        <v>0</v>
      </c>
      <c r="Q1839" t="n">
        <v>0</v>
      </c>
      <c r="R1839" s="2" t="inlineStr"/>
    </row>
    <row r="1840" ht="15" customHeight="1">
      <c r="A1840" t="inlineStr">
        <is>
          <t>A 12311-2023</t>
        </is>
      </c>
      <c r="B1840" s="1" t="n">
        <v>44995</v>
      </c>
      <c r="C1840" s="1" t="n">
        <v>45337</v>
      </c>
      <c r="D1840" t="inlineStr">
        <is>
          <t>VÄSTERNORRLANDS LÄN</t>
        </is>
      </c>
      <c r="E1840" t="inlineStr">
        <is>
          <t>SOLLEFTEÅ</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12054-2023</t>
        </is>
      </c>
      <c r="B1841" s="1" t="n">
        <v>44996</v>
      </c>
      <c r="C1841" s="1" t="n">
        <v>45337</v>
      </c>
      <c r="D1841" t="inlineStr">
        <is>
          <t>VÄSTERNORRLANDS LÄN</t>
        </is>
      </c>
      <c r="E1841" t="inlineStr">
        <is>
          <t>SOLLEFTEÅ</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12045-2023</t>
        </is>
      </c>
      <c r="B1842" s="1" t="n">
        <v>44996</v>
      </c>
      <c r="C1842" s="1" t="n">
        <v>45337</v>
      </c>
      <c r="D1842" t="inlineStr">
        <is>
          <t>VÄSTERNORRLANDS LÄN</t>
        </is>
      </c>
      <c r="E1842" t="inlineStr">
        <is>
          <t>SOLLEFTEÅ</t>
        </is>
      </c>
      <c r="F1842" t="inlineStr">
        <is>
          <t>SCA</t>
        </is>
      </c>
      <c r="G1842" t="n">
        <v>16.4</v>
      </c>
      <c r="H1842" t="n">
        <v>0</v>
      </c>
      <c r="I1842" t="n">
        <v>0</v>
      </c>
      <c r="J1842" t="n">
        <v>0</v>
      </c>
      <c r="K1842" t="n">
        <v>0</v>
      </c>
      <c r="L1842" t="n">
        <v>0</v>
      </c>
      <c r="M1842" t="n">
        <v>0</v>
      </c>
      <c r="N1842" t="n">
        <v>0</v>
      </c>
      <c r="O1842" t="n">
        <v>0</v>
      </c>
      <c r="P1842" t="n">
        <v>0</v>
      </c>
      <c r="Q1842" t="n">
        <v>0</v>
      </c>
      <c r="R1842" s="2" t="inlineStr"/>
    </row>
    <row r="1843" ht="15" customHeight="1">
      <c r="A1843" t="inlineStr">
        <is>
          <t>A 12429-2023</t>
        </is>
      </c>
      <c r="B1843" s="1" t="n">
        <v>44998</v>
      </c>
      <c r="C1843" s="1" t="n">
        <v>45337</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12515-2023</t>
        </is>
      </c>
      <c r="B1844" s="1" t="n">
        <v>45000</v>
      </c>
      <c r="C1844" s="1" t="n">
        <v>45337</v>
      </c>
      <c r="D1844" t="inlineStr">
        <is>
          <t>VÄSTERNORRLANDS LÄN</t>
        </is>
      </c>
      <c r="E1844" t="inlineStr">
        <is>
          <t>SOLLEFTEÅ</t>
        </is>
      </c>
      <c r="F1844" t="inlineStr">
        <is>
          <t>SCA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12726-2023</t>
        </is>
      </c>
      <c r="B1845" s="1" t="n">
        <v>45000</v>
      </c>
      <c r="C1845" s="1" t="n">
        <v>45337</v>
      </c>
      <c r="D1845" t="inlineStr">
        <is>
          <t>VÄSTERNORRLANDS LÄN</t>
        </is>
      </c>
      <c r="E1845" t="inlineStr">
        <is>
          <t>SOLLEFTEÅ</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12512-2023</t>
        </is>
      </c>
      <c r="B1846" s="1" t="n">
        <v>45000</v>
      </c>
      <c r="C1846" s="1" t="n">
        <v>45337</v>
      </c>
      <c r="D1846" t="inlineStr">
        <is>
          <t>VÄSTERNORRLANDS LÄN</t>
        </is>
      </c>
      <c r="E1846" t="inlineStr">
        <is>
          <t>SOLLEFTEÅ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12536-2023</t>
        </is>
      </c>
      <c r="B1847" s="1" t="n">
        <v>45000</v>
      </c>
      <c r="C1847" s="1" t="n">
        <v>45337</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12540-2023</t>
        </is>
      </c>
      <c r="B1848" s="1" t="n">
        <v>45000</v>
      </c>
      <c r="C1848" s="1" t="n">
        <v>45337</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12730-2023</t>
        </is>
      </c>
      <c r="B1849" s="1" t="n">
        <v>45000</v>
      </c>
      <c r="C1849" s="1" t="n">
        <v>45337</v>
      </c>
      <c r="D1849" t="inlineStr">
        <is>
          <t>VÄSTERNORRLANDS LÄN</t>
        </is>
      </c>
      <c r="E1849" t="inlineStr">
        <is>
          <t>SOLLEFTEÅ</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12735-2023</t>
        </is>
      </c>
      <c r="B1850" s="1" t="n">
        <v>45000</v>
      </c>
      <c r="C1850" s="1" t="n">
        <v>45337</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12539-2023</t>
        </is>
      </c>
      <c r="B1851" s="1" t="n">
        <v>45000</v>
      </c>
      <c r="C1851" s="1" t="n">
        <v>45337</v>
      </c>
      <c r="D1851" t="inlineStr">
        <is>
          <t>VÄSTERNORRLANDS LÄN</t>
        </is>
      </c>
      <c r="E1851" t="inlineStr">
        <is>
          <t>SOLLEFTEÅ</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12727-2023</t>
        </is>
      </c>
      <c r="B1852" s="1" t="n">
        <v>45000</v>
      </c>
      <c r="C1852" s="1" t="n">
        <v>45337</v>
      </c>
      <c r="D1852" t="inlineStr">
        <is>
          <t>VÄSTERNORRLANDS LÄN</t>
        </is>
      </c>
      <c r="E1852" t="inlineStr">
        <is>
          <t>SOLLEFTEÅ</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12733-2023</t>
        </is>
      </c>
      <c r="B1853" s="1" t="n">
        <v>45000</v>
      </c>
      <c r="C1853" s="1" t="n">
        <v>45337</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12747-2023</t>
        </is>
      </c>
      <c r="B1854" s="1" t="n">
        <v>45000</v>
      </c>
      <c r="C1854" s="1" t="n">
        <v>45337</v>
      </c>
      <c r="D1854" t="inlineStr">
        <is>
          <t>VÄSTERNORRLANDS LÄN</t>
        </is>
      </c>
      <c r="E1854" t="inlineStr">
        <is>
          <t>SOLLEFTEÅ</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12734-2023</t>
        </is>
      </c>
      <c r="B1855" s="1" t="n">
        <v>45000</v>
      </c>
      <c r="C1855" s="1" t="n">
        <v>45337</v>
      </c>
      <c r="D1855" t="inlineStr">
        <is>
          <t>VÄSTERNORRLANDS LÄN</t>
        </is>
      </c>
      <c r="E1855" t="inlineStr">
        <is>
          <t>SOLLEFTEÅ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12752-2023</t>
        </is>
      </c>
      <c r="B1856" s="1" t="n">
        <v>45000</v>
      </c>
      <c r="C1856" s="1" t="n">
        <v>45337</v>
      </c>
      <c r="D1856" t="inlineStr">
        <is>
          <t>VÄSTERNORRLANDS LÄN</t>
        </is>
      </c>
      <c r="E1856" t="inlineStr">
        <is>
          <t>SOLLEFTEÅ</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12746-2023</t>
        </is>
      </c>
      <c r="B1857" s="1" t="n">
        <v>45000</v>
      </c>
      <c r="C1857" s="1" t="n">
        <v>45337</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12755-2023</t>
        </is>
      </c>
      <c r="B1858" s="1" t="n">
        <v>45000</v>
      </c>
      <c r="C1858" s="1" t="n">
        <v>45337</v>
      </c>
      <c r="D1858" t="inlineStr">
        <is>
          <t>VÄSTERNORRLANDS LÄN</t>
        </is>
      </c>
      <c r="E1858" t="inlineStr">
        <is>
          <t>SOLLEFTEÅ</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12820-2023</t>
        </is>
      </c>
      <c r="B1859" s="1" t="n">
        <v>45000</v>
      </c>
      <c r="C1859" s="1" t="n">
        <v>45337</v>
      </c>
      <c r="D1859" t="inlineStr">
        <is>
          <t>VÄSTERNORRLANDS LÄN</t>
        </is>
      </c>
      <c r="E1859" t="inlineStr">
        <is>
          <t>SOLLEFTEÅ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12972-2023</t>
        </is>
      </c>
      <c r="B1860" s="1" t="n">
        <v>45001</v>
      </c>
      <c r="C1860" s="1" t="n">
        <v>45337</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13066-2023</t>
        </is>
      </c>
      <c r="B1861" s="1" t="n">
        <v>45001</v>
      </c>
      <c r="C1861" s="1" t="n">
        <v>45337</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13050-2023</t>
        </is>
      </c>
      <c r="B1862" s="1" t="n">
        <v>45001</v>
      </c>
      <c r="C1862" s="1" t="n">
        <v>45337</v>
      </c>
      <c r="D1862" t="inlineStr">
        <is>
          <t>VÄSTERNORRLANDS LÄN</t>
        </is>
      </c>
      <c r="E1862" t="inlineStr">
        <is>
          <t>SOLLEFTEÅ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12996-2023</t>
        </is>
      </c>
      <c r="B1863" s="1" t="n">
        <v>45002</v>
      </c>
      <c r="C1863" s="1" t="n">
        <v>45337</v>
      </c>
      <c r="D1863" t="inlineStr">
        <is>
          <t>VÄSTERNORRLANDS LÄN</t>
        </is>
      </c>
      <c r="E1863" t="inlineStr">
        <is>
          <t>SOLLEFTEÅ</t>
        </is>
      </c>
      <c r="F1863" t="inlineStr">
        <is>
          <t>SCA</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13009-2023</t>
        </is>
      </c>
      <c r="B1864" s="1" t="n">
        <v>45002</v>
      </c>
      <c r="C1864" s="1" t="n">
        <v>45337</v>
      </c>
      <c r="D1864" t="inlineStr">
        <is>
          <t>VÄSTERNORRLANDS LÄN</t>
        </is>
      </c>
      <c r="E1864" t="inlineStr">
        <is>
          <t>SOLLEFTEÅ</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13006-2023</t>
        </is>
      </c>
      <c r="B1865" s="1" t="n">
        <v>45002</v>
      </c>
      <c r="C1865" s="1" t="n">
        <v>45337</v>
      </c>
      <c r="D1865" t="inlineStr">
        <is>
          <t>VÄSTERNORRLANDS LÄN</t>
        </is>
      </c>
      <c r="E1865" t="inlineStr">
        <is>
          <t>SOLLEFTEÅ</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12983-2023</t>
        </is>
      </c>
      <c r="B1866" s="1" t="n">
        <v>45002</v>
      </c>
      <c r="C1866" s="1" t="n">
        <v>45337</v>
      </c>
      <c r="D1866" t="inlineStr">
        <is>
          <t>VÄSTERNORRLANDS LÄN</t>
        </is>
      </c>
      <c r="E1866" t="inlineStr">
        <is>
          <t>SOLLEFTEÅ</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13008-2023</t>
        </is>
      </c>
      <c r="B1867" s="1" t="n">
        <v>45002</v>
      </c>
      <c r="C1867" s="1" t="n">
        <v>45337</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13007-2023</t>
        </is>
      </c>
      <c r="B1868" s="1" t="n">
        <v>45002</v>
      </c>
      <c r="C1868" s="1" t="n">
        <v>45337</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13252-2023</t>
        </is>
      </c>
      <c r="B1869" s="1" t="n">
        <v>45002</v>
      </c>
      <c r="C1869" s="1" t="n">
        <v>45337</v>
      </c>
      <c r="D1869" t="inlineStr">
        <is>
          <t>VÄSTERNORRLANDS LÄN</t>
        </is>
      </c>
      <c r="E1869" t="inlineStr">
        <is>
          <t>SOLLEFTEÅ</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13264-2023</t>
        </is>
      </c>
      <c r="B1870" s="1" t="n">
        <v>45002</v>
      </c>
      <c r="C1870" s="1" t="n">
        <v>45337</v>
      </c>
      <c r="D1870" t="inlineStr">
        <is>
          <t>VÄSTERNORRLANDS LÄN</t>
        </is>
      </c>
      <c r="E1870" t="inlineStr">
        <is>
          <t>SOLLEFTEÅ</t>
        </is>
      </c>
      <c r="F1870" t="inlineStr">
        <is>
          <t>SCA</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13292-2023</t>
        </is>
      </c>
      <c r="B1871" s="1" t="n">
        <v>45004</v>
      </c>
      <c r="C1871" s="1" t="n">
        <v>45337</v>
      </c>
      <c r="D1871" t="inlineStr">
        <is>
          <t>VÄSTERNORRLANDS LÄN</t>
        </is>
      </c>
      <c r="E1871" t="inlineStr">
        <is>
          <t>SOLLEFTEÅ</t>
        </is>
      </c>
      <c r="F1871" t="inlineStr">
        <is>
          <t>SCA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13489-2023</t>
        </is>
      </c>
      <c r="B1872" s="1" t="n">
        <v>45005</v>
      </c>
      <c r="C1872" s="1" t="n">
        <v>45337</v>
      </c>
      <c r="D1872" t="inlineStr">
        <is>
          <t>VÄSTERNORRLANDS LÄN</t>
        </is>
      </c>
      <c r="E1872" t="inlineStr">
        <is>
          <t>SOLLEFTEÅ</t>
        </is>
      </c>
      <c r="F1872" t="inlineStr">
        <is>
          <t>SCA</t>
        </is>
      </c>
      <c r="G1872" t="n">
        <v>26.3</v>
      </c>
      <c r="H1872" t="n">
        <v>0</v>
      </c>
      <c r="I1872" t="n">
        <v>0</v>
      </c>
      <c r="J1872" t="n">
        <v>0</v>
      </c>
      <c r="K1872" t="n">
        <v>0</v>
      </c>
      <c r="L1872" t="n">
        <v>0</v>
      </c>
      <c r="M1872" t="n">
        <v>0</v>
      </c>
      <c r="N1872" t="n">
        <v>0</v>
      </c>
      <c r="O1872" t="n">
        <v>0</v>
      </c>
      <c r="P1872" t="n">
        <v>0</v>
      </c>
      <c r="Q1872" t="n">
        <v>0</v>
      </c>
      <c r="R1872" s="2" t="inlineStr"/>
    </row>
    <row r="1873" ht="15" customHeight="1">
      <c r="A1873" t="inlineStr">
        <is>
          <t>A 13487-2023</t>
        </is>
      </c>
      <c r="B1873" s="1" t="n">
        <v>45005</v>
      </c>
      <c r="C1873" s="1" t="n">
        <v>45337</v>
      </c>
      <c r="D1873" t="inlineStr">
        <is>
          <t>VÄSTERNORRLANDS LÄN</t>
        </is>
      </c>
      <c r="E1873" t="inlineStr">
        <is>
          <t>SOLLEFTEÅ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13521-2023</t>
        </is>
      </c>
      <c r="B1874" s="1" t="n">
        <v>45005</v>
      </c>
      <c r="C1874" s="1" t="n">
        <v>45337</v>
      </c>
      <c r="D1874" t="inlineStr">
        <is>
          <t>VÄSTERNORRLANDS LÄN</t>
        </is>
      </c>
      <c r="E1874" t="inlineStr">
        <is>
          <t>SOLLEFTEÅ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13567-2023</t>
        </is>
      </c>
      <c r="B1875" s="1" t="n">
        <v>45005</v>
      </c>
      <c r="C1875" s="1" t="n">
        <v>45337</v>
      </c>
      <c r="D1875" t="inlineStr">
        <is>
          <t>VÄSTERNORRLANDS LÄN</t>
        </is>
      </c>
      <c r="E1875" t="inlineStr">
        <is>
          <t>SOLLEFTEÅ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13570-2023</t>
        </is>
      </c>
      <c r="B1876" s="1" t="n">
        <v>45005</v>
      </c>
      <c r="C1876" s="1" t="n">
        <v>45337</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13499-2023</t>
        </is>
      </c>
      <c r="B1877" s="1" t="n">
        <v>45005</v>
      </c>
      <c r="C1877" s="1" t="n">
        <v>45337</v>
      </c>
      <c r="D1877" t="inlineStr">
        <is>
          <t>VÄSTERNORRLANDS LÄN</t>
        </is>
      </c>
      <c r="E1877" t="inlineStr">
        <is>
          <t>SOLLEFTEÅ</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13565-2023</t>
        </is>
      </c>
      <c r="B1878" s="1" t="n">
        <v>45005</v>
      </c>
      <c r="C1878" s="1" t="n">
        <v>45337</v>
      </c>
      <c r="D1878" t="inlineStr">
        <is>
          <t>VÄSTERNORRLANDS LÄN</t>
        </is>
      </c>
      <c r="E1878" t="inlineStr">
        <is>
          <t>SOLLEFTEÅ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13689-2023</t>
        </is>
      </c>
      <c r="B1879" s="1" t="n">
        <v>45006</v>
      </c>
      <c r="C1879" s="1" t="n">
        <v>45337</v>
      </c>
      <c r="D1879" t="inlineStr">
        <is>
          <t>VÄSTERNORRLANDS LÄN</t>
        </is>
      </c>
      <c r="E1879" t="inlineStr">
        <is>
          <t>SOLLEFTEÅ</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13695-2023</t>
        </is>
      </c>
      <c r="B1880" s="1" t="n">
        <v>45006</v>
      </c>
      <c r="C1880" s="1" t="n">
        <v>45337</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13697-2023</t>
        </is>
      </c>
      <c r="B1881" s="1" t="n">
        <v>45006</v>
      </c>
      <c r="C1881" s="1" t="n">
        <v>45337</v>
      </c>
      <c r="D1881" t="inlineStr">
        <is>
          <t>VÄSTERNORRLANDS LÄN</t>
        </is>
      </c>
      <c r="E1881" t="inlineStr">
        <is>
          <t>SOLLEFTEÅ</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14109-2023</t>
        </is>
      </c>
      <c r="B1882" s="1" t="n">
        <v>45008</v>
      </c>
      <c r="C1882" s="1" t="n">
        <v>45337</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14134-2023</t>
        </is>
      </c>
      <c r="B1883" s="1" t="n">
        <v>45008</v>
      </c>
      <c r="C1883" s="1" t="n">
        <v>45337</v>
      </c>
      <c r="D1883" t="inlineStr">
        <is>
          <t>VÄSTERNORRLANDS LÄN</t>
        </is>
      </c>
      <c r="E1883" t="inlineStr">
        <is>
          <t>SOLLEFTEÅ</t>
        </is>
      </c>
      <c r="F1883" t="inlineStr">
        <is>
          <t>Övriga Aktiebolag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14718-2023</t>
        </is>
      </c>
      <c r="B1884" s="1" t="n">
        <v>45012</v>
      </c>
      <c r="C1884" s="1" t="n">
        <v>45337</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14675-2023</t>
        </is>
      </c>
      <c r="B1885" s="1" t="n">
        <v>45014</v>
      </c>
      <c r="C1885" s="1" t="n">
        <v>45337</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14668-2023</t>
        </is>
      </c>
      <c r="B1886" s="1" t="n">
        <v>45014</v>
      </c>
      <c r="C1886" s="1" t="n">
        <v>45337</v>
      </c>
      <c r="D1886" t="inlineStr">
        <is>
          <t>VÄSTERNORRLANDS LÄN</t>
        </is>
      </c>
      <c r="E1886" t="inlineStr">
        <is>
          <t>SOLLEFTEÅ</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14674-2023</t>
        </is>
      </c>
      <c r="B1887" s="1" t="n">
        <v>45013</v>
      </c>
      <c r="C1887" s="1" t="n">
        <v>45337</v>
      </c>
      <c r="D1887" t="inlineStr">
        <is>
          <t>VÄSTERNORRLANDS LÄN</t>
        </is>
      </c>
      <c r="E1887" t="inlineStr">
        <is>
          <t>SOLLEFTEÅ</t>
        </is>
      </c>
      <c r="F1887" t="inlineStr">
        <is>
          <t>Övriga statliga verk och myndigheter</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14937-2023</t>
        </is>
      </c>
      <c r="B1888" s="1" t="n">
        <v>45014</v>
      </c>
      <c r="C1888" s="1" t="n">
        <v>45337</v>
      </c>
      <c r="D1888" t="inlineStr">
        <is>
          <t>VÄSTERNORRLANDS LÄN</t>
        </is>
      </c>
      <c r="E1888" t="inlineStr">
        <is>
          <t>SOLLEFTEÅ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14859-2023</t>
        </is>
      </c>
      <c r="B1889" s="1" t="n">
        <v>45015</v>
      </c>
      <c r="C1889" s="1" t="n">
        <v>45337</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14875-2023</t>
        </is>
      </c>
      <c r="B1890" s="1" t="n">
        <v>45015</v>
      </c>
      <c r="C1890" s="1" t="n">
        <v>45337</v>
      </c>
      <c r="D1890" t="inlineStr">
        <is>
          <t>VÄSTERNORRLANDS LÄN</t>
        </is>
      </c>
      <c r="E1890" t="inlineStr">
        <is>
          <t>SOLLEFTEÅ</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15080-2023</t>
        </is>
      </c>
      <c r="B1891" s="1" t="n">
        <v>45016</v>
      </c>
      <c r="C1891" s="1" t="n">
        <v>45337</v>
      </c>
      <c r="D1891" t="inlineStr">
        <is>
          <t>VÄSTERNORRLANDS LÄN</t>
        </is>
      </c>
      <c r="E1891" t="inlineStr">
        <is>
          <t>SOLLEFTEÅ</t>
        </is>
      </c>
      <c r="F1891" t="inlineStr">
        <is>
          <t>SCA</t>
        </is>
      </c>
      <c r="G1891" t="n">
        <v>33.6</v>
      </c>
      <c r="H1891" t="n">
        <v>0</v>
      </c>
      <c r="I1891" t="n">
        <v>0</v>
      </c>
      <c r="J1891" t="n">
        <v>0</v>
      </c>
      <c r="K1891" t="n">
        <v>0</v>
      </c>
      <c r="L1891" t="n">
        <v>0</v>
      </c>
      <c r="M1891" t="n">
        <v>0</v>
      </c>
      <c r="N1891" t="n">
        <v>0</v>
      </c>
      <c r="O1891" t="n">
        <v>0</v>
      </c>
      <c r="P1891" t="n">
        <v>0</v>
      </c>
      <c r="Q1891" t="n">
        <v>0</v>
      </c>
      <c r="R1891" s="2" t="inlineStr"/>
    </row>
    <row r="1892" ht="15" customHeight="1">
      <c r="A1892" t="inlineStr">
        <is>
          <t>A 15632-2023</t>
        </is>
      </c>
      <c r="B1892" s="1" t="n">
        <v>45019</v>
      </c>
      <c r="C1892" s="1" t="n">
        <v>45337</v>
      </c>
      <c r="D1892" t="inlineStr">
        <is>
          <t>VÄSTERNORRLANDS LÄN</t>
        </is>
      </c>
      <c r="E1892" t="inlineStr">
        <is>
          <t>SOLLEFTEÅ</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15723-2023</t>
        </is>
      </c>
      <c r="B1893" s="1" t="n">
        <v>45020</v>
      </c>
      <c r="C1893" s="1" t="n">
        <v>45337</v>
      </c>
      <c r="D1893" t="inlineStr">
        <is>
          <t>VÄSTERNORRLANDS LÄN</t>
        </is>
      </c>
      <c r="E1893" t="inlineStr">
        <is>
          <t>SOLLEFTEÅ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15978-2023</t>
        </is>
      </c>
      <c r="B1894" s="1" t="n">
        <v>45023</v>
      </c>
      <c r="C1894" s="1" t="n">
        <v>45337</v>
      </c>
      <c r="D1894" t="inlineStr">
        <is>
          <t>VÄSTERNORRLANDS LÄN</t>
        </is>
      </c>
      <c r="E1894" t="inlineStr">
        <is>
          <t>SOLLEFTEÅ</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15987-2023</t>
        </is>
      </c>
      <c r="B1895" s="1" t="n">
        <v>45023</v>
      </c>
      <c r="C1895" s="1" t="n">
        <v>45337</v>
      </c>
      <c r="D1895" t="inlineStr">
        <is>
          <t>VÄSTERNORRLANDS LÄN</t>
        </is>
      </c>
      <c r="E1895" t="inlineStr">
        <is>
          <t>SOLLEFTEÅ</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15998-2023</t>
        </is>
      </c>
      <c r="B1896" s="1" t="n">
        <v>45024</v>
      </c>
      <c r="C1896" s="1" t="n">
        <v>45337</v>
      </c>
      <c r="D1896" t="inlineStr">
        <is>
          <t>VÄSTERNORRLANDS LÄN</t>
        </is>
      </c>
      <c r="E1896" t="inlineStr">
        <is>
          <t>SOLLEFTEÅ</t>
        </is>
      </c>
      <c r="F1896" t="inlineStr">
        <is>
          <t>SCA</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16189-2023</t>
        </is>
      </c>
      <c r="B1897" s="1" t="n">
        <v>45028</v>
      </c>
      <c r="C1897" s="1" t="n">
        <v>45337</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16190-2023</t>
        </is>
      </c>
      <c r="B1898" s="1" t="n">
        <v>45028</v>
      </c>
      <c r="C1898" s="1" t="n">
        <v>45337</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16196-2023</t>
        </is>
      </c>
      <c r="B1899" s="1" t="n">
        <v>45028</v>
      </c>
      <c r="C1899" s="1" t="n">
        <v>45337</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16370-2023</t>
        </is>
      </c>
      <c r="B1900" s="1" t="n">
        <v>45029</v>
      </c>
      <c r="C1900" s="1" t="n">
        <v>45337</v>
      </c>
      <c r="D1900" t="inlineStr">
        <is>
          <t>VÄSTERNORRLANDS LÄN</t>
        </is>
      </c>
      <c r="E1900" t="inlineStr">
        <is>
          <t>SOLLEFTEÅ</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16376-2023</t>
        </is>
      </c>
      <c r="B1901" s="1" t="n">
        <v>45029</v>
      </c>
      <c r="C1901" s="1" t="n">
        <v>45337</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16562-2023</t>
        </is>
      </c>
      <c r="B1902" s="1" t="n">
        <v>45029</v>
      </c>
      <c r="C1902" s="1" t="n">
        <v>45337</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16760-2023</t>
        </is>
      </c>
      <c r="B1903" s="1" t="n">
        <v>45030</v>
      </c>
      <c r="C1903" s="1" t="n">
        <v>45337</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17007-2023</t>
        </is>
      </c>
      <c r="B1904" s="1" t="n">
        <v>45034</v>
      </c>
      <c r="C1904" s="1" t="n">
        <v>45337</v>
      </c>
      <c r="D1904" t="inlineStr">
        <is>
          <t>VÄSTERNORRLANDS LÄN</t>
        </is>
      </c>
      <c r="E1904" t="inlineStr">
        <is>
          <t>SOLLEFTEÅ</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17064-2023</t>
        </is>
      </c>
      <c r="B1905" s="1" t="n">
        <v>45034</v>
      </c>
      <c r="C1905" s="1" t="n">
        <v>45337</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17218-2023</t>
        </is>
      </c>
      <c r="B1906" s="1" t="n">
        <v>45035</v>
      </c>
      <c r="C1906" s="1" t="n">
        <v>45337</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17219-2023</t>
        </is>
      </c>
      <c r="B1907" s="1" t="n">
        <v>45034</v>
      </c>
      <c r="C1907" s="1" t="n">
        <v>45337</v>
      </c>
      <c r="D1907" t="inlineStr">
        <is>
          <t>VÄSTERNORRLANDS LÄN</t>
        </is>
      </c>
      <c r="E1907" t="inlineStr">
        <is>
          <t>SOLLEFTEÅ</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17416-2023</t>
        </is>
      </c>
      <c r="B1908" s="1" t="n">
        <v>45036</v>
      </c>
      <c r="C1908" s="1" t="n">
        <v>45337</v>
      </c>
      <c r="D1908" t="inlineStr">
        <is>
          <t>VÄSTERNORRLANDS LÄN</t>
        </is>
      </c>
      <c r="E1908" t="inlineStr">
        <is>
          <t>SOLLEFTEÅ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17683-2023</t>
        </is>
      </c>
      <c r="B1909" s="1" t="n">
        <v>45035</v>
      </c>
      <c r="C1909" s="1" t="n">
        <v>45337</v>
      </c>
      <c r="D1909" t="inlineStr">
        <is>
          <t>VÄSTERNORRLANDS LÄN</t>
        </is>
      </c>
      <c r="E1909" t="inlineStr">
        <is>
          <t>SOLLEFTEÅ</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17664-2023</t>
        </is>
      </c>
      <c r="B1910" s="1" t="n">
        <v>45037</v>
      </c>
      <c r="C1910" s="1" t="n">
        <v>45337</v>
      </c>
      <c r="D1910" t="inlineStr">
        <is>
          <t>VÄSTERNORRLANDS LÄN</t>
        </is>
      </c>
      <c r="E1910" t="inlineStr">
        <is>
          <t>SOLLEFTEÅ</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18149-2023</t>
        </is>
      </c>
      <c r="B1911" s="1" t="n">
        <v>45040</v>
      </c>
      <c r="C1911" s="1" t="n">
        <v>45337</v>
      </c>
      <c r="D1911" t="inlineStr">
        <is>
          <t>VÄSTERNORRLANDS LÄN</t>
        </is>
      </c>
      <c r="E1911" t="inlineStr">
        <is>
          <t>SOLLEFTEÅ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18160-2023</t>
        </is>
      </c>
      <c r="B1912" s="1" t="n">
        <v>45040</v>
      </c>
      <c r="C1912" s="1" t="n">
        <v>45337</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18167-2023</t>
        </is>
      </c>
      <c r="B1913" s="1" t="n">
        <v>45040</v>
      </c>
      <c r="C1913" s="1" t="n">
        <v>45337</v>
      </c>
      <c r="D1913" t="inlineStr">
        <is>
          <t>VÄSTERNORRLANDS LÄN</t>
        </is>
      </c>
      <c r="E1913" t="inlineStr">
        <is>
          <t>SOLLEFTEÅ</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18459-2023</t>
        </is>
      </c>
      <c r="B1914" s="1" t="n">
        <v>45041</v>
      </c>
      <c r="C1914" s="1" t="n">
        <v>45337</v>
      </c>
      <c r="D1914" t="inlineStr">
        <is>
          <t>VÄSTERNORRLANDS LÄN</t>
        </is>
      </c>
      <c r="E1914" t="inlineStr">
        <is>
          <t>SOLLEFTEÅ</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18378-2023</t>
        </is>
      </c>
      <c r="B1915" s="1" t="n">
        <v>45041</v>
      </c>
      <c r="C1915" s="1" t="n">
        <v>45337</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18456-2023</t>
        </is>
      </c>
      <c r="B1916" s="1" t="n">
        <v>45041</v>
      </c>
      <c r="C1916" s="1" t="n">
        <v>45337</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18861-2023</t>
        </is>
      </c>
      <c r="B1917" s="1" t="n">
        <v>45042</v>
      </c>
      <c r="C1917" s="1" t="n">
        <v>45337</v>
      </c>
      <c r="D1917" t="inlineStr">
        <is>
          <t>VÄSTERNORRLANDS LÄN</t>
        </is>
      </c>
      <c r="E1917" t="inlineStr">
        <is>
          <t>SOLLEFTEÅ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18762-2023</t>
        </is>
      </c>
      <c r="B1918" s="1" t="n">
        <v>45043</v>
      </c>
      <c r="C1918" s="1" t="n">
        <v>45337</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18781-2023</t>
        </is>
      </c>
      <c r="B1919" s="1" t="n">
        <v>45043</v>
      </c>
      <c r="C1919" s="1" t="n">
        <v>45337</v>
      </c>
      <c r="D1919" t="inlineStr">
        <is>
          <t>VÄSTERNORRLANDS LÄN</t>
        </is>
      </c>
      <c r="E1919" t="inlineStr">
        <is>
          <t>SOLLEFTEÅ</t>
        </is>
      </c>
      <c r="F1919" t="inlineStr">
        <is>
          <t>SCA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18785-2023</t>
        </is>
      </c>
      <c r="B1920" s="1" t="n">
        <v>45043</v>
      </c>
      <c r="C1920" s="1" t="n">
        <v>45337</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18753-2023</t>
        </is>
      </c>
      <c r="B1921" s="1" t="n">
        <v>45044</v>
      </c>
      <c r="C1921" s="1" t="n">
        <v>45337</v>
      </c>
      <c r="D1921" t="inlineStr">
        <is>
          <t>VÄSTERNORRLANDS LÄN</t>
        </is>
      </c>
      <c r="E1921" t="inlineStr">
        <is>
          <t>SOLLEFTEÅ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18761-2023</t>
        </is>
      </c>
      <c r="B1922" s="1" t="n">
        <v>45043</v>
      </c>
      <c r="C1922" s="1" t="n">
        <v>45337</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18782-2023</t>
        </is>
      </c>
      <c r="B1923" s="1" t="n">
        <v>45044</v>
      </c>
      <c r="C1923" s="1" t="n">
        <v>45337</v>
      </c>
      <c r="D1923" t="inlineStr">
        <is>
          <t>VÄSTERNORRLANDS LÄN</t>
        </is>
      </c>
      <c r="E1923" t="inlineStr">
        <is>
          <t>SOLLEFTEÅ</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18786-2023</t>
        </is>
      </c>
      <c r="B1924" s="1" t="n">
        <v>45043</v>
      </c>
      <c r="C1924" s="1" t="n">
        <v>45337</v>
      </c>
      <c r="D1924" t="inlineStr">
        <is>
          <t>VÄSTERNORRLANDS LÄN</t>
        </is>
      </c>
      <c r="E1924" t="inlineStr">
        <is>
          <t>SOLLEFTEÅ</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18755-2023</t>
        </is>
      </c>
      <c r="B1925" s="1" t="n">
        <v>45043</v>
      </c>
      <c r="C1925" s="1" t="n">
        <v>45337</v>
      </c>
      <c r="D1925" t="inlineStr">
        <is>
          <t>VÄSTERNORRLANDS LÄN</t>
        </is>
      </c>
      <c r="E1925" t="inlineStr">
        <is>
          <t>SOLLEFTEÅ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18780-2023</t>
        </is>
      </c>
      <c r="B1926" s="1" t="n">
        <v>45044</v>
      </c>
      <c r="C1926" s="1" t="n">
        <v>45337</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18784-2023</t>
        </is>
      </c>
      <c r="B1927" s="1" t="n">
        <v>45044</v>
      </c>
      <c r="C1927" s="1" t="n">
        <v>45337</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18980-2023</t>
        </is>
      </c>
      <c r="B1928" s="1" t="n">
        <v>45044</v>
      </c>
      <c r="C1928" s="1" t="n">
        <v>45337</v>
      </c>
      <c r="D1928" t="inlineStr">
        <is>
          <t>VÄSTERNORRLANDS LÄN</t>
        </is>
      </c>
      <c r="E1928" t="inlineStr">
        <is>
          <t>SOLLEFTEÅ</t>
        </is>
      </c>
      <c r="F1928" t="inlineStr">
        <is>
          <t>Övriga statliga verk och myndigheter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18989-2023</t>
        </is>
      </c>
      <c r="B1929" s="1" t="n">
        <v>45044</v>
      </c>
      <c r="C1929" s="1" t="n">
        <v>45337</v>
      </c>
      <c r="D1929" t="inlineStr">
        <is>
          <t>VÄSTERNORRLANDS LÄN</t>
        </is>
      </c>
      <c r="E1929" t="inlineStr">
        <is>
          <t>SOLLEFTEÅ</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19154-2023</t>
        </is>
      </c>
      <c r="B1930" s="1" t="n">
        <v>45044</v>
      </c>
      <c r="C1930" s="1" t="n">
        <v>45337</v>
      </c>
      <c r="D1930" t="inlineStr">
        <is>
          <t>VÄSTERNORRLANDS LÄN</t>
        </is>
      </c>
      <c r="E1930" t="inlineStr">
        <is>
          <t>SOLLEFTEÅ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19433-2023</t>
        </is>
      </c>
      <c r="B1931" s="1" t="n">
        <v>45049</v>
      </c>
      <c r="C1931" s="1" t="n">
        <v>45337</v>
      </c>
      <c r="D1931" t="inlineStr">
        <is>
          <t>VÄSTERNORRLANDS LÄN</t>
        </is>
      </c>
      <c r="E1931" t="inlineStr">
        <is>
          <t>SOLLEFTEÅ</t>
        </is>
      </c>
      <c r="F1931" t="inlineStr">
        <is>
          <t>SCA</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19434-2023</t>
        </is>
      </c>
      <c r="B1932" s="1" t="n">
        <v>45049</v>
      </c>
      <c r="C1932" s="1" t="n">
        <v>45337</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19609-2023</t>
        </is>
      </c>
      <c r="B1933" s="1" t="n">
        <v>45050</v>
      </c>
      <c r="C1933" s="1" t="n">
        <v>45337</v>
      </c>
      <c r="D1933" t="inlineStr">
        <is>
          <t>VÄSTERNORRLANDS LÄN</t>
        </is>
      </c>
      <c r="E1933" t="inlineStr">
        <is>
          <t>SOLLEFTEÅ</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19610-2023</t>
        </is>
      </c>
      <c r="B1934" s="1" t="n">
        <v>45050</v>
      </c>
      <c r="C1934" s="1" t="n">
        <v>45337</v>
      </c>
      <c r="D1934" t="inlineStr">
        <is>
          <t>VÄSTERNORRLANDS LÄN</t>
        </is>
      </c>
      <c r="E1934" t="inlineStr">
        <is>
          <t>SOLLEFTEÅ</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19615-2023</t>
        </is>
      </c>
      <c r="B1935" s="1" t="n">
        <v>45051</v>
      </c>
      <c r="C1935" s="1" t="n">
        <v>45337</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19625-2023</t>
        </is>
      </c>
      <c r="B1936" s="1" t="n">
        <v>45050</v>
      </c>
      <c r="C1936" s="1" t="n">
        <v>45337</v>
      </c>
      <c r="D1936" t="inlineStr">
        <is>
          <t>VÄSTERNORRLANDS LÄN</t>
        </is>
      </c>
      <c r="E1936" t="inlineStr">
        <is>
          <t>SOLLEFTEÅ</t>
        </is>
      </c>
      <c r="F1936" t="inlineStr">
        <is>
          <t>SCA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19614-2023</t>
        </is>
      </c>
      <c r="B1937" s="1" t="n">
        <v>45050</v>
      </c>
      <c r="C1937" s="1" t="n">
        <v>45337</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19816-2023</t>
        </is>
      </c>
      <c r="B1938" s="1" t="n">
        <v>45052</v>
      </c>
      <c r="C1938" s="1" t="n">
        <v>45337</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19829-2023</t>
        </is>
      </c>
      <c r="B1939" s="1" t="n">
        <v>45052</v>
      </c>
      <c r="C1939" s="1" t="n">
        <v>45337</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19830-2023</t>
        </is>
      </c>
      <c r="B1940" s="1" t="n">
        <v>45052</v>
      </c>
      <c r="C1940" s="1" t="n">
        <v>45337</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20089-2023</t>
        </is>
      </c>
      <c r="B1941" s="1" t="n">
        <v>45055</v>
      </c>
      <c r="C1941" s="1" t="n">
        <v>45337</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20269-2023</t>
        </is>
      </c>
      <c r="B1942" s="1" t="n">
        <v>45055</v>
      </c>
      <c r="C1942" s="1" t="n">
        <v>45337</v>
      </c>
      <c r="D1942" t="inlineStr">
        <is>
          <t>VÄSTERNORRLANDS LÄN</t>
        </is>
      </c>
      <c r="E1942" t="inlineStr">
        <is>
          <t>SOLLEFTEÅ</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20268-2023</t>
        </is>
      </c>
      <c r="B1943" s="1" t="n">
        <v>45055</v>
      </c>
      <c r="C1943" s="1" t="n">
        <v>45337</v>
      </c>
      <c r="D1943" t="inlineStr">
        <is>
          <t>VÄSTERNORRLANDS LÄN</t>
        </is>
      </c>
      <c r="E1943" t="inlineStr">
        <is>
          <t>SOLLEFTEÅ</t>
        </is>
      </c>
      <c r="F1943" t="inlineStr">
        <is>
          <t>SCA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20266-2023</t>
        </is>
      </c>
      <c r="B1944" s="1" t="n">
        <v>45055</v>
      </c>
      <c r="C1944" s="1" t="n">
        <v>45337</v>
      </c>
      <c r="D1944" t="inlineStr">
        <is>
          <t>VÄSTERNORRLANDS LÄN</t>
        </is>
      </c>
      <c r="E1944" t="inlineStr">
        <is>
          <t>SOLLEFTEÅ</t>
        </is>
      </c>
      <c r="F1944" t="inlineStr">
        <is>
          <t>SCA</t>
        </is>
      </c>
      <c r="G1944" t="n">
        <v>21.3</v>
      </c>
      <c r="H1944" t="n">
        <v>0</v>
      </c>
      <c r="I1944" t="n">
        <v>0</v>
      </c>
      <c r="J1944" t="n">
        <v>0</v>
      </c>
      <c r="K1944" t="n">
        <v>0</v>
      </c>
      <c r="L1944" t="n">
        <v>0</v>
      </c>
      <c r="M1944" t="n">
        <v>0</v>
      </c>
      <c r="N1944" t="n">
        <v>0</v>
      </c>
      <c r="O1944" t="n">
        <v>0</v>
      </c>
      <c r="P1944" t="n">
        <v>0</v>
      </c>
      <c r="Q1944" t="n">
        <v>0</v>
      </c>
      <c r="R1944" s="2" t="inlineStr"/>
    </row>
    <row r="1945" ht="15" customHeight="1">
      <c r="A1945" t="inlineStr">
        <is>
          <t>A 20271-2023</t>
        </is>
      </c>
      <c r="B1945" s="1" t="n">
        <v>45056</v>
      </c>
      <c r="C1945" s="1" t="n">
        <v>45337</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20461-2023</t>
        </is>
      </c>
      <c r="B1946" s="1" t="n">
        <v>45057</v>
      </c>
      <c r="C1946" s="1" t="n">
        <v>45337</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20460-2023</t>
        </is>
      </c>
      <c r="B1947" s="1" t="n">
        <v>45057</v>
      </c>
      <c r="C1947" s="1" t="n">
        <v>45337</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20599-2023</t>
        </is>
      </c>
      <c r="B1948" s="1" t="n">
        <v>45058</v>
      </c>
      <c r="C1948" s="1" t="n">
        <v>45337</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20598-2023</t>
        </is>
      </c>
      <c r="B1949" s="1" t="n">
        <v>45058</v>
      </c>
      <c r="C1949" s="1" t="n">
        <v>45337</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21195-2023</t>
        </is>
      </c>
      <c r="B1950" s="1" t="n">
        <v>45057</v>
      </c>
      <c r="C1950" s="1" t="n">
        <v>45337</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20629-2023</t>
        </is>
      </c>
      <c r="B1951" s="1" t="n">
        <v>45058</v>
      </c>
      <c r="C1951" s="1" t="n">
        <v>45337</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20628-2023</t>
        </is>
      </c>
      <c r="B1952" s="1" t="n">
        <v>45058</v>
      </c>
      <c r="C1952" s="1" t="n">
        <v>45337</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21230-2023</t>
        </is>
      </c>
      <c r="B1953" s="1" t="n">
        <v>45057</v>
      </c>
      <c r="C1953" s="1" t="n">
        <v>45337</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20754-2023</t>
        </is>
      </c>
      <c r="B1954" s="1" t="n">
        <v>45058</v>
      </c>
      <c r="C1954" s="1" t="n">
        <v>45337</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20859-2023</t>
        </is>
      </c>
      <c r="B1955" s="1" t="n">
        <v>45059</v>
      </c>
      <c r="C1955" s="1" t="n">
        <v>45337</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20862-2023</t>
        </is>
      </c>
      <c r="B1956" s="1" t="n">
        <v>45059</v>
      </c>
      <c r="C1956" s="1" t="n">
        <v>45337</v>
      </c>
      <c r="D1956" t="inlineStr">
        <is>
          <t>VÄSTERNORRLANDS LÄN</t>
        </is>
      </c>
      <c r="E1956" t="inlineStr">
        <is>
          <t>SOLLEFTEÅ</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20817-2023</t>
        </is>
      </c>
      <c r="B1957" s="1" t="n">
        <v>45058</v>
      </c>
      <c r="C1957" s="1" t="n">
        <v>45337</v>
      </c>
      <c r="D1957" t="inlineStr">
        <is>
          <t>VÄSTERNORRLANDS LÄN</t>
        </is>
      </c>
      <c r="E1957" t="inlineStr">
        <is>
          <t>SOLLEFTEÅ</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20873-2023</t>
        </is>
      </c>
      <c r="B1958" s="1" t="n">
        <v>45059</v>
      </c>
      <c r="C1958" s="1" t="n">
        <v>45337</v>
      </c>
      <c r="D1958" t="inlineStr">
        <is>
          <t>VÄSTERNORRLANDS LÄN</t>
        </is>
      </c>
      <c r="E1958" t="inlineStr">
        <is>
          <t>SOLLEFTEÅ</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20878-2023</t>
        </is>
      </c>
      <c r="B1959" s="1" t="n">
        <v>45059</v>
      </c>
      <c r="C1959" s="1" t="n">
        <v>45337</v>
      </c>
      <c r="D1959" t="inlineStr">
        <is>
          <t>VÄSTERNORRLANDS LÄN</t>
        </is>
      </c>
      <c r="E1959" t="inlineStr">
        <is>
          <t>SOLLEFTEÅ</t>
        </is>
      </c>
      <c r="F1959" t="inlineStr">
        <is>
          <t>SCA</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20872-2023</t>
        </is>
      </c>
      <c r="B1960" s="1" t="n">
        <v>45058</v>
      </c>
      <c r="C1960" s="1" t="n">
        <v>45337</v>
      </c>
      <c r="D1960" t="inlineStr">
        <is>
          <t>VÄSTERNORRLANDS LÄN</t>
        </is>
      </c>
      <c r="E1960" t="inlineStr">
        <is>
          <t>SOLLEFTEÅ</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21513-2023</t>
        </is>
      </c>
      <c r="B1961" s="1" t="n">
        <v>45061</v>
      </c>
      <c r="C1961" s="1" t="n">
        <v>45337</v>
      </c>
      <c r="D1961" t="inlineStr">
        <is>
          <t>VÄSTERNORRLANDS LÄN</t>
        </is>
      </c>
      <c r="E1961" t="inlineStr">
        <is>
          <t>SOLLEFTEÅ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21349-2023</t>
        </is>
      </c>
      <c r="B1962" s="1" t="n">
        <v>45063</v>
      </c>
      <c r="C1962" s="1" t="n">
        <v>45337</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21346-2023</t>
        </is>
      </c>
      <c r="B1963" s="1" t="n">
        <v>45063</v>
      </c>
      <c r="C1963" s="1" t="n">
        <v>45337</v>
      </c>
      <c r="D1963" t="inlineStr">
        <is>
          <t>VÄSTERNORRLANDS LÄN</t>
        </is>
      </c>
      <c r="E1963" t="inlineStr">
        <is>
          <t>SOLLEFTEÅ</t>
        </is>
      </c>
      <c r="F1963" t="inlineStr">
        <is>
          <t>SCA</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21340-2023</t>
        </is>
      </c>
      <c r="B1964" s="1" t="n">
        <v>45062</v>
      </c>
      <c r="C1964" s="1" t="n">
        <v>45337</v>
      </c>
      <c r="D1964" t="inlineStr">
        <is>
          <t>VÄSTERNORRLANDS LÄN</t>
        </is>
      </c>
      <c r="E1964" t="inlineStr">
        <is>
          <t>SOLLEFTEÅ</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21344-2023</t>
        </is>
      </c>
      <c r="B1965" s="1" t="n">
        <v>45062</v>
      </c>
      <c r="C1965" s="1" t="n">
        <v>45337</v>
      </c>
      <c r="D1965" t="inlineStr">
        <is>
          <t>VÄSTERNORRLANDS LÄN</t>
        </is>
      </c>
      <c r="E1965" t="inlineStr">
        <is>
          <t>SOLLEFTEÅ</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21361-2023</t>
        </is>
      </c>
      <c r="B1966" s="1" t="n">
        <v>45063</v>
      </c>
      <c r="C1966" s="1" t="n">
        <v>45337</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21690-2023</t>
        </is>
      </c>
      <c r="B1967" s="1" t="n">
        <v>45064</v>
      </c>
      <c r="C1967" s="1" t="n">
        <v>45337</v>
      </c>
      <c r="D1967" t="inlineStr">
        <is>
          <t>VÄSTERNORRLANDS LÄN</t>
        </is>
      </c>
      <c r="E1967" t="inlineStr">
        <is>
          <t>SOLLEFTEÅ</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21674-2023</t>
        </is>
      </c>
      <c r="B1968" s="1" t="n">
        <v>45064</v>
      </c>
      <c r="C1968" s="1" t="n">
        <v>45337</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21686-2023</t>
        </is>
      </c>
      <c r="B1969" s="1" t="n">
        <v>45063</v>
      </c>
      <c r="C1969" s="1" t="n">
        <v>45337</v>
      </c>
      <c r="D1969" t="inlineStr">
        <is>
          <t>VÄSTERNORRLANDS LÄN</t>
        </is>
      </c>
      <c r="E1969" t="inlineStr">
        <is>
          <t>SOLLEFTEÅ</t>
        </is>
      </c>
      <c r="F1969" t="inlineStr">
        <is>
          <t>SCA</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22008-2023</t>
        </is>
      </c>
      <c r="B1970" s="1" t="n">
        <v>45068</v>
      </c>
      <c r="C1970" s="1" t="n">
        <v>45337</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22220-2023</t>
        </is>
      </c>
      <c r="B1971" s="1" t="n">
        <v>45070</v>
      </c>
      <c r="C1971" s="1" t="n">
        <v>45337</v>
      </c>
      <c r="D1971" t="inlineStr">
        <is>
          <t>VÄSTERNORRLANDS LÄN</t>
        </is>
      </c>
      <c r="E1971" t="inlineStr">
        <is>
          <t>SOLLEFTEÅ</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22229-2023</t>
        </is>
      </c>
      <c r="B1972" s="1" t="n">
        <v>45070</v>
      </c>
      <c r="C1972" s="1" t="n">
        <v>45337</v>
      </c>
      <c r="D1972" t="inlineStr">
        <is>
          <t>VÄSTERNORRLANDS LÄN</t>
        </is>
      </c>
      <c r="E1972" t="inlineStr">
        <is>
          <t>SOLLEFTEÅ</t>
        </is>
      </c>
      <c r="F1972" t="inlineStr">
        <is>
          <t>SCA</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22750-2023</t>
        </is>
      </c>
      <c r="B1973" s="1" t="n">
        <v>45072</v>
      </c>
      <c r="C1973" s="1" t="n">
        <v>45337</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22994-2023</t>
        </is>
      </c>
      <c r="B1974" s="1" t="n">
        <v>45072</v>
      </c>
      <c r="C1974" s="1" t="n">
        <v>45337</v>
      </c>
      <c r="D1974" t="inlineStr">
        <is>
          <t>VÄSTERNORRLANDS LÄN</t>
        </is>
      </c>
      <c r="E1974" t="inlineStr">
        <is>
          <t>SOLLEFTEÅ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22992-2023</t>
        </is>
      </c>
      <c r="B1975" s="1" t="n">
        <v>45072</v>
      </c>
      <c r="C1975" s="1" t="n">
        <v>45337</v>
      </c>
      <c r="D1975" t="inlineStr">
        <is>
          <t>VÄSTERNORRLANDS LÄN</t>
        </is>
      </c>
      <c r="E1975" t="inlineStr">
        <is>
          <t>SOLLEFTEÅ</t>
        </is>
      </c>
      <c r="F1975" t="inlineStr">
        <is>
          <t>SCA</t>
        </is>
      </c>
      <c r="G1975" t="n">
        <v>13.6</v>
      </c>
      <c r="H1975" t="n">
        <v>0</v>
      </c>
      <c r="I1975" t="n">
        <v>0</v>
      </c>
      <c r="J1975" t="n">
        <v>0</v>
      </c>
      <c r="K1975" t="n">
        <v>0</v>
      </c>
      <c r="L1975" t="n">
        <v>0</v>
      </c>
      <c r="M1975" t="n">
        <v>0</v>
      </c>
      <c r="N1975" t="n">
        <v>0</v>
      </c>
      <c r="O1975" t="n">
        <v>0</v>
      </c>
      <c r="P1975" t="n">
        <v>0</v>
      </c>
      <c r="Q1975" t="n">
        <v>0</v>
      </c>
      <c r="R1975" s="2" t="inlineStr"/>
    </row>
    <row r="1976" ht="15" customHeight="1">
      <c r="A1976" t="inlineStr">
        <is>
          <t>A 22995-2023</t>
        </is>
      </c>
      <c r="B1976" s="1" t="n">
        <v>45073</v>
      </c>
      <c r="C1976" s="1" t="n">
        <v>45337</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23488-2023</t>
        </is>
      </c>
      <c r="B1977" s="1" t="n">
        <v>45072</v>
      </c>
      <c r="C1977" s="1" t="n">
        <v>45337</v>
      </c>
      <c r="D1977" t="inlineStr">
        <is>
          <t>VÄSTERNORRLANDS LÄN</t>
        </is>
      </c>
      <c r="E1977" t="inlineStr">
        <is>
          <t>SOLLEFTEÅ</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23016-2023</t>
        </is>
      </c>
      <c r="B1978" s="1" t="n">
        <v>45073</v>
      </c>
      <c r="C1978" s="1" t="n">
        <v>45337</v>
      </c>
      <c r="D1978" t="inlineStr">
        <is>
          <t>VÄSTERNORRLANDS LÄN</t>
        </is>
      </c>
      <c r="E1978" t="inlineStr">
        <is>
          <t>SOLLEFTEÅ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23286-2023</t>
        </is>
      </c>
      <c r="B1979" s="1" t="n">
        <v>45075</v>
      </c>
      <c r="C1979" s="1" t="n">
        <v>45337</v>
      </c>
      <c r="D1979" t="inlineStr">
        <is>
          <t>VÄSTERNORRLANDS LÄN</t>
        </is>
      </c>
      <c r="E1979" t="inlineStr">
        <is>
          <t>SOLLEFTEÅ</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23277-2023</t>
        </is>
      </c>
      <c r="B1980" s="1" t="n">
        <v>45075</v>
      </c>
      <c r="C1980" s="1" t="n">
        <v>45337</v>
      </c>
      <c r="D1980" t="inlineStr">
        <is>
          <t>VÄSTERNORRLANDS LÄN</t>
        </is>
      </c>
      <c r="E1980" t="inlineStr">
        <is>
          <t>SOLLEFTEÅ</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23285-2023</t>
        </is>
      </c>
      <c r="B1981" s="1" t="n">
        <v>45075</v>
      </c>
      <c r="C1981" s="1" t="n">
        <v>45337</v>
      </c>
      <c r="D1981" t="inlineStr">
        <is>
          <t>VÄSTERNORRLANDS LÄN</t>
        </is>
      </c>
      <c r="E1981" t="inlineStr">
        <is>
          <t>SOLLEFTEÅ</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23289-2023</t>
        </is>
      </c>
      <c r="B1982" s="1" t="n">
        <v>45075</v>
      </c>
      <c r="C1982" s="1" t="n">
        <v>45337</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23287-2023</t>
        </is>
      </c>
      <c r="B1983" s="1" t="n">
        <v>45075</v>
      </c>
      <c r="C1983" s="1" t="n">
        <v>45337</v>
      </c>
      <c r="D1983" t="inlineStr">
        <is>
          <t>VÄSTERNORRLANDS LÄN</t>
        </is>
      </c>
      <c r="E1983" t="inlineStr">
        <is>
          <t>SOLLEFTEÅ</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23288-2023</t>
        </is>
      </c>
      <c r="B1984" s="1" t="n">
        <v>45075</v>
      </c>
      <c r="C1984" s="1" t="n">
        <v>45337</v>
      </c>
      <c r="D1984" t="inlineStr">
        <is>
          <t>VÄSTERNORRLANDS LÄN</t>
        </is>
      </c>
      <c r="E1984" t="inlineStr">
        <is>
          <t>SOLLEFTEÅ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23523-2023</t>
        </is>
      </c>
      <c r="B1985" s="1" t="n">
        <v>45076</v>
      </c>
      <c r="C1985" s="1" t="n">
        <v>45337</v>
      </c>
      <c r="D1985" t="inlineStr">
        <is>
          <t>VÄSTERNORRLANDS LÄN</t>
        </is>
      </c>
      <c r="E1985" t="inlineStr">
        <is>
          <t>SOLLEFTEÅ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23527-2023</t>
        </is>
      </c>
      <c r="B1986" s="1" t="n">
        <v>45076</v>
      </c>
      <c r="C1986" s="1" t="n">
        <v>45337</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24306-2023</t>
        </is>
      </c>
      <c r="B1987" s="1" t="n">
        <v>45080</v>
      </c>
      <c r="C1987" s="1" t="n">
        <v>45337</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24314-2023</t>
        </is>
      </c>
      <c r="B1988" s="1" t="n">
        <v>45079</v>
      </c>
      <c r="C1988" s="1" t="n">
        <v>45337</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25259-2023</t>
        </is>
      </c>
      <c r="B1989" s="1" t="n">
        <v>45079</v>
      </c>
      <c r="C1989" s="1" t="n">
        <v>45337</v>
      </c>
      <c r="D1989" t="inlineStr">
        <is>
          <t>VÄSTERNORRLANDS LÄN</t>
        </is>
      </c>
      <c r="E1989" t="inlineStr">
        <is>
          <t>SOLLEFTEÅ</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25267-2023</t>
        </is>
      </c>
      <c r="B1990" s="1" t="n">
        <v>45079</v>
      </c>
      <c r="C1990" s="1" t="n">
        <v>45337</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24548-2023</t>
        </is>
      </c>
      <c r="B1991" s="1" t="n">
        <v>45082</v>
      </c>
      <c r="C1991" s="1" t="n">
        <v>45337</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25550-2023</t>
        </is>
      </c>
      <c r="B1992" s="1" t="n">
        <v>45082</v>
      </c>
      <c r="C1992" s="1" t="n">
        <v>45337</v>
      </c>
      <c r="D1992" t="inlineStr">
        <is>
          <t>VÄSTERNORRLANDS LÄN</t>
        </is>
      </c>
      <c r="E1992" t="inlineStr">
        <is>
          <t>SOLLEFTEÅ</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24595-2023</t>
        </is>
      </c>
      <c r="B1993" s="1" t="n">
        <v>45084</v>
      </c>
      <c r="C1993" s="1" t="n">
        <v>45337</v>
      </c>
      <c r="D1993" t="inlineStr">
        <is>
          <t>VÄSTERNORRLANDS LÄN</t>
        </is>
      </c>
      <c r="E1993" t="inlineStr">
        <is>
          <t>SOLLEFTEÅ</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24597-2023</t>
        </is>
      </c>
      <c r="B1994" s="1" t="n">
        <v>45083</v>
      </c>
      <c r="C1994" s="1" t="n">
        <v>45337</v>
      </c>
      <c r="D1994" t="inlineStr">
        <is>
          <t>VÄSTERNORRLANDS LÄN</t>
        </is>
      </c>
      <c r="E1994" t="inlineStr">
        <is>
          <t>SOLLEFTEÅ</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24596-2023</t>
        </is>
      </c>
      <c r="B1995" s="1" t="n">
        <v>45084</v>
      </c>
      <c r="C1995" s="1" t="n">
        <v>45337</v>
      </c>
      <c r="D1995" t="inlineStr">
        <is>
          <t>VÄSTERNORRLANDS LÄN</t>
        </is>
      </c>
      <c r="E1995" t="inlineStr">
        <is>
          <t>SOLLEFTEÅ</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25795-2023</t>
        </is>
      </c>
      <c r="B1996" s="1" t="n">
        <v>45085</v>
      </c>
      <c r="C1996" s="1" t="n">
        <v>45337</v>
      </c>
      <c r="D1996" t="inlineStr">
        <is>
          <t>VÄSTERNORRLANDS LÄN</t>
        </is>
      </c>
      <c r="E1996" t="inlineStr">
        <is>
          <t>SOLLEFTEÅ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25848-2023</t>
        </is>
      </c>
      <c r="B1997" s="1" t="n">
        <v>45085</v>
      </c>
      <c r="C1997" s="1" t="n">
        <v>45337</v>
      </c>
      <c r="D1997" t="inlineStr">
        <is>
          <t>VÄSTERNORRLANDS LÄN</t>
        </is>
      </c>
      <c r="E1997" t="inlineStr">
        <is>
          <t>SOLLEFTEÅ</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25079-2023</t>
        </is>
      </c>
      <c r="B1998" s="1" t="n">
        <v>45086</v>
      </c>
      <c r="C1998" s="1" t="n">
        <v>45337</v>
      </c>
      <c r="D1998" t="inlineStr">
        <is>
          <t>VÄSTERNORRLANDS LÄN</t>
        </is>
      </c>
      <c r="E1998" t="inlineStr">
        <is>
          <t>SOLLEFTEÅ</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25310-2023</t>
        </is>
      </c>
      <c r="B1999" s="1" t="n">
        <v>45087</v>
      </c>
      <c r="C1999" s="1" t="n">
        <v>45337</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25314-2023</t>
        </is>
      </c>
      <c r="B2000" s="1" t="n">
        <v>45086</v>
      </c>
      <c r="C2000" s="1" t="n">
        <v>45337</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25392-2023</t>
        </is>
      </c>
      <c r="B2001" s="1" t="n">
        <v>45089</v>
      </c>
      <c r="C2001" s="1" t="n">
        <v>45337</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25987-2023</t>
        </is>
      </c>
      <c r="B2002" s="1" t="n">
        <v>45091</v>
      </c>
      <c r="C2002" s="1" t="n">
        <v>45337</v>
      </c>
      <c r="D2002" t="inlineStr">
        <is>
          <t>VÄSTERNORRLANDS LÄN</t>
        </is>
      </c>
      <c r="E2002" t="inlineStr">
        <is>
          <t>SOLLEFTEÅ</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26210-2023</t>
        </is>
      </c>
      <c r="B2003" s="1" t="n">
        <v>45090</v>
      </c>
      <c r="C2003" s="1" t="n">
        <v>45337</v>
      </c>
      <c r="D2003" t="inlineStr">
        <is>
          <t>VÄSTERNORRLANDS LÄN</t>
        </is>
      </c>
      <c r="E2003" t="inlineStr">
        <is>
          <t>SOLLEFTEÅ</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25986-2023</t>
        </is>
      </c>
      <c r="B2004" s="1" t="n">
        <v>45090</v>
      </c>
      <c r="C2004" s="1" t="n">
        <v>45337</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26373-2023</t>
        </is>
      </c>
      <c r="B2005" s="1" t="n">
        <v>45092</v>
      </c>
      <c r="C2005" s="1" t="n">
        <v>45337</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27544-2023</t>
        </is>
      </c>
      <c r="B2006" s="1" t="n">
        <v>45092</v>
      </c>
      <c r="C2006" s="1" t="n">
        <v>45337</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27534-2023</t>
        </is>
      </c>
      <c r="B2007" s="1" t="n">
        <v>45092</v>
      </c>
      <c r="C2007" s="1" t="n">
        <v>45337</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27381-2023</t>
        </is>
      </c>
      <c r="B2008" s="1" t="n">
        <v>45097</v>
      </c>
      <c r="C2008" s="1" t="n">
        <v>45337</v>
      </c>
      <c r="D2008" t="inlineStr">
        <is>
          <t>VÄSTERNORRLANDS LÄN</t>
        </is>
      </c>
      <c r="E2008" t="inlineStr">
        <is>
          <t>SOLLEFTEÅ</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27382-2023</t>
        </is>
      </c>
      <c r="B2009" s="1" t="n">
        <v>45097</v>
      </c>
      <c r="C2009" s="1" t="n">
        <v>45337</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27384-2023</t>
        </is>
      </c>
      <c r="B2010" s="1" t="n">
        <v>45097</v>
      </c>
      <c r="C2010" s="1" t="n">
        <v>45337</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27392-2023</t>
        </is>
      </c>
      <c r="B2011" s="1" t="n">
        <v>45097</v>
      </c>
      <c r="C2011" s="1" t="n">
        <v>45337</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28653-2023</t>
        </is>
      </c>
      <c r="B2012" s="1" t="n">
        <v>45096</v>
      </c>
      <c r="C2012" s="1" t="n">
        <v>45337</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27383-2023</t>
        </is>
      </c>
      <c r="B2013" s="1" t="n">
        <v>45097</v>
      </c>
      <c r="C2013" s="1" t="n">
        <v>45337</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27391-2023</t>
        </is>
      </c>
      <c r="B2014" s="1" t="n">
        <v>45097</v>
      </c>
      <c r="C2014" s="1" t="n">
        <v>45337</v>
      </c>
      <c r="D2014" t="inlineStr">
        <is>
          <t>VÄSTERNORRLANDS LÄN</t>
        </is>
      </c>
      <c r="E2014" t="inlineStr">
        <is>
          <t>SOLLEFTEÅ</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27674-2023</t>
        </is>
      </c>
      <c r="B2015" s="1" t="n">
        <v>45097</v>
      </c>
      <c r="C2015" s="1" t="n">
        <v>45337</v>
      </c>
      <c r="D2015" t="inlineStr">
        <is>
          <t>VÄSTERNORRLANDS LÄN</t>
        </is>
      </c>
      <c r="E2015" t="inlineStr">
        <is>
          <t>SOLLEFTEÅ</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29210-2023</t>
        </is>
      </c>
      <c r="B2016" s="1" t="n">
        <v>45097</v>
      </c>
      <c r="C2016" s="1" t="n">
        <v>45337</v>
      </c>
      <c r="D2016" t="inlineStr">
        <is>
          <t>VÄSTERNORRLANDS LÄN</t>
        </is>
      </c>
      <c r="E2016" t="inlineStr">
        <is>
          <t>SOLLEFTEÅ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29197-2023</t>
        </is>
      </c>
      <c r="B2017" s="1" t="n">
        <v>45097</v>
      </c>
      <c r="C2017" s="1" t="n">
        <v>45337</v>
      </c>
      <c r="D2017" t="inlineStr">
        <is>
          <t>VÄSTERNORRLANDS LÄN</t>
        </is>
      </c>
      <c r="E2017" t="inlineStr">
        <is>
          <t>SOLLEFTEÅ</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28384-2023</t>
        </is>
      </c>
      <c r="B2018" s="1" t="n">
        <v>45100</v>
      </c>
      <c r="C2018" s="1" t="n">
        <v>45337</v>
      </c>
      <c r="D2018" t="inlineStr">
        <is>
          <t>VÄSTERNORRLANDS LÄN</t>
        </is>
      </c>
      <c r="E2018" t="inlineStr">
        <is>
          <t>SOLLEFTEÅ</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28385-2023</t>
        </is>
      </c>
      <c r="B2019" s="1" t="n">
        <v>45099</v>
      </c>
      <c r="C2019" s="1" t="n">
        <v>45337</v>
      </c>
      <c r="D2019" t="inlineStr">
        <is>
          <t>VÄSTERNORRLANDS LÄN</t>
        </is>
      </c>
      <c r="E2019" t="inlineStr">
        <is>
          <t>SOLLEFTEÅ</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28374-2023</t>
        </is>
      </c>
      <c r="B2020" s="1" t="n">
        <v>45099</v>
      </c>
      <c r="C2020" s="1" t="n">
        <v>45337</v>
      </c>
      <c r="D2020" t="inlineStr">
        <is>
          <t>VÄSTERNORRLANDS LÄN</t>
        </is>
      </c>
      <c r="E2020" t="inlineStr">
        <is>
          <t>SOLLEFTEÅ</t>
        </is>
      </c>
      <c r="F2020" t="inlineStr">
        <is>
          <t>SCA</t>
        </is>
      </c>
      <c r="G2020" t="n">
        <v>9.300000000000001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28366-2023</t>
        </is>
      </c>
      <c r="B2021" s="1" t="n">
        <v>45099</v>
      </c>
      <c r="C2021" s="1" t="n">
        <v>45337</v>
      </c>
      <c r="D2021" t="inlineStr">
        <is>
          <t>VÄSTERNORRLANDS LÄN</t>
        </is>
      </c>
      <c r="E2021" t="inlineStr">
        <is>
          <t>SOLLEFTEÅ</t>
        </is>
      </c>
      <c r="F2021" t="inlineStr">
        <is>
          <t>SCA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28383-2023</t>
        </is>
      </c>
      <c r="B2022" s="1" t="n">
        <v>45099</v>
      </c>
      <c r="C2022" s="1" t="n">
        <v>45337</v>
      </c>
      <c r="D2022" t="inlineStr">
        <is>
          <t>VÄSTERNORRLANDS LÄN</t>
        </is>
      </c>
      <c r="E2022" t="inlineStr">
        <is>
          <t>SOLLEFTEÅ</t>
        </is>
      </c>
      <c r="F2022" t="inlineStr">
        <is>
          <t>SCA</t>
        </is>
      </c>
      <c r="G2022" t="n">
        <v>20.6</v>
      </c>
      <c r="H2022" t="n">
        <v>0</v>
      </c>
      <c r="I2022" t="n">
        <v>0</v>
      </c>
      <c r="J2022" t="n">
        <v>0</v>
      </c>
      <c r="K2022" t="n">
        <v>0</v>
      </c>
      <c r="L2022" t="n">
        <v>0</v>
      </c>
      <c r="M2022" t="n">
        <v>0</v>
      </c>
      <c r="N2022" t="n">
        <v>0</v>
      </c>
      <c r="O2022" t="n">
        <v>0</v>
      </c>
      <c r="P2022" t="n">
        <v>0</v>
      </c>
      <c r="Q2022" t="n">
        <v>0</v>
      </c>
      <c r="R2022" s="2" t="inlineStr"/>
    </row>
    <row r="2023" ht="15" customHeight="1">
      <c r="A2023" t="inlineStr">
        <is>
          <t>A 28375-2023</t>
        </is>
      </c>
      <c r="B2023" s="1" t="n">
        <v>45100</v>
      </c>
      <c r="C2023" s="1" t="n">
        <v>45337</v>
      </c>
      <c r="D2023" t="inlineStr">
        <is>
          <t>VÄSTERNORRLANDS LÄN</t>
        </is>
      </c>
      <c r="E2023" t="inlineStr">
        <is>
          <t>SOLLEFTEÅ</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30163-2023</t>
        </is>
      </c>
      <c r="B2024" s="1" t="n">
        <v>45099</v>
      </c>
      <c r="C2024" s="1" t="n">
        <v>45337</v>
      </c>
      <c r="D2024" t="inlineStr">
        <is>
          <t>VÄSTERNORRLANDS LÄN</t>
        </is>
      </c>
      <c r="E2024" t="inlineStr">
        <is>
          <t>SOLLEFTEÅ</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28736-2023</t>
        </is>
      </c>
      <c r="B2025" s="1" t="n">
        <v>45104</v>
      </c>
      <c r="C2025" s="1" t="n">
        <v>45337</v>
      </c>
      <c r="D2025" t="inlineStr">
        <is>
          <t>VÄSTERNORRLANDS LÄN</t>
        </is>
      </c>
      <c r="E2025" t="inlineStr">
        <is>
          <t>SOLLEFTEÅ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28749-2023</t>
        </is>
      </c>
      <c r="B2026" s="1" t="n">
        <v>45103</v>
      </c>
      <c r="C2026" s="1" t="n">
        <v>45337</v>
      </c>
      <c r="D2026" t="inlineStr">
        <is>
          <t>VÄSTERNORRLANDS LÄN</t>
        </is>
      </c>
      <c r="E2026" t="inlineStr">
        <is>
          <t>SOLLEFTEÅ</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29065-2023</t>
        </is>
      </c>
      <c r="B2027" s="1" t="n">
        <v>45105</v>
      </c>
      <c r="C2027" s="1" t="n">
        <v>45337</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29062-2023</t>
        </is>
      </c>
      <c r="B2028" s="1" t="n">
        <v>45104</v>
      </c>
      <c r="C2028" s="1" t="n">
        <v>45337</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29064-2023</t>
        </is>
      </c>
      <c r="B2029" s="1" t="n">
        <v>45105</v>
      </c>
      <c r="C2029" s="1" t="n">
        <v>45337</v>
      </c>
      <c r="D2029" t="inlineStr">
        <is>
          <t>VÄSTERNORRLANDS LÄN</t>
        </is>
      </c>
      <c r="E2029" t="inlineStr">
        <is>
          <t>SOLLEFTEÅ</t>
        </is>
      </c>
      <c r="F2029" t="inlineStr">
        <is>
          <t>SCA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29070-2023</t>
        </is>
      </c>
      <c r="B2030" s="1" t="n">
        <v>45105</v>
      </c>
      <c r="C2030" s="1" t="n">
        <v>45337</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29306-2023</t>
        </is>
      </c>
      <c r="B2031" s="1" t="n">
        <v>45106</v>
      </c>
      <c r="C2031" s="1" t="n">
        <v>45337</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29337-2023</t>
        </is>
      </c>
      <c r="B2032" s="1" t="n">
        <v>45105</v>
      </c>
      <c r="C2032" s="1" t="n">
        <v>45337</v>
      </c>
      <c r="D2032" t="inlineStr">
        <is>
          <t>VÄSTERNORRLANDS LÄN</t>
        </is>
      </c>
      <c r="E2032" t="inlineStr">
        <is>
          <t>SOLLEFTEÅ</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29336-2023</t>
        </is>
      </c>
      <c r="B2033" s="1" t="n">
        <v>45105</v>
      </c>
      <c r="C2033" s="1" t="n">
        <v>45337</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29339-2023</t>
        </is>
      </c>
      <c r="B2034" s="1" t="n">
        <v>45105</v>
      </c>
      <c r="C2034" s="1" t="n">
        <v>45337</v>
      </c>
      <c r="D2034" t="inlineStr">
        <is>
          <t>VÄSTERNORRLANDS LÄN</t>
        </is>
      </c>
      <c r="E2034" t="inlineStr">
        <is>
          <t>SOLLEFTEÅ</t>
        </is>
      </c>
      <c r="F2034" t="inlineStr">
        <is>
          <t>SCA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29614-2023</t>
        </is>
      </c>
      <c r="B2035" s="1" t="n">
        <v>45107</v>
      </c>
      <c r="C2035" s="1" t="n">
        <v>45337</v>
      </c>
      <c r="D2035" t="inlineStr">
        <is>
          <t>VÄSTERNORRLANDS LÄN</t>
        </is>
      </c>
      <c r="E2035" t="inlineStr">
        <is>
          <t>SOLLEFTEÅ</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29446-2023</t>
        </is>
      </c>
      <c r="B2036" s="1" t="n">
        <v>45106</v>
      </c>
      <c r="C2036" s="1" t="n">
        <v>45337</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29612-2023</t>
        </is>
      </c>
      <c r="B2037" s="1" t="n">
        <v>45106</v>
      </c>
      <c r="C2037" s="1" t="n">
        <v>45337</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29619-2023</t>
        </is>
      </c>
      <c r="B2038" s="1" t="n">
        <v>45106</v>
      </c>
      <c r="C2038" s="1" t="n">
        <v>45337</v>
      </c>
      <c r="D2038" t="inlineStr">
        <is>
          <t>VÄSTERNORRLANDS LÄN</t>
        </is>
      </c>
      <c r="E2038" t="inlineStr">
        <is>
          <t>SOLLEFTEÅ</t>
        </is>
      </c>
      <c r="F2038" t="inlineStr">
        <is>
          <t>SCA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29611-2023</t>
        </is>
      </c>
      <c r="B2039" s="1" t="n">
        <v>45106</v>
      </c>
      <c r="C2039" s="1" t="n">
        <v>45337</v>
      </c>
      <c r="D2039" t="inlineStr">
        <is>
          <t>VÄSTERNORRLANDS LÄN</t>
        </is>
      </c>
      <c r="E2039" t="inlineStr">
        <is>
          <t>SOLLEFTEÅ</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29832-2023</t>
        </is>
      </c>
      <c r="B2040" s="1" t="n">
        <v>45107</v>
      </c>
      <c r="C2040" s="1" t="n">
        <v>45337</v>
      </c>
      <c r="D2040" t="inlineStr">
        <is>
          <t>VÄSTERNORRLANDS LÄN</t>
        </is>
      </c>
      <c r="E2040" t="inlineStr">
        <is>
          <t>SOLLEFTEÅ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29952-2023</t>
        </is>
      </c>
      <c r="B2041" s="1" t="n">
        <v>45107</v>
      </c>
      <c r="C2041" s="1" t="n">
        <v>45337</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29944-2023</t>
        </is>
      </c>
      <c r="B2042" s="1" t="n">
        <v>45108</v>
      </c>
      <c r="C2042" s="1" t="n">
        <v>45337</v>
      </c>
      <c r="D2042" t="inlineStr">
        <is>
          <t>VÄSTERNORRLANDS LÄN</t>
        </is>
      </c>
      <c r="E2042" t="inlineStr">
        <is>
          <t>SOLLEFTEÅ</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29956-2023</t>
        </is>
      </c>
      <c r="B2043" s="1" t="n">
        <v>45107</v>
      </c>
      <c r="C2043" s="1" t="n">
        <v>45337</v>
      </c>
      <c r="D2043" t="inlineStr">
        <is>
          <t>VÄSTERNORRLANDS LÄN</t>
        </is>
      </c>
      <c r="E2043" t="inlineStr">
        <is>
          <t>SOLLEFTEÅ</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29949-2023</t>
        </is>
      </c>
      <c r="B2044" s="1" t="n">
        <v>45107</v>
      </c>
      <c r="C2044" s="1" t="n">
        <v>45337</v>
      </c>
      <c r="D2044" t="inlineStr">
        <is>
          <t>VÄSTERNORRLANDS LÄN</t>
        </is>
      </c>
      <c r="E2044" t="inlineStr">
        <is>
          <t>SOLLEFTEÅ</t>
        </is>
      </c>
      <c r="F2044" t="inlineStr">
        <is>
          <t>SCA</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29957-2023</t>
        </is>
      </c>
      <c r="B2045" s="1" t="n">
        <v>45107</v>
      </c>
      <c r="C2045" s="1" t="n">
        <v>45337</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29946-2023</t>
        </is>
      </c>
      <c r="B2046" s="1" t="n">
        <v>45108</v>
      </c>
      <c r="C2046" s="1" t="n">
        <v>45337</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29964-2023</t>
        </is>
      </c>
      <c r="B2047" s="1" t="n">
        <v>45108</v>
      </c>
      <c r="C2047" s="1" t="n">
        <v>45337</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30295-2023</t>
        </is>
      </c>
      <c r="B2048" s="1" t="n">
        <v>45110</v>
      </c>
      <c r="C2048" s="1" t="n">
        <v>45337</v>
      </c>
      <c r="D2048" t="inlineStr">
        <is>
          <t>VÄSTERNORRLANDS LÄN</t>
        </is>
      </c>
      <c r="E2048" t="inlineStr">
        <is>
          <t>SOLLEFTEÅ</t>
        </is>
      </c>
      <c r="F2048" t="inlineStr">
        <is>
          <t>SCA</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30567-2023</t>
        </is>
      </c>
      <c r="B2049" s="1" t="n">
        <v>45112</v>
      </c>
      <c r="C2049" s="1" t="n">
        <v>45337</v>
      </c>
      <c r="D2049" t="inlineStr">
        <is>
          <t>VÄSTERNORRLANDS LÄN</t>
        </is>
      </c>
      <c r="E2049" t="inlineStr">
        <is>
          <t>SOLLEFTEÅ</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30822-2023</t>
        </is>
      </c>
      <c r="B2050" s="1" t="n">
        <v>45113</v>
      </c>
      <c r="C2050" s="1" t="n">
        <v>45337</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30829-2023</t>
        </is>
      </c>
      <c r="B2051" s="1" t="n">
        <v>45113</v>
      </c>
      <c r="C2051" s="1" t="n">
        <v>45337</v>
      </c>
      <c r="D2051" t="inlineStr">
        <is>
          <t>VÄSTERNORRLANDS LÄN</t>
        </is>
      </c>
      <c r="E2051" t="inlineStr">
        <is>
          <t>SOLLEFTEÅ</t>
        </is>
      </c>
      <c r="F2051" t="inlineStr">
        <is>
          <t>SCA</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31177-2023</t>
        </is>
      </c>
      <c r="B2052" s="1" t="n">
        <v>45113</v>
      </c>
      <c r="C2052" s="1" t="n">
        <v>45337</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31179-2023</t>
        </is>
      </c>
      <c r="B2053" s="1" t="n">
        <v>45114</v>
      </c>
      <c r="C2053" s="1" t="n">
        <v>45337</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31178-2023</t>
        </is>
      </c>
      <c r="B2054" s="1" t="n">
        <v>45114</v>
      </c>
      <c r="C2054" s="1" t="n">
        <v>45337</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31387-2023</t>
        </is>
      </c>
      <c r="B2055" s="1" t="n">
        <v>45114</v>
      </c>
      <c r="C2055" s="1" t="n">
        <v>45337</v>
      </c>
      <c r="D2055" t="inlineStr">
        <is>
          <t>VÄSTERNORRLANDS LÄN</t>
        </is>
      </c>
      <c r="E2055" t="inlineStr">
        <is>
          <t>SOLLEFTEÅ</t>
        </is>
      </c>
      <c r="F2055" t="inlineStr">
        <is>
          <t>Övriga statliga verk och myndigheter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33203-2023</t>
        </is>
      </c>
      <c r="B2056" s="1" t="n">
        <v>45114</v>
      </c>
      <c r="C2056" s="1" t="n">
        <v>45337</v>
      </c>
      <c r="D2056" t="inlineStr">
        <is>
          <t>VÄSTERNORRLANDS LÄN</t>
        </is>
      </c>
      <c r="E2056" t="inlineStr">
        <is>
          <t>SOLLEFTEÅ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31913-2023</t>
        </is>
      </c>
      <c r="B2057" s="1" t="n">
        <v>45118</v>
      </c>
      <c r="C2057" s="1" t="n">
        <v>45337</v>
      </c>
      <c r="D2057" t="inlineStr">
        <is>
          <t>VÄSTERNORRLANDS LÄN</t>
        </is>
      </c>
      <c r="E2057" t="inlineStr">
        <is>
          <t>SOLLEFTEÅ</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31917-2023</t>
        </is>
      </c>
      <c r="B2058" s="1" t="n">
        <v>45119</v>
      </c>
      <c r="C2058" s="1" t="n">
        <v>45337</v>
      </c>
      <c r="D2058" t="inlineStr">
        <is>
          <t>VÄSTERNORRLANDS LÄN</t>
        </is>
      </c>
      <c r="E2058" t="inlineStr">
        <is>
          <t>SOLLEFTEÅ</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31915-2023</t>
        </is>
      </c>
      <c r="B2059" s="1" t="n">
        <v>45119</v>
      </c>
      <c r="C2059" s="1" t="n">
        <v>45337</v>
      </c>
      <c r="D2059" t="inlineStr">
        <is>
          <t>VÄSTERNORRLANDS LÄN</t>
        </is>
      </c>
      <c r="E2059" t="inlineStr">
        <is>
          <t>SOLLEFTEÅ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31919-2023</t>
        </is>
      </c>
      <c r="B2060" s="1" t="n">
        <v>45118</v>
      </c>
      <c r="C2060" s="1" t="n">
        <v>45337</v>
      </c>
      <c r="D2060" t="inlineStr">
        <is>
          <t>VÄSTERNORRLANDS LÄN</t>
        </is>
      </c>
      <c r="E2060" t="inlineStr">
        <is>
          <t>SOLLEFTEÅ</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31923-2023</t>
        </is>
      </c>
      <c r="B2061" s="1" t="n">
        <v>45118</v>
      </c>
      <c r="C2061" s="1" t="n">
        <v>45337</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31914-2023</t>
        </is>
      </c>
      <c r="B2062" s="1" t="n">
        <v>45118</v>
      </c>
      <c r="C2062" s="1" t="n">
        <v>45337</v>
      </c>
      <c r="D2062" t="inlineStr">
        <is>
          <t>VÄSTERNORRLANDS LÄN</t>
        </is>
      </c>
      <c r="E2062" t="inlineStr">
        <is>
          <t>SOLLEFTEÅ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31918-2023</t>
        </is>
      </c>
      <c r="B2063" s="1" t="n">
        <v>45118</v>
      </c>
      <c r="C2063" s="1" t="n">
        <v>45337</v>
      </c>
      <c r="D2063" t="inlineStr">
        <is>
          <t>VÄSTERNORRLANDS LÄN</t>
        </is>
      </c>
      <c r="E2063" t="inlineStr">
        <is>
          <t>SOLLEFTEÅ</t>
        </is>
      </c>
      <c r="F2063" t="inlineStr">
        <is>
          <t>SCA</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31922-2023</t>
        </is>
      </c>
      <c r="B2064" s="1" t="n">
        <v>45119</v>
      </c>
      <c r="C2064" s="1" t="n">
        <v>45337</v>
      </c>
      <c r="D2064" t="inlineStr">
        <is>
          <t>VÄSTERNORRLANDS LÄN</t>
        </is>
      </c>
      <c r="E2064" t="inlineStr">
        <is>
          <t>SOLLEFTEÅ</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31912-2023</t>
        </is>
      </c>
      <c r="B2065" s="1" t="n">
        <v>45118</v>
      </c>
      <c r="C2065" s="1" t="n">
        <v>45337</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31916-2023</t>
        </is>
      </c>
      <c r="B2066" s="1" t="n">
        <v>45119</v>
      </c>
      <c r="C2066" s="1" t="n">
        <v>45337</v>
      </c>
      <c r="D2066" t="inlineStr">
        <is>
          <t>VÄSTERNORRLANDS LÄN</t>
        </is>
      </c>
      <c r="E2066" t="inlineStr">
        <is>
          <t>SOLLEFTEÅ</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31924-2023</t>
        </is>
      </c>
      <c r="B2067" s="1" t="n">
        <v>45118</v>
      </c>
      <c r="C2067" s="1" t="n">
        <v>45337</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31921-2023</t>
        </is>
      </c>
      <c r="B2068" s="1" t="n">
        <v>45119</v>
      </c>
      <c r="C2068" s="1" t="n">
        <v>45337</v>
      </c>
      <c r="D2068" t="inlineStr">
        <is>
          <t>VÄSTERNORRLANDS LÄN</t>
        </is>
      </c>
      <c r="E2068" t="inlineStr">
        <is>
          <t>SOLLEFTEÅ</t>
        </is>
      </c>
      <c r="F2068" t="inlineStr">
        <is>
          <t>SCA</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31925-2023</t>
        </is>
      </c>
      <c r="B2069" s="1" t="n">
        <v>45118</v>
      </c>
      <c r="C2069" s="1" t="n">
        <v>45337</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32218-2023</t>
        </is>
      </c>
      <c r="B2070" s="1" t="n">
        <v>45120</v>
      </c>
      <c r="C2070" s="1" t="n">
        <v>45337</v>
      </c>
      <c r="D2070" t="inlineStr">
        <is>
          <t>VÄSTERNORRLANDS LÄN</t>
        </is>
      </c>
      <c r="E2070" t="inlineStr">
        <is>
          <t>SOLLEFTEÅ</t>
        </is>
      </c>
      <c r="F2070" t="inlineStr">
        <is>
          <t>SCA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33642-2023</t>
        </is>
      </c>
      <c r="B2071" s="1" t="n">
        <v>45119</v>
      </c>
      <c r="C2071" s="1" t="n">
        <v>45337</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32216-2023</t>
        </is>
      </c>
      <c r="B2072" s="1" t="n">
        <v>45120</v>
      </c>
      <c r="C2072" s="1" t="n">
        <v>45337</v>
      </c>
      <c r="D2072" t="inlineStr">
        <is>
          <t>VÄSTERNORRLANDS LÄN</t>
        </is>
      </c>
      <c r="E2072" t="inlineStr">
        <is>
          <t>SOLLEFTEÅ</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32466-2023</t>
        </is>
      </c>
      <c r="B2073" s="1" t="n">
        <v>45120</v>
      </c>
      <c r="C2073" s="1" t="n">
        <v>45337</v>
      </c>
      <c r="D2073" t="inlineStr">
        <is>
          <t>VÄSTERNORRLANDS LÄN</t>
        </is>
      </c>
      <c r="E2073" t="inlineStr">
        <is>
          <t>SOLLEFTEÅ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32726-2023</t>
        </is>
      </c>
      <c r="B2074" s="1" t="n">
        <v>45121</v>
      </c>
      <c r="C2074" s="1" t="n">
        <v>45337</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32728-2023</t>
        </is>
      </c>
      <c r="B2075" s="1" t="n">
        <v>45121</v>
      </c>
      <c r="C2075" s="1" t="n">
        <v>45337</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32733-2023</t>
        </is>
      </c>
      <c r="B2076" s="1" t="n">
        <v>45121</v>
      </c>
      <c r="C2076" s="1" t="n">
        <v>45337</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32727-2023</t>
        </is>
      </c>
      <c r="B2077" s="1" t="n">
        <v>45121</v>
      </c>
      <c r="C2077" s="1" t="n">
        <v>45337</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32735-2023</t>
        </is>
      </c>
      <c r="B2078" s="1" t="n">
        <v>45121</v>
      </c>
      <c r="C2078" s="1" t="n">
        <v>45337</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32780-2023</t>
        </is>
      </c>
      <c r="B2079" s="1" t="n">
        <v>45123</v>
      </c>
      <c r="C2079" s="1" t="n">
        <v>45337</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33964-2023</t>
        </is>
      </c>
      <c r="B2080" s="1" t="n">
        <v>45124</v>
      </c>
      <c r="C2080" s="1" t="n">
        <v>45337</v>
      </c>
      <c r="D2080" t="inlineStr">
        <is>
          <t>VÄSTERNORRLANDS LÄN</t>
        </is>
      </c>
      <c r="E2080" t="inlineStr">
        <is>
          <t>SOLLEFTEÅ</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33037-2023</t>
        </is>
      </c>
      <c r="B2081" s="1" t="n">
        <v>45126</v>
      </c>
      <c r="C2081" s="1" t="n">
        <v>45337</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34100-2023</t>
        </is>
      </c>
      <c r="B2082" s="1" t="n">
        <v>45125</v>
      </c>
      <c r="C2082" s="1" t="n">
        <v>45337</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33175-2023</t>
        </is>
      </c>
      <c r="B2083" s="1" t="n">
        <v>45126</v>
      </c>
      <c r="C2083" s="1" t="n">
        <v>45337</v>
      </c>
      <c r="D2083" t="inlineStr">
        <is>
          <t>VÄSTERNORRLANDS LÄN</t>
        </is>
      </c>
      <c r="E2083" t="inlineStr">
        <is>
          <t>SOLLEFTEÅ</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33328-2023</t>
        </is>
      </c>
      <c r="B2084" s="1" t="n">
        <v>45127</v>
      </c>
      <c r="C2084" s="1" t="n">
        <v>45337</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34284-2023</t>
        </is>
      </c>
      <c r="B2085" s="1" t="n">
        <v>45128</v>
      </c>
      <c r="C2085" s="1" t="n">
        <v>45337</v>
      </c>
      <c r="D2085" t="inlineStr">
        <is>
          <t>VÄSTERNORRLANDS LÄN</t>
        </is>
      </c>
      <c r="E2085" t="inlineStr">
        <is>
          <t>SOLLEFTEÅ</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33591-2023</t>
        </is>
      </c>
      <c r="B2086" s="1" t="n">
        <v>45131</v>
      </c>
      <c r="C2086" s="1" t="n">
        <v>45337</v>
      </c>
      <c r="D2086" t="inlineStr">
        <is>
          <t>VÄSTERNORRLANDS LÄN</t>
        </is>
      </c>
      <c r="E2086" t="inlineStr">
        <is>
          <t>SOLLEFTEÅ</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33709-2023</t>
        </is>
      </c>
      <c r="B2087" s="1" t="n">
        <v>45133</v>
      </c>
      <c r="C2087" s="1" t="n">
        <v>45337</v>
      </c>
      <c r="D2087" t="inlineStr">
        <is>
          <t>VÄSTERNORRLANDS LÄN</t>
        </is>
      </c>
      <c r="E2087" t="inlineStr">
        <is>
          <t>SOLLEFTEÅ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33713-2023</t>
        </is>
      </c>
      <c r="B2088" s="1" t="n">
        <v>45133</v>
      </c>
      <c r="C2088" s="1" t="n">
        <v>45337</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33999-2023</t>
        </is>
      </c>
      <c r="B2089" s="1" t="n">
        <v>45134</v>
      </c>
      <c r="C2089" s="1" t="n">
        <v>45337</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34309-2023</t>
        </is>
      </c>
      <c r="B2090" s="1" t="n">
        <v>45139</v>
      </c>
      <c r="C2090" s="1" t="n">
        <v>45337</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34306-2023</t>
        </is>
      </c>
      <c r="B2091" s="1" t="n">
        <v>45138</v>
      </c>
      <c r="C2091" s="1" t="n">
        <v>45337</v>
      </c>
      <c r="D2091" t="inlineStr">
        <is>
          <t>VÄSTERNORRLANDS LÄN</t>
        </is>
      </c>
      <c r="E2091" t="inlineStr">
        <is>
          <t>SOLLEFTEÅ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34310-2023</t>
        </is>
      </c>
      <c r="B2092" s="1" t="n">
        <v>45139</v>
      </c>
      <c r="C2092" s="1" t="n">
        <v>45337</v>
      </c>
      <c r="D2092" t="inlineStr">
        <is>
          <t>VÄSTERNORRLANDS LÄN</t>
        </is>
      </c>
      <c r="E2092" t="inlineStr">
        <is>
          <t>SOLLEFTEÅ</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34308-2023</t>
        </is>
      </c>
      <c r="B2093" s="1" t="n">
        <v>45138</v>
      </c>
      <c r="C2093" s="1" t="n">
        <v>45337</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34329-2023</t>
        </is>
      </c>
      <c r="B2094" s="1" t="n">
        <v>45139</v>
      </c>
      <c r="C2094" s="1" t="n">
        <v>45337</v>
      </c>
      <c r="D2094" t="inlineStr">
        <is>
          <t>VÄSTERNORRLANDS LÄN</t>
        </is>
      </c>
      <c r="E2094" t="inlineStr">
        <is>
          <t>SOLLEFTEÅ</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34330-2023</t>
        </is>
      </c>
      <c r="B2095" s="1" t="n">
        <v>45138</v>
      </c>
      <c r="C2095" s="1" t="n">
        <v>45337</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34328-2023</t>
        </is>
      </c>
      <c r="B2096" s="1" t="n">
        <v>45139</v>
      </c>
      <c r="C2096" s="1" t="n">
        <v>45337</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34307-2023</t>
        </is>
      </c>
      <c r="B2097" s="1" t="n">
        <v>45138</v>
      </c>
      <c r="C2097" s="1" t="n">
        <v>45337</v>
      </c>
      <c r="D2097" t="inlineStr">
        <is>
          <t>VÄSTERNORRLANDS LÄN</t>
        </is>
      </c>
      <c r="E2097" t="inlineStr">
        <is>
          <t>SOLLEFTEÅ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34311-2023</t>
        </is>
      </c>
      <c r="B2098" s="1" t="n">
        <v>45139</v>
      </c>
      <c r="C2098" s="1" t="n">
        <v>45337</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34327-2023</t>
        </is>
      </c>
      <c r="B2099" s="1" t="n">
        <v>45139</v>
      </c>
      <c r="C2099" s="1" t="n">
        <v>45337</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34487-2023</t>
        </is>
      </c>
      <c r="B2100" s="1" t="n">
        <v>45140</v>
      </c>
      <c r="C2100" s="1" t="n">
        <v>45337</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34741-2023</t>
        </is>
      </c>
      <c r="B2101" s="1" t="n">
        <v>45139</v>
      </c>
      <c r="C2101" s="1" t="n">
        <v>45337</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34737-2023</t>
        </is>
      </c>
      <c r="B2102" s="1" t="n">
        <v>45139</v>
      </c>
      <c r="C2102" s="1" t="n">
        <v>45337</v>
      </c>
      <c r="D2102" t="inlineStr">
        <is>
          <t>VÄSTERNORRLANDS LÄN</t>
        </is>
      </c>
      <c r="E2102" t="inlineStr">
        <is>
          <t>SOLLEFTEÅ</t>
        </is>
      </c>
      <c r="F2102" t="inlineStr">
        <is>
          <t>SCA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34687-2023</t>
        </is>
      </c>
      <c r="B2103" s="1" t="n">
        <v>45141</v>
      </c>
      <c r="C2103" s="1" t="n">
        <v>45337</v>
      </c>
      <c r="D2103" t="inlineStr">
        <is>
          <t>VÄSTERNORRLANDS LÄN</t>
        </is>
      </c>
      <c r="E2103" t="inlineStr">
        <is>
          <t>SOLLEFTEÅ</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34699-2023</t>
        </is>
      </c>
      <c r="B2104" s="1" t="n">
        <v>45141</v>
      </c>
      <c r="C2104" s="1" t="n">
        <v>45337</v>
      </c>
      <c r="D2104" t="inlineStr">
        <is>
          <t>VÄSTERNORRLANDS LÄN</t>
        </is>
      </c>
      <c r="E2104" t="inlineStr">
        <is>
          <t>SOLLEFTEÅ</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34686-2023</t>
        </is>
      </c>
      <c r="B2105" s="1" t="n">
        <v>45141</v>
      </c>
      <c r="C2105" s="1" t="n">
        <v>45337</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34696-2023</t>
        </is>
      </c>
      <c r="B2106" s="1" t="n">
        <v>45141</v>
      </c>
      <c r="C2106" s="1" t="n">
        <v>45337</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34983-2023</t>
        </is>
      </c>
      <c r="B2107" s="1" t="n">
        <v>45141</v>
      </c>
      <c r="C2107" s="1" t="n">
        <v>45337</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34848-2023</t>
        </is>
      </c>
      <c r="B2108" s="1" t="n">
        <v>45142</v>
      </c>
      <c r="C2108" s="1" t="n">
        <v>45337</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35147-2023</t>
        </is>
      </c>
      <c r="B2109" s="1" t="n">
        <v>45142</v>
      </c>
      <c r="C2109" s="1" t="n">
        <v>45337</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35276-2023</t>
        </is>
      </c>
      <c r="B2110" s="1" t="n">
        <v>45146</v>
      </c>
      <c r="C2110" s="1" t="n">
        <v>45337</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35295-2023</t>
        </is>
      </c>
      <c r="B2111" s="1" t="n">
        <v>45145</v>
      </c>
      <c r="C2111" s="1" t="n">
        <v>45337</v>
      </c>
      <c r="D2111" t="inlineStr">
        <is>
          <t>VÄSTERNORRLANDS LÄN</t>
        </is>
      </c>
      <c r="E2111" t="inlineStr">
        <is>
          <t>SOLLEFTEÅ</t>
        </is>
      </c>
      <c r="F2111" t="inlineStr">
        <is>
          <t>SCA</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35277-2023</t>
        </is>
      </c>
      <c r="B2112" s="1" t="n">
        <v>45145</v>
      </c>
      <c r="C2112" s="1" t="n">
        <v>45337</v>
      </c>
      <c r="D2112" t="inlineStr">
        <is>
          <t>VÄSTERNORRLANDS LÄN</t>
        </is>
      </c>
      <c r="E2112" t="inlineStr">
        <is>
          <t>SOLLEFTEÅ</t>
        </is>
      </c>
      <c r="F2112" t="inlineStr">
        <is>
          <t>SCA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35352-2023</t>
        </is>
      </c>
      <c r="B2113" s="1" t="n">
        <v>45145</v>
      </c>
      <c r="C2113" s="1" t="n">
        <v>45337</v>
      </c>
      <c r="D2113" t="inlineStr">
        <is>
          <t>VÄSTERNORRLANDS LÄN</t>
        </is>
      </c>
      <c r="E2113" t="inlineStr">
        <is>
          <t>SOLLEFTEÅ</t>
        </is>
      </c>
      <c r="F2113" t="inlineStr">
        <is>
          <t>SCA</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35470-2023</t>
        </is>
      </c>
      <c r="B2114" s="1" t="n">
        <v>45146</v>
      </c>
      <c r="C2114" s="1" t="n">
        <v>45337</v>
      </c>
      <c r="D2114" t="inlineStr">
        <is>
          <t>VÄSTERNORRLANDS LÄN</t>
        </is>
      </c>
      <c r="E2114" t="inlineStr">
        <is>
          <t>SOLLEFTEÅ</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35511-2023</t>
        </is>
      </c>
      <c r="B2115" s="1" t="n">
        <v>45146</v>
      </c>
      <c r="C2115" s="1" t="n">
        <v>45337</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35505-2023</t>
        </is>
      </c>
      <c r="B2116" s="1" t="n">
        <v>45147</v>
      </c>
      <c r="C2116" s="1" t="n">
        <v>45337</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35509-2023</t>
        </is>
      </c>
      <c r="B2117" s="1" t="n">
        <v>45147</v>
      </c>
      <c r="C2117" s="1" t="n">
        <v>45337</v>
      </c>
      <c r="D2117" t="inlineStr">
        <is>
          <t>VÄSTERNORRLANDS LÄN</t>
        </is>
      </c>
      <c r="E2117" t="inlineStr">
        <is>
          <t>SOLLEFTEÅ</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35569-2023</t>
        </is>
      </c>
      <c r="B2118" s="1" t="n">
        <v>45147</v>
      </c>
      <c r="C2118" s="1" t="n">
        <v>45337</v>
      </c>
      <c r="D2118" t="inlineStr">
        <is>
          <t>VÄSTERNORRLANDS LÄN</t>
        </is>
      </c>
      <c r="E2118" t="inlineStr">
        <is>
          <t>SOLLEFTEÅ</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35746-2023</t>
        </is>
      </c>
      <c r="B2119" s="1" t="n">
        <v>45148</v>
      </c>
      <c r="C2119" s="1" t="n">
        <v>45337</v>
      </c>
      <c r="D2119" t="inlineStr">
        <is>
          <t>VÄSTERNORRLANDS LÄN</t>
        </is>
      </c>
      <c r="E2119" t="inlineStr">
        <is>
          <t>SOLLEFTEÅ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35556-2023</t>
        </is>
      </c>
      <c r="B2120" s="1" t="n">
        <v>45147</v>
      </c>
      <c r="C2120" s="1" t="n">
        <v>45337</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35764-2023</t>
        </is>
      </c>
      <c r="B2121" s="1" t="n">
        <v>45147</v>
      </c>
      <c r="C2121" s="1" t="n">
        <v>45337</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35745-2023</t>
        </is>
      </c>
      <c r="B2122" s="1" t="n">
        <v>45148</v>
      </c>
      <c r="C2122" s="1" t="n">
        <v>45337</v>
      </c>
      <c r="D2122" t="inlineStr">
        <is>
          <t>VÄSTERNORRLANDS LÄN</t>
        </is>
      </c>
      <c r="E2122" t="inlineStr">
        <is>
          <t>SOLLEFTEÅ</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35761-2023</t>
        </is>
      </c>
      <c r="B2123" s="1" t="n">
        <v>45148</v>
      </c>
      <c r="C2123" s="1" t="n">
        <v>45337</v>
      </c>
      <c r="D2123" t="inlineStr">
        <is>
          <t>VÄSTERNORRLANDS LÄN</t>
        </is>
      </c>
      <c r="E2123" t="inlineStr">
        <is>
          <t>SOLLEFTEÅ</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35945-2023</t>
        </is>
      </c>
      <c r="B2124" s="1" t="n">
        <v>45148</v>
      </c>
      <c r="C2124" s="1" t="n">
        <v>45337</v>
      </c>
      <c r="D2124" t="inlineStr">
        <is>
          <t>VÄSTERNORRLANDS LÄN</t>
        </is>
      </c>
      <c r="E2124" t="inlineStr">
        <is>
          <t>SOLLEFTEÅ</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35980-2023</t>
        </is>
      </c>
      <c r="B2125" s="1" t="n">
        <v>45149</v>
      </c>
      <c r="C2125" s="1" t="n">
        <v>45337</v>
      </c>
      <c r="D2125" t="inlineStr">
        <is>
          <t>VÄSTERNORRLANDS LÄN</t>
        </is>
      </c>
      <c r="E2125" t="inlineStr">
        <is>
          <t>SOLLEFTEÅ</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35975-2023</t>
        </is>
      </c>
      <c r="B2126" s="1" t="n">
        <v>45148</v>
      </c>
      <c r="C2126" s="1" t="n">
        <v>45337</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35974-2023</t>
        </is>
      </c>
      <c r="B2127" s="1" t="n">
        <v>45148</v>
      </c>
      <c r="C2127" s="1" t="n">
        <v>45337</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35978-2023</t>
        </is>
      </c>
      <c r="B2128" s="1" t="n">
        <v>45148</v>
      </c>
      <c r="C2128" s="1" t="n">
        <v>45337</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35977-2023</t>
        </is>
      </c>
      <c r="B2129" s="1" t="n">
        <v>45149</v>
      </c>
      <c r="C2129" s="1" t="n">
        <v>45337</v>
      </c>
      <c r="D2129" t="inlineStr">
        <is>
          <t>VÄSTERNORRLANDS LÄN</t>
        </is>
      </c>
      <c r="E2129" t="inlineStr">
        <is>
          <t>SOLLEFTEÅ</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36211-2023</t>
        </is>
      </c>
      <c r="B2130" s="1" t="n">
        <v>45150</v>
      </c>
      <c r="C2130" s="1" t="n">
        <v>45337</v>
      </c>
      <c r="D2130" t="inlineStr">
        <is>
          <t>VÄSTERNORRLANDS LÄN</t>
        </is>
      </c>
      <c r="E2130" t="inlineStr">
        <is>
          <t>SOLLEFTEÅ</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36222-2023</t>
        </is>
      </c>
      <c r="B2131" s="1" t="n">
        <v>45150</v>
      </c>
      <c r="C2131" s="1" t="n">
        <v>45337</v>
      </c>
      <c r="D2131" t="inlineStr">
        <is>
          <t>VÄSTERNORRLANDS LÄN</t>
        </is>
      </c>
      <c r="E2131" t="inlineStr">
        <is>
          <t>SOLLEFTEÅ</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36511-2023</t>
        </is>
      </c>
      <c r="B2132" s="1" t="n">
        <v>45153</v>
      </c>
      <c r="C2132" s="1" t="n">
        <v>45337</v>
      </c>
      <c r="D2132" t="inlineStr">
        <is>
          <t>VÄSTERNORRLANDS LÄN</t>
        </is>
      </c>
      <c r="E2132" t="inlineStr">
        <is>
          <t>SOLLEFTEÅ</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36514-2023</t>
        </is>
      </c>
      <c r="B2133" s="1" t="n">
        <v>45153</v>
      </c>
      <c r="C2133" s="1" t="n">
        <v>45337</v>
      </c>
      <c r="D2133" t="inlineStr">
        <is>
          <t>VÄSTERNORRLANDS LÄN</t>
        </is>
      </c>
      <c r="E2133" t="inlineStr">
        <is>
          <t>SOLLEFTEÅ</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36508-2023</t>
        </is>
      </c>
      <c r="B2134" s="1" t="n">
        <v>45153</v>
      </c>
      <c r="C2134" s="1" t="n">
        <v>45337</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36512-2023</t>
        </is>
      </c>
      <c r="B2135" s="1" t="n">
        <v>45152</v>
      </c>
      <c r="C2135" s="1" t="n">
        <v>45337</v>
      </c>
      <c r="D2135" t="inlineStr">
        <is>
          <t>VÄSTERNORRLANDS LÄN</t>
        </is>
      </c>
      <c r="E2135" t="inlineStr">
        <is>
          <t>SOLLEFTEÅ</t>
        </is>
      </c>
      <c r="F2135" t="inlineStr">
        <is>
          <t>SCA</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36513-2023</t>
        </is>
      </c>
      <c r="B2136" s="1" t="n">
        <v>45153</v>
      </c>
      <c r="C2136" s="1" t="n">
        <v>45337</v>
      </c>
      <c r="D2136" t="inlineStr">
        <is>
          <t>VÄSTERNORRLANDS LÄN</t>
        </is>
      </c>
      <c r="E2136" t="inlineStr">
        <is>
          <t>SOLLEFTEÅ</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36770-2023</t>
        </is>
      </c>
      <c r="B2137" s="1" t="n">
        <v>45153</v>
      </c>
      <c r="C2137" s="1" t="n">
        <v>45337</v>
      </c>
      <c r="D2137" t="inlineStr">
        <is>
          <t>VÄSTERNORRLANDS LÄN</t>
        </is>
      </c>
      <c r="E2137" t="inlineStr">
        <is>
          <t>SOLLEFTEÅ</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36771-2023</t>
        </is>
      </c>
      <c r="B2138" s="1" t="n">
        <v>45153</v>
      </c>
      <c r="C2138" s="1" t="n">
        <v>45337</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36944-2023</t>
        </is>
      </c>
      <c r="B2139" s="1" t="n">
        <v>45154</v>
      </c>
      <c r="C2139" s="1" t="n">
        <v>45337</v>
      </c>
      <c r="D2139" t="inlineStr">
        <is>
          <t>VÄSTERNORRLANDS LÄN</t>
        </is>
      </c>
      <c r="E2139" t="inlineStr">
        <is>
          <t>SOLLEFTEÅ</t>
        </is>
      </c>
      <c r="F2139" t="inlineStr">
        <is>
          <t>Övriga Aktiebolag</t>
        </is>
      </c>
      <c r="G2139" t="n">
        <v>16.9</v>
      </c>
      <c r="H2139" t="n">
        <v>0</v>
      </c>
      <c r="I2139" t="n">
        <v>0</v>
      </c>
      <c r="J2139" t="n">
        <v>0</v>
      </c>
      <c r="K2139" t="n">
        <v>0</v>
      </c>
      <c r="L2139" t="n">
        <v>0</v>
      </c>
      <c r="M2139" t="n">
        <v>0</v>
      </c>
      <c r="N2139" t="n">
        <v>0</v>
      </c>
      <c r="O2139" t="n">
        <v>0</v>
      </c>
      <c r="P2139" t="n">
        <v>0</v>
      </c>
      <c r="Q2139" t="n">
        <v>0</v>
      </c>
      <c r="R2139" s="2" t="inlineStr"/>
    </row>
    <row r="2140" ht="15" customHeight="1">
      <c r="A2140" t="inlineStr">
        <is>
          <t>A 36976-2023</t>
        </is>
      </c>
      <c r="B2140" s="1" t="n">
        <v>45155</v>
      </c>
      <c r="C2140" s="1" t="n">
        <v>45337</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36977-2023</t>
        </is>
      </c>
      <c r="B2141" s="1" t="n">
        <v>45155</v>
      </c>
      <c r="C2141" s="1" t="n">
        <v>45337</v>
      </c>
      <c r="D2141" t="inlineStr">
        <is>
          <t>VÄSTERNORRLANDS LÄN</t>
        </is>
      </c>
      <c r="E2141" t="inlineStr">
        <is>
          <t>SOLLEFTEÅ</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36967-2023</t>
        </is>
      </c>
      <c r="B2142" s="1" t="n">
        <v>45155</v>
      </c>
      <c r="C2142" s="1" t="n">
        <v>45337</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37269-2023</t>
        </is>
      </c>
      <c r="B2143" s="1" t="n">
        <v>45155</v>
      </c>
      <c r="C2143" s="1" t="n">
        <v>45337</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37412-2023</t>
        </is>
      </c>
      <c r="B2144" s="1" t="n">
        <v>45155</v>
      </c>
      <c r="C2144" s="1" t="n">
        <v>45337</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37270-2023</t>
        </is>
      </c>
      <c r="B2145" s="1" t="n">
        <v>45155</v>
      </c>
      <c r="C2145" s="1" t="n">
        <v>45337</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37381-2023</t>
        </is>
      </c>
      <c r="B2146" s="1" t="n">
        <v>45155</v>
      </c>
      <c r="C2146" s="1" t="n">
        <v>45337</v>
      </c>
      <c r="D2146" t="inlineStr">
        <is>
          <t>VÄSTERNORRLANDS LÄN</t>
        </is>
      </c>
      <c r="E2146" t="inlineStr">
        <is>
          <t>SOLLEFTEÅ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37484-2023</t>
        </is>
      </c>
      <c r="B2147" s="1" t="n">
        <v>45156</v>
      </c>
      <c r="C2147" s="1" t="n">
        <v>45337</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37615-2023</t>
        </is>
      </c>
      <c r="B2148" s="1" t="n">
        <v>45156</v>
      </c>
      <c r="C2148" s="1" t="n">
        <v>45337</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37711-2023</t>
        </is>
      </c>
      <c r="B2149" s="1" t="n">
        <v>45156</v>
      </c>
      <c r="C2149" s="1" t="n">
        <v>45337</v>
      </c>
      <c r="D2149" t="inlineStr">
        <is>
          <t>VÄSTERNORRLANDS LÄN</t>
        </is>
      </c>
      <c r="E2149" t="inlineStr">
        <is>
          <t>SOLLEFTEÅ</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37735-2023</t>
        </is>
      </c>
      <c r="B2150" s="1" t="n">
        <v>45156</v>
      </c>
      <c r="C2150" s="1" t="n">
        <v>45337</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37486-2023</t>
        </is>
      </c>
      <c r="B2151" s="1" t="n">
        <v>45157</v>
      </c>
      <c r="C2151" s="1" t="n">
        <v>45337</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37691-2023</t>
        </is>
      </c>
      <c r="B2152" s="1" t="n">
        <v>45156</v>
      </c>
      <c r="C2152" s="1" t="n">
        <v>45337</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37722-2023</t>
        </is>
      </c>
      <c r="B2153" s="1" t="n">
        <v>45156</v>
      </c>
      <c r="C2153" s="1" t="n">
        <v>45337</v>
      </c>
      <c r="D2153" t="inlineStr">
        <is>
          <t>VÄSTERNORRLANDS LÄN</t>
        </is>
      </c>
      <c r="E2153" t="inlineStr">
        <is>
          <t>SOLLEFTEÅ</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37611-2023</t>
        </is>
      </c>
      <c r="B2154" s="1" t="n">
        <v>45156</v>
      </c>
      <c r="C2154" s="1" t="n">
        <v>45337</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37671-2023</t>
        </is>
      </c>
      <c r="B2155" s="1" t="n">
        <v>45156</v>
      </c>
      <c r="C2155" s="1" t="n">
        <v>45337</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37696-2023</t>
        </is>
      </c>
      <c r="B2156" s="1" t="n">
        <v>45156</v>
      </c>
      <c r="C2156" s="1" t="n">
        <v>45337</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37726-2023</t>
        </is>
      </c>
      <c r="B2157" s="1" t="n">
        <v>45156</v>
      </c>
      <c r="C2157" s="1" t="n">
        <v>45337</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37483-2023</t>
        </is>
      </c>
      <c r="B2158" s="1" t="n">
        <v>45157</v>
      </c>
      <c r="C2158" s="1" t="n">
        <v>45337</v>
      </c>
      <c r="D2158" t="inlineStr">
        <is>
          <t>VÄSTERNORRLANDS LÄN</t>
        </is>
      </c>
      <c r="E2158" t="inlineStr">
        <is>
          <t>SOLLEFTEÅ</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37487-2023</t>
        </is>
      </c>
      <c r="B2159" s="1" t="n">
        <v>45157</v>
      </c>
      <c r="C2159" s="1" t="n">
        <v>45337</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37699-2023</t>
        </is>
      </c>
      <c r="B2160" s="1" t="n">
        <v>45156</v>
      </c>
      <c r="C2160" s="1" t="n">
        <v>45337</v>
      </c>
      <c r="D2160" t="inlineStr">
        <is>
          <t>VÄSTERNORRLANDS LÄN</t>
        </is>
      </c>
      <c r="E2160" t="inlineStr">
        <is>
          <t>SOLLEFTEÅ</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37731-2023</t>
        </is>
      </c>
      <c r="B2161" s="1" t="n">
        <v>45156</v>
      </c>
      <c r="C2161" s="1" t="n">
        <v>45337</v>
      </c>
      <c r="D2161" t="inlineStr">
        <is>
          <t>VÄSTERNORRLANDS LÄN</t>
        </is>
      </c>
      <c r="E2161" t="inlineStr">
        <is>
          <t>SOLLEFTEÅ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37807-2023</t>
        </is>
      </c>
      <c r="B2162" s="1" t="n">
        <v>45160</v>
      </c>
      <c r="C2162" s="1" t="n">
        <v>45337</v>
      </c>
      <c r="D2162" t="inlineStr">
        <is>
          <t>VÄSTERNORRLANDS LÄN</t>
        </is>
      </c>
      <c r="E2162" t="inlineStr">
        <is>
          <t>SOLLEFTEÅ</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38093-2023</t>
        </is>
      </c>
      <c r="B2163" s="1" t="n">
        <v>45160</v>
      </c>
      <c r="C2163" s="1" t="n">
        <v>45337</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38097-2023</t>
        </is>
      </c>
      <c r="B2164" s="1" t="n">
        <v>45160</v>
      </c>
      <c r="C2164" s="1" t="n">
        <v>45337</v>
      </c>
      <c r="D2164" t="inlineStr">
        <is>
          <t>VÄSTERNORRLANDS LÄN</t>
        </is>
      </c>
      <c r="E2164" t="inlineStr">
        <is>
          <t>SOLLEFTEÅ</t>
        </is>
      </c>
      <c r="F2164" t="inlineStr">
        <is>
          <t>SCA</t>
        </is>
      </c>
      <c r="G2164" t="n">
        <v>47.1</v>
      </c>
      <c r="H2164" t="n">
        <v>0</v>
      </c>
      <c r="I2164" t="n">
        <v>0</v>
      </c>
      <c r="J2164" t="n">
        <v>0</v>
      </c>
      <c r="K2164" t="n">
        <v>0</v>
      </c>
      <c r="L2164" t="n">
        <v>0</v>
      </c>
      <c r="M2164" t="n">
        <v>0</v>
      </c>
      <c r="N2164" t="n">
        <v>0</v>
      </c>
      <c r="O2164" t="n">
        <v>0</v>
      </c>
      <c r="P2164" t="n">
        <v>0</v>
      </c>
      <c r="Q2164" t="n">
        <v>0</v>
      </c>
      <c r="R2164" s="2" t="inlineStr"/>
    </row>
    <row r="2165" ht="15" customHeight="1">
      <c r="A2165" t="inlineStr">
        <is>
          <t>A 38092-2023</t>
        </is>
      </c>
      <c r="B2165" s="1" t="n">
        <v>45161</v>
      </c>
      <c r="C2165" s="1" t="n">
        <v>45337</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38100-2023</t>
        </is>
      </c>
      <c r="B2166" s="1" t="n">
        <v>45161</v>
      </c>
      <c r="C2166" s="1" t="n">
        <v>45337</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38375-2023</t>
        </is>
      </c>
      <c r="B2167" s="1" t="n">
        <v>45161</v>
      </c>
      <c r="C2167" s="1" t="n">
        <v>45337</v>
      </c>
      <c r="D2167" t="inlineStr">
        <is>
          <t>VÄSTERNORRLANDS LÄN</t>
        </is>
      </c>
      <c r="E2167" t="inlineStr">
        <is>
          <t>SOLLEFTEÅ</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39077-2023</t>
        </is>
      </c>
      <c r="B2168" s="1" t="n">
        <v>45164</v>
      </c>
      <c r="C2168" s="1" t="n">
        <v>45337</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39399-2023</t>
        </is>
      </c>
      <c r="B2169" s="1" t="n">
        <v>45163</v>
      </c>
      <c r="C2169" s="1" t="n">
        <v>45337</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39058-2023</t>
        </is>
      </c>
      <c r="B2170" s="1" t="n">
        <v>45164</v>
      </c>
      <c r="C2170" s="1" t="n">
        <v>45337</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39379-2023</t>
        </is>
      </c>
      <c r="B2171" s="1" t="n">
        <v>45163</v>
      </c>
      <c r="C2171" s="1" t="n">
        <v>45337</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39496-2023</t>
        </is>
      </c>
      <c r="B2172" s="1" t="n">
        <v>45167</v>
      </c>
      <c r="C2172" s="1" t="n">
        <v>45337</v>
      </c>
      <c r="D2172" t="inlineStr">
        <is>
          <t>VÄSTERNORRLANDS LÄN</t>
        </is>
      </c>
      <c r="E2172" t="inlineStr">
        <is>
          <t>SOLLEFTEÅ</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39497-2023</t>
        </is>
      </c>
      <c r="B2173" s="1" t="n">
        <v>45167</v>
      </c>
      <c r="C2173" s="1" t="n">
        <v>45337</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39727-2023</t>
        </is>
      </c>
      <c r="B2174" s="1" t="n">
        <v>45166</v>
      </c>
      <c r="C2174" s="1" t="n">
        <v>45337</v>
      </c>
      <c r="D2174" t="inlineStr">
        <is>
          <t>VÄSTERNORRLANDS LÄN</t>
        </is>
      </c>
      <c r="E2174" t="inlineStr">
        <is>
          <t>SOLLEFTEÅ</t>
        </is>
      </c>
      <c r="F2174" t="inlineStr">
        <is>
          <t>SCA</t>
        </is>
      </c>
      <c r="G2174" t="n">
        <v>45.3</v>
      </c>
      <c r="H2174" t="n">
        <v>0</v>
      </c>
      <c r="I2174" t="n">
        <v>0</v>
      </c>
      <c r="J2174" t="n">
        <v>0</v>
      </c>
      <c r="K2174" t="n">
        <v>0</v>
      </c>
      <c r="L2174" t="n">
        <v>0</v>
      </c>
      <c r="M2174" t="n">
        <v>0</v>
      </c>
      <c r="N2174" t="n">
        <v>0</v>
      </c>
      <c r="O2174" t="n">
        <v>0</v>
      </c>
      <c r="P2174" t="n">
        <v>0</v>
      </c>
      <c r="Q2174" t="n">
        <v>0</v>
      </c>
      <c r="R2174" s="2" t="inlineStr"/>
    </row>
    <row r="2175" ht="15" customHeight="1">
      <c r="A2175" t="inlineStr">
        <is>
          <t>A 39495-2023</t>
        </is>
      </c>
      <c r="B2175" s="1" t="n">
        <v>45167</v>
      </c>
      <c r="C2175" s="1" t="n">
        <v>45337</v>
      </c>
      <c r="D2175" t="inlineStr">
        <is>
          <t>VÄSTERNORRLANDS LÄN</t>
        </is>
      </c>
      <c r="E2175" t="inlineStr">
        <is>
          <t>SOLLEFTEÅ</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40098-2023</t>
        </is>
      </c>
      <c r="B2176" s="1" t="n">
        <v>45169</v>
      </c>
      <c r="C2176" s="1" t="n">
        <v>45337</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40099-2023</t>
        </is>
      </c>
      <c r="B2177" s="1" t="n">
        <v>45169</v>
      </c>
      <c r="C2177" s="1" t="n">
        <v>45337</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40115-2023</t>
        </is>
      </c>
      <c r="B2178" s="1" t="n">
        <v>45169</v>
      </c>
      <c r="C2178" s="1" t="n">
        <v>45337</v>
      </c>
      <c r="D2178" t="inlineStr">
        <is>
          <t>VÄSTERNORRLANDS LÄN</t>
        </is>
      </c>
      <c r="E2178" t="inlineStr">
        <is>
          <t>SOLLEFTEÅ</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40202-2023</t>
        </is>
      </c>
      <c r="B2179" s="1" t="n">
        <v>45169</v>
      </c>
      <c r="C2179" s="1" t="n">
        <v>45337</v>
      </c>
      <c r="D2179" t="inlineStr">
        <is>
          <t>VÄSTERNORRLANDS LÄN</t>
        </is>
      </c>
      <c r="E2179" t="inlineStr">
        <is>
          <t>SOLLEFTEÅ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40403-2023</t>
        </is>
      </c>
      <c r="B2180" s="1" t="n">
        <v>45170</v>
      </c>
      <c r="C2180" s="1" t="n">
        <v>45337</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40404-2023</t>
        </is>
      </c>
      <c r="B2181" s="1" t="n">
        <v>45170</v>
      </c>
      <c r="C2181" s="1" t="n">
        <v>45337</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40429-2023</t>
        </is>
      </c>
      <c r="B2182" s="1" t="n">
        <v>45169</v>
      </c>
      <c r="C2182" s="1" t="n">
        <v>45337</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40421-2023</t>
        </is>
      </c>
      <c r="B2183" s="1" t="n">
        <v>45170</v>
      </c>
      <c r="C2183" s="1" t="n">
        <v>45337</v>
      </c>
      <c r="D2183" t="inlineStr">
        <is>
          <t>VÄSTERNORRLANDS LÄN</t>
        </is>
      </c>
      <c r="E2183" t="inlineStr">
        <is>
          <t>SOLLEFTEÅ</t>
        </is>
      </c>
      <c r="F2183" t="inlineStr">
        <is>
          <t>SCA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40766-2023</t>
        </is>
      </c>
      <c r="B2184" s="1" t="n">
        <v>45170</v>
      </c>
      <c r="C2184" s="1" t="n">
        <v>45337</v>
      </c>
      <c r="D2184" t="inlineStr">
        <is>
          <t>VÄSTERNORRLANDS LÄN</t>
        </is>
      </c>
      <c r="E2184" t="inlineStr">
        <is>
          <t>SOLLEFTEÅ</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40764-2023</t>
        </is>
      </c>
      <c r="B2185" s="1" t="n">
        <v>45170</v>
      </c>
      <c r="C2185" s="1" t="n">
        <v>45337</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41145-2023</t>
        </is>
      </c>
      <c r="B2186" s="1" t="n">
        <v>45174</v>
      </c>
      <c r="C2186" s="1" t="n">
        <v>45337</v>
      </c>
      <c r="D2186" t="inlineStr">
        <is>
          <t>VÄSTERNORRLANDS LÄN</t>
        </is>
      </c>
      <c r="E2186" t="inlineStr">
        <is>
          <t>SOLLEFTEÅ</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41146-2023</t>
        </is>
      </c>
      <c r="B2187" s="1" t="n">
        <v>45174</v>
      </c>
      <c r="C2187" s="1" t="n">
        <v>45337</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41143-2023</t>
        </is>
      </c>
      <c r="B2188" s="1" t="n">
        <v>45174</v>
      </c>
      <c r="C2188" s="1" t="n">
        <v>45337</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41257-2023</t>
        </is>
      </c>
      <c r="B2189" s="1" t="n">
        <v>45174</v>
      </c>
      <c r="C2189" s="1" t="n">
        <v>45337</v>
      </c>
      <c r="D2189" t="inlineStr">
        <is>
          <t>VÄSTERNORRLANDS LÄN</t>
        </is>
      </c>
      <c r="E2189" t="inlineStr">
        <is>
          <t>SOLLEFTEÅ</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41655-2023</t>
        </is>
      </c>
      <c r="B2190" s="1" t="n">
        <v>45176</v>
      </c>
      <c r="C2190" s="1" t="n">
        <v>45337</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41933-2023</t>
        </is>
      </c>
      <c r="B2191" s="1" t="n">
        <v>45177</v>
      </c>
      <c r="C2191" s="1" t="n">
        <v>45337</v>
      </c>
      <c r="D2191" t="inlineStr">
        <is>
          <t>VÄSTERNORRLANDS LÄN</t>
        </is>
      </c>
      <c r="E2191" t="inlineStr">
        <is>
          <t>SOLLEFTEÅ</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41924-2023</t>
        </is>
      </c>
      <c r="B2192" s="1" t="n">
        <v>45176</v>
      </c>
      <c r="C2192" s="1" t="n">
        <v>45337</v>
      </c>
      <c r="D2192" t="inlineStr">
        <is>
          <t>VÄSTERNORRLANDS LÄN</t>
        </is>
      </c>
      <c r="E2192" t="inlineStr">
        <is>
          <t>SOLLEFTEÅ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42150-2023</t>
        </is>
      </c>
      <c r="B2193" s="1" t="n">
        <v>45178</v>
      </c>
      <c r="C2193" s="1" t="n">
        <v>45337</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42162-2023</t>
        </is>
      </c>
      <c r="B2194" s="1" t="n">
        <v>45178</v>
      </c>
      <c r="C2194" s="1" t="n">
        <v>45337</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42140-2023</t>
        </is>
      </c>
      <c r="B2195" s="1" t="n">
        <v>45178</v>
      </c>
      <c r="C2195" s="1" t="n">
        <v>45337</v>
      </c>
      <c r="D2195" t="inlineStr">
        <is>
          <t>VÄSTERNORRLANDS LÄN</t>
        </is>
      </c>
      <c r="E2195" t="inlineStr">
        <is>
          <t>SOLLEFTEÅ</t>
        </is>
      </c>
      <c r="G2195" t="n">
        <v>13.3</v>
      </c>
      <c r="H2195" t="n">
        <v>0</v>
      </c>
      <c r="I2195" t="n">
        <v>0</v>
      </c>
      <c r="J2195" t="n">
        <v>0</v>
      </c>
      <c r="K2195" t="n">
        <v>0</v>
      </c>
      <c r="L2195" t="n">
        <v>0</v>
      </c>
      <c r="M2195" t="n">
        <v>0</v>
      </c>
      <c r="N2195" t="n">
        <v>0</v>
      </c>
      <c r="O2195" t="n">
        <v>0</v>
      </c>
      <c r="P2195" t="n">
        <v>0</v>
      </c>
      <c r="Q2195" t="n">
        <v>0</v>
      </c>
      <c r="R2195" s="2" t="inlineStr"/>
    </row>
    <row r="2196" ht="15" customHeight="1">
      <c r="A2196" t="inlineStr">
        <is>
          <t>A 42160-2023</t>
        </is>
      </c>
      <c r="B2196" s="1" t="n">
        <v>45177</v>
      </c>
      <c r="C2196" s="1" t="n">
        <v>45337</v>
      </c>
      <c r="D2196" t="inlineStr">
        <is>
          <t>VÄSTERNORRLANDS LÄN</t>
        </is>
      </c>
      <c r="E2196" t="inlineStr">
        <is>
          <t>SOLLEFTEÅ</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42164-2023</t>
        </is>
      </c>
      <c r="B2197" s="1" t="n">
        <v>45178</v>
      </c>
      <c r="C2197" s="1" t="n">
        <v>45337</v>
      </c>
      <c r="D2197" t="inlineStr">
        <is>
          <t>VÄSTERNORRLANDS LÄN</t>
        </is>
      </c>
      <c r="E2197" t="inlineStr">
        <is>
          <t>SOLLEFTEÅ</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42147-2023</t>
        </is>
      </c>
      <c r="B2198" s="1" t="n">
        <v>45177</v>
      </c>
      <c r="C2198" s="1" t="n">
        <v>45337</v>
      </c>
      <c r="D2198" t="inlineStr">
        <is>
          <t>VÄSTERNORRLANDS LÄN</t>
        </is>
      </c>
      <c r="E2198" t="inlineStr">
        <is>
          <t>SOLLEFTEÅ</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42440-2023</t>
        </is>
      </c>
      <c r="B2199" s="1" t="n">
        <v>45180</v>
      </c>
      <c r="C2199" s="1" t="n">
        <v>45337</v>
      </c>
      <c r="D2199" t="inlineStr">
        <is>
          <t>VÄSTERNORRLANDS LÄN</t>
        </is>
      </c>
      <c r="E2199" t="inlineStr">
        <is>
          <t>SOLLEFTEÅ</t>
        </is>
      </c>
      <c r="F2199" t="inlineStr">
        <is>
          <t>Holmen skog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42514-2023</t>
        </is>
      </c>
      <c r="B2200" s="1" t="n">
        <v>45181</v>
      </c>
      <c r="C2200" s="1" t="n">
        <v>45337</v>
      </c>
      <c r="D2200" t="inlineStr">
        <is>
          <t>VÄSTERNORRLANDS LÄN</t>
        </is>
      </c>
      <c r="E2200" t="inlineStr">
        <is>
          <t>SOLLEFTEÅ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42512-2023</t>
        </is>
      </c>
      <c r="B2201" s="1" t="n">
        <v>45181</v>
      </c>
      <c r="C2201" s="1" t="n">
        <v>45337</v>
      </c>
      <c r="D2201" t="inlineStr">
        <is>
          <t>VÄSTERNORRLANDS LÄN</t>
        </is>
      </c>
      <c r="E2201" t="inlineStr">
        <is>
          <t>SOLLEFTEÅ</t>
        </is>
      </c>
      <c r="F2201" t="inlineStr">
        <is>
          <t>SCA</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43487-2023</t>
        </is>
      </c>
      <c r="B2202" s="1" t="n">
        <v>45181</v>
      </c>
      <c r="C2202" s="1" t="n">
        <v>45337</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43177-2023</t>
        </is>
      </c>
      <c r="B2203" s="1" t="n">
        <v>45181</v>
      </c>
      <c r="C2203" s="1" t="n">
        <v>45337</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43512-2023</t>
        </is>
      </c>
      <c r="B2204" s="1" t="n">
        <v>45181</v>
      </c>
      <c r="C2204" s="1" t="n">
        <v>45337</v>
      </c>
      <c r="D2204" t="inlineStr">
        <is>
          <t>VÄSTERNORRLANDS LÄN</t>
        </is>
      </c>
      <c r="E2204" t="inlineStr">
        <is>
          <t>SOLLEFTEÅ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44533-2023</t>
        </is>
      </c>
      <c r="B2205" s="1" t="n">
        <v>45183</v>
      </c>
      <c r="C2205" s="1" t="n">
        <v>45337</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43531-2023</t>
        </is>
      </c>
      <c r="B2206" s="1" t="n">
        <v>45184</v>
      </c>
      <c r="C2206" s="1" t="n">
        <v>45337</v>
      </c>
      <c r="D2206" t="inlineStr">
        <is>
          <t>VÄSTERNORRLANDS LÄN</t>
        </is>
      </c>
      <c r="E2206" t="inlineStr">
        <is>
          <t>SOLLEFTEÅ</t>
        </is>
      </c>
      <c r="F2206" t="inlineStr">
        <is>
          <t>Holmen skog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43504-2023</t>
        </is>
      </c>
      <c r="B2207" s="1" t="n">
        <v>45184</v>
      </c>
      <c r="C2207" s="1" t="n">
        <v>45337</v>
      </c>
      <c r="D2207" t="inlineStr">
        <is>
          <t>VÄSTERNORRLANDS LÄN</t>
        </is>
      </c>
      <c r="E2207" t="inlineStr">
        <is>
          <t>SOLLEFTEÅ</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43954-2023</t>
        </is>
      </c>
      <c r="B2208" s="1" t="n">
        <v>45187</v>
      </c>
      <c r="C2208" s="1" t="n">
        <v>45337</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45193-2023</t>
        </is>
      </c>
      <c r="B2209" s="1" t="n">
        <v>45187</v>
      </c>
      <c r="C2209" s="1" t="n">
        <v>45337</v>
      </c>
      <c r="D2209" t="inlineStr">
        <is>
          <t>VÄSTERNORRLANDS LÄN</t>
        </is>
      </c>
      <c r="E2209" t="inlineStr">
        <is>
          <t>SOLLEFTEÅ</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44389-2023</t>
        </is>
      </c>
      <c r="B2210" s="1" t="n">
        <v>45189</v>
      </c>
      <c r="C2210" s="1" t="n">
        <v>45337</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44393-2023</t>
        </is>
      </c>
      <c r="B2211" s="1" t="n">
        <v>45189</v>
      </c>
      <c r="C2211" s="1" t="n">
        <v>45337</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44388-2023</t>
        </is>
      </c>
      <c r="B2212" s="1" t="n">
        <v>45189</v>
      </c>
      <c r="C2212" s="1" t="n">
        <v>45337</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44392-2023</t>
        </is>
      </c>
      <c r="B2213" s="1" t="n">
        <v>45189</v>
      </c>
      <c r="C2213" s="1" t="n">
        <v>45337</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44408-2023</t>
        </is>
      </c>
      <c r="B2214" s="1" t="n">
        <v>45189</v>
      </c>
      <c r="C2214" s="1" t="n">
        <v>45337</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44391-2023</t>
        </is>
      </c>
      <c r="B2215" s="1" t="n">
        <v>45189</v>
      </c>
      <c r="C2215" s="1" t="n">
        <v>45337</v>
      </c>
      <c r="D2215" t="inlineStr">
        <is>
          <t>VÄSTERNORRLANDS LÄN</t>
        </is>
      </c>
      <c r="E2215" t="inlineStr">
        <is>
          <t>SOLLEFTEÅ</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44407-2023</t>
        </is>
      </c>
      <c r="B2216" s="1" t="n">
        <v>45189</v>
      </c>
      <c r="C2216" s="1" t="n">
        <v>45337</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45644-2023</t>
        </is>
      </c>
      <c r="B2217" s="1" t="n">
        <v>45188</v>
      </c>
      <c r="C2217" s="1" t="n">
        <v>45337</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c r="U2217">
        <f>HYPERLINK("https://klasma.github.io/Logging_2283/knärot/A 45644-2023 karta knärot.png", "A 45644-2023")</f>
        <v/>
      </c>
      <c r="V2217">
        <f>HYPERLINK("https://klasma.github.io/Logging_2283/klagomål/A 45644-2023 FSC-klagomål.docx", "A 45644-2023")</f>
        <v/>
      </c>
      <c r="W2217">
        <f>HYPERLINK("https://klasma.github.io/Logging_2283/klagomålsmail/A 45644-2023 FSC-klagomål mail.docx", "A 45644-2023")</f>
        <v/>
      </c>
      <c r="X2217">
        <f>HYPERLINK("https://klasma.github.io/Logging_2283/tillsyn/A 45644-2023 tillsynsbegäran.docx", "A 45644-2023")</f>
        <v/>
      </c>
      <c r="Y2217">
        <f>HYPERLINK("https://klasma.github.io/Logging_2283/tillsynsmail/A 45644-2023 tillsynsbegäran mail.docx", "A 45644-2023")</f>
        <v/>
      </c>
    </row>
    <row r="2218" ht="15" customHeight="1">
      <c r="A2218" t="inlineStr">
        <is>
          <t>A 44410-2023</t>
        </is>
      </c>
      <c r="B2218" s="1" t="n">
        <v>45189</v>
      </c>
      <c r="C2218" s="1" t="n">
        <v>45337</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44905-2023</t>
        </is>
      </c>
      <c r="B2219" s="1" t="n">
        <v>45189</v>
      </c>
      <c r="C2219" s="1" t="n">
        <v>45337</v>
      </c>
      <c r="D2219" t="inlineStr">
        <is>
          <t>VÄSTERNORRLANDS LÄN</t>
        </is>
      </c>
      <c r="E2219" t="inlineStr">
        <is>
          <t>SOLLEFTEÅ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44781-2023</t>
        </is>
      </c>
      <c r="B2220" s="1" t="n">
        <v>45190</v>
      </c>
      <c r="C2220" s="1" t="n">
        <v>45337</v>
      </c>
      <c r="D2220" t="inlineStr">
        <is>
          <t>VÄSTERNORRLANDS LÄN</t>
        </is>
      </c>
      <c r="E2220" t="inlineStr">
        <is>
          <t>SOLLEFTEÅ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45007-2023</t>
        </is>
      </c>
      <c r="B2221" s="1" t="n">
        <v>45190</v>
      </c>
      <c r="C2221" s="1" t="n">
        <v>45337</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45015-2023</t>
        </is>
      </c>
      <c r="B2222" s="1" t="n">
        <v>45191</v>
      </c>
      <c r="C2222" s="1" t="n">
        <v>45337</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44984-2023</t>
        </is>
      </c>
      <c r="B2223" s="1" t="n">
        <v>45191</v>
      </c>
      <c r="C2223" s="1" t="n">
        <v>45337</v>
      </c>
      <c r="D2223" t="inlineStr">
        <is>
          <t>VÄSTERNORRLANDS LÄN</t>
        </is>
      </c>
      <c r="E2223" t="inlineStr">
        <is>
          <t>SOLLEFTEÅ</t>
        </is>
      </c>
      <c r="F2223" t="inlineStr">
        <is>
          <t>SCA</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45016-2023</t>
        </is>
      </c>
      <c r="B2224" s="1" t="n">
        <v>45191</v>
      </c>
      <c r="C2224" s="1" t="n">
        <v>45337</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44986-2023</t>
        </is>
      </c>
      <c r="B2225" s="1" t="n">
        <v>45190</v>
      </c>
      <c r="C2225" s="1" t="n">
        <v>45337</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44994-2023</t>
        </is>
      </c>
      <c r="B2226" s="1" t="n">
        <v>45190</v>
      </c>
      <c r="C2226" s="1" t="n">
        <v>45337</v>
      </c>
      <c r="D2226" t="inlineStr">
        <is>
          <t>VÄSTERNORRLANDS LÄN</t>
        </is>
      </c>
      <c r="E2226" t="inlineStr">
        <is>
          <t>SOLLEFTEÅ</t>
        </is>
      </c>
      <c r="F2226" t="inlineStr">
        <is>
          <t>SCA</t>
        </is>
      </c>
      <c r="G2226" t="n">
        <v>26.8</v>
      </c>
      <c r="H2226" t="n">
        <v>0</v>
      </c>
      <c r="I2226" t="n">
        <v>0</v>
      </c>
      <c r="J2226" t="n">
        <v>0</v>
      </c>
      <c r="K2226" t="n">
        <v>0</v>
      </c>
      <c r="L2226" t="n">
        <v>0</v>
      </c>
      <c r="M2226" t="n">
        <v>0</v>
      </c>
      <c r="N2226" t="n">
        <v>0</v>
      </c>
      <c r="O2226" t="n">
        <v>0</v>
      </c>
      <c r="P2226" t="n">
        <v>0</v>
      </c>
      <c r="Q2226" t="n">
        <v>0</v>
      </c>
      <c r="R2226" s="2" t="inlineStr"/>
    </row>
    <row r="2227" ht="15" customHeight="1">
      <c r="A2227" t="inlineStr">
        <is>
          <t>A 44998-2023</t>
        </is>
      </c>
      <c r="B2227" s="1" t="n">
        <v>45191</v>
      </c>
      <c r="C2227" s="1" t="n">
        <v>45337</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45014-2023</t>
        </is>
      </c>
      <c r="B2228" s="1" t="n">
        <v>45191</v>
      </c>
      <c r="C2228" s="1" t="n">
        <v>45337</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45017-2023</t>
        </is>
      </c>
      <c r="B2229" s="1" t="n">
        <v>45190</v>
      </c>
      <c r="C2229" s="1" t="n">
        <v>45337</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46212-2023</t>
        </is>
      </c>
      <c r="B2230" s="1" t="n">
        <v>45190</v>
      </c>
      <c r="C2230" s="1" t="n">
        <v>45337</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46207-2023</t>
        </is>
      </c>
      <c r="B2231" s="1" t="n">
        <v>45190</v>
      </c>
      <c r="C2231" s="1" t="n">
        <v>45337</v>
      </c>
      <c r="D2231" t="inlineStr">
        <is>
          <t>VÄSTERNORRLANDS LÄN</t>
        </is>
      </c>
      <c r="E2231" t="inlineStr">
        <is>
          <t>SOLLEFTEÅ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46357-2023</t>
        </is>
      </c>
      <c r="B2232" s="1" t="n">
        <v>45191</v>
      </c>
      <c r="C2232" s="1" t="n">
        <v>45337</v>
      </c>
      <c r="D2232" t="inlineStr">
        <is>
          <t>VÄSTERNORRLANDS LÄN</t>
        </is>
      </c>
      <c r="E2232" t="inlineStr">
        <is>
          <t>SOLLEFTEÅ</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46344-2023</t>
        </is>
      </c>
      <c r="B2233" s="1" t="n">
        <v>45191</v>
      </c>
      <c r="C2233" s="1" t="n">
        <v>45337</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45570-2023</t>
        </is>
      </c>
      <c r="B2234" s="1" t="n">
        <v>45194</v>
      </c>
      <c r="C2234" s="1" t="n">
        <v>45337</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45958-2023</t>
        </is>
      </c>
      <c r="B2235" s="1" t="n">
        <v>45195</v>
      </c>
      <c r="C2235" s="1" t="n">
        <v>45337</v>
      </c>
      <c r="D2235" t="inlineStr">
        <is>
          <t>VÄSTERNORRLANDS LÄN</t>
        </is>
      </c>
      <c r="E2235" t="inlineStr">
        <is>
          <t>SOLLEFTEÅ</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45973-2023</t>
        </is>
      </c>
      <c r="B2236" s="1" t="n">
        <v>45195</v>
      </c>
      <c r="C2236" s="1" t="n">
        <v>45337</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46256-2023</t>
        </is>
      </c>
      <c r="B2237" s="1" t="n">
        <v>45197</v>
      </c>
      <c r="C2237" s="1" t="n">
        <v>45337</v>
      </c>
      <c r="D2237" t="inlineStr">
        <is>
          <t>VÄSTERNORRLANDS LÄN</t>
        </is>
      </c>
      <c r="E2237" t="inlineStr">
        <is>
          <t>SOLLEFTEÅ</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47329-2023</t>
        </is>
      </c>
      <c r="B2238" s="1" t="n">
        <v>45196</v>
      </c>
      <c r="C2238" s="1" t="n">
        <v>45337</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47327-2023</t>
        </is>
      </c>
      <c r="B2239" s="1" t="n">
        <v>45196</v>
      </c>
      <c r="C2239" s="1" t="n">
        <v>45337</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46553-2023</t>
        </is>
      </c>
      <c r="B2240" s="1" t="n">
        <v>45198</v>
      </c>
      <c r="C2240" s="1" t="n">
        <v>45337</v>
      </c>
      <c r="D2240" t="inlineStr">
        <is>
          <t>VÄSTERNORRLANDS LÄN</t>
        </is>
      </c>
      <c r="E2240" t="inlineStr">
        <is>
          <t>SOLLEFTEÅ</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46550-2023</t>
        </is>
      </c>
      <c r="B2241" s="1" t="n">
        <v>45198</v>
      </c>
      <c r="C2241" s="1" t="n">
        <v>45337</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46554-2023</t>
        </is>
      </c>
      <c r="B2242" s="1" t="n">
        <v>45198</v>
      </c>
      <c r="C2242" s="1" t="n">
        <v>45337</v>
      </c>
      <c r="D2242" t="inlineStr">
        <is>
          <t>VÄSTERNORRLANDS LÄN</t>
        </is>
      </c>
      <c r="E2242" t="inlineStr">
        <is>
          <t>SOLLEFTEÅ</t>
        </is>
      </c>
      <c r="F2242" t="inlineStr">
        <is>
          <t>SCA</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46555-2023</t>
        </is>
      </c>
      <c r="B2243" s="1" t="n">
        <v>45198</v>
      </c>
      <c r="C2243" s="1" t="n">
        <v>45337</v>
      </c>
      <c r="D2243" t="inlineStr">
        <is>
          <t>VÄSTERNORRLANDS LÄN</t>
        </is>
      </c>
      <c r="E2243" t="inlineStr">
        <is>
          <t>SOLLEFTEÅ</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46804-2023</t>
        </is>
      </c>
      <c r="B2244" s="1" t="n">
        <v>45198</v>
      </c>
      <c r="C2244" s="1" t="n">
        <v>45337</v>
      </c>
      <c r="D2244" t="inlineStr">
        <is>
          <t>VÄSTERNORRLANDS LÄN</t>
        </is>
      </c>
      <c r="E2244" t="inlineStr">
        <is>
          <t>SOLLEFTEÅ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47741-2023</t>
        </is>
      </c>
      <c r="B2245" s="1" t="n">
        <v>45198</v>
      </c>
      <c r="C2245" s="1" t="n">
        <v>45337</v>
      </c>
      <c r="D2245" t="inlineStr">
        <is>
          <t>VÄSTERNORRLANDS LÄN</t>
        </is>
      </c>
      <c r="E2245" t="inlineStr">
        <is>
          <t>SOLLEFTEÅ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47159-2023</t>
        </is>
      </c>
      <c r="B2246" s="1" t="n">
        <v>45201</v>
      </c>
      <c r="C2246" s="1" t="n">
        <v>45337</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47167-2023</t>
        </is>
      </c>
      <c r="B2247" s="1" t="n">
        <v>45202</v>
      </c>
      <c r="C2247" s="1" t="n">
        <v>45337</v>
      </c>
      <c r="D2247" t="inlineStr">
        <is>
          <t>VÄSTERNORRLANDS LÄN</t>
        </is>
      </c>
      <c r="E2247" t="inlineStr">
        <is>
          <t>SOLLEFTEÅ</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47175-2023</t>
        </is>
      </c>
      <c r="B2248" s="1" t="n">
        <v>45202</v>
      </c>
      <c r="C2248" s="1" t="n">
        <v>45337</v>
      </c>
      <c r="D2248" t="inlineStr">
        <is>
          <t>VÄSTERNORRLANDS LÄN</t>
        </is>
      </c>
      <c r="E2248" t="inlineStr">
        <is>
          <t>SOLLEFTEÅ</t>
        </is>
      </c>
      <c r="F2248" t="inlineStr">
        <is>
          <t>SCA</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47170-2023</t>
        </is>
      </c>
      <c r="B2249" s="1" t="n">
        <v>45202</v>
      </c>
      <c r="C2249" s="1" t="n">
        <v>45337</v>
      </c>
      <c r="D2249" t="inlineStr">
        <is>
          <t>VÄSTERNORRLANDS LÄN</t>
        </is>
      </c>
      <c r="E2249" t="inlineStr">
        <is>
          <t>SOLLEFTEÅ</t>
        </is>
      </c>
      <c r="F2249" t="inlineStr">
        <is>
          <t>SCA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47174-2023</t>
        </is>
      </c>
      <c r="B2250" s="1" t="n">
        <v>45202</v>
      </c>
      <c r="C2250" s="1" t="n">
        <v>45337</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47177-2023</t>
        </is>
      </c>
      <c r="B2251" s="1" t="n">
        <v>45201</v>
      </c>
      <c r="C2251" s="1" t="n">
        <v>45337</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47181-2023</t>
        </is>
      </c>
      <c r="B2252" s="1" t="n">
        <v>45202</v>
      </c>
      <c r="C2252" s="1" t="n">
        <v>45337</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47185-2023</t>
        </is>
      </c>
      <c r="B2253" s="1" t="n">
        <v>45201</v>
      </c>
      <c r="C2253" s="1" t="n">
        <v>45337</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47490-2023</t>
        </is>
      </c>
      <c r="B2254" s="1" t="n">
        <v>45203</v>
      </c>
      <c r="C2254" s="1" t="n">
        <v>45337</v>
      </c>
      <c r="D2254" t="inlineStr">
        <is>
          <t>VÄSTERNORRLANDS LÄN</t>
        </is>
      </c>
      <c r="E2254" t="inlineStr">
        <is>
          <t>SOLLEFTEÅ</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47457-2023</t>
        </is>
      </c>
      <c r="B2255" s="1" t="n">
        <v>45202</v>
      </c>
      <c r="C2255" s="1" t="n">
        <v>45337</v>
      </c>
      <c r="D2255" t="inlineStr">
        <is>
          <t>VÄSTERNORRLANDS LÄN</t>
        </is>
      </c>
      <c r="E2255" t="inlineStr">
        <is>
          <t>SOLLEFTEÅ</t>
        </is>
      </c>
      <c r="F2255" t="inlineStr">
        <is>
          <t>Holmen skog AB</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47477-2023</t>
        </is>
      </c>
      <c r="B2256" s="1" t="n">
        <v>45203</v>
      </c>
      <c r="C2256" s="1" t="n">
        <v>45337</v>
      </c>
      <c r="D2256" t="inlineStr">
        <is>
          <t>VÄSTERNORRLANDS LÄN</t>
        </is>
      </c>
      <c r="E2256" t="inlineStr">
        <is>
          <t>SOLLEFTEÅ</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47794-2023</t>
        </is>
      </c>
      <c r="B2257" s="1" t="n">
        <v>45204</v>
      </c>
      <c r="C2257" s="1" t="n">
        <v>45337</v>
      </c>
      <c r="D2257" t="inlineStr">
        <is>
          <t>VÄSTERNORRLANDS LÄN</t>
        </is>
      </c>
      <c r="E2257" t="inlineStr">
        <is>
          <t>SOLLEFTEÅ</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48077-2023</t>
        </is>
      </c>
      <c r="B2258" s="1" t="n">
        <v>45205</v>
      </c>
      <c r="C2258" s="1" t="n">
        <v>45337</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48085-2023</t>
        </is>
      </c>
      <c r="B2259" s="1" t="n">
        <v>45205</v>
      </c>
      <c r="C2259" s="1" t="n">
        <v>45337</v>
      </c>
      <c r="D2259" t="inlineStr">
        <is>
          <t>VÄSTERNORRLANDS LÄN</t>
        </is>
      </c>
      <c r="E2259" t="inlineStr">
        <is>
          <t>SOLLEFTEÅ</t>
        </is>
      </c>
      <c r="F2259" t="inlineStr">
        <is>
          <t>SCA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48089-2023</t>
        </is>
      </c>
      <c r="B2260" s="1" t="n">
        <v>45204</v>
      </c>
      <c r="C2260" s="1" t="n">
        <v>45337</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48083-2023</t>
        </is>
      </c>
      <c r="B2261" s="1" t="n">
        <v>45204</v>
      </c>
      <c r="C2261" s="1" t="n">
        <v>45337</v>
      </c>
      <c r="D2261" t="inlineStr">
        <is>
          <t>VÄSTERNORRLANDS LÄN</t>
        </is>
      </c>
      <c r="E2261" t="inlineStr">
        <is>
          <t>SOLLEFTEÅ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48086-2023</t>
        </is>
      </c>
      <c r="B2262" s="1" t="n">
        <v>45205</v>
      </c>
      <c r="C2262" s="1" t="n">
        <v>45337</v>
      </c>
      <c r="D2262" t="inlineStr">
        <is>
          <t>VÄSTERNORRLANDS LÄN</t>
        </is>
      </c>
      <c r="E2262" t="inlineStr">
        <is>
          <t>SOLLEFTEÅ</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48090-2023</t>
        </is>
      </c>
      <c r="B2263" s="1" t="n">
        <v>45205</v>
      </c>
      <c r="C2263" s="1" t="n">
        <v>45337</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48072-2023</t>
        </is>
      </c>
      <c r="B2264" s="1" t="n">
        <v>45205</v>
      </c>
      <c r="C2264" s="1" t="n">
        <v>45337</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48088-2023</t>
        </is>
      </c>
      <c r="B2265" s="1" t="n">
        <v>45205</v>
      </c>
      <c r="C2265" s="1" t="n">
        <v>45337</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48964-2023</t>
        </is>
      </c>
      <c r="B2266" s="1" t="n">
        <v>45204</v>
      </c>
      <c r="C2266" s="1" t="n">
        <v>45337</v>
      </c>
      <c r="D2266" t="inlineStr">
        <is>
          <t>VÄSTERNORRLANDS LÄN</t>
        </is>
      </c>
      <c r="E2266" t="inlineStr">
        <is>
          <t>SOLLEFTEÅ</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49417-2023</t>
        </is>
      </c>
      <c r="B2267" s="1" t="n">
        <v>45205</v>
      </c>
      <c r="C2267" s="1" t="n">
        <v>45337</v>
      </c>
      <c r="D2267" t="inlineStr">
        <is>
          <t>VÄSTERNORRLANDS LÄN</t>
        </is>
      </c>
      <c r="E2267" t="inlineStr">
        <is>
          <t>SOLLEFTEÅ</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48767-2023</t>
        </is>
      </c>
      <c r="B2268" s="1" t="n">
        <v>45208</v>
      </c>
      <c r="C2268" s="1" t="n">
        <v>45337</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48528-2023</t>
        </is>
      </c>
      <c r="B2269" s="1" t="n">
        <v>45208</v>
      </c>
      <c r="C2269" s="1" t="n">
        <v>45337</v>
      </c>
      <c r="D2269" t="inlineStr">
        <is>
          <t>VÄSTERNORRLANDS LÄN</t>
        </is>
      </c>
      <c r="E2269" t="inlineStr">
        <is>
          <t>SOLLEFTEÅ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48570-2023</t>
        </is>
      </c>
      <c r="B2270" s="1" t="n">
        <v>45208</v>
      </c>
      <c r="C2270" s="1" t="n">
        <v>45337</v>
      </c>
      <c r="D2270" t="inlineStr">
        <is>
          <t>VÄSTERNORRLANDS LÄN</t>
        </is>
      </c>
      <c r="E2270" t="inlineStr">
        <is>
          <t>SOLLEFTEÅ</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48999-2023</t>
        </is>
      </c>
      <c r="B2271" s="1" t="n">
        <v>45209</v>
      </c>
      <c r="C2271" s="1" t="n">
        <v>45337</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49036-2023</t>
        </is>
      </c>
      <c r="B2272" s="1" t="n">
        <v>45210</v>
      </c>
      <c r="C2272" s="1" t="n">
        <v>45337</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50313-2023</t>
        </is>
      </c>
      <c r="B2273" s="1" t="n">
        <v>45209</v>
      </c>
      <c r="C2273" s="1" t="n">
        <v>45337</v>
      </c>
      <c r="D2273" t="inlineStr">
        <is>
          <t>VÄSTERNORRLANDS LÄN</t>
        </is>
      </c>
      <c r="E2273" t="inlineStr">
        <is>
          <t>SOLLEFTEÅ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49313-2023</t>
        </is>
      </c>
      <c r="B2274" s="1" t="n">
        <v>45211</v>
      </c>
      <c r="C2274" s="1" t="n">
        <v>45337</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49317-2023</t>
        </is>
      </c>
      <c r="B2275" s="1" t="n">
        <v>45210</v>
      </c>
      <c r="C2275" s="1" t="n">
        <v>45337</v>
      </c>
      <c r="D2275" t="inlineStr">
        <is>
          <t>VÄSTERNORRLANDS LÄN</t>
        </is>
      </c>
      <c r="E2275" t="inlineStr">
        <is>
          <t>SOLLEFTEÅ</t>
        </is>
      </c>
      <c r="F2275" t="inlineStr">
        <is>
          <t>SCA</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49323-2023</t>
        </is>
      </c>
      <c r="B2276" s="1" t="n">
        <v>45211</v>
      </c>
      <c r="C2276" s="1" t="n">
        <v>45337</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49324-2023</t>
        </is>
      </c>
      <c r="B2277" s="1" t="n">
        <v>45210</v>
      </c>
      <c r="C2277" s="1" t="n">
        <v>45337</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50698-2023</t>
        </is>
      </c>
      <c r="B2278" s="1" t="n">
        <v>45210</v>
      </c>
      <c r="C2278" s="1" t="n">
        <v>45337</v>
      </c>
      <c r="D2278" t="inlineStr">
        <is>
          <t>VÄSTERNORRLANDS LÄN</t>
        </is>
      </c>
      <c r="E2278" t="inlineStr">
        <is>
          <t>SOLLEFTEÅ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50745-2023</t>
        </is>
      </c>
      <c r="B2279" s="1" t="n">
        <v>45210</v>
      </c>
      <c r="C2279" s="1" t="n">
        <v>45337</v>
      </c>
      <c r="D2279" t="inlineStr">
        <is>
          <t>VÄSTERNORRLANDS LÄN</t>
        </is>
      </c>
      <c r="E2279" t="inlineStr">
        <is>
          <t>SOLLEFTEÅ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50716-2023</t>
        </is>
      </c>
      <c r="B2280" s="1" t="n">
        <v>45210</v>
      </c>
      <c r="C2280" s="1" t="n">
        <v>45337</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50674-2023</t>
        </is>
      </c>
      <c r="B2281" s="1" t="n">
        <v>45210</v>
      </c>
      <c r="C2281" s="1" t="n">
        <v>45337</v>
      </c>
      <c r="D2281" t="inlineStr">
        <is>
          <t>VÄSTERNORRLANDS LÄN</t>
        </is>
      </c>
      <c r="E2281" t="inlineStr">
        <is>
          <t>SOLLEFTEÅ</t>
        </is>
      </c>
      <c r="G2281" t="n">
        <v>11.8</v>
      </c>
      <c r="H2281" t="n">
        <v>0</v>
      </c>
      <c r="I2281" t="n">
        <v>0</v>
      </c>
      <c r="J2281" t="n">
        <v>0</v>
      </c>
      <c r="K2281" t="n">
        <v>0</v>
      </c>
      <c r="L2281" t="n">
        <v>0</v>
      </c>
      <c r="M2281" t="n">
        <v>0</v>
      </c>
      <c r="N2281" t="n">
        <v>0</v>
      </c>
      <c r="O2281" t="n">
        <v>0</v>
      </c>
      <c r="P2281" t="n">
        <v>0</v>
      </c>
      <c r="Q2281" t="n">
        <v>0</v>
      </c>
      <c r="R2281" s="2" t="inlineStr"/>
    </row>
    <row r="2282" ht="15" customHeight="1">
      <c r="A2282" t="inlineStr">
        <is>
          <t>A 50688-2023</t>
        </is>
      </c>
      <c r="B2282" s="1" t="n">
        <v>45210</v>
      </c>
      <c r="C2282" s="1" t="n">
        <v>45337</v>
      </c>
      <c r="D2282" t="inlineStr">
        <is>
          <t>VÄSTERNORRLANDS LÄN</t>
        </is>
      </c>
      <c r="E2282" t="inlineStr">
        <is>
          <t>SOLLEFTEÅ</t>
        </is>
      </c>
      <c r="G2282" t="n">
        <v>15.6</v>
      </c>
      <c r="H2282" t="n">
        <v>0</v>
      </c>
      <c r="I2282" t="n">
        <v>0</v>
      </c>
      <c r="J2282" t="n">
        <v>0</v>
      </c>
      <c r="K2282" t="n">
        <v>0</v>
      </c>
      <c r="L2282" t="n">
        <v>0</v>
      </c>
      <c r="M2282" t="n">
        <v>0</v>
      </c>
      <c r="N2282" t="n">
        <v>0</v>
      </c>
      <c r="O2282" t="n">
        <v>0</v>
      </c>
      <c r="P2282" t="n">
        <v>0</v>
      </c>
      <c r="Q2282" t="n">
        <v>0</v>
      </c>
      <c r="R2282" s="2" t="inlineStr"/>
    </row>
    <row r="2283" ht="15" customHeight="1">
      <c r="A2283" t="inlineStr">
        <is>
          <t>A 50708-2023</t>
        </is>
      </c>
      <c r="B2283" s="1" t="n">
        <v>45210</v>
      </c>
      <c r="C2283" s="1" t="n">
        <v>45337</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49649-2023</t>
        </is>
      </c>
      <c r="B2284" s="1" t="n">
        <v>45212</v>
      </c>
      <c r="C2284" s="1" t="n">
        <v>45337</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49810-2023</t>
        </is>
      </c>
      <c r="B2285" s="1" t="n">
        <v>45212</v>
      </c>
      <c r="C2285" s="1" t="n">
        <v>45337</v>
      </c>
      <c r="D2285" t="inlineStr">
        <is>
          <t>VÄSTERNORRLANDS LÄN</t>
        </is>
      </c>
      <c r="E2285" t="inlineStr">
        <is>
          <t>SOLLEFTEÅ</t>
        </is>
      </c>
      <c r="F2285" t="inlineStr">
        <is>
          <t>Holmen skog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50226-2023</t>
        </is>
      </c>
      <c r="B2286" s="1" t="n">
        <v>45216</v>
      </c>
      <c r="C2286" s="1" t="n">
        <v>45337</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51522-2023</t>
        </is>
      </c>
      <c r="B2287" s="1" t="n">
        <v>45215</v>
      </c>
      <c r="C2287" s="1" t="n">
        <v>45337</v>
      </c>
      <c r="D2287" t="inlineStr">
        <is>
          <t>VÄSTERNORRLANDS LÄN</t>
        </is>
      </c>
      <c r="E2287" t="inlineStr">
        <is>
          <t>SOLLEFTEÅ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51515-2023</t>
        </is>
      </c>
      <c r="B2288" s="1" t="n">
        <v>45215</v>
      </c>
      <c r="C2288" s="1" t="n">
        <v>45337</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51681-2023</t>
        </is>
      </c>
      <c r="B2289" s="1" t="n">
        <v>45215</v>
      </c>
      <c r="C2289" s="1" t="n">
        <v>45337</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51677-2023</t>
        </is>
      </c>
      <c r="B2290" s="1" t="n">
        <v>45215</v>
      </c>
      <c r="C2290" s="1" t="n">
        <v>45337</v>
      </c>
      <c r="D2290" t="inlineStr">
        <is>
          <t>VÄSTERNORRLANDS LÄN</t>
        </is>
      </c>
      <c r="E2290" t="inlineStr">
        <is>
          <t>SOLLEFTEÅ</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51690-2023</t>
        </is>
      </c>
      <c r="B2291" s="1" t="n">
        <v>45215</v>
      </c>
      <c r="C2291" s="1" t="n">
        <v>45337</v>
      </c>
      <c r="D2291" t="inlineStr">
        <is>
          <t>VÄSTERNORRLANDS LÄN</t>
        </is>
      </c>
      <c r="E2291" t="inlineStr">
        <is>
          <t>SOLLEFTEÅ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50507-2023</t>
        </is>
      </c>
      <c r="B2292" s="1" t="n">
        <v>45217</v>
      </c>
      <c r="C2292" s="1" t="n">
        <v>45337</v>
      </c>
      <c r="D2292" t="inlineStr">
        <is>
          <t>VÄSTERNORRLANDS LÄN</t>
        </is>
      </c>
      <c r="E2292" t="inlineStr">
        <is>
          <t>SOLLEFTEÅ</t>
        </is>
      </c>
      <c r="F2292" t="inlineStr">
        <is>
          <t>SCA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50767-2023</t>
        </is>
      </c>
      <c r="B2293" s="1" t="n">
        <v>45217</v>
      </c>
      <c r="C2293" s="1" t="n">
        <v>45337</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50841-2023</t>
        </is>
      </c>
      <c r="B2294" s="1" t="n">
        <v>45217</v>
      </c>
      <c r="C2294" s="1" t="n">
        <v>45337</v>
      </c>
      <c r="D2294" t="inlineStr">
        <is>
          <t>VÄSTERNORRLANDS LÄN</t>
        </is>
      </c>
      <c r="E2294" t="inlineStr">
        <is>
          <t>SOLLEFTEÅ</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50615-2023</t>
        </is>
      </c>
      <c r="B2295" s="1" t="n">
        <v>45217</v>
      </c>
      <c r="C2295" s="1" t="n">
        <v>45337</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50757-2023</t>
        </is>
      </c>
      <c r="B2296" s="1" t="n">
        <v>45217</v>
      </c>
      <c r="C2296" s="1" t="n">
        <v>45337</v>
      </c>
      <c r="D2296" t="inlineStr">
        <is>
          <t>VÄSTERNORRLANDS LÄN</t>
        </is>
      </c>
      <c r="E2296" t="inlineStr">
        <is>
          <t>SOLLEFTEÅ</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50844-2023</t>
        </is>
      </c>
      <c r="B2297" s="1" t="n">
        <v>45217</v>
      </c>
      <c r="C2297" s="1" t="n">
        <v>45337</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52266-2023</t>
        </is>
      </c>
      <c r="B2298" s="1" t="n">
        <v>45217</v>
      </c>
      <c r="C2298" s="1" t="n">
        <v>45337</v>
      </c>
      <c r="D2298" t="inlineStr">
        <is>
          <t>VÄSTERNORRLANDS LÄN</t>
        </is>
      </c>
      <c r="E2298" t="inlineStr">
        <is>
          <t>SOLLEFTEÅ</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52267-2023</t>
        </is>
      </c>
      <c r="B2299" s="1" t="n">
        <v>45217</v>
      </c>
      <c r="C2299" s="1" t="n">
        <v>45337</v>
      </c>
      <c r="D2299" t="inlineStr">
        <is>
          <t>VÄSTERNORRLANDS LÄN</t>
        </is>
      </c>
      <c r="E2299" t="inlineStr">
        <is>
          <t>SOLLEFTEÅ</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51107-2023</t>
        </is>
      </c>
      <c r="B2300" s="1" t="n">
        <v>45219</v>
      </c>
      <c r="C2300" s="1" t="n">
        <v>45337</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51106-2023</t>
        </is>
      </c>
      <c r="B2301" s="1" t="n">
        <v>45219</v>
      </c>
      <c r="C2301" s="1" t="n">
        <v>45337</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51800-2023</t>
        </is>
      </c>
      <c r="B2302" s="1" t="n">
        <v>45222</v>
      </c>
      <c r="C2302" s="1" t="n">
        <v>45337</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51801-2023</t>
        </is>
      </c>
      <c r="B2303" s="1" t="n">
        <v>45222</v>
      </c>
      <c r="C2303" s="1" t="n">
        <v>45337</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53375-2023</t>
        </is>
      </c>
      <c r="B2304" s="1" t="n">
        <v>45222</v>
      </c>
      <c r="C2304" s="1" t="n">
        <v>45337</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53224-2023</t>
        </is>
      </c>
      <c r="B2305" s="1" t="n">
        <v>45222</v>
      </c>
      <c r="C2305" s="1" t="n">
        <v>45337</v>
      </c>
      <c r="D2305" t="inlineStr">
        <is>
          <t>VÄSTERNORRLANDS LÄN</t>
        </is>
      </c>
      <c r="E2305" t="inlineStr">
        <is>
          <t>SOLLEFTEÅ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53231-2023</t>
        </is>
      </c>
      <c r="B2306" s="1" t="n">
        <v>45222</v>
      </c>
      <c r="C2306" s="1" t="n">
        <v>45337</v>
      </c>
      <c r="D2306" t="inlineStr">
        <is>
          <t>VÄSTERNORRLANDS LÄN</t>
        </is>
      </c>
      <c r="E2306" t="inlineStr">
        <is>
          <t>SOLLEFTEÅ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53379-2023</t>
        </is>
      </c>
      <c r="B2307" s="1" t="n">
        <v>45222</v>
      </c>
      <c r="C2307" s="1" t="n">
        <v>45337</v>
      </c>
      <c r="D2307" t="inlineStr">
        <is>
          <t>VÄSTERNORRLANDS LÄN</t>
        </is>
      </c>
      <c r="E2307" t="inlineStr">
        <is>
          <t>SOLLEFTEÅ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51802-2023</t>
        </is>
      </c>
      <c r="B2308" s="1" t="n">
        <v>45223</v>
      </c>
      <c r="C2308" s="1" t="n">
        <v>45337</v>
      </c>
      <c r="D2308" t="inlineStr">
        <is>
          <t>VÄSTERNORRLANDS LÄN</t>
        </is>
      </c>
      <c r="E2308" t="inlineStr">
        <is>
          <t>SOLLEFTEÅ</t>
        </is>
      </c>
      <c r="F2308" t="inlineStr">
        <is>
          <t>SCA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53394-2023</t>
        </is>
      </c>
      <c r="B2309" s="1" t="n">
        <v>45222</v>
      </c>
      <c r="C2309" s="1" t="n">
        <v>45337</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52136-2023</t>
        </is>
      </c>
      <c r="B2310" s="1" t="n">
        <v>45224</v>
      </c>
      <c r="C2310" s="1" t="n">
        <v>45337</v>
      </c>
      <c r="D2310" t="inlineStr">
        <is>
          <t>VÄSTERNORRLANDS LÄN</t>
        </is>
      </c>
      <c r="E2310" t="inlineStr">
        <is>
          <t>SOLLEFTEÅ</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52087-2023</t>
        </is>
      </c>
      <c r="B2311" s="1" t="n">
        <v>45223</v>
      </c>
      <c r="C2311" s="1" t="n">
        <v>45337</v>
      </c>
      <c r="D2311" t="inlineStr">
        <is>
          <t>VÄSTERNORRLANDS LÄN</t>
        </is>
      </c>
      <c r="E2311" t="inlineStr">
        <is>
          <t>SOLLEFTEÅ</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53550-2023</t>
        </is>
      </c>
      <c r="B2312" s="1" t="n">
        <v>45223</v>
      </c>
      <c r="C2312" s="1" t="n">
        <v>45337</v>
      </c>
      <c r="D2312" t="inlineStr">
        <is>
          <t>VÄSTERNORRLANDS LÄN</t>
        </is>
      </c>
      <c r="E2312" t="inlineStr">
        <is>
          <t>SOLLEFTEÅ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53855-2023</t>
        </is>
      </c>
      <c r="B2313" s="1" t="n">
        <v>45224</v>
      </c>
      <c r="C2313" s="1" t="n">
        <v>45337</v>
      </c>
      <c r="D2313" t="inlineStr">
        <is>
          <t>VÄSTERNORRLANDS LÄN</t>
        </is>
      </c>
      <c r="E2313" t="inlineStr">
        <is>
          <t>SOLLEFTEÅ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53850-2023</t>
        </is>
      </c>
      <c r="B2314" s="1" t="n">
        <v>45224</v>
      </c>
      <c r="C2314" s="1" t="n">
        <v>45337</v>
      </c>
      <c r="D2314" t="inlineStr">
        <is>
          <t>VÄSTERNORRLANDS LÄN</t>
        </is>
      </c>
      <c r="E2314" t="inlineStr">
        <is>
          <t>SOLLEFTEÅ</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53939-2023</t>
        </is>
      </c>
      <c r="B2315" s="1" t="n">
        <v>45224</v>
      </c>
      <c r="C2315" s="1" t="n">
        <v>45337</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52445-2023</t>
        </is>
      </c>
      <c r="B2316" s="1" t="n">
        <v>45225</v>
      </c>
      <c r="C2316" s="1" t="n">
        <v>45337</v>
      </c>
      <c r="D2316" t="inlineStr">
        <is>
          <t>VÄSTERNORRLANDS LÄN</t>
        </is>
      </c>
      <c r="E2316" t="inlineStr">
        <is>
          <t>SOLLEFTEÅ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54307-2023</t>
        </is>
      </c>
      <c r="B2317" s="1" t="n">
        <v>45225</v>
      </c>
      <c r="C2317" s="1" t="n">
        <v>45337</v>
      </c>
      <c r="D2317" t="inlineStr">
        <is>
          <t>VÄSTERNORRLANDS LÄN</t>
        </is>
      </c>
      <c r="E2317" t="inlineStr">
        <is>
          <t>SOLLEFTEÅ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53040-2023</t>
        </is>
      </c>
      <c r="B2318" s="1" t="n">
        <v>45226</v>
      </c>
      <c r="C2318" s="1" t="n">
        <v>45337</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54526-2023</t>
        </is>
      </c>
      <c r="B2319" s="1" t="n">
        <v>45226</v>
      </c>
      <c r="C2319" s="1" t="n">
        <v>45337</v>
      </c>
      <c r="D2319" t="inlineStr">
        <is>
          <t>VÄSTERNORRLANDS LÄN</t>
        </is>
      </c>
      <c r="E2319" t="inlineStr">
        <is>
          <t>SOLLEFTEÅ</t>
        </is>
      </c>
      <c r="G2319" t="n">
        <v>23.8</v>
      </c>
      <c r="H2319" t="n">
        <v>0</v>
      </c>
      <c r="I2319" t="n">
        <v>0</v>
      </c>
      <c r="J2319" t="n">
        <v>0</v>
      </c>
      <c r="K2319" t="n">
        <v>0</v>
      </c>
      <c r="L2319" t="n">
        <v>0</v>
      </c>
      <c r="M2319" t="n">
        <v>0</v>
      </c>
      <c r="N2319" t="n">
        <v>0</v>
      </c>
      <c r="O2319" t="n">
        <v>0</v>
      </c>
      <c r="P2319" t="n">
        <v>0</v>
      </c>
      <c r="Q2319" t="n">
        <v>0</v>
      </c>
      <c r="R2319" s="2" t="inlineStr"/>
    </row>
    <row r="2320" ht="15" customHeight="1">
      <c r="A2320" t="inlineStr">
        <is>
          <t>A 53057-2023</t>
        </is>
      </c>
      <c r="B2320" s="1" t="n">
        <v>45226</v>
      </c>
      <c r="C2320" s="1" t="n">
        <v>45337</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53049-2023</t>
        </is>
      </c>
      <c r="B2321" s="1" t="n">
        <v>45226</v>
      </c>
      <c r="C2321" s="1" t="n">
        <v>45337</v>
      </c>
      <c r="D2321" t="inlineStr">
        <is>
          <t>VÄSTERNORRLANDS LÄN</t>
        </is>
      </c>
      <c r="E2321" t="inlineStr">
        <is>
          <t>SOLLEFTEÅ</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53041-2023</t>
        </is>
      </c>
      <c r="B2322" s="1" t="n">
        <v>45226</v>
      </c>
      <c r="C2322" s="1" t="n">
        <v>45337</v>
      </c>
      <c r="D2322" t="inlineStr">
        <is>
          <t>VÄSTERNORRLANDS LÄN</t>
        </is>
      </c>
      <c r="E2322" t="inlineStr">
        <is>
          <t>SOLLEFTEÅ</t>
        </is>
      </c>
      <c r="F2322" t="inlineStr">
        <is>
          <t>SCA</t>
        </is>
      </c>
      <c r="G2322" t="n">
        <v>50.2</v>
      </c>
      <c r="H2322" t="n">
        <v>0</v>
      </c>
      <c r="I2322" t="n">
        <v>0</v>
      </c>
      <c r="J2322" t="n">
        <v>0</v>
      </c>
      <c r="K2322" t="n">
        <v>0</v>
      </c>
      <c r="L2322" t="n">
        <v>0</v>
      </c>
      <c r="M2322" t="n">
        <v>0</v>
      </c>
      <c r="N2322" t="n">
        <v>0</v>
      </c>
      <c r="O2322" t="n">
        <v>0</v>
      </c>
      <c r="P2322" t="n">
        <v>0</v>
      </c>
      <c r="Q2322" t="n">
        <v>0</v>
      </c>
      <c r="R2322" s="2" t="inlineStr"/>
    </row>
    <row r="2323" ht="15" customHeight="1">
      <c r="A2323" t="inlineStr">
        <is>
          <t>A 53048-2023</t>
        </is>
      </c>
      <c r="B2323" s="1" t="n">
        <v>45226</v>
      </c>
      <c r="C2323" s="1" t="n">
        <v>45337</v>
      </c>
      <c r="D2323" t="inlineStr">
        <is>
          <t>VÄSTERNORRLANDS LÄN</t>
        </is>
      </c>
      <c r="E2323" t="inlineStr">
        <is>
          <t>SOLLEFTEÅ</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53452-2023</t>
        </is>
      </c>
      <c r="B2324" s="1" t="n">
        <v>45229</v>
      </c>
      <c r="C2324" s="1" t="n">
        <v>45337</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53453-2023</t>
        </is>
      </c>
      <c r="B2325" s="1" t="n">
        <v>45230</v>
      </c>
      <c r="C2325" s="1" t="n">
        <v>45337</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53669-2023</t>
        </is>
      </c>
      <c r="B2326" s="1" t="n">
        <v>45230</v>
      </c>
      <c r="C2326" s="1" t="n">
        <v>45337</v>
      </c>
      <c r="D2326" t="inlineStr">
        <is>
          <t>VÄSTERNORRLANDS LÄN</t>
        </is>
      </c>
      <c r="E2326" t="inlineStr">
        <is>
          <t>SOLLEFTEÅ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54016-2023</t>
        </is>
      </c>
      <c r="B2327" s="1" t="n">
        <v>45231</v>
      </c>
      <c r="C2327" s="1" t="n">
        <v>45337</v>
      </c>
      <c r="D2327" t="inlineStr">
        <is>
          <t>VÄSTERNORRLANDS LÄN</t>
        </is>
      </c>
      <c r="E2327" t="inlineStr">
        <is>
          <t>SOLLEFTEÅ</t>
        </is>
      </c>
      <c r="F2327" t="inlineStr">
        <is>
          <t>Holmen skog AB</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54020-2023</t>
        </is>
      </c>
      <c r="B2328" s="1" t="n">
        <v>45231</v>
      </c>
      <c r="C2328" s="1" t="n">
        <v>45337</v>
      </c>
      <c r="D2328" t="inlineStr">
        <is>
          <t>VÄSTERNORRLANDS LÄN</t>
        </is>
      </c>
      <c r="E2328" t="inlineStr">
        <is>
          <t>SOLLEFTEÅ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54034-2023</t>
        </is>
      </c>
      <c r="B2329" s="1" t="n">
        <v>45231</v>
      </c>
      <c r="C2329" s="1" t="n">
        <v>45337</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54033-2023</t>
        </is>
      </c>
      <c r="B2330" s="1" t="n">
        <v>45231</v>
      </c>
      <c r="C2330" s="1" t="n">
        <v>45337</v>
      </c>
      <c r="D2330" t="inlineStr">
        <is>
          <t>VÄSTERNORRLANDS LÄN</t>
        </is>
      </c>
      <c r="E2330" t="inlineStr">
        <is>
          <t>SOLLEFTEÅ</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54035-2023</t>
        </is>
      </c>
      <c r="B2331" s="1" t="n">
        <v>45231</v>
      </c>
      <c r="C2331" s="1" t="n">
        <v>45337</v>
      </c>
      <c r="D2331" t="inlineStr">
        <is>
          <t>VÄSTERNORRLANDS LÄN</t>
        </is>
      </c>
      <c r="E2331" t="inlineStr">
        <is>
          <t>SOLLEFTEÅ</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54048-2023</t>
        </is>
      </c>
      <c r="B2332" s="1" t="n">
        <v>45232</v>
      </c>
      <c r="C2332" s="1" t="n">
        <v>45337</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54036-2023</t>
        </is>
      </c>
      <c r="B2333" s="1" t="n">
        <v>45231</v>
      </c>
      <c r="C2333" s="1" t="n">
        <v>45337</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54045-2023</t>
        </is>
      </c>
      <c r="B2334" s="1" t="n">
        <v>45232</v>
      </c>
      <c r="C2334" s="1" t="n">
        <v>45337</v>
      </c>
      <c r="D2334" t="inlineStr">
        <is>
          <t>VÄSTERNORRLANDS LÄN</t>
        </is>
      </c>
      <c r="E2334" t="inlineStr">
        <is>
          <t>SOLLEFTEÅ</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54049-2023</t>
        </is>
      </c>
      <c r="B2335" s="1" t="n">
        <v>45231</v>
      </c>
      <c r="C2335" s="1" t="n">
        <v>45337</v>
      </c>
      <c r="D2335" t="inlineStr">
        <is>
          <t>VÄSTERNORRLANDS LÄN</t>
        </is>
      </c>
      <c r="E2335" t="inlineStr">
        <is>
          <t>SOLLEFTEÅ</t>
        </is>
      </c>
      <c r="F2335" t="inlineStr">
        <is>
          <t>SCA</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54092-2023</t>
        </is>
      </c>
      <c r="B2336" s="1" t="n">
        <v>45232</v>
      </c>
      <c r="C2336" s="1" t="n">
        <v>45337</v>
      </c>
      <c r="D2336" t="inlineStr">
        <is>
          <t>VÄSTERNORRLANDS LÄN</t>
        </is>
      </c>
      <c r="E2336" t="inlineStr">
        <is>
          <t>SOLLEFTEÅ</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54088-2023</t>
        </is>
      </c>
      <c r="B2337" s="1" t="n">
        <v>45232</v>
      </c>
      <c r="C2337" s="1" t="n">
        <v>45337</v>
      </c>
      <c r="D2337" t="inlineStr">
        <is>
          <t>VÄSTERNORRLANDS LÄN</t>
        </is>
      </c>
      <c r="E2337" t="inlineStr">
        <is>
          <t>SOLLEFTEÅ</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54198-2023</t>
        </is>
      </c>
      <c r="B2338" s="1" t="n">
        <v>45232</v>
      </c>
      <c r="C2338" s="1" t="n">
        <v>45337</v>
      </c>
      <c r="D2338" t="inlineStr">
        <is>
          <t>VÄSTERNORRLANDS LÄN</t>
        </is>
      </c>
      <c r="E2338" t="inlineStr">
        <is>
          <t>SOLLEFTEÅ</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54330-2023</t>
        </is>
      </c>
      <c r="B2339" s="1" t="n">
        <v>45232</v>
      </c>
      <c r="C2339" s="1" t="n">
        <v>45337</v>
      </c>
      <c r="D2339" t="inlineStr">
        <is>
          <t>VÄSTERNORRLANDS LÄN</t>
        </is>
      </c>
      <c r="E2339" t="inlineStr">
        <is>
          <t>SOLLEFTEÅ</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54351-2023</t>
        </is>
      </c>
      <c r="B2340" s="1" t="n">
        <v>45232</v>
      </c>
      <c r="C2340" s="1" t="n">
        <v>45337</v>
      </c>
      <c r="D2340" t="inlineStr">
        <is>
          <t>VÄSTERNORRLANDS LÄN</t>
        </is>
      </c>
      <c r="E2340" t="inlineStr">
        <is>
          <t>SOLLEFTEÅ</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54195-2023</t>
        </is>
      </c>
      <c r="B2341" s="1" t="n">
        <v>45232</v>
      </c>
      <c r="C2341" s="1" t="n">
        <v>45337</v>
      </c>
      <c r="D2341" t="inlineStr">
        <is>
          <t>VÄSTERNORRLANDS LÄN</t>
        </is>
      </c>
      <c r="E2341" t="inlineStr">
        <is>
          <t>SOLLEFTEÅ</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54620-2023</t>
        </is>
      </c>
      <c r="B2342" s="1" t="n">
        <v>45233</v>
      </c>
      <c r="C2342" s="1" t="n">
        <v>45337</v>
      </c>
      <c r="D2342" t="inlineStr">
        <is>
          <t>VÄSTERNORRLANDS LÄN</t>
        </is>
      </c>
      <c r="E2342" t="inlineStr">
        <is>
          <t>SOLLEFTEÅ</t>
        </is>
      </c>
      <c r="F2342" t="inlineStr">
        <is>
          <t>SCA</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54617-2023</t>
        </is>
      </c>
      <c r="B2343" s="1" t="n">
        <v>45234</v>
      </c>
      <c r="C2343" s="1" t="n">
        <v>45337</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54607-2023</t>
        </is>
      </c>
      <c r="B2344" s="1" t="n">
        <v>45233</v>
      </c>
      <c r="C2344" s="1" t="n">
        <v>45337</v>
      </c>
      <c r="D2344" t="inlineStr">
        <is>
          <t>VÄSTERNORRLANDS LÄN</t>
        </is>
      </c>
      <c r="E2344" t="inlineStr">
        <is>
          <t>SOLLEFTEÅ</t>
        </is>
      </c>
      <c r="F2344" t="inlineStr">
        <is>
          <t>SCA</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54622-2023</t>
        </is>
      </c>
      <c r="B2345" s="1" t="n">
        <v>45233</v>
      </c>
      <c r="C2345" s="1" t="n">
        <v>45337</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54618-2023</t>
        </is>
      </c>
      <c r="B2346" s="1" t="n">
        <v>45233</v>
      </c>
      <c r="C2346" s="1" t="n">
        <v>45337</v>
      </c>
      <c r="D2346" t="inlineStr">
        <is>
          <t>VÄSTERNORRLANDS LÄN</t>
        </is>
      </c>
      <c r="E2346" t="inlineStr">
        <is>
          <t>SOLLEFTEÅ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54642-2023</t>
        </is>
      </c>
      <c r="B2347" s="1" t="n">
        <v>45234</v>
      </c>
      <c r="C2347" s="1" t="n">
        <v>45337</v>
      </c>
      <c r="D2347" t="inlineStr">
        <is>
          <t>VÄSTERNORRLANDS LÄN</t>
        </is>
      </c>
      <c r="E2347" t="inlineStr">
        <is>
          <t>SOLLEFTEÅ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54641-2023</t>
        </is>
      </c>
      <c r="B2348" s="1" t="n">
        <v>45234</v>
      </c>
      <c r="C2348" s="1" t="n">
        <v>45337</v>
      </c>
      <c r="D2348" t="inlineStr">
        <is>
          <t>VÄSTERNORRLANDS LÄN</t>
        </is>
      </c>
      <c r="E2348" t="inlineStr">
        <is>
          <t>SOLLEFTEÅ</t>
        </is>
      </c>
      <c r="F2348" t="inlineStr">
        <is>
          <t>SCA</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54979-2023</t>
        </is>
      </c>
      <c r="B2349" s="1" t="n">
        <v>45236</v>
      </c>
      <c r="C2349" s="1" t="n">
        <v>45337</v>
      </c>
      <c r="D2349" t="inlineStr">
        <is>
          <t>VÄSTERNORRLANDS LÄN</t>
        </is>
      </c>
      <c r="E2349" t="inlineStr">
        <is>
          <t>SOLLEFTEÅ</t>
        </is>
      </c>
      <c r="F2349" t="inlineStr">
        <is>
          <t>SCA</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56148-2023</t>
        </is>
      </c>
      <c r="B2350" s="1" t="n">
        <v>45236</v>
      </c>
      <c r="C2350" s="1" t="n">
        <v>45337</v>
      </c>
      <c r="D2350" t="inlineStr">
        <is>
          <t>VÄSTERNORRLANDS LÄN</t>
        </is>
      </c>
      <c r="E2350" t="inlineStr">
        <is>
          <t>SOLLEFTEÅ</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54978-2023</t>
        </is>
      </c>
      <c r="B2351" s="1" t="n">
        <v>45237</v>
      </c>
      <c r="C2351" s="1" t="n">
        <v>45337</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55005-2023</t>
        </is>
      </c>
      <c r="B2352" s="1" t="n">
        <v>45236</v>
      </c>
      <c r="C2352" s="1" t="n">
        <v>45337</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56356-2023</t>
        </is>
      </c>
      <c r="B2353" s="1" t="n">
        <v>45236</v>
      </c>
      <c r="C2353" s="1" t="n">
        <v>45337</v>
      </c>
      <c r="D2353" t="inlineStr">
        <is>
          <t>VÄSTERNORRLANDS LÄN</t>
        </is>
      </c>
      <c r="E2353" t="inlineStr">
        <is>
          <t>SOLLEFTEÅ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56416-2023</t>
        </is>
      </c>
      <c r="B2354" s="1" t="n">
        <v>45237</v>
      </c>
      <c r="C2354" s="1" t="n">
        <v>45337</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56431-2023</t>
        </is>
      </c>
      <c r="B2355" s="1" t="n">
        <v>45237</v>
      </c>
      <c r="C2355" s="1" t="n">
        <v>45337</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55338-2023</t>
        </is>
      </c>
      <c r="B2356" s="1" t="n">
        <v>45238</v>
      </c>
      <c r="C2356" s="1" t="n">
        <v>45337</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56424-2023</t>
        </is>
      </c>
      <c r="B2357" s="1" t="n">
        <v>45237</v>
      </c>
      <c r="C2357" s="1" t="n">
        <v>45337</v>
      </c>
      <c r="D2357" t="inlineStr">
        <is>
          <t>VÄSTERNORRLANDS LÄN</t>
        </is>
      </c>
      <c r="E2357" t="inlineStr">
        <is>
          <t>SOLLEFTEÅ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55637-2023</t>
        </is>
      </c>
      <c r="B2358" s="1" t="n">
        <v>45238</v>
      </c>
      <c r="C2358" s="1" t="n">
        <v>45337</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55653-2023</t>
        </is>
      </c>
      <c r="B2359" s="1" t="n">
        <v>45239</v>
      </c>
      <c r="C2359" s="1" t="n">
        <v>45337</v>
      </c>
      <c r="D2359" t="inlineStr">
        <is>
          <t>VÄSTERNORRLANDS LÄN</t>
        </is>
      </c>
      <c r="E2359" t="inlineStr">
        <is>
          <t>SOLLEFTEÅ</t>
        </is>
      </c>
      <c r="F2359" t="inlineStr">
        <is>
          <t>SCA</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55622-2023</t>
        </is>
      </c>
      <c r="B2360" s="1" t="n">
        <v>45238</v>
      </c>
      <c r="C2360" s="1" t="n">
        <v>45337</v>
      </c>
      <c r="D2360" t="inlineStr">
        <is>
          <t>VÄSTERNORRLANDS LÄN</t>
        </is>
      </c>
      <c r="E2360" t="inlineStr">
        <is>
          <t>SOLLEFTEÅ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55638-2023</t>
        </is>
      </c>
      <c r="B2361" s="1" t="n">
        <v>45238</v>
      </c>
      <c r="C2361" s="1" t="n">
        <v>45337</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55650-2023</t>
        </is>
      </c>
      <c r="B2362" s="1" t="n">
        <v>45239</v>
      </c>
      <c r="C2362" s="1" t="n">
        <v>45337</v>
      </c>
      <c r="D2362" t="inlineStr">
        <is>
          <t>VÄSTERNORRLANDS LÄN</t>
        </is>
      </c>
      <c r="E2362" t="inlineStr">
        <is>
          <t>SOLLEFTEÅ</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55654-2023</t>
        </is>
      </c>
      <c r="B2363" s="1" t="n">
        <v>45239</v>
      </c>
      <c r="C2363" s="1" t="n">
        <v>45337</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55652-2023</t>
        </is>
      </c>
      <c r="B2364" s="1" t="n">
        <v>45238</v>
      </c>
      <c r="C2364" s="1" t="n">
        <v>45337</v>
      </c>
      <c r="D2364" t="inlineStr">
        <is>
          <t>VÄSTERNORRLANDS LÄN</t>
        </is>
      </c>
      <c r="E2364" t="inlineStr">
        <is>
          <t>SOLLEFTEÅ</t>
        </is>
      </c>
      <c r="F2364" t="inlineStr">
        <is>
          <t>SCA</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55651-2023</t>
        </is>
      </c>
      <c r="B2365" s="1" t="n">
        <v>45238</v>
      </c>
      <c r="C2365" s="1" t="n">
        <v>45337</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55687-2023</t>
        </is>
      </c>
      <c r="B2366" s="1" t="n">
        <v>45239</v>
      </c>
      <c r="C2366" s="1" t="n">
        <v>45337</v>
      </c>
      <c r="D2366" t="inlineStr">
        <is>
          <t>VÄSTERNORRLANDS LÄN</t>
        </is>
      </c>
      <c r="E2366" t="inlineStr">
        <is>
          <t>SOLLEFTEÅ</t>
        </is>
      </c>
      <c r="F2366" t="inlineStr">
        <is>
          <t>Holmen skog AB</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55859-2023</t>
        </is>
      </c>
      <c r="B2367" s="1" t="n">
        <v>45239</v>
      </c>
      <c r="C2367" s="1" t="n">
        <v>45337</v>
      </c>
      <c r="D2367" t="inlineStr">
        <is>
          <t>VÄSTERNORRLANDS LÄN</t>
        </is>
      </c>
      <c r="E2367" t="inlineStr">
        <is>
          <t>SOLLEFTEÅ</t>
        </is>
      </c>
      <c r="F2367" t="inlineStr">
        <is>
          <t>Kommuner</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55910-2023</t>
        </is>
      </c>
      <c r="B2368" s="1" t="n">
        <v>45239</v>
      </c>
      <c r="C2368" s="1" t="n">
        <v>45337</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55912-2023</t>
        </is>
      </c>
      <c r="B2369" s="1" t="n">
        <v>45239</v>
      </c>
      <c r="C2369" s="1" t="n">
        <v>45337</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55929-2023</t>
        </is>
      </c>
      <c r="B2370" s="1" t="n">
        <v>45239</v>
      </c>
      <c r="C2370" s="1" t="n">
        <v>45337</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57010-2023</t>
        </is>
      </c>
      <c r="B2371" s="1" t="n">
        <v>45239</v>
      </c>
      <c r="C2371" s="1" t="n">
        <v>45337</v>
      </c>
      <c r="D2371" t="inlineStr">
        <is>
          <t>VÄSTERNORRLANDS LÄN</t>
        </is>
      </c>
      <c r="E2371" t="inlineStr">
        <is>
          <t>SOLLEFTEÅ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56261-2023</t>
        </is>
      </c>
      <c r="B2372" s="1" t="n">
        <v>45240</v>
      </c>
      <c r="C2372" s="1" t="n">
        <v>45337</v>
      </c>
      <c r="D2372" t="inlineStr">
        <is>
          <t>VÄSTERNORRLANDS LÄN</t>
        </is>
      </c>
      <c r="E2372" t="inlineStr">
        <is>
          <t>SOLLEFTEÅ</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56249-2023</t>
        </is>
      </c>
      <c r="B2373" s="1" t="n">
        <v>45240</v>
      </c>
      <c r="C2373" s="1" t="n">
        <v>45337</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56201-2023</t>
        </is>
      </c>
      <c r="B2374" s="1" t="n">
        <v>45240</v>
      </c>
      <c r="C2374" s="1" t="n">
        <v>45337</v>
      </c>
      <c r="D2374" t="inlineStr">
        <is>
          <t>VÄSTERNORRLANDS LÄN</t>
        </is>
      </c>
      <c r="E2374" t="inlineStr">
        <is>
          <t>SOLLEFTEÅ</t>
        </is>
      </c>
      <c r="G2374" t="n">
        <v>43.3</v>
      </c>
      <c r="H2374" t="n">
        <v>0</v>
      </c>
      <c r="I2374" t="n">
        <v>0</v>
      </c>
      <c r="J2374" t="n">
        <v>0</v>
      </c>
      <c r="K2374" t="n">
        <v>0</v>
      </c>
      <c r="L2374" t="n">
        <v>0</v>
      </c>
      <c r="M2374" t="n">
        <v>0</v>
      </c>
      <c r="N2374" t="n">
        <v>0</v>
      </c>
      <c r="O2374" t="n">
        <v>0</v>
      </c>
      <c r="P2374" t="n">
        <v>0</v>
      </c>
      <c r="Q2374" t="n">
        <v>0</v>
      </c>
      <c r="R2374" s="2" t="inlineStr"/>
    </row>
    <row r="2375" ht="15" customHeight="1">
      <c r="A2375" t="inlineStr">
        <is>
          <t>A 56262-2023</t>
        </is>
      </c>
      <c r="B2375" s="1" t="n">
        <v>45240</v>
      </c>
      <c r="C2375" s="1" t="n">
        <v>45337</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56234-2023</t>
        </is>
      </c>
      <c r="B2376" s="1" t="n">
        <v>45240</v>
      </c>
      <c r="C2376" s="1" t="n">
        <v>45337</v>
      </c>
      <c r="D2376" t="inlineStr">
        <is>
          <t>VÄSTERNORRLANDS LÄN</t>
        </is>
      </c>
      <c r="E2376" t="inlineStr">
        <is>
          <t>SOLLEFTEÅ</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45337</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56256-2023</t>
        </is>
      </c>
      <c r="B2378" s="1" t="n">
        <v>45240</v>
      </c>
      <c r="C2378" s="1" t="n">
        <v>45337</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56244-2023</t>
        </is>
      </c>
      <c r="B2379" s="1" t="n">
        <v>45240</v>
      </c>
      <c r="C2379" s="1" t="n">
        <v>45337</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56134-2023</t>
        </is>
      </c>
      <c r="B2380" s="1" t="n">
        <v>45240</v>
      </c>
      <c r="C2380" s="1" t="n">
        <v>45337</v>
      </c>
      <c r="D2380" t="inlineStr">
        <is>
          <t>VÄSTERNORRLANDS LÄN</t>
        </is>
      </c>
      <c r="E2380" t="inlineStr">
        <is>
          <t>SOLLEFTEÅ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56137-2023</t>
        </is>
      </c>
      <c r="B2381" s="1" t="n">
        <v>45240</v>
      </c>
      <c r="C2381" s="1" t="n">
        <v>45337</v>
      </c>
      <c r="D2381" t="inlineStr">
        <is>
          <t>VÄSTERNORRLANDS LÄN</t>
        </is>
      </c>
      <c r="E2381" t="inlineStr">
        <is>
          <t>SOLLEFTEÅ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56139-2023</t>
        </is>
      </c>
      <c r="B2382" s="1" t="n">
        <v>45240</v>
      </c>
      <c r="C2382" s="1" t="n">
        <v>45337</v>
      </c>
      <c r="D2382" t="inlineStr">
        <is>
          <t>VÄSTERNORRLANDS LÄN</t>
        </is>
      </c>
      <c r="E2382" t="inlineStr">
        <is>
          <t>SOLLEFTEÅ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56310-2023</t>
        </is>
      </c>
      <c r="B2383" s="1" t="n">
        <v>45242</v>
      </c>
      <c r="C2383" s="1" t="n">
        <v>45337</v>
      </c>
      <c r="D2383" t="inlineStr">
        <is>
          <t>VÄSTERNORRLANDS LÄN</t>
        </is>
      </c>
      <c r="E2383" t="inlineStr">
        <is>
          <t>SOLLEFTEÅ</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57518-2023</t>
        </is>
      </c>
      <c r="B2384" s="1" t="n">
        <v>45242</v>
      </c>
      <c r="C2384" s="1" t="n">
        <v>45337</v>
      </c>
      <c r="D2384" t="inlineStr">
        <is>
          <t>VÄSTERNORRLANDS LÄN</t>
        </is>
      </c>
      <c r="E2384" t="inlineStr">
        <is>
          <t>SOLLEFTEÅ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56311-2023</t>
        </is>
      </c>
      <c r="B2385" s="1" t="n">
        <v>45242</v>
      </c>
      <c r="C2385" s="1" t="n">
        <v>45337</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56684-2023</t>
        </is>
      </c>
      <c r="B2386" s="1" t="n">
        <v>45244</v>
      </c>
      <c r="C2386" s="1" t="n">
        <v>45337</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56685-2023</t>
        </is>
      </c>
      <c r="B2387" s="1" t="n">
        <v>45244</v>
      </c>
      <c r="C2387" s="1" t="n">
        <v>45337</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56697-2023</t>
        </is>
      </c>
      <c r="B2388" s="1" t="n">
        <v>45243</v>
      </c>
      <c r="C2388" s="1" t="n">
        <v>45337</v>
      </c>
      <c r="D2388" t="inlineStr">
        <is>
          <t>VÄSTERNORRLANDS LÄN</t>
        </is>
      </c>
      <c r="E2388" t="inlineStr">
        <is>
          <t>SOLLEFTEÅ</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57080-2023</t>
        </is>
      </c>
      <c r="B2389" s="1" t="n">
        <v>45244</v>
      </c>
      <c r="C2389" s="1" t="n">
        <v>45337</v>
      </c>
      <c r="D2389" t="inlineStr">
        <is>
          <t>VÄSTERNORRLANDS LÄN</t>
        </is>
      </c>
      <c r="E2389" t="inlineStr">
        <is>
          <t>SOLLEFTEÅ</t>
        </is>
      </c>
      <c r="F2389" t="inlineStr">
        <is>
          <t>SCA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57066-2023</t>
        </is>
      </c>
      <c r="B2390" s="1" t="n">
        <v>45245</v>
      </c>
      <c r="C2390" s="1" t="n">
        <v>45337</v>
      </c>
      <c r="D2390" t="inlineStr">
        <is>
          <t>VÄSTERNORRLANDS LÄN</t>
        </is>
      </c>
      <c r="E2390" t="inlineStr">
        <is>
          <t>SOLLEFTEÅ</t>
        </is>
      </c>
      <c r="F2390" t="inlineStr">
        <is>
          <t>SCA</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57837-2023</t>
        </is>
      </c>
      <c r="B2391" s="1" t="n">
        <v>45244</v>
      </c>
      <c r="C2391" s="1" t="n">
        <v>45337</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57384-2023</t>
        </is>
      </c>
      <c r="B2392" s="1" t="n">
        <v>45245</v>
      </c>
      <c r="C2392" s="1" t="n">
        <v>45337</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57394-2023</t>
        </is>
      </c>
      <c r="B2393" s="1" t="n">
        <v>45246</v>
      </c>
      <c r="C2393" s="1" t="n">
        <v>45337</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57395-2023</t>
        </is>
      </c>
      <c r="B2394" s="1" t="n">
        <v>45246</v>
      </c>
      <c r="C2394" s="1" t="n">
        <v>45337</v>
      </c>
      <c r="D2394" t="inlineStr">
        <is>
          <t>VÄSTERNORRLANDS LÄN</t>
        </is>
      </c>
      <c r="E2394" t="inlineStr">
        <is>
          <t>SOLLEFTEÅ</t>
        </is>
      </c>
      <c r="F2394" t="inlineStr">
        <is>
          <t>SCA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57411-2023</t>
        </is>
      </c>
      <c r="B2395" s="1" t="n">
        <v>45245</v>
      </c>
      <c r="C2395" s="1" t="n">
        <v>45337</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58298-2023</t>
        </is>
      </c>
      <c r="B2396" s="1" t="n">
        <v>45245</v>
      </c>
      <c r="C2396" s="1" t="n">
        <v>45337</v>
      </c>
      <c r="D2396" t="inlineStr">
        <is>
          <t>VÄSTERNORRLANDS LÄN</t>
        </is>
      </c>
      <c r="E2396" t="inlineStr">
        <is>
          <t>SOLLEFTEÅ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57655-2023</t>
        </is>
      </c>
      <c r="B2397" s="1" t="n">
        <v>45246</v>
      </c>
      <c r="C2397" s="1" t="n">
        <v>45337</v>
      </c>
      <c r="D2397" t="inlineStr">
        <is>
          <t>VÄSTERNORRLANDS LÄN</t>
        </is>
      </c>
      <c r="E2397" t="inlineStr">
        <is>
          <t>SOLLEFTEÅ</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58085-2023</t>
        </is>
      </c>
      <c r="B2398" s="1" t="n">
        <v>45247</v>
      </c>
      <c r="C2398" s="1" t="n">
        <v>45337</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58155-2023</t>
        </is>
      </c>
      <c r="B2399" s="1" t="n">
        <v>45250</v>
      </c>
      <c r="C2399" s="1" t="n">
        <v>45337</v>
      </c>
      <c r="D2399" t="inlineStr">
        <is>
          <t>VÄSTERNORRLANDS LÄN</t>
        </is>
      </c>
      <c r="E2399" t="inlineStr">
        <is>
          <t>SOLLEFTEÅ</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45337</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58938-2023</t>
        </is>
      </c>
      <c r="B2401" s="1" t="n">
        <v>45250</v>
      </c>
      <c r="C2401" s="1" t="n">
        <v>45337</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58427-2023</t>
        </is>
      </c>
      <c r="B2402" s="1" t="n">
        <v>45250</v>
      </c>
      <c r="C2402" s="1" t="n">
        <v>45337</v>
      </c>
      <c r="D2402" t="inlineStr">
        <is>
          <t>VÄSTERNORRLANDS LÄN</t>
        </is>
      </c>
      <c r="E2402" t="inlineStr">
        <is>
          <t>SOLLEFTEÅ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58891-2023</t>
        </is>
      </c>
      <c r="B2403" s="1" t="n">
        <v>45250</v>
      </c>
      <c r="C2403" s="1" t="n">
        <v>45337</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58933-2023</t>
        </is>
      </c>
      <c r="B2404" s="1" t="n">
        <v>45250</v>
      </c>
      <c r="C2404" s="1" t="n">
        <v>45337</v>
      </c>
      <c r="D2404" t="inlineStr">
        <is>
          <t>VÄSTERNORRLANDS LÄN</t>
        </is>
      </c>
      <c r="E2404" t="inlineStr">
        <is>
          <t>SOLLEFTEÅ</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59098-2023</t>
        </is>
      </c>
      <c r="B2405" s="1" t="n">
        <v>45253</v>
      </c>
      <c r="C2405" s="1" t="n">
        <v>45337</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59339-2023</t>
        </is>
      </c>
      <c r="B2406" s="1" t="n">
        <v>45253</v>
      </c>
      <c r="C2406" s="1" t="n">
        <v>45337</v>
      </c>
      <c r="D2406" t="inlineStr">
        <is>
          <t>VÄSTERNORRLANDS LÄN</t>
        </is>
      </c>
      <c r="E2406" t="inlineStr">
        <is>
          <t>SOLLEFTEÅ</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59346-2023</t>
        </is>
      </c>
      <c r="B2407" s="1" t="n">
        <v>45253</v>
      </c>
      <c r="C2407" s="1" t="n">
        <v>45337</v>
      </c>
      <c r="D2407" t="inlineStr">
        <is>
          <t>VÄSTERNORRLANDS LÄN</t>
        </is>
      </c>
      <c r="E2407" t="inlineStr">
        <is>
          <t>SOLLEFTEÅ</t>
        </is>
      </c>
      <c r="F2407" t="inlineStr">
        <is>
          <t>Holmen skog AB</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59461-2023</t>
        </is>
      </c>
      <c r="B2408" s="1" t="n">
        <v>45253</v>
      </c>
      <c r="C2408" s="1" t="n">
        <v>45337</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59579-2023</t>
        </is>
      </c>
      <c r="B2409" s="1" t="n">
        <v>45253</v>
      </c>
      <c r="C2409" s="1" t="n">
        <v>45337</v>
      </c>
      <c r="D2409" t="inlineStr">
        <is>
          <t>VÄSTERNORRLANDS LÄN</t>
        </is>
      </c>
      <c r="E2409" t="inlineStr">
        <is>
          <t>SOLLEFTEÅ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59501-2023</t>
        </is>
      </c>
      <c r="B2410" s="1" t="n">
        <v>45254</v>
      </c>
      <c r="C2410" s="1" t="n">
        <v>45337</v>
      </c>
      <c r="D2410" t="inlineStr">
        <is>
          <t>VÄSTERNORRLANDS LÄN</t>
        </is>
      </c>
      <c r="E2410" t="inlineStr">
        <is>
          <t>SOLLEFTEÅ</t>
        </is>
      </c>
      <c r="F2410" t="inlineStr">
        <is>
          <t>Holmen skog AB</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59583-2023</t>
        </is>
      </c>
      <c r="B2411" s="1" t="n">
        <v>45254</v>
      </c>
      <c r="C2411" s="1" t="n">
        <v>45337</v>
      </c>
      <c r="D2411" t="inlineStr">
        <is>
          <t>VÄSTERNORRLANDS LÄN</t>
        </is>
      </c>
      <c r="E2411" t="inlineStr">
        <is>
          <t>SOLLEFTEÅ</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59657-2023</t>
        </is>
      </c>
      <c r="B2412" s="1" t="n">
        <v>45255</v>
      </c>
      <c r="C2412" s="1" t="n">
        <v>45337</v>
      </c>
      <c r="D2412" t="inlineStr">
        <is>
          <t>VÄSTERNORRLANDS LÄN</t>
        </is>
      </c>
      <c r="E2412" t="inlineStr">
        <is>
          <t>SOLLEFTEÅ</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59593-2023</t>
        </is>
      </c>
      <c r="B2413" s="1" t="n">
        <v>45254</v>
      </c>
      <c r="C2413" s="1" t="n">
        <v>45337</v>
      </c>
      <c r="D2413" t="inlineStr">
        <is>
          <t>VÄSTERNORRLANDS LÄN</t>
        </is>
      </c>
      <c r="E2413" t="inlineStr">
        <is>
          <t>SOLLEFTEÅ</t>
        </is>
      </c>
      <c r="F2413" t="inlineStr">
        <is>
          <t>Holmen skog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59662-2023</t>
        </is>
      </c>
      <c r="B2414" s="1" t="n">
        <v>45255</v>
      </c>
      <c r="C2414" s="1" t="n">
        <v>45337</v>
      </c>
      <c r="D2414" t="inlineStr">
        <is>
          <t>VÄSTERNORRLANDS LÄN</t>
        </is>
      </c>
      <c r="E2414" t="inlineStr">
        <is>
          <t>SOLLEFTEÅ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59879-2023</t>
        </is>
      </c>
      <c r="B2415" s="1" t="n">
        <v>45254</v>
      </c>
      <c r="C2415" s="1" t="n">
        <v>45337</v>
      </c>
      <c r="D2415" t="inlineStr">
        <is>
          <t>VÄSTERNORRLANDS LÄN</t>
        </is>
      </c>
      <c r="E2415" t="inlineStr">
        <is>
          <t>SOLLEFTEÅ</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60039-2023</t>
        </is>
      </c>
      <c r="B2416" s="1" t="n">
        <v>45254</v>
      </c>
      <c r="C2416" s="1" t="n">
        <v>45337</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59794-2023</t>
        </is>
      </c>
      <c r="B2417" s="1" t="n">
        <v>45257</v>
      </c>
      <c r="C2417" s="1" t="n">
        <v>45337</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60099-2023</t>
        </is>
      </c>
      <c r="B2418" s="1" t="n">
        <v>45257</v>
      </c>
      <c r="C2418" s="1" t="n">
        <v>45337</v>
      </c>
      <c r="D2418" t="inlineStr">
        <is>
          <t>VÄSTERNORRLANDS LÄN</t>
        </is>
      </c>
      <c r="E2418" t="inlineStr">
        <is>
          <t>SOLLEFTEÅ</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60329-2023</t>
        </is>
      </c>
      <c r="B2419" s="1" t="n">
        <v>45258</v>
      </c>
      <c r="C2419" s="1" t="n">
        <v>45337</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60462-2023</t>
        </is>
      </c>
      <c r="B2420" s="1" t="n">
        <v>45258</v>
      </c>
      <c r="C2420" s="1" t="n">
        <v>45337</v>
      </c>
      <c r="D2420" t="inlineStr">
        <is>
          <t>VÄSTERNORRLANDS LÄN</t>
        </is>
      </c>
      <c r="E2420" t="inlineStr">
        <is>
          <t>SOLLEFTEÅ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60328-2023</t>
        </is>
      </c>
      <c r="B2421" s="1" t="n">
        <v>45258</v>
      </c>
      <c r="C2421" s="1" t="n">
        <v>45337</v>
      </c>
      <c r="D2421" t="inlineStr">
        <is>
          <t>VÄSTERNORRLANDS LÄN</t>
        </is>
      </c>
      <c r="E2421" t="inlineStr">
        <is>
          <t>SOLLEFTEÅ</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60480-2023</t>
        </is>
      </c>
      <c r="B2422" s="1" t="n">
        <v>45258</v>
      </c>
      <c r="C2422" s="1" t="n">
        <v>45337</v>
      </c>
      <c r="D2422" t="inlineStr">
        <is>
          <t>VÄSTERNORRLANDS LÄN</t>
        </is>
      </c>
      <c r="E2422" t="inlineStr">
        <is>
          <t>SOLLEFTEÅ</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61034-2023</t>
        </is>
      </c>
      <c r="B2423" s="1" t="n">
        <v>45259</v>
      </c>
      <c r="C2423" s="1" t="n">
        <v>45337</v>
      </c>
      <c r="D2423" t="inlineStr">
        <is>
          <t>VÄSTERNORRLANDS LÄN</t>
        </is>
      </c>
      <c r="E2423" t="inlineStr">
        <is>
          <t>SOLLEFTEÅ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61028-2023</t>
        </is>
      </c>
      <c r="B2424" s="1" t="n">
        <v>45259</v>
      </c>
      <c r="C2424" s="1" t="n">
        <v>45337</v>
      </c>
      <c r="D2424" t="inlineStr">
        <is>
          <t>VÄSTERNORRLANDS LÄN</t>
        </is>
      </c>
      <c r="E2424" t="inlineStr">
        <is>
          <t>SOLLEFTEÅ</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60883-2023</t>
        </is>
      </c>
      <c r="B2425" s="1" t="n">
        <v>45259</v>
      </c>
      <c r="C2425" s="1" t="n">
        <v>45337</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60861-2023</t>
        </is>
      </c>
      <c r="B2426" s="1" t="n">
        <v>45260</v>
      </c>
      <c r="C2426" s="1" t="n">
        <v>45337</v>
      </c>
      <c r="D2426" t="inlineStr">
        <is>
          <t>VÄSTERNORRLANDS LÄN</t>
        </is>
      </c>
      <c r="E2426" t="inlineStr">
        <is>
          <t>SOLLEFTEÅ</t>
        </is>
      </c>
      <c r="F2426" t="inlineStr">
        <is>
          <t>SCA</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61213-2023</t>
        </is>
      </c>
      <c r="B2427" s="1" t="n">
        <v>45260</v>
      </c>
      <c r="C2427" s="1" t="n">
        <v>45337</v>
      </c>
      <c r="D2427" t="inlineStr">
        <is>
          <t>VÄSTERNORRLANDS LÄN</t>
        </is>
      </c>
      <c r="E2427" t="inlineStr">
        <is>
          <t>SOLLEFTEÅ</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61137-2023</t>
        </is>
      </c>
      <c r="B2428" s="1" t="n">
        <v>45261</v>
      </c>
      <c r="C2428" s="1" t="n">
        <v>45337</v>
      </c>
      <c r="D2428" t="inlineStr">
        <is>
          <t>VÄSTERNORRLANDS LÄN</t>
        </is>
      </c>
      <c r="E2428" t="inlineStr">
        <is>
          <t>SOLLEFTEÅ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61138-2023</t>
        </is>
      </c>
      <c r="B2429" s="1" t="n">
        <v>45261</v>
      </c>
      <c r="C2429" s="1" t="n">
        <v>45337</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61081-2023</t>
        </is>
      </c>
      <c r="B2430" s="1" t="n">
        <v>45261</v>
      </c>
      <c r="C2430" s="1" t="n">
        <v>45337</v>
      </c>
      <c r="D2430" t="inlineStr">
        <is>
          <t>VÄSTERNORRLANDS LÄN</t>
        </is>
      </c>
      <c r="E2430" t="inlineStr">
        <is>
          <t>SOLLEFTEÅ</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61469-2023</t>
        </is>
      </c>
      <c r="B2431" s="1" t="n">
        <v>45264</v>
      </c>
      <c r="C2431" s="1" t="n">
        <v>45337</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61473-2023</t>
        </is>
      </c>
      <c r="B2432" s="1" t="n">
        <v>45264</v>
      </c>
      <c r="C2432" s="1" t="n">
        <v>45337</v>
      </c>
      <c r="D2432" t="inlineStr">
        <is>
          <t>VÄSTERNORRLANDS LÄN</t>
        </is>
      </c>
      <c r="E2432" t="inlineStr">
        <is>
          <t>SOLLEFTEÅ</t>
        </is>
      </c>
      <c r="G2432" t="n">
        <v>18.8</v>
      </c>
      <c r="H2432" t="n">
        <v>0</v>
      </c>
      <c r="I2432" t="n">
        <v>0</v>
      </c>
      <c r="J2432" t="n">
        <v>0</v>
      </c>
      <c r="K2432" t="n">
        <v>0</v>
      </c>
      <c r="L2432" t="n">
        <v>0</v>
      </c>
      <c r="M2432" t="n">
        <v>0</v>
      </c>
      <c r="N2432" t="n">
        <v>0</v>
      </c>
      <c r="O2432" t="n">
        <v>0</v>
      </c>
      <c r="P2432" t="n">
        <v>0</v>
      </c>
      <c r="Q2432" t="n">
        <v>0</v>
      </c>
      <c r="R2432" s="2" t="inlineStr"/>
    </row>
    <row r="2433" ht="15" customHeight="1">
      <c r="A2433" t="inlineStr">
        <is>
          <t>A 61485-2023</t>
        </is>
      </c>
      <c r="B2433" s="1" t="n">
        <v>45264</v>
      </c>
      <c r="C2433" s="1" t="n">
        <v>45337</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61462-2023</t>
        </is>
      </c>
      <c r="B2434" s="1" t="n">
        <v>45264</v>
      </c>
      <c r="C2434" s="1" t="n">
        <v>45337</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61470-2023</t>
        </is>
      </c>
      <c r="B2435" s="1" t="n">
        <v>45264</v>
      </c>
      <c r="C2435" s="1" t="n">
        <v>45337</v>
      </c>
      <c r="D2435" t="inlineStr">
        <is>
          <t>VÄSTERNORRLANDS LÄN</t>
        </is>
      </c>
      <c r="E2435" t="inlineStr">
        <is>
          <t>SOLLEFTEÅ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61809-2023</t>
        </is>
      </c>
      <c r="B2436" s="1" t="n">
        <v>45264</v>
      </c>
      <c r="C2436" s="1" t="n">
        <v>45337</v>
      </c>
      <c r="D2436" t="inlineStr">
        <is>
          <t>VÄSTERNORRLANDS LÄN</t>
        </is>
      </c>
      <c r="E2436" t="inlineStr">
        <is>
          <t>SOLLEFTEÅ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61805-2023</t>
        </is>
      </c>
      <c r="B2437" s="1" t="n">
        <v>45264</v>
      </c>
      <c r="C2437" s="1" t="n">
        <v>45337</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61784-2023</t>
        </is>
      </c>
      <c r="B2438" s="1" t="n">
        <v>45265</v>
      </c>
      <c r="C2438" s="1" t="n">
        <v>45337</v>
      </c>
      <c r="D2438" t="inlineStr">
        <is>
          <t>VÄSTERNORRLANDS LÄN</t>
        </is>
      </c>
      <c r="E2438" t="inlineStr">
        <is>
          <t>SOLLEFTEÅ</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62098-2023</t>
        </is>
      </c>
      <c r="B2439" s="1" t="n">
        <v>45266</v>
      </c>
      <c r="C2439" s="1" t="n">
        <v>45337</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45337</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45337</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62096-2023</t>
        </is>
      </c>
      <c r="B2442" s="1" t="n">
        <v>45266</v>
      </c>
      <c r="C2442" s="1" t="n">
        <v>45337</v>
      </c>
      <c r="D2442" t="inlineStr">
        <is>
          <t>VÄSTERNORRLANDS LÄN</t>
        </is>
      </c>
      <c r="E2442" t="inlineStr">
        <is>
          <t>SOLLEFTEÅ</t>
        </is>
      </c>
      <c r="F2442" t="inlineStr">
        <is>
          <t>Kyrkan</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62100-2023</t>
        </is>
      </c>
      <c r="B2443" s="1" t="n">
        <v>45266</v>
      </c>
      <c r="C2443" s="1" t="n">
        <v>45337</v>
      </c>
      <c r="D2443" t="inlineStr">
        <is>
          <t>VÄSTERNORRLANDS LÄN</t>
        </is>
      </c>
      <c r="E2443" t="inlineStr">
        <is>
          <t>SOLLEFTEÅ</t>
        </is>
      </c>
      <c r="G2443" t="n">
        <v>16.6</v>
      </c>
      <c r="H2443" t="n">
        <v>0</v>
      </c>
      <c r="I2443" t="n">
        <v>0</v>
      </c>
      <c r="J2443" t="n">
        <v>0</v>
      </c>
      <c r="K2443" t="n">
        <v>0</v>
      </c>
      <c r="L2443" t="n">
        <v>0</v>
      </c>
      <c r="M2443" t="n">
        <v>0</v>
      </c>
      <c r="N2443" t="n">
        <v>0</v>
      </c>
      <c r="O2443" t="n">
        <v>0</v>
      </c>
      <c r="P2443" t="n">
        <v>0</v>
      </c>
      <c r="Q2443" t="n">
        <v>0</v>
      </c>
      <c r="R2443" s="2" t="inlineStr"/>
    </row>
    <row r="2444" ht="15" customHeight="1">
      <c r="A2444" t="inlineStr">
        <is>
          <t>A 62093-2023</t>
        </is>
      </c>
      <c r="B2444" s="1" t="n">
        <v>45266</v>
      </c>
      <c r="C2444" s="1" t="n">
        <v>45337</v>
      </c>
      <c r="D2444" t="inlineStr">
        <is>
          <t>VÄSTERNORRLANDS LÄN</t>
        </is>
      </c>
      <c r="E2444" t="inlineStr">
        <is>
          <t>SOLLEFTEÅ</t>
        </is>
      </c>
      <c r="G2444" t="n">
        <v>18.1</v>
      </c>
      <c r="H2444" t="n">
        <v>0</v>
      </c>
      <c r="I2444" t="n">
        <v>0</v>
      </c>
      <c r="J2444" t="n">
        <v>0</v>
      </c>
      <c r="K2444" t="n">
        <v>0</v>
      </c>
      <c r="L2444" t="n">
        <v>0</v>
      </c>
      <c r="M2444" t="n">
        <v>0</v>
      </c>
      <c r="N2444" t="n">
        <v>0</v>
      </c>
      <c r="O2444" t="n">
        <v>0</v>
      </c>
      <c r="P2444" t="n">
        <v>0</v>
      </c>
      <c r="Q2444" t="n">
        <v>0</v>
      </c>
      <c r="R2444" s="2" t="inlineStr"/>
    </row>
    <row r="2445" ht="15" customHeight="1">
      <c r="A2445" t="inlineStr">
        <is>
          <t>A 62097-2023</t>
        </is>
      </c>
      <c r="B2445" s="1" t="n">
        <v>45266</v>
      </c>
      <c r="C2445" s="1" t="n">
        <v>45337</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45337</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62357-2023</t>
        </is>
      </c>
      <c r="B2447" s="1" t="n">
        <v>45267</v>
      </c>
      <c r="C2447" s="1" t="n">
        <v>45337</v>
      </c>
      <c r="D2447" t="inlineStr">
        <is>
          <t>VÄSTERNORRLANDS LÄN</t>
        </is>
      </c>
      <c r="E2447" t="inlineStr">
        <is>
          <t>SOLLEFTEÅ</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62343-2023</t>
        </is>
      </c>
      <c r="B2448" s="1" t="n">
        <v>45267</v>
      </c>
      <c r="C2448" s="1" t="n">
        <v>45337</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62364-2023</t>
        </is>
      </c>
      <c r="B2449" s="1" t="n">
        <v>45267</v>
      </c>
      <c r="C2449" s="1" t="n">
        <v>45337</v>
      </c>
      <c r="D2449" t="inlineStr">
        <is>
          <t>VÄSTERNORRLANDS LÄN</t>
        </is>
      </c>
      <c r="E2449" t="inlineStr">
        <is>
          <t>SOLLEFTEÅ</t>
        </is>
      </c>
      <c r="F2449" t="inlineStr">
        <is>
          <t>SCA</t>
        </is>
      </c>
      <c r="G2449" t="n">
        <v>22.1</v>
      </c>
      <c r="H2449" t="n">
        <v>0</v>
      </c>
      <c r="I2449" t="n">
        <v>0</v>
      </c>
      <c r="J2449" t="n">
        <v>0</v>
      </c>
      <c r="K2449" t="n">
        <v>0</v>
      </c>
      <c r="L2449" t="n">
        <v>0</v>
      </c>
      <c r="M2449" t="n">
        <v>0</v>
      </c>
      <c r="N2449" t="n">
        <v>0</v>
      </c>
      <c r="O2449" t="n">
        <v>0</v>
      </c>
      <c r="P2449" t="n">
        <v>0</v>
      </c>
      <c r="Q2449" t="n">
        <v>0</v>
      </c>
      <c r="R2449" s="2" t="inlineStr"/>
    </row>
    <row r="2450" ht="15" customHeight="1">
      <c r="A2450" t="inlineStr">
        <is>
          <t>A 62523-2023</t>
        </is>
      </c>
      <c r="B2450" s="1" t="n">
        <v>45267</v>
      </c>
      <c r="C2450" s="1" t="n">
        <v>45337</v>
      </c>
      <c r="D2450" t="inlineStr">
        <is>
          <t>VÄSTERNORRLANDS LÄN</t>
        </is>
      </c>
      <c r="E2450" t="inlineStr">
        <is>
          <t>SOLLEFTEÅ</t>
        </is>
      </c>
      <c r="G2450" t="n">
        <v>33.6</v>
      </c>
      <c r="H2450" t="n">
        <v>0</v>
      </c>
      <c r="I2450" t="n">
        <v>0</v>
      </c>
      <c r="J2450" t="n">
        <v>0</v>
      </c>
      <c r="K2450" t="n">
        <v>0</v>
      </c>
      <c r="L2450" t="n">
        <v>0</v>
      </c>
      <c r="M2450" t="n">
        <v>0</v>
      </c>
      <c r="N2450" t="n">
        <v>0</v>
      </c>
      <c r="O2450" t="n">
        <v>0</v>
      </c>
      <c r="P2450" t="n">
        <v>0</v>
      </c>
      <c r="Q2450" t="n">
        <v>0</v>
      </c>
      <c r="R2450" s="2" t="inlineStr"/>
    </row>
    <row r="2451" ht="15" customHeight="1">
      <c r="A2451" t="inlineStr">
        <is>
          <t>A 62527-2023</t>
        </is>
      </c>
      <c r="B2451" s="1" t="n">
        <v>45267</v>
      </c>
      <c r="C2451" s="1" t="n">
        <v>45337</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62827-2023</t>
        </is>
      </c>
      <c r="B2452" s="1" t="n">
        <v>45271</v>
      </c>
      <c r="C2452" s="1" t="n">
        <v>45337</v>
      </c>
      <c r="D2452" t="inlineStr">
        <is>
          <t>VÄSTERNORRLANDS LÄN</t>
        </is>
      </c>
      <c r="E2452" t="inlineStr">
        <is>
          <t>SOLLEFTEÅ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63144-2023</t>
        </is>
      </c>
      <c r="B2453" s="1" t="n">
        <v>45272</v>
      </c>
      <c r="C2453" s="1" t="n">
        <v>45337</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63138-2023</t>
        </is>
      </c>
      <c r="B2454" s="1" t="n">
        <v>45272</v>
      </c>
      <c r="C2454" s="1" t="n">
        <v>45337</v>
      </c>
      <c r="D2454" t="inlineStr">
        <is>
          <t>VÄSTERNORRLANDS LÄN</t>
        </is>
      </c>
      <c r="E2454" t="inlineStr">
        <is>
          <t>SOLLEFTEÅ</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63261-2023</t>
        </is>
      </c>
      <c r="B2455" s="1" t="n">
        <v>45273</v>
      </c>
      <c r="C2455" s="1" t="n">
        <v>45337</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63259-2023</t>
        </is>
      </c>
      <c r="B2456" s="1" t="n">
        <v>45273</v>
      </c>
      <c r="C2456" s="1" t="n">
        <v>45337</v>
      </c>
      <c r="D2456" t="inlineStr">
        <is>
          <t>VÄSTERNORRLANDS LÄN</t>
        </is>
      </c>
      <c r="E2456" t="inlineStr">
        <is>
          <t>SOLLEFTEÅ</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63413-2023</t>
        </is>
      </c>
      <c r="B2457" s="1" t="n">
        <v>45274</v>
      </c>
      <c r="C2457" s="1" t="n">
        <v>45337</v>
      </c>
      <c r="D2457" t="inlineStr">
        <is>
          <t>VÄSTERNORRLANDS LÄN</t>
        </is>
      </c>
      <c r="E2457" t="inlineStr">
        <is>
          <t>SOLLEFTEÅ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63462-2023</t>
        </is>
      </c>
      <c r="B2458" s="1" t="n">
        <v>45274</v>
      </c>
      <c r="C2458" s="1" t="n">
        <v>45337</v>
      </c>
      <c r="D2458" t="inlineStr">
        <is>
          <t>VÄSTERNORRLANDS LÄN</t>
        </is>
      </c>
      <c r="E2458" t="inlineStr">
        <is>
          <t>SOLLEFTEÅ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63422-2023</t>
        </is>
      </c>
      <c r="B2459" s="1" t="n">
        <v>45274</v>
      </c>
      <c r="C2459" s="1" t="n">
        <v>45337</v>
      </c>
      <c r="D2459" t="inlineStr">
        <is>
          <t>VÄSTERNORRLANDS LÄN</t>
        </is>
      </c>
      <c r="E2459" t="inlineStr">
        <is>
          <t>SOLLEFTEÅ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63529-2023</t>
        </is>
      </c>
      <c r="B2460" s="1" t="n">
        <v>45274</v>
      </c>
      <c r="C2460" s="1" t="n">
        <v>45337</v>
      </c>
      <c r="D2460" t="inlineStr">
        <is>
          <t>VÄSTERNORRLANDS LÄN</t>
        </is>
      </c>
      <c r="E2460" t="inlineStr">
        <is>
          <t>SOLLEFTEÅ</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63547-2023</t>
        </is>
      </c>
      <c r="B2461" s="1" t="n">
        <v>45274</v>
      </c>
      <c r="C2461" s="1" t="n">
        <v>45337</v>
      </c>
      <c r="D2461" t="inlineStr">
        <is>
          <t>VÄSTERNORRLANDS LÄN</t>
        </is>
      </c>
      <c r="E2461" t="inlineStr">
        <is>
          <t>SOLLEFTEÅ</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63707-2023</t>
        </is>
      </c>
      <c r="B2462" s="1" t="n">
        <v>45275</v>
      </c>
      <c r="C2462" s="1" t="n">
        <v>45337</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63712-2023</t>
        </is>
      </c>
      <c r="B2463" s="1" t="n">
        <v>45275</v>
      </c>
      <c r="C2463" s="1" t="n">
        <v>45337</v>
      </c>
      <c r="D2463" t="inlineStr">
        <is>
          <t>VÄSTERNORRLANDS LÄN</t>
        </is>
      </c>
      <c r="E2463" t="inlineStr">
        <is>
          <t>SOLLEFTEÅ</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63652-2023</t>
        </is>
      </c>
      <c r="B2464" s="1" t="n">
        <v>45275</v>
      </c>
      <c r="C2464" s="1" t="n">
        <v>45337</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63979-2023</t>
        </is>
      </c>
      <c r="B2465" s="1" t="n">
        <v>45278</v>
      </c>
      <c r="C2465" s="1" t="n">
        <v>45337</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64014-2023</t>
        </is>
      </c>
      <c r="B2466" s="1" t="n">
        <v>45278</v>
      </c>
      <c r="C2466" s="1" t="n">
        <v>45337</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64013-2023</t>
        </is>
      </c>
      <c r="B2467" s="1" t="n">
        <v>45278</v>
      </c>
      <c r="C2467" s="1" t="n">
        <v>45337</v>
      </c>
      <c r="D2467" t="inlineStr">
        <is>
          <t>VÄSTERNORRLANDS LÄN</t>
        </is>
      </c>
      <c r="E2467" t="inlineStr">
        <is>
          <t>SOLLEFTEÅ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64111-2023</t>
        </is>
      </c>
      <c r="B2468" s="1" t="n">
        <v>45279</v>
      </c>
      <c r="C2468" s="1" t="n">
        <v>45337</v>
      </c>
      <c r="D2468" t="inlineStr">
        <is>
          <t>VÄSTERNORRLANDS LÄN</t>
        </is>
      </c>
      <c r="E2468" t="inlineStr">
        <is>
          <t>SOLLEFTEÅ</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64115-2023</t>
        </is>
      </c>
      <c r="B2469" s="1" t="n">
        <v>45279</v>
      </c>
      <c r="C2469" s="1" t="n">
        <v>45337</v>
      </c>
      <c r="D2469" t="inlineStr">
        <is>
          <t>VÄSTERNORRLANDS LÄN</t>
        </is>
      </c>
      <c r="E2469" t="inlineStr">
        <is>
          <t>SOLLEFTEÅ</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64120-2023</t>
        </is>
      </c>
      <c r="B2470" s="1" t="n">
        <v>45279</v>
      </c>
      <c r="C2470" s="1" t="n">
        <v>45337</v>
      </c>
      <c r="D2470" t="inlineStr">
        <is>
          <t>VÄSTERNORRLANDS LÄN</t>
        </is>
      </c>
      <c r="E2470" t="inlineStr">
        <is>
          <t>SOLLEFTEÅ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64131-2023</t>
        </is>
      </c>
      <c r="B2471" s="1" t="n">
        <v>45279</v>
      </c>
      <c r="C2471" s="1" t="n">
        <v>45337</v>
      </c>
      <c r="D2471" t="inlineStr">
        <is>
          <t>VÄSTERNORRLANDS LÄN</t>
        </is>
      </c>
      <c r="E2471" t="inlineStr">
        <is>
          <t>SOLLEFTEÅ</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64133-2023</t>
        </is>
      </c>
      <c r="B2472" s="1" t="n">
        <v>45279</v>
      </c>
      <c r="C2472" s="1" t="n">
        <v>45337</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64502-2023</t>
        </is>
      </c>
      <c r="B2473" s="1" t="n">
        <v>45280</v>
      </c>
      <c r="C2473" s="1" t="n">
        <v>45337</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64617-2023</t>
        </is>
      </c>
      <c r="B2474" s="1" t="n">
        <v>45281</v>
      </c>
      <c r="C2474" s="1" t="n">
        <v>45337</v>
      </c>
      <c r="D2474" t="inlineStr">
        <is>
          <t>VÄSTERNORRLANDS LÄN</t>
        </is>
      </c>
      <c r="E2474" t="inlineStr">
        <is>
          <t>SOLLEFTEÅ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64961-2023</t>
        </is>
      </c>
      <c r="B2475" s="1" t="n">
        <v>45282</v>
      </c>
      <c r="C2475" s="1" t="n">
        <v>45337</v>
      </c>
      <c r="D2475" t="inlineStr">
        <is>
          <t>VÄSTERNORRLANDS LÄN</t>
        </is>
      </c>
      <c r="E2475" t="inlineStr">
        <is>
          <t>SOLLEFTEÅ</t>
        </is>
      </c>
      <c r="F2475" t="inlineStr">
        <is>
          <t>SCA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64959-2023</t>
        </is>
      </c>
      <c r="B2476" s="1" t="n">
        <v>45282</v>
      </c>
      <c r="C2476" s="1" t="n">
        <v>45337</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64891-2023</t>
        </is>
      </c>
      <c r="B2477" s="1" t="n">
        <v>45282</v>
      </c>
      <c r="C2477" s="1" t="n">
        <v>45337</v>
      </c>
      <c r="D2477" t="inlineStr">
        <is>
          <t>VÄSTERNORRLANDS LÄN</t>
        </is>
      </c>
      <c r="E2477" t="inlineStr">
        <is>
          <t>SOLLEFTEÅ</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65148-2023</t>
        </is>
      </c>
      <c r="B2478" s="1" t="n">
        <v>45288</v>
      </c>
      <c r="C2478" s="1" t="n">
        <v>45337</v>
      </c>
      <c r="D2478" t="inlineStr">
        <is>
          <t>VÄSTERNORRLANDS LÄN</t>
        </is>
      </c>
      <c r="E2478" t="inlineStr">
        <is>
          <t>SOLLEFTEÅ</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394-2024</t>
        </is>
      </c>
      <c r="B2479" s="1" t="n">
        <v>45296</v>
      </c>
      <c r="C2479" s="1" t="n">
        <v>45337</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388-2024</t>
        </is>
      </c>
      <c r="B2480" s="1" t="n">
        <v>45296</v>
      </c>
      <c r="C2480" s="1" t="n">
        <v>45337</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457-2024</t>
        </is>
      </c>
      <c r="B2481" s="1" t="n">
        <v>45297</v>
      </c>
      <c r="C2481" s="1" t="n">
        <v>45337</v>
      </c>
      <c r="D2481" t="inlineStr">
        <is>
          <t>VÄSTERNORRLANDS LÄN</t>
        </is>
      </c>
      <c r="E2481" t="inlineStr">
        <is>
          <t>SOLLEFTEÅ</t>
        </is>
      </c>
      <c r="F2481" t="inlineStr">
        <is>
          <t>SCA</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656-2024</t>
        </is>
      </c>
      <c r="B2482" s="1" t="n">
        <v>45299</v>
      </c>
      <c r="C2482" s="1" t="n">
        <v>45337</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858-2024</t>
        </is>
      </c>
      <c r="B2483" s="1" t="n">
        <v>45301</v>
      </c>
      <c r="C2483" s="1" t="n">
        <v>45337</v>
      </c>
      <c r="D2483" t="inlineStr">
        <is>
          <t>VÄSTERNORRLANDS LÄN</t>
        </is>
      </c>
      <c r="E2483" t="inlineStr">
        <is>
          <t>SOLLEFTEÅ</t>
        </is>
      </c>
      <c r="F2483" t="inlineStr">
        <is>
          <t>SCA</t>
        </is>
      </c>
      <c r="G2483" t="n">
        <v>56.2</v>
      </c>
      <c r="H2483" t="n">
        <v>0</v>
      </c>
      <c r="I2483" t="n">
        <v>0</v>
      </c>
      <c r="J2483" t="n">
        <v>0</v>
      </c>
      <c r="K2483" t="n">
        <v>0</v>
      </c>
      <c r="L2483" t="n">
        <v>0</v>
      </c>
      <c r="M2483" t="n">
        <v>0</v>
      </c>
      <c r="N2483" t="n">
        <v>0</v>
      </c>
      <c r="O2483" t="n">
        <v>0</v>
      </c>
      <c r="P2483" t="n">
        <v>0</v>
      </c>
      <c r="Q2483" t="n">
        <v>0</v>
      </c>
      <c r="R2483" s="2" t="inlineStr"/>
    </row>
    <row r="2484" ht="15" customHeight="1">
      <c r="A2484" t="inlineStr">
        <is>
          <t>A 1006-2024</t>
        </is>
      </c>
      <c r="B2484" s="1" t="n">
        <v>45301</v>
      </c>
      <c r="C2484" s="1" t="n">
        <v>45337</v>
      </c>
      <c r="D2484" t="inlineStr">
        <is>
          <t>VÄSTERNORRLANDS LÄN</t>
        </is>
      </c>
      <c r="E2484" t="inlineStr">
        <is>
          <t>SOLLEFTEÅ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1047-2024</t>
        </is>
      </c>
      <c r="B2485" s="1" t="n">
        <v>45301</v>
      </c>
      <c r="C2485" s="1" t="n">
        <v>45337</v>
      </c>
      <c r="D2485" t="inlineStr">
        <is>
          <t>VÄSTERNORRLANDS LÄN</t>
        </is>
      </c>
      <c r="E2485" t="inlineStr">
        <is>
          <t>SOLLEFTEÅ</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1054-2024</t>
        </is>
      </c>
      <c r="B2486" s="1" t="n">
        <v>45302</v>
      </c>
      <c r="C2486" s="1" t="n">
        <v>45337</v>
      </c>
      <c r="D2486" t="inlineStr">
        <is>
          <t>VÄSTERNORRLANDS LÄN</t>
        </is>
      </c>
      <c r="E2486" t="inlineStr">
        <is>
          <t>SOLLEFTEÅ</t>
        </is>
      </c>
      <c r="F2486" t="inlineStr">
        <is>
          <t>SCA</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1269-2024</t>
        </is>
      </c>
      <c r="B2487" s="1" t="n">
        <v>45302</v>
      </c>
      <c r="C2487" s="1" t="n">
        <v>45337</v>
      </c>
      <c r="D2487" t="inlineStr">
        <is>
          <t>VÄSTERNORRLANDS LÄN</t>
        </is>
      </c>
      <c r="E2487" t="inlineStr">
        <is>
          <t>SOLLEFTEÅ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1268-2024</t>
        </is>
      </c>
      <c r="B2488" s="1" t="n">
        <v>45302</v>
      </c>
      <c r="C2488" s="1" t="n">
        <v>45337</v>
      </c>
      <c r="D2488" t="inlineStr">
        <is>
          <t>VÄSTERNORRLANDS LÄN</t>
        </is>
      </c>
      <c r="E2488" t="inlineStr">
        <is>
          <t>SOLLEFTEÅ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1173-2024</t>
        </is>
      </c>
      <c r="B2489" s="1" t="n">
        <v>45302</v>
      </c>
      <c r="C2489" s="1" t="n">
        <v>45337</v>
      </c>
      <c r="D2489" t="inlineStr">
        <is>
          <t>VÄSTERNORRLANDS LÄN</t>
        </is>
      </c>
      <c r="E2489" t="inlineStr">
        <is>
          <t>SOLLEFTEÅ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1459-2024</t>
        </is>
      </c>
      <c r="B2490" s="1" t="n">
        <v>45303</v>
      </c>
      <c r="C2490" s="1" t="n">
        <v>45337</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1678-2024</t>
        </is>
      </c>
      <c r="B2491" s="1" t="n">
        <v>45307</v>
      </c>
      <c r="C2491" s="1" t="n">
        <v>45337</v>
      </c>
      <c r="D2491" t="inlineStr">
        <is>
          <t>VÄSTERNORRLANDS LÄN</t>
        </is>
      </c>
      <c r="E2491" t="inlineStr">
        <is>
          <t>SOLLEFTEÅ</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1679-2024</t>
        </is>
      </c>
      <c r="B2492" s="1" t="n">
        <v>45306</v>
      </c>
      <c r="C2492" s="1" t="n">
        <v>45337</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1672-2024</t>
        </is>
      </c>
      <c r="B2493" s="1" t="n">
        <v>45307</v>
      </c>
      <c r="C2493" s="1" t="n">
        <v>45337</v>
      </c>
      <c r="D2493" t="inlineStr">
        <is>
          <t>VÄSTERNORRLANDS LÄN</t>
        </is>
      </c>
      <c r="E2493" t="inlineStr">
        <is>
          <t>SOLLEFTEÅ</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1844-2024</t>
        </is>
      </c>
      <c r="B2494" s="1" t="n">
        <v>45307</v>
      </c>
      <c r="C2494" s="1" t="n">
        <v>45337</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1840-2024</t>
        </is>
      </c>
      <c r="B2495" s="1" t="n">
        <v>45307</v>
      </c>
      <c r="C2495" s="1" t="n">
        <v>45337</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1848-2024</t>
        </is>
      </c>
      <c r="B2496" s="1" t="n">
        <v>45307</v>
      </c>
      <c r="C2496" s="1" t="n">
        <v>45337</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1880-2024</t>
        </is>
      </c>
      <c r="B2497" s="1" t="n">
        <v>45307</v>
      </c>
      <c r="C2497" s="1" t="n">
        <v>45337</v>
      </c>
      <c r="D2497" t="inlineStr">
        <is>
          <t>VÄSTERNORRLANDS LÄN</t>
        </is>
      </c>
      <c r="E2497" t="inlineStr">
        <is>
          <t>SOLLEFTEÅ</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1878-2024</t>
        </is>
      </c>
      <c r="B2498" s="1" t="n">
        <v>45307</v>
      </c>
      <c r="C2498" s="1" t="n">
        <v>45337</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2068-2024</t>
        </is>
      </c>
      <c r="B2499" s="1" t="n">
        <v>45308</v>
      </c>
      <c r="C2499" s="1" t="n">
        <v>45337</v>
      </c>
      <c r="D2499" t="inlineStr">
        <is>
          <t>VÄSTERNORRLANDS LÄN</t>
        </is>
      </c>
      <c r="E2499" t="inlineStr">
        <is>
          <t>SOLLEFTEÅ</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2067-2024</t>
        </is>
      </c>
      <c r="B2500" s="1" t="n">
        <v>45309</v>
      </c>
      <c r="C2500" s="1" t="n">
        <v>45337</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2223-2024</t>
        </is>
      </c>
      <c r="B2501" s="1" t="n">
        <v>45309</v>
      </c>
      <c r="C2501" s="1" t="n">
        <v>45337</v>
      </c>
      <c r="D2501" t="inlineStr">
        <is>
          <t>VÄSTERNORRLANDS LÄN</t>
        </is>
      </c>
      <c r="E2501" t="inlineStr">
        <is>
          <t>SOLLEFTEÅ</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2232-2024</t>
        </is>
      </c>
      <c r="B2502" s="1" t="n">
        <v>45309</v>
      </c>
      <c r="C2502" s="1" t="n">
        <v>45337</v>
      </c>
      <c r="D2502" t="inlineStr">
        <is>
          <t>VÄSTERNORRLANDS LÄN</t>
        </is>
      </c>
      <c r="E2502" t="inlineStr">
        <is>
          <t>SOLLEFTEÅ</t>
        </is>
      </c>
      <c r="F2502" t="inlineStr">
        <is>
          <t>SCA</t>
        </is>
      </c>
      <c r="G2502" t="n">
        <v>58.3</v>
      </c>
      <c r="H2502" t="n">
        <v>0</v>
      </c>
      <c r="I2502" t="n">
        <v>0</v>
      </c>
      <c r="J2502" t="n">
        <v>0</v>
      </c>
      <c r="K2502" t="n">
        <v>0</v>
      </c>
      <c r="L2502" t="n">
        <v>0</v>
      </c>
      <c r="M2502" t="n">
        <v>0</v>
      </c>
      <c r="N2502" t="n">
        <v>0</v>
      </c>
      <c r="O2502" t="n">
        <v>0</v>
      </c>
      <c r="P2502" t="n">
        <v>0</v>
      </c>
      <c r="Q2502" t="n">
        <v>0</v>
      </c>
      <c r="R2502" s="2" t="inlineStr"/>
    </row>
    <row r="2503" ht="15" customHeight="1">
      <c r="A2503" t="inlineStr">
        <is>
          <t>A 2229-2024</t>
        </is>
      </c>
      <c r="B2503" s="1" t="n">
        <v>45309</v>
      </c>
      <c r="C2503" s="1" t="n">
        <v>45337</v>
      </c>
      <c r="D2503" t="inlineStr">
        <is>
          <t>VÄSTERNORRLANDS LÄN</t>
        </is>
      </c>
      <c r="E2503" t="inlineStr">
        <is>
          <t>SOLLEFTEÅ</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2233-2024</t>
        </is>
      </c>
      <c r="B2504" s="1" t="n">
        <v>45309</v>
      </c>
      <c r="C2504" s="1" t="n">
        <v>45337</v>
      </c>
      <c r="D2504" t="inlineStr">
        <is>
          <t>VÄSTERNORRLANDS LÄN</t>
        </is>
      </c>
      <c r="E2504" t="inlineStr">
        <is>
          <t>SOLLEFTEÅ</t>
        </is>
      </c>
      <c r="F2504" t="inlineStr">
        <is>
          <t>SCA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2425-2024</t>
        </is>
      </c>
      <c r="B2505" s="1" t="n">
        <v>45310</v>
      </c>
      <c r="C2505" s="1" t="n">
        <v>45337</v>
      </c>
      <c r="D2505" t="inlineStr">
        <is>
          <t>VÄSTERNORRLANDS LÄN</t>
        </is>
      </c>
      <c r="E2505" t="inlineStr">
        <is>
          <t>SOLLEFTEÅ</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2423-2024</t>
        </is>
      </c>
      <c r="B2506" s="1" t="n">
        <v>45310</v>
      </c>
      <c r="C2506" s="1" t="n">
        <v>45337</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2570-2024</t>
        </is>
      </c>
      <c r="B2507" s="1" t="n">
        <v>45313</v>
      </c>
      <c r="C2507" s="1" t="n">
        <v>45337</v>
      </c>
      <c r="D2507" t="inlineStr">
        <is>
          <t>VÄSTERNORRLANDS LÄN</t>
        </is>
      </c>
      <c r="E2507" t="inlineStr">
        <is>
          <t>SOLLEFTEÅ</t>
        </is>
      </c>
      <c r="F2507" t="inlineStr">
        <is>
          <t>Kommuner</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2515-2024</t>
        </is>
      </c>
      <c r="B2508" s="1" t="n">
        <v>45313</v>
      </c>
      <c r="C2508" s="1" t="n">
        <v>45337</v>
      </c>
      <c r="D2508" t="inlineStr">
        <is>
          <t>VÄSTERNORRLANDS LÄN</t>
        </is>
      </c>
      <c r="E2508" t="inlineStr">
        <is>
          <t>SOLLEFTEÅ</t>
        </is>
      </c>
      <c r="F2508" t="inlineStr">
        <is>
          <t>Kommuner</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2703-2024</t>
        </is>
      </c>
      <c r="B2509" s="1" t="n">
        <v>45314</v>
      </c>
      <c r="C2509" s="1" t="n">
        <v>45337</v>
      </c>
      <c r="D2509" t="inlineStr">
        <is>
          <t>VÄSTERNORRLANDS LÄN</t>
        </is>
      </c>
      <c r="E2509" t="inlineStr">
        <is>
          <t>SOLLEFTEÅ</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2833-2024</t>
        </is>
      </c>
      <c r="B2510" s="1" t="n">
        <v>45314</v>
      </c>
      <c r="C2510" s="1" t="n">
        <v>45337</v>
      </c>
      <c r="D2510" t="inlineStr">
        <is>
          <t>VÄSTERNORRLANDS LÄN</t>
        </is>
      </c>
      <c r="E2510" t="inlineStr">
        <is>
          <t>SOLLEFTEÅ</t>
        </is>
      </c>
      <c r="F2510" t="inlineStr">
        <is>
          <t>SCA</t>
        </is>
      </c>
      <c r="G2510" t="n">
        <v>12.9</v>
      </c>
      <c r="H2510" t="n">
        <v>0</v>
      </c>
      <c r="I2510" t="n">
        <v>0</v>
      </c>
      <c r="J2510" t="n">
        <v>0</v>
      </c>
      <c r="K2510" t="n">
        <v>0</v>
      </c>
      <c r="L2510" t="n">
        <v>0</v>
      </c>
      <c r="M2510" t="n">
        <v>0</v>
      </c>
      <c r="N2510" t="n">
        <v>0</v>
      </c>
      <c r="O2510" t="n">
        <v>0</v>
      </c>
      <c r="P2510" t="n">
        <v>0</v>
      </c>
      <c r="Q2510" t="n">
        <v>0</v>
      </c>
      <c r="R2510" s="2" t="inlineStr"/>
    </row>
    <row r="2511" ht="15" customHeight="1">
      <c r="A2511" t="inlineStr">
        <is>
          <t>A 2816-2024</t>
        </is>
      </c>
      <c r="B2511" s="1" t="n">
        <v>45314</v>
      </c>
      <c r="C2511" s="1" t="n">
        <v>45337</v>
      </c>
      <c r="D2511" t="inlineStr">
        <is>
          <t>VÄSTERNORRLANDS LÄN</t>
        </is>
      </c>
      <c r="E2511" t="inlineStr">
        <is>
          <t>SOLLEFTEÅ</t>
        </is>
      </c>
      <c r="F2511" t="inlineStr">
        <is>
          <t>Holmen skog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2850-2024</t>
        </is>
      </c>
      <c r="B2512" s="1" t="n">
        <v>45315</v>
      </c>
      <c r="C2512" s="1" t="n">
        <v>45337</v>
      </c>
      <c r="D2512" t="inlineStr">
        <is>
          <t>VÄSTERNORRLANDS LÄN</t>
        </is>
      </c>
      <c r="E2512" t="inlineStr">
        <is>
          <t>SOLLEFTEÅ</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3252-2024</t>
        </is>
      </c>
      <c r="B2513" s="1" t="n">
        <v>45316</v>
      </c>
      <c r="C2513" s="1" t="n">
        <v>45337</v>
      </c>
      <c r="D2513" t="inlineStr">
        <is>
          <t>VÄSTERNORRLANDS LÄN</t>
        </is>
      </c>
      <c r="E2513" t="inlineStr">
        <is>
          <t>SOLLEFTEÅ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3241-2024</t>
        </is>
      </c>
      <c r="B2514" s="1" t="n">
        <v>45316</v>
      </c>
      <c r="C2514" s="1" t="n">
        <v>45337</v>
      </c>
      <c r="D2514" t="inlineStr">
        <is>
          <t>VÄSTERNORRLANDS LÄN</t>
        </is>
      </c>
      <c r="E2514" t="inlineStr">
        <is>
          <t>SOLLEFTEÅ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3234-2024</t>
        </is>
      </c>
      <c r="B2515" s="1" t="n">
        <v>45316</v>
      </c>
      <c r="C2515" s="1" t="n">
        <v>45337</v>
      </c>
      <c r="D2515" t="inlineStr">
        <is>
          <t>VÄSTERNORRLANDS LÄN</t>
        </is>
      </c>
      <c r="E2515" t="inlineStr">
        <is>
          <t>SOLLEFTEÅ</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3211-2024</t>
        </is>
      </c>
      <c r="B2516" s="1" t="n">
        <v>45316</v>
      </c>
      <c r="C2516" s="1" t="n">
        <v>45337</v>
      </c>
      <c r="D2516" t="inlineStr">
        <is>
          <t>VÄSTERNORRLANDS LÄN</t>
        </is>
      </c>
      <c r="E2516" t="inlineStr">
        <is>
          <t>SOLLEFTEÅ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3231-2024</t>
        </is>
      </c>
      <c r="B2517" s="1" t="n">
        <v>45316</v>
      </c>
      <c r="C2517" s="1" t="n">
        <v>45337</v>
      </c>
      <c r="D2517" t="inlineStr">
        <is>
          <t>VÄSTERNORRLANDS LÄN</t>
        </is>
      </c>
      <c r="E2517" t="inlineStr">
        <is>
          <t>SOLLEFTEÅ</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3388-2024</t>
        </is>
      </c>
      <c r="B2518" s="1" t="n">
        <v>45317</v>
      </c>
      <c r="C2518" s="1" t="n">
        <v>45337</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3621-2024</t>
        </is>
      </c>
      <c r="B2519" s="1" t="n">
        <v>45320</v>
      </c>
      <c r="C2519" s="1" t="n">
        <v>45337</v>
      </c>
      <c r="D2519" t="inlineStr">
        <is>
          <t>VÄSTERNORRLANDS LÄN</t>
        </is>
      </c>
      <c r="E2519" t="inlineStr">
        <is>
          <t>SOLLEFTEÅ</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3633-2024</t>
        </is>
      </c>
      <c r="B2520" s="1" t="n">
        <v>45320</v>
      </c>
      <c r="C2520" s="1" t="n">
        <v>45337</v>
      </c>
      <c r="D2520" t="inlineStr">
        <is>
          <t>VÄSTERNORRLANDS LÄN</t>
        </is>
      </c>
      <c r="E2520" t="inlineStr">
        <is>
          <t>SOLLEFTEÅ</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3832-2024</t>
        </is>
      </c>
      <c r="B2521" s="1" t="n">
        <v>45321</v>
      </c>
      <c r="C2521" s="1" t="n">
        <v>45337</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3959-2024</t>
        </is>
      </c>
      <c r="B2522" s="1" t="n">
        <v>45322</v>
      </c>
      <c r="C2522" s="1" t="n">
        <v>45337</v>
      </c>
      <c r="D2522" t="inlineStr">
        <is>
          <t>VÄSTERNORRLANDS LÄN</t>
        </is>
      </c>
      <c r="E2522" t="inlineStr">
        <is>
          <t>SOLLEFTEÅ</t>
        </is>
      </c>
      <c r="F2522" t="inlineStr">
        <is>
          <t>Kommuner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3991-2024</t>
        </is>
      </c>
      <c r="B2523" s="1" t="n">
        <v>45322</v>
      </c>
      <c r="C2523" s="1" t="n">
        <v>45337</v>
      </c>
      <c r="D2523" t="inlineStr">
        <is>
          <t>VÄSTERNORRLANDS LÄN</t>
        </is>
      </c>
      <c r="E2523" t="inlineStr">
        <is>
          <t>SOLLEFTEÅ</t>
        </is>
      </c>
      <c r="F2523" t="inlineStr">
        <is>
          <t>SCA</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3847-2024</t>
        </is>
      </c>
      <c r="B2524" s="1" t="n">
        <v>45322</v>
      </c>
      <c r="C2524" s="1" t="n">
        <v>45337</v>
      </c>
      <c r="D2524" t="inlineStr">
        <is>
          <t>VÄSTERNORRLANDS LÄN</t>
        </is>
      </c>
      <c r="E2524" t="inlineStr">
        <is>
          <t>SOLLEFTEÅ</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3990-2024</t>
        </is>
      </c>
      <c r="B2525" s="1" t="n">
        <v>45322</v>
      </c>
      <c r="C2525" s="1" t="n">
        <v>45337</v>
      </c>
      <c r="D2525" t="inlineStr">
        <is>
          <t>VÄSTERNORRLANDS LÄN</t>
        </is>
      </c>
      <c r="E2525" t="inlineStr">
        <is>
          <t>SOLLEFTEÅ</t>
        </is>
      </c>
      <c r="F2525" t="inlineStr">
        <is>
          <t>SCA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3998-2024</t>
        </is>
      </c>
      <c r="B2526" s="1" t="n">
        <v>45322</v>
      </c>
      <c r="C2526" s="1" t="n">
        <v>45337</v>
      </c>
      <c r="D2526" t="inlineStr">
        <is>
          <t>VÄSTERNORRLANDS LÄN</t>
        </is>
      </c>
      <c r="E2526" t="inlineStr">
        <is>
          <t>SOLLEFTEÅ</t>
        </is>
      </c>
      <c r="F2526" t="inlineStr">
        <is>
          <t>SCA</t>
        </is>
      </c>
      <c r="G2526" t="n">
        <v>23.9</v>
      </c>
      <c r="H2526" t="n">
        <v>0</v>
      </c>
      <c r="I2526" t="n">
        <v>0</v>
      </c>
      <c r="J2526" t="n">
        <v>0</v>
      </c>
      <c r="K2526" t="n">
        <v>0</v>
      </c>
      <c r="L2526" t="n">
        <v>0</v>
      </c>
      <c r="M2526" t="n">
        <v>0</v>
      </c>
      <c r="N2526" t="n">
        <v>0</v>
      </c>
      <c r="O2526" t="n">
        <v>0</v>
      </c>
      <c r="P2526" t="n">
        <v>0</v>
      </c>
      <c r="Q2526" t="n">
        <v>0</v>
      </c>
      <c r="R2526" s="2" t="inlineStr"/>
    </row>
    <row r="2527" ht="15" customHeight="1">
      <c r="A2527" t="inlineStr">
        <is>
          <t>A 4061-2024</t>
        </is>
      </c>
      <c r="B2527" s="1" t="n">
        <v>45323</v>
      </c>
      <c r="C2527" s="1" t="n">
        <v>45337</v>
      </c>
      <c r="D2527" t="inlineStr">
        <is>
          <t>VÄSTERNORRLANDS LÄN</t>
        </is>
      </c>
      <c r="E2527" t="inlineStr">
        <is>
          <t>SOLLEFTEÅ</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4064-2024</t>
        </is>
      </c>
      <c r="B2528" s="1" t="n">
        <v>45323</v>
      </c>
      <c r="C2528" s="1" t="n">
        <v>45337</v>
      </c>
      <c r="D2528" t="inlineStr">
        <is>
          <t>VÄSTERNORRLANDS LÄN</t>
        </is>
      </c>
      <c r="E2528" t="inlineStr">
        <is>
          <t>SOLLEFTEÅ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4168-2024</t>
        </is>
      </c>
      <c r="B2529" s="1" t="n">
        <v>45323</v>
      </c>
      <c r="C2529" s="1" t="n">
        <v>45337</v>
      </c>
      <c r="D2529" t="inlineStr">
        <is>
          <t>VÄSTERNORRLANDS LÄN</t>
        </is>
      </c>
      <c r="E2529" t="inlineStr">
        <is>
          <t>SOLLEFTEÅ</t>
        </is>
      </c>
      <c r="F2529" t="inlineStr">
        <is>
          <t>SCA</t>
        </is>
      </c>
      <c r="G2529" t="n">
        <v>22.1</v>
      </c>
      <c r="H2529" t="n">
        <v>0</v>
      </c>
      <c r="I2529" t="n">
        <v>0</v>
      </c>
      <c r="J2529" t="n">
        <v>0</v>
      </c>
      <c r="K2529" t="n">
        <v>0</v>
      </c>
      <c r="L2529" t="n">
        <v>0</v>
      </c>
      <c r="M2529" t="n">
        <v>0</v>
      </c>
      <c r="N2529" t="n">
        <v>0</v>
      </c>
      <c r="O2529" t="n">
        <v>0</v>
      </c>
      <c r="P2529" t="n">
        <v>0</v>
      </c>
      <c r="Q2529" t="n">
        <v>0</v>
      </c>
      <c r="R2529" s="2" t="inlineStr"/>
    </row>
    <row r="2530" ht="15" customHeight="1">
      <c r="A2530" t="inlineStr">
        <is>
          <t>A 4167-2024</t>
        </is>
      </c>
      <c r="B2530" s="1" t="n">
        <v>45323</v>
      </c>
      <c r="C2530" s="1" t="n">
        <v>45337</v>
      </c>
      <c r="D2530" t="inlineStr">
        <is>
          <t>VÄSTERNORRLANDS LÄN</t>
        </is>
      </c>
      <c r="E2530" t="inlineStr">
        <is>
          <t>SOLLEFTEÅ</t>
        </is>
      </c>
      <c r="F2530" t="inlineStr">
        <is>
          <t>SCA</t>
        </is>
      </c>
      <c r="G2530" t="n">
        <v>13.7</v>
      </c>
      <c r="H2530" t="n">
        <v>0</v>
      </c>
      <c r="I2530" t="n">
        <v>0</v>
      </c>
      <c r="J2530" t="n">
        <v>0</v>
      </c>
      <c r="K2530" t="n">
        <v>0</v>
      </c>
      <c r="L2530" t="n">
        <v>0</v>
      </c>
      <c r="M2530" t="n">
        <v>0</v>
      </c>
      <c r="N2530" t="n">
        <v>0</v>
      </c>
      <c r="O2530" t="n">
        <v>0</v>
      </c>
      <c r="P2530" t="n">
        <v>0</v>
      </c>
      <c r="Q2530" t="n">
        <v>0</v>
      </c>
      <c r="R2530" s="2" t="inlineStr"/>
    </row>
    <row r="2531" ht="15" customHeight="1">
      <c r="A2531" t="inlineStr">
        <is>
          <t>A 4348-2024</t>
        </is>
      </c>
      <c r="B2531" s="1" t="n">
        <v>45324</v>
      </c>
      <c r="C2531" s="1" t="n">
        <v>45337</v>
      </c>
      <c r="D2531" t="inlineStr">
        <is>
          <t>VÄSTERNORRLANDS LÄN</t>
        </is>
      </c>
      <c r="E2531" t="inlineStr">
        <is>
          <t>SOLLEFTEÅ</t>
        </is>
      </c>
      <c r="F2531" t="inlineStr">
        <is>
          <t>SCA</t>
        </is>
      </c>
      <c r="G2531" t="n">
        <v>14.4</v>
      </c>
      <c r="H2531" t="n">
        <v>0</v>
      </c>
      <c r="I2531" t="n">
        <v>0</v>
      </c>
      <c r="J2531" t="n">
        <v>0</v>
      </c>
      <c r="K2531" t="n">
        <v>0</v>
      </c>
      <c r="L2531" t="n">
        <v>0</v>
      </c>
      <c r="M2531" t="n">
        <v>0</v>
      </c>
      <c r="N2531" t="n">
        <v>0</v>
      </c>
      <c r="O2531" t="n">
        <v>0</v>
      </c>
      <c r="P2531" t="n">
        <v>0</v>
      </c>
      <c r="Q2531" t="n">
        <v>0</v>
      </c>
      <c r="R2531" s="2" t="inlineStr"/>
    </row>
    <row r="2532" ht="15" customHeight="1">
      <c r="A2532" t="inlineStr">
        <is>
          <t>A 4352-2024</t>
        </is>
      </c>
      <c r="B2532" s="1" t="n">
        <v>45324</v>
      </c>
      <c r="C2532" s="1" t="n">
        <v>45337</v>
      </c>
      <c r="D2532" t="inlineStr">
        <is>
          <t>VÄSTERNORRLANDS LÄN</t>
        </is>
      </c>
      <c r="E2532" t="inlineStr">
        <is>
          <t>SOLLEFTEÅ</t>
        </is>
      </c>
      <c r="F2532" t="inlineStr">
        <is>
          <t>SCA</t>
        </is>
      </c>
      <c r="G2532" t="n">
        <v>24.7</v>
      </c>
      <c r="H2532" t="n">
        <v>0</v>
      </c>
      <c r="I2532" t="n">
        <v>0</v>
      </c>
      <c r="J2532" t="n">
        <v>0</v>
      </c>
      <c r="K2532" t="n">
        <v>0</v>
      </c>
      <c r="L2532" t="n">
        <v>0</v>
      </c>
      <c r="M2532" t="n">
        <v>0</v>
      </c>
      <c r="N2532" t="n">
        <v>0</v>
      </c>
      <c r="O2532" t="n">
        <v>0</v>
      </c>
      <c r="P2532" t="n">
        <v>0</v>
      </c>
      <c r="Q2532" t="n">
        <v>0</v>
      </c>
      <c r="R2532" s="2" t="inlineStr"/>
    </row>
    <row r="2533" ht="15" customHeight="1">
      <c r="A2533" t="inlineStr">
        <is>
          <t>A 4347-2024</t>
        </is>
      </c>
      <c r="B2533" s="1" t="n">
        <v>45324</v>
      </c>
      <c r="C2533" s="1" t="n">
        <v>45337</v>
      </c>
      <c r="D2533" t="inlineStr">
        <is>
          <t>VÄSTERNORRLANDS LÄN</t>
        </is>
      </c>
      <c r="E2533" t="inlineStr">
        <is>
          <t>SOLLEFTEÅ</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4349-2024</t>
        </is>
      </c>
      <c r="B2534" s="1" t="n">
        <v>45324</v>
      </c>
      <c r="C2534" s="1" t="n">
        <v>45337</v>
      </c>
      <c r="D2534" t="inlineStr">
        <is>
          <t>VÄSTERNORRLANDS LÄN</t>
        </is>
      </c>
      <c r="E2534" t="inlineStr">
        <is>
          <t>SOLLEFTEÅ</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4546-2024</t>
        </is>
      </c>
      <c r="B2535" s="1" t="n">
        <v>45327</v>
      </c>
      <c r="C2535" s="1" t="n">
        <v>45337</v>
      </c>
      <c r="D2535" t="inlineStr">
        <is>
          <t>VÄSTERNORRLANDS LÄN</t>
        </is>
      </c>
      <c r="E2535" t="inlineStr">
        <is>
          <t>SOLLEFTEÅ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4595-2024</t>
        </is>
      </c>
      <c r="B2536" s="1" t="n">
        <v>45327</v>
      </c>
      <c r="C2536" s="1" t="n">
        <v>45337</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4809-2024</t>
        </is>
      </c>
      <c r="B2537" s="1" t="n">
        <v>45328</v>
      </c>
      <c r="C2537" s="1" t="n">
        <v>45337</v>
      </c>
      <c r="D2537" t="inlineStr">
        <is>
          <t>VÄSTERNORRLANDS LÄN</t>
        </is>
      </c>
      <c r="E2537" t="inlineStr">
        <is>
          <t>SOLLEFTEÅ</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4813-2024</t>
        </is>
      </c>
      <c r="B2538" s="1" t="n">
        <v>45328</v>
      </c>
      <c r="C2538" s="1" t="n">
        <v>45337</v>
      </c>
      <c r="D2538" t="inlineStr">
        <is>
          <t>VÄSTERNORRLANDS LÄN</t>
        </is>
      </c>
      <c r="E2538" t="inlineStr">
        <is>
          <t>SOLLEFTEÅ</t>
        </is>
      </c>
      <c r="F2538" t="inlineStr">
        <is>
          <t>SCA</t>
        </is>
      </c>
      <c r="G2538" t="n">
        <v>26.6</v>
      </c>
      <c r="H2538" t="n">
        <v>0</v>
      </c>
      <c r="I2538" t="n">
        <v>0</v>
      </c>
      <c r="J2538" t="n">
        <v>0</v>
      </c>
      <c r="K2538" t="n">
        <v>0</v>
      </c>
      <c r="L2538" t="n">
        <v>0</v>
      </c>
      <c r="M2538" t="n">
        <v>0</v>
      </c>
      <c r="N2538" t="n">
        <v>0</v>
      </c>
      <c r="O2538" t="n">
        <v>0</v>
      </c>
      <c r="P2538" t="n">
        <v>0</v>
      </c>
      <c r="Q2538" t="n">
        <v>0</v>
      </c>
      <c r="R2538" s="2" t="inlineStr"/>
    </row>
    <row r="2539" ht="15" customHeight="1">
      <c r="A2539" t="inlineStr">
        <is>
          <t>A 4808-2024</t>
        </is>
      </c>
      <c r="B2539" s="1" t="n">
        <v>45328</v>
      </c>
      <c r="C2539" s="1" t="n">
        <v>45337</v>
      </c>
      <c r="D2539" t="inlineStr">
        <is>
          <t>VÄSTERNORRLANDS LÄN</t>
        </is>
      </c>
      <c r="E2539" t="inlineStr">
        <is>
          <t>SOLLEFTEÅ</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4812-2024</t>
        </is>
      </c>
      <c r="B2540" s="1" t="n">
        <v>45328</v>
      </c>
      <c r="C2540" s="1" t="n">
        <v>45337</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4857-2024</t>
        </is>
      </c>
      <c r="B2541" s="1" t="n">
        <v>45329</v>
      </c>
      <c r="C2541" s="1" t="n">
        <v>45337</v>
      </c>
      <c r="D2541" t="inlineStr">
        <is>
          <t>VÄSTERNORRLANDS LÄN</t>
        </is>
      </c>
      <c r="E2541" t="inlineStr">
        <is>
          <t>SOLLEFTEÅ</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5063-2024</t>
        </is>
      </c>
      <c r="B2542" s="1" t="n">
        <v>45329</v>
      </c>
      <c r="C2542" s="1" t="n">
        <v>45337</v>
      </c>
      <c r="D2542" t="inlineStr">
        <is>
          <t>VÄSTERNORRLANDS LÄN</t>
        </is>
      </c>
      <c r="E2542" t="inlineStr">
        <is>
          <t>SOLLEFTEÅ</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5075-2024</t>
        </is>
      </c>
      <c r="B2543" s="1" t="n">
        <v>45330</v>
      </c>
      <c r="C2543" s="1" t="n">
        <v>45337</v>
      </c>
      <c r="D2543" t="inlineStr">
        <is>
          <t>VÄSTERNORRLANDS LÄN</t>
        </is>
      </c>
      <c r="E2543" t="inlineStr">
        <is>
          <t>SOLLEFTEÅ</t>
        </is>
      </c>
      <c r="F2543" t="inlineStr">
        <is>
          <t>Övriga Aktiebolag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5059-2024</t>
        </is>
      </c>
      <c r="B2544" s="1" t="n">
        <v>45329</v>
      </c>
      <c r="C2544" s="1" t="n">
        <v>45337</v>
      </c>
      <c r="D2544" t="inlineStr">
        <is>
          <t>VÄSTERNORRLANDS LÄN</t>
        </is>
      </c>
      <c r="E2544" t="inlineStr">
        <is>
          <t>SOLLEFTEÅ</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5035-2024</t>
        </is>
      </c>
      <c r="B2545" s="1" t="n">
        <v>45329</v>
      </c>
      <c r="C2545" s="1" t="n">
        <v>45337</v>
      </c>
      <c r="D2545" t="inlineStr">
        <is>
          <t>VÄSTERNORRLANDS LÄN</t>
        </is>
      </c>
      <c r="E2545" t="inlineStr">
        <is>
          <t>SOLLEFTEÅ</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5058-2024</t>
        </is>
      </c>
      <c r="B2546" s="1" t="n">
        <v>45329</v>
      </c>
      <c r="C2546" s="1" t="n">
        <v>45337</v>
      </c>
      <c r="D2546" t="inlineStr">
        <is>
          <t>VÄSTERNORRLANDS LÄN</t>
        </is>
      </c>
      <c r="E2546" t="inlineStr">
        <is>
          <t>SOLLEFTEÅ</t>
        </is>
      </c>
      <c r="F2546" t="inlineStr">
        <is>
          <t>SCA</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5074-2024</t>
        </is>
      </c>
      <c r="B2547" s="1" t="n">
        <v>45330</v>
      </c>
      <c r="C2547" s="1" t="n">
        <v>45337</v>
      </c>
      <c r="D2547" t="inlineStr">
        <is>
          <t>VÄSTERNORRLANDS LÄN</t>
        </is>
      </c>
      <c r="E2547" t="inlineStr">
        <is>
          <t>SOLLEFTEÅ</t>
        </is>
      </c>
      <c r="F2547" t="inlineStr">
        <is>
          <t>Övriga Aktiebolag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5062-2024</t>
        </is>
      </c>
      <c r="B2548" s="1" t="n">
        <v>45329</v>
      </c>
      <c r="C2548" s="1" t="n">
        <v>45337</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5038-2024</t>
        </is>
      </c>
      <c r="B2549" s="1" t="n">
        <v>45329</v>
      </c>
      <c r="C2549" s="1" t="n">
        <v>45337</v>
      </c>
      <c r="D2549" t="inlineStr">
        <is>
          <t>VÄSTERNORRLANDS LÄN</t>
        </is>
      </c>
      <c r="E2549" t="inlineStr">
        <is>
          <t>SOLLEFTEÅ</t>
        </is>
      </c>
      <c r="F2549" t="inlineStr">
        <is>
          <t>Övriga Aktiebolag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5034-2024</t>
        </is>
      </c>
      <c r="B2550" s="1" t="n">
        <v>45329</v>
      </c>
      <c r="C2550" s="1" t="n">
        <v>45337</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5057-2024</t>
        </is>
      </c>
      <c r="B2551" s="1" t="n">
        <v>45329</v>
      </c>
      <c r="C2551" s="1" t="n">
        <v>45337</v>
      </c>
      <c r="D2551" t="inlineStr">
        <is>
          <t>VÄSTERNORRLANDS LÄN</t>
        </is>
      </c>
      <c r="E2551" t="inlineStr">
        <is>
          <t>SOLLEFTEÅ</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5061-2024</t>
        </is>
      </c>
      <c r="B2552" s="1" t="n">
        <v>45329</v>
      </c>
      <c r="C2552" s="1" t="n">
        <v>45337</v>
      </c>
      <c r="D2552" t="inlineStr">
        <is>
          <t>VÄSTERNORRLANDS LÄN</t>
        </is>
      </c>
      <c r="E2552" t="inlineStr">
        <is>
          <t>SOLLEFTEÅ</t>
        </is>
      </c>
      <c r="F2552" t="inlineStr">
        <is>
          <t>SCA</t>
        </is>
      </c>
      <c r="G2552" t="n">
        <v>34.1</v>
      </c>
      <c r="H2552" t="n">
        <v>0</v>
      </c>
      <c r="I2552" t="n">
        <v>0</v>
      </c>
      <c r="J2552" t="n">
        <v>0</v>
      </c>
      <c r="K2552" t="n">
        <v>0</v>
      </c>
      <c r="L2552" t="n">
        <v>0</v>
      </c>
      <c r="M2552" t="n">
        <v>0</v>
      </c>
      <c r="N2552" t="n">
        <v>0</v>
      </c>
      <c r="O2552" t="n">
        <v>0</v>
      </c>
      <c r="P2552" t="n">
        <v>0</v>
      </c>
      <c r="Q2552" t="n">
        <v>0</v>
      </c>
      <c r="R2552" s="2" t="inlineStr"/>
    </row>
    <row r="2553" ht="15" customHeight="1">
      <c r="A2553" t="inlineStr">
        <is>
          <t>A 5073-2024</t>
        </is>
      </c>
      <c r="B2553" s="1" t="n">
        <v>45330</v>
      </c>
      <c r="C2553" s="1" t="n">
        <v>45337</v>
      </c>
      <c r="D2553" t="inlineStr">
        <is>
          <t>VÄSTERNORRLANDS LÄN</t>
        </is>
      </c>
      <c r="E2553" t="inlineStr">
        <is>
          <t>SOLLEFTEÅ</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45337</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5072-2024</t>
        </is>
      </c>
      <c r="B2555" s="1" t="n">
        <v>45330</v>
      </c>
      <c r="C2555" s="1" t="n">
        <v>45337</v>
      </c>
      <c r="D2555" t="inlineStr">
        <is>
          <t>VÄSTERNORRLANDS LÄN</t>
        </is>
      </c>
      <c r="E2555" t="inlineStr">
        <is>
          <t>SOLLEFTEÅ</t>
        </is>
      </c>
      <c r="F2555" t="inlineStr">
        <is>
          <t>Övriga Aktiebolag</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45337</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5036-2024</t>
        </is>
      </c>
      <c r="B2557" s="1" t="n">
        <v>45329</v>
      </c>
      <c r="C2557" s="1" t="n">
        <v>45337</v>
      </c>
      <c r="D2557" t="inlineStr">
        <is>
          <t>VÄSTERNORRLANDS LÄN</t>
        </is>
      </c>
      <c r="E2557" t="inlineStr">
        <is>
          <t>SOLLEFTEÅ</t>
        </is>
      </c>
      <c r="F2557" t="inlineStr">
        <is>
          <t>Övriga Aktiebolag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5254-2024</t>
        </is>
      </c>
      <c r="B2558" s="1" t="n">
        <v>45330</v>
      </c>
      <c r="C2558" s="1" t="n">
        <v>45337</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5253-2024</t>
        </is>
      </c>
      <c r="B2559" s="1" t="n">
        <v>45330</v>
      </c>
      <c r="C2559" s="1" t="n">
        <v>45337</v>
      </c>
      <c r="D2559" t="inlineStr">
        <is>
          <t>VÄSTERNORRLANDS LÄN</t>
        </is>
      </c>
      <c r="E2559" t="inlineStr">
        <is>
          <t>SOLLEFTEÅ</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5255-2024</t>
        </is>
      </c>
      <c r="B2560" s="1" t="n">
        <v>45330</v>
      </c>
      <c r="C2560" s="1" t="n">
        <v>45337</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5256-2024</t>
        </is>
      </c>
      <c r="B2561" s="1" t="n">
        <v>45331</v>
      </c>
      <c r="C2561" s="1" t="n">
        <v>45337</v>
      </c>
      <c r="D2561" t="inlineStr">
        <is>
          <t>VÄSTERNORRLANDS LÄN</t>
        </is>
      </c>
      <c r="E2561" t="inlineStr">
        <is>
          <t>SOLLEFTEÅ</t>
        </is>
      </c>
      <c r="F2561" t="inlineStr">
        <is>
          <t>SCA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5446-2024</t>
        </is>
      </c>
      <c r="B2562" s="1" t="n">
        <v>45331</v>
      </c>
      <c r="C2562" s="1" t="n">
        <v>45337</v>
      </c>
      <c r="D2562" t="inlineStr">
        <is>
          <t>VÄSTERNORRLANDS LÄN</t>
        </is>
      </c>
      <c r="E2562" t="inlineStr">
        <is>
          <t>SOLLEFTEÅ</t>
        </is>
      </c>
      <c r="F2562" t="inlineStr">
        <is>
          <t>SCA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5452-2024</t>
        </is>
      </c>
      <c r="B2563" s="1" t="n">
        <v>45331</v>
      </c>
      <c r="C2563" s="1" t="n">
        <v>45337</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5734-2024</t>
        </is>
      </c>
      <c r="B2564" s="1" t="n">
        <v>45334</v>
      </c>
      <c r="C2564" s="1" t="n">
        <v>45337</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5917-2024</t>
        </is>
      </c>
      <c r="B2565" s="1" t="n">
        <v>45335</v>
      </c>
      <c r="C2565" s="1" t="n">
        <v>45337</v>
      </c>
      <c r="D2565" t="inlineStr">
        <is>
          <t>VÄSTERNORRLANDS LÄN</t>
        </is>
      </c>
      <c r="E2565" t="inlineStr">
        <is>
          <t>SOLLEFTEÅ</t>
        </is>
      </c>
      <c r="F2565" t="inlineStr">
        <is>
          <t>SCA</t>
        </is>
      </c>
      <c r="G2565" t="n">
        <v>21.2</v>
      </c>
      <c r="H2565" t="n">
        <v>0</v>
      </c>
      <c r="I2565" t="n">
        <v>0</v>
      </c>
      <c r="J2565" t="n">
        <v>0</v>
      </c>
      <c r="K2565" t="n">
        <v>0</v>
      </c>
      <c r="L2565" t="n">
        <v>0</v>
      </c>
      <c r="M2565" t="n">
        <v>0</v>
      </c>
      <c r="N2565" t="n">
        <v>0</v>
      </c>
      <c r="O2565" t="n">
        <v>0</v>
      </c>
      <c r="P2565" t="n">
        <v>0</v>
      </c>
      <c r="Q2565" t="n">
        <v>0</v>
      </c>
      <c r="R2565" s="2" t="inlineStr"/>
    </row>
    <row r="2566" ht="15" customHeight="1">
      <c r="A2566" t="inlineStr">
        <is>
          <t>A 5854-2024</t>
        </is>
      </c>
      <c r="B2566" s="1" t="n">
        <v>45335</v>
      </c>
      <c r="C2566" s="1" t="n">
        <v>45337</v>
      </c>
      <c r="D2566" t="inlineStr">
        <is>
          <t>VÄSTERNORRLANDS LÄN</t>
        </is>
      </c>
      <c r="E2566" t="inlineStr">
        <is>
          <t>SOLLEFTEÅ</t>
        </is>
      </c>
      <c r="F2566" t="inlineStr">
        <is>
          <t>Övriga Aktiebolag</t>
        </is>
      </c>
      <c r="G2566" t="n">
        <v>24.9</v>
      </c>
      <c r="H2566" t="n">
        <v>0</v>
      </c>
      <c r="I2566" t="n">
        <v>0</v>
      </c>
      <c r="J2566" t="n">
        <v>0</v>
      </c>
      <c r="K2566" t="n">
        <v>0</v>
      </c>
      <c r="L2566" t="n">
        <v>0</v>
      </c>
      <c r="M2566" t="n">
        <v>0</v>
      </c>
      <c r="N2566" t="n">
        <v>0</v>
      </c>
      <c r="O2566" t="n">
        <v>0</v>
      </c>
      <c r="P2566" t="n">
        <v>0</v>
      </c>
      <c r="Q2566" t="n">
        <v>0</v>
      </c>
      <c r="R2566" s="2" t="inlineStr"/>
    </row>
    <row r="2567" ht="15" customHeight="1">
      <c r="A2567" t="inlineStr">
        <is>
          <t>A 5867-2024</t>
        </is>
      </c>
      <c r="B2567" s="1" t="n">
        <v>45335</v>
      </c>
      <c r="C2567" s="1" t="n">
        <v>45337</v>
      </c>
      <c r="D2567" t="inlineStr">
        <is>
          <t>VÄSTERNORRLANDS LÄN</t>
        </is>
      </c>
      <c r="E2567" t="inlineStr">
        <is>
          <t>SOLLEFTEÅ</t>
        </is>
      </c>
      <c r="F2567" t="inlineStr">
        <is>
          <t>Övriga Aktiebolag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5871-2024</t>
        </is>
      </c>
      <c r="B2568" s="1" t="n">
        <v>45335</v>
      </c>
      <c r="C2568" s="1" t="n">
        <v>45337</v>
      </c>
      <c r="D2568" t="inlineStr">
        <is>
          <t>VÄSTERNORRLANDS LÄN</t>
        </is>
      </c>
      <c r="E2568" t="inlineStr">
        <is>
          <t>SOLLEFTEÅ</t>
        </is>
      </c>
      <c r="F2568" t="inlineStr">
        <is>
          <t>Övriga Aktiebolag</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5909-2024</t>
        </is>
      </c>
      <c r="B2569" s="1" t="n">
        <v>45335</v>
      </c>
      <c r="C2569" s="1" t="n">
        <v>45337</v>
      </c>
      <c r="D2569" t="inlineStr">
        <is>
          <t>VÄSTERNORRLANDS LÄN</t>
        </is>
      </c>
      <c r="E2569" t="inlineStr">
        <is>
          <t>SOLLEFTEÅ</t>
        </is>
      </c>
      <c r="F2569" t="inlineStr">
        <is>
          <t>SCA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5877-2024</t>
        </is>
      </c>
      <c r="B2570" s="1" t="n">
        <v>45335</v>
      </c>
      <c r="C2570" s="1" t="n">
        <v>45337</v>
      </c>
      <c r="D2570" t="inlineStr">
        <is>
          <t>VÄSTERNORRLANDS LÄN</t>
        </is>
      </c>
      <c r="E2570" t="inlineStr">
        <is>
          <t>SOLLEFTEÅ</t>
        </is>
      </c>
      <c r="F2570" t="inlineStr">
        <is>
          <t>Övriga Aktiebolag</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5882-2024</t>
        </is>
      </c>
      <c r="B2571" s="1" t="n">
        <v>45335</v>
      </c>
      <c r="C2571" s="1" t="n">
        <v>45337</v>
      </c>
      <c r="D2571" t="inlineStr">
        <is>
          <t>VÄSTERNORRLANDS LÄN</t>
        </is>
      </c>
      <c r="E2571" t="inlineStr">
        <is>
          <t>SOLLEFTEÅ</t>
        </is>
      </c>
      <c r="F2571" t="inlineStr">
        <is>
          <t>Övriga Aktiebolag</t>
        </is>
      </c>
      <c r="G2571" t="n">
        <v>13.2</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45337</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5919-2024</t>
        </is>
      </c>
      <c r="B2573" s="1" t="n">
        <v>45335</v>
      </c>
      <c r="C2573" s="1" t="n">
        <v>45337</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5934-2024</t>
        </is>
      </c>
      <c r="B2574" s="1" t="n">
        <v>45336</v>
      </c>
      <c r="C2574" s="1" t="n">
        <v>45337</v>
      </c>
      <c r="D2574" t="inlineStr">
        <is>
          <t>VÄSTERNORRLANDS LÄN</t>
        </is>
      </c>
      <c r="E2574" t="inlineStr">
        <is>
          <t>SOLLEFTEÅ</t>
        </is>
      </c>
      <c r="F2574" t="inlineStr">
        <is>
          <t>Holmen skog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6064-2024</t>
        </is>
      </c>
      <c r="B2575" s="1" t="n">
        <v>45336</v>
      </c>
      <c r="C2575" s="1" t="n">
        <v>45337</v>
      </c>
      <c r="D2575" t="inlineStr">
        <is>
          <t>VÄSTERNORRLANDS LÄN</t>
        </is>
      </c>
      <c r="E2575" t="inlineStr">
        <is>
          <t>SOLLEFTEÅ</t>
        </is>
      </c>
      <c r="F2575" t="inlineStr">
        <is>
          <t>Övriga Aktiebolag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6068-2024</t>
        </is>
      </c>
      <c r="B2576" s="1" t="n">
        <v>45336</v>
      </c>
      <c r="C2576" s="1" t="n">
        <v>45337</v>
      </c>
      <c r="D2576" t="inlineStr">
        <is>
          <t>VÄSTERNORRLANDS LÄN</t>
        </is>
      </c>
      <c r="E2576" t="inlineStr">
        <is>
          <t>SOLLEFTEÅ</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6058-2024</t>
        </is>
      </c>
      <c r="B2577" s="1" t="n">
        <v>45336</v>
      </c>
      <c r="C2577" s="1" t="n">
        <v>45337</v>
      </c>
      <c r="D2577" t="inlineStr">
        <is>
          <t>VÄSTERNORRLANDS LÄN</t>
        </is>
      </c>
      <c r="E2577" t="inlineStr">
        <is>
          <t>SOLLEFTEÅ</t>
        </is>
      </c>
      <c r="F2577" t="inlineStr">
        <is>
          <t>Övriga Aktiebolag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6066-2024</t>
        </is>
      </c>
      <c r="B2578" s="1" t="n">
        <v>45336</v>
      </c>
      <c r="C2578" s="1" t="n">
        <v>45337</v>
      </c>
      <c r="D2578" t="inlineStr">
        <is>
          <t>VÄSTERNORRLANDS LÄN</t>
        </is>
      </c>
      <c r="E2578" t="inlineStr">
        <is>
          <t>SOLLEFTEÅ</t>
        </is>
      </c>
      <c r="F2578" t="inlineStr">
        <is>
          <t>Övriga Aktiebolag</t>
        </is>
      </c>
      <c r="G2578" t="n">
        <v>14.8</v>
      </c>
      <c r="H2578" t="n">
        <v>0</v>
      </c>
      <c r="I2578" t="n">
        <v>0</v>
      </c>
      <c r="J2578" t="n">
        <v>0</v>
      </c>
      <c r="K2578" t="n">
        <v>0</v>
      </c>
      <c r="L2578" t="n">
        <v>0</v>
      </c>
      <c r="M2578" t="n">
        <v>0</v>
      </c>
      <c r="N2578" t="n">
        <v>0</v>
      </c>
      <c r="O2578" t="n">
        <v>0</v>
      </c>
      <c r="P2578" t="n">
        <v>0</v>
      </c>
      <c r="Q2578" t="n">
        <v>0</v>
      </c>
      <c r="R2578" s="2" t="inlineStr"/>
    </row>
    <row r="2579" ht="15" customHeight="1">
      <c r="A2579" t="inlineStr">
        <is>
          <t>A 6059-2024</t>
        </is>
      </c>
      <c r="B2579" s="1" t="n">
        <v>45336</v>
      </c>
      <c r="C2579" s="1" t="n">
        <v>45337</v>
      </c>
      <c r="D2579" t="inlineStr">
        <is>
          <t>VÄSTERNORRLANDS LÄN</t>
        </is>
      </c>
      <c r="E2579" t="inlineStr">
        <is>
          <t>SOLLEFTEÅ</t>
        </is>
      </c>
      <c r="F2579" t="inlineStr">
        <is>
          <t>Övriga Aktiebolag</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6063-2024</t>
        </is>
      </c>
      <c r="B2580" s="1" t="n">
        <v>45336</v>
      </c>
      <c r="C2580" s="1" t="n">
        <v>45337</v>
      </c>
      <c r="D2580" t="inlineStr">
        <is>
          <t>VÄSTERNORRLANDS LÄN</t>
        </is>
      </c>
      <c r="E2580" t="inlineStr">
        <is>
          <t>SOLLEFTEÅ</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6067-2024</t>
        </is>
      </c>
      <c r="B2581" s="1" t="n">
        <v>45336</v>
      </c>
      <c r="C2581" s="1" t="n">
        <v>45337</v>
      </c>
      <c r="D2581" t="inlineStr">
        <is>
          <t>VÄSTERNORRLANDS LÄN</t>
        </is>
      </c>
      <c r="E2581" t="inlineStr">
        <is>
          <t>SOLLEFTEÅ</t>
        </is>
      </c>
      <c r="F2581" t="inlineStr">
        <is>
          <t>Övriga Aktiebolag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6057-2024</t>
        </is>
      </c>
      <c r="B2582" s="1" t="n">
        <v>45336</v>
      </c>
      <c r="C2582" s="1" t="n">
        <v>45337</v>
      </c>
      <c r="D2582" t="inlineStr">
        <is>
          <t>VÄSTERNORRLANDS LÄN</t>
        </is>
      </c>
      <c r="E2582" t="inlineStr">
        <is>
          <t>SOLLEFTEÅ</t>
        </is>
      </c>
      <c r="F2582" t="inlineStr">
        <is>
          <t>Övriga Aktiebolag</t>
        </is>
      </c>
      <c r="G2582" t="n">
        <v>4.4</v>
      </c>
      <c r="H2582" t="n">
        <v>0</v>
      </c>
      <c r="I2582" t="n">
        <v>0</v>
      </c>
      <c r="J2582" t="n">
        <v>0</v>
      </c>
      <c r="K2582" t="n">
        <v>0</v>
      </c>
      <c r="L2582" t="n">
        <v>0</v>
      </c>
      <c r="M2582" t="n">
        <v>0</v>
      </c>
      <c r="N2582" t="n">
        <v>0</v>
      </c>
      <c r="O2582" t="n">
        <v>0</v>
      </c>
      <c r="P2582" t="n">
        <v>0</v>
      </c>
      <c r="Q2582" t="n">
        <v>0</v>
      </c>
      <c r="R2582" s="2" t="inlineStr"/>
    </row>
    <row r="2583">
      <c r="A2583" t="inlineStr">
        <is>
          <t>A 6065-2024</t>
        </is>
      </c>
      <c r="B2583" s="1" t="n">
        <v>45336</v>
      </c>
      <c r="C2583" s="1" t="n">
        <v>45337</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2024-02-15T10:53:56Z</dcterms:created>
  <dcterms:modified xmlns:dcterms="http://purl.org/dc/terms/" xmlns:xsi="http://www.w3.org/2001/XMLSchema-instance" xsi:type="dcterms:W3CDTF">2024-02-15T10:53:57Z</dcterms:modified>
</cp:coreProperties>
</file>