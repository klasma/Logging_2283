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45353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45353</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45353</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45353</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45353</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45353</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45353</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45353</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45353</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45353</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45353</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45353</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45353</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45353</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45353</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45353</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45353</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45353</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45353</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45353</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45353</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45353</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45353</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45353</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45353</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45353</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45353</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45353</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45353</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45353</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45353</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45353</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45353</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45353</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45353</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45353</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45353</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45353</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45353</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45353</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45353</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45353</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45353</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45353</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45353</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45353</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45353</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45353</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45353</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45353</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45353</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45353</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45353</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45353</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45353</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45353</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45353</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45353</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45353</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45353</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45353</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45353</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45353</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45353</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45353</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45353</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45353</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45353</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45353</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45353</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45353</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45353</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45353</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45353</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45353</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45353</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45353</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45353</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45353</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45353</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45353</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45353</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45353</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45353</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45353</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45353</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45353</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45353</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45353</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45353</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45353</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45353</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45353</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45353</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45353</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45353</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45353</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45353</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45353</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45353</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45353</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45353</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45353</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45353</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45353</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45353</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45353</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45353</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45353</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45353</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45353</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45353</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45353</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45353</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45353</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45353</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45353</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45353</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45353</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45353</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45353</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45353</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45353</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45353</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45353</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45353</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45353</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45353</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45353</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45353</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45353</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45353</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45353</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45353</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45353</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45353</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45353</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45353</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45353</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45353</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45353</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45353</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45353</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45353</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45353</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45353</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45353</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45353</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45353</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45353</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45353</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45353</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45353</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45353</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45353</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45353</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45353</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45353</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45353</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45353</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45353</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45353</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45353</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45353</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45353</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45353</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45353</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45353</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45353</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45353</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45353</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45353</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45353</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45353</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45353</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45353</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45353</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45353</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45353</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45353</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45353</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45353</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45353</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45353</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45353</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45353</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45353</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45353</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45353</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45353</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45353</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45353</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45353</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45353</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45353</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45353</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45353</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45353</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45353</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45353</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45353</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45353</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45353</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45353</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45353</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45353</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45353</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45353</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45353</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45353</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45353</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45353</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45353</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45353</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45353</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45353</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45353</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45353</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45353</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45353</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45353</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45353</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45353</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45353</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45353</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45353</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45353</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45353</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45353</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45353</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45353</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45353</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45353</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45353</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45353</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45353</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45353</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45353</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2515-2024</t>
        </is>
      </c>
      <c r="B241" s="1" t="n">
        <v>45313</v>
      </c>
      <c r="C241" s="1" t="n">
        <v>45353</v>
      </c>
      <c r="D241" t="inlineStr">
        <is>
          <t>VÄSTERNORRLANDS LÄN</t>
        </is>
      </c>
      <c r="E241" t="inlineStr">
        <is>
          <t>SOLLEFTEÅ</t>
        </is>
      </c>
      <c r="F241" t="inlineStr">
        <is>
          <t>Kommuner</t>
        </is>
      </c>
      <c r="G241" t="n">
        <v>8.699999999999999</v>
      </c>
      <c r="H241" t="n">
        <v>0</v>
      </c>
      <c r="I241" t="n">
        <v>0</v>
      </c>
      <c r="J241" t="n">
        <v>1</v>
      </c>
      <c r="K241" t="n">
        <v>0</v>
      </c>
      <c r="L241" t="n">
        <v>0</v>
      </c>
      <c r="M241" t="n">
        <v>0</v>
      </c>
      <c r="N241" t="n">
        <v>0</v>
      </c>
      <c r="O241" t="n">
        <v>1</v>
      </c>
      <c r="P241" t="n">
        <v>0</v>
      </c>
      <c r="Q241" t="n">
        <v>1</v>
      </c>
      <c r="R241" s="2" t="inlineStr">
        <is>
          <t>Granticka</t>
        </is>
      </c>
      <c r="S241">
        <f>HYPERLINK("https://klasma.github.io/Logging_2283/artfynd/A 2515-2024 artfynd.xlsx", "A 2515-2024")</f>
        <v/>
      </c>
      <c r="T241">
        <f>HYPERLINK("https://klasma.github.io/Logging_2283/kartor/A 2515-2024 karta.png", "A 2515-2024")</f>
        <v/>
      </c>
      <c r="V241">
        <f>HYPERLINK("https://klasma.github.io/Logging_2283/klagomål/A 2515-2024 FSC-klagomål.docx", "A 2515-2024")</f>
        <v/>
      </c>
      <c r="W241">
        <f>HYPERLINK("https://klasma.github.io/Logging_2283/klagomålsmail/A 2515-2024 FSC-klagomål mail.docx", "A 2515-2024")</f>
        <v/>
      </c>
      <c r="X241">
        <f>HYPERLINK("https://klasma.github.io/Logging_2283/tillsyn/A 2515-2024 tillsynsbegäran.docx", "A 2515-2024")</f>
        <v/>
      </c>
      <c r="Y241">
        <f>HYPERLINK("https://klasma.github.io/Logging_2283/tillsynsmail/A 2515-2024 tillsynsbegäran mail.docx", "A 2515-2024")</f>
        <v/>
      </c>
    </row>
    <row r="242" ht="15" customHeight="1">
      <c r="A242" t="inlineStr">
        <is>
          <t>A 2570-2024</t>
        </is>
      </c>
      <c r="B242" s="1" t="n">
        <v>45313</v>
      </c>
      <c r="C242" s="1" t="n">
        <v>45353</v>
      </c>
      <c r="D242" t="inlineStr">
        <is>
          <t>VÄSTERNORRLANDS LÄN</t>
        </is>
      </c>
      <c r="E242" t="inlineStr">
        <is>
          <t>SOLLEFTEÅ</t>
        </is>
      </c>
      <c r="F242" t="inlineStr">
        <is>
          <t>Kommuner</t>
        </is>
      </c>
      <c r="G242" t="n">
        <v>6</v>
      </c>
      <c r="H242" t="n">
        <v>1</v>
      </c>
      <c r="I242" t="n">
        <v>0</v>
      </c>
      <c r="J242" t="n">
        <v>1</v>
      </c>
      <c r="K242" t="n">
        <v>0</v>
      </c>
      <c r="L242" t="n">
        <v>0</v>
      </c>
      <c r="M242" t="n">
        <v>0</v>
      </c>
      <c r="N242" t="n">
        <v>0</v>
      </c>
      <c r="O242" t="n">
        <v>1</v>
      </c>
      <c r="P242" t="n">
        <v>0</v>
      </c>
      <c r="Q242" t="n">
        <v>1</v>
      </c>
      <c r="R242" s="2" t="inlineStr">
        <is>
          <t>Tretåig hackspett</t>
        </is>
      </c>
      <c r="S242">
        <f>HYPERLINK("https://klasma.github.io/Logging_2283/artfynd/A 2570-2024 artfynd.xlsx", "A 2570-2024")</f>
        <v/>
      </c>
      <c r="T242">
        <f>HYPERLINK("https://klasma.github.io/Logging_2283/kartor/A 2570-2024 karta.png", "A 2570-2024")</f>
        <v/>
      </c>
      <c r="V242">
        <f>HYPERLINK("https://klasma.github.io/Logging_2283/klagomål/A 2570-2024 FSC-klagomål.docx", "A 2570-2024")</f>
        <v/>
      </c>
      <c r="W242">
        <f>HYPERLINK("https://klasma.github.io/Logging_2283/klagomålsmail/A 2570-2024 FSC-klagomål mail.docx", "A 2570-2024")</f>
        <v/>
      </c>
      <c r="X242">
        <f>HYPERLINK("https://klasma.github.io/Logging_2283/tillsyn/A 2570-2024 tillsynsbegäran.docx", "A 2570-2024")</f>
        <v/>
      </c>
      <c r="Y242">
        <f>HYPERLINK("https://klasma.github.io/Logging_2283/tillsynsmail/A 2570-2024 tillsynsbegäran mail.docx", "A 2570-2024")</f>
        <v/>
      </c>
      <c r="Z242">
        <f>HYPERLINK("https://klasma.github.io/Logging_2283/fåglar/A 2570-2024 prioriterade fågelarter.docx", "A 2570-2024")</f>
        <v/>
      </c>
    </row>
    <row r="243" ht="15" customHeight="1">
      <c r="A243" t="inlineStr">
        <is>
          <t>A 3959-2024</t>
        </is>
      </c>
      <c r="B243" s="1" t="n">
        <v>45322</v>
      </c>
      <c r="C243" s="1" t="n">
        <v>45353</v>
      </c>
      <c r="D243" t="inlineStr">
        <is>
          <t>VÄSTERNORRLANDS LÄN</t>
        </is>
      </c>
      <c r="E243" t="inlineStr">
        <is>
          <t>SOLLEFTEÅ</t>
        </is>
      </c>
      <c r="F243" t="inlineStr">
        <is>
          <t>Kommuner</t>
        </is>
      </c>
      <c r="G243" t="n">
        <v>1</v>
      </c>
      <c r="H243" t="n">
        <v>0</v>
      </c>
      <c r="I243" t="n">
        <v>0</v>
      </c>
      <c r="J243" t="n">
        <v>1</v>
      </c>
      <c r="K243" t="n">
        <v>0</v>
      </c>
      <c r="L243" t="n">
        <v>0</v>
      </c>
      <c r="M243" t="n">
        <v>0</v>
      </c>
      <c r="N243" t="n">
        <v>0</v>
      </c>
      <c r="O243" t="n">
        <v>1</v>
      </c>
      <c r="P243" t="n">
        <v>0</v>
      </c>
      <c r="Q243" t="n">
        <v>1</v>
      </c>
      <c r="R243" s="2" t="inlineStr">
        <is>
          <t>Garnlav</t>
        </is>
      </c>
      <c r="S243">
        <f>HYPERLINK("https://klasma.github.io/Logging_2283/artfynd/A 3959-2024 artfynd.xlsx", "A 3959-2024")</f>
        <v/>
      </c>
      <c r="T243">
        <f>HYPERLINK("https://klasma.github.io/Logging_2283/kartor/A 3959-2024 karta.png", "A 3959-2024")</f>
        <v/>
      </c>
      <c r="V243">
        <f>HYPERLINK("https://klasma.github.io/Logging_2283/klagomål/A 3959-2024 FSC-klagomål.docx", "A 3959-2024")</f>
        <v/>
      </c>
      <c r="W243">
        <f>HYPERLINK("https://klasma.github.io/Logging_2283/klagomålsmail/A 3959-2024 FSC-klagomål mail.docx", "A 3959-2024")</f>
        <v/>
      </c>
      <c r="X243">
        <f>HYPERLINK("https://klasma.github.io/Logging_2283/tillsyn/A 3959-2024 tillsynsbegäran.docx", "A 3959-2024")</f>
        <v/>
      </c>
      <c r="Y243">
        <f>HYPERLINK("https://klasma.github.io/Logging_2283/tillsynsmail/A 3959-2024 tillsynsbegäran mail.docx", "A 3959-2024")</f>
        <v/>
      </c>
    </row>
    <row r="244" ht="15" customHeight="1">
      <c r="A244" t="inlineStr">
        <is>
          <t>A 5033-2024</t>
        </is>
      </c>
      <c r="B244" s="1" t="n">
        <v>45329</v>
      </c>
      <c r="C244" s="1" t="n">
        <v>45353</v>
      </c>
      <c r="D244" t="inlineStr">
        <is>
          <t>VÄSTERNORRLANDS LÄN</t>
        </is>
      </c>
      <c r="E244" t="inlineStr">
        <is>
          <t>SOLLEFTEÅ</t>
        </is>
      </c>
      <c r="F244" t="inlineStr">
        <is>
          <t>Övriga Aktiebolag</t>
        </is>
      </c>
      <c r="G244" t="n">
        <v>3.2</v>
      </c>
      <c r="H244" t="n">
        <v>0</v>
      </c>
      <c r="I244" t="n">
        <v>1</v>
      </c>
      <c r="J244" t="n">
        <v>0</v>
      </c>
      <c r="K244" t="n">
        <v>0</v>
      </c>
      <c r="L244" t="n">
        <v>0</v>
      </c>
      <c r="M244" t="n">
        <v>0</v>
      </c>
      <c r="N244" t="n">
        <v>0</v>
      </c>
      <c r="O244" t="n">
        <v>0</v>
      </c>
      <c r="P244" t="n">
        <v>0</v>
      </c>
      <c r="Q244" t="n">
        <v>1</v>
      </c>
      <c r="R244" s="2" t="inlineStr">
        <is>
          <t>Kransrams</t>
        </is>
      </c>
      <c r="S244">
        <f>HYPERLINK("https://klasma.github.io/Logging_2283/artfynd/A 5033-2024 artfynd.xlsx", "A 5033-2024")</f>
        <v/>
      </c>
      <c r="T244">
        <f>HYPERLINK("https://klasma.github.io/Logging_2283/kartor/A 5033-2024 karta.png", "A 5033-2024")</f>
        <v/>
      </c>
      <c r="V244">
        <f>HYPERLINK("https://klasma.github.io/Logging_2283/klagomål/A 5033-2024 FSC-klagomål.docx", "A 5033-2024")</f>
        <v/>
      </c>
      <c r="W244">
        <f>HYPERLINK("https://klasma.github.io/Logging_2283/klagomålsmail/A 5033-2024 FSC-klagomål mail.docx", "A 5033-2024")</f>
        <v/>
      </c>
      <c r="X244">
        <f>HYPERLINK("https://klasma.github.io/Logging_2283/tillsyn/A 5033-2024 tillsynsbegäran.docx", "A 5033-2024")</f>
        <v/>
      </c>
      <c r="Y244">
        <f>HYPERLINK("https://klasma.github.io/Logging_2283/tillsynsmail/A 5033-2024 tillsynsbegäran mail.docx", "A 5033-2024")</f>
        <v/>
      </c>
    </row>
    <row r="245" ht="15" customHeight="1">
      <c r="A245" t="inlineStr">
        <is>
          <t>A 6889-2024</t>
        </is>
      </c>
      <c r="B245" s="1" t="n">
        <v>45342</v>
      </c>
      <c r="C245" s="1" t="n">
        <v>45353</v>
      </c>
      <c r="D245" t="inlineStr">
        <is>
          <t>VÄSTERNORRLANDS LÄN</t>
        </is>
      </c>
      <c r="E245" t="inlineStr">
        <is>
          <t>SOLLEFTEÅ</t>
        </is>
      </c>
      <c r="G245" t="n">
        <v>2.8</v>
      </c>
      <c r="H245" t="n">
        <v>0</v>
      </c>
      <c r="I245" t="n">
        <v>0</v>
      </c>
      <c r="J245" t="n">
        <v>1</v>
      </c>
      <c r="K245" t="n">
        <v>0</v>
      </c>
      <c r="L245" t="n">
        <v>0</v>
      </c>
      <c r="M245" t="n">
        <v>0</v>
      </c>
      <c r="N245" t="n">
        <v>0</v>
      </c>
      <c r="O245" t="n">
        <v>1</v>
      </c>
      <c r="P245" t="n">
        <v>0</v>
      </c>
      <c r="Q245" t="n">
        <v>1</v>
      </c>
      <c r="R245" s="2" t="inlineStr">
        <is>
          <t>Granticka</t>
        </is>
      </c>
      <c r="S245">
        <f>HYPERLINK("https://klasma.github.io/Logging_2283/artfynd/A 6889-2024 artfynd.xlsx", "A 6889-2024")</f>
        <v/>
      </c>
      <c r="T245">
        <f>HYPERLINK("https://klasma.github.io/Logging_2283/kartor/A 6889-2024 karta.png", "A 6889-2024")</f>
        <v/>
      </c>
      <c r="V245">
        <f>HYPERLINK("https://klasma.github.io/Logging_2283/klagomål/A 6889-2024 FSC-klagomål.docx", "A 6889-2024")</f>
        <v/>
      </c>
      <c r="W245">
        <f>HYPERLINK("https://klasma.github.io/Logging_2283/klagomålsmail/A 6889-2024 FSC-klagomål mail.docx", "A 6889-2024")</f>
        <v/>
      </c>
      <c r="X245">
        <f>HYPERLINK("https://klasma.github.io/Logging_2283/tillsyn/A 6889-2024 tillsynsbegäran.docx", "A 6889-2024")</f>
        <v/>
      </c>
      <c r="Y245">
        <f>HYPERLINK("https://klasma.github.io/Logging_2283/tillsynsmail/A 6889-2024 tillsynsbegäran mail.docx", "A 6889-2024")</f>
        <v/>
      </c>
    </row>
    <row r="246" ht="15" customHeight="1">
      <c r="A246" t="inlineStr">
        <is>
          <t>A 7114-2024</t>
        </is>
      </c>
      <c r="B246" s="1" t="n">
        <v>45343</v>
      </c>
      <c r="C246" s="1" t="n">
        <v>45353</v>
      </c>
      <c r="D246" t="inlineStr">
        <is>
          <t>VÄSTERNORRLANDS LÄN</t>
        </is>
      </c>
      <c r="E246" t="inlineStr">
        <is>
          <t>SOLLEFTEÅ</t>
        </is>
      </c>
      <c r="F246" t="inlineStr">
        <is>
          <t>SCA</t>
        </is>
      </c>
      <c r="G246" t="n">
        <v>2.9</v>
      </c>
      <c r="H246" t="n">
        <v>1</v>
      </c>
      <c r="I246" t="n">
        <v>0</v>
      </c>
      <c r="J246" t="n">
        <v>1</v>
      </c>
      <c r="K246" t="n">
        <v>0</v>
      </c>
      <c r="L246" t="n">
        <v>0</v>
      </c>
      <c r="M246" t="n">
        <v>0</v>
      </c>
      <c r="N246" t="n">
        <v>0</v>
      </c>
      <c r="O246" t="n">
        <v>1</v>
      </c>
      <c r="P246" t="n">
        <v>0</v>
      </c>
      <c r="Q246" t="n">
        <v>1</v>
      </c>
      <c r="R246" s="2" t="inlineStr">
        <is>
          <t>Järpe</t>
        </is>
      </c>
      <c r="S246">
        <f>HYPERLINK("https://klasma.github.io/Logging_2283/artfynd/A 7114-2024 artfynd.xlsx", "A 7114-2024")</f>
        <v/>
      </c>
      <c r="T246">
        <f>HYPERLINK("https://klasma.github.io/Logging_2283/kartor/A 7114-2024 karta.png", "A 7114-2024")</f>
        <v/>
      </c>
      <c r="V246">
        <f>HYPERLINK("https://klasma.github.io/Logging_2283/klagomål/A 7114-2024 FSC-klagomål.docx", "A 7114-2024")</f>
        <v/>
      </c>
      <c r="W246">
        <f>HYPERLINK("https://klasma.github.io/Logging_2283/klagomålsmail/A 7114-2024 FSC-klagomål mail.docx", "A 7114-2024")</f>
        <v/>
      </c>
      <c r="X246">
        <f>HYPERLINK("https://klasma.github.io/Logging_2283/tillsyn/A 7114-2024 tillsynsbegäran.docx", "A 7114-2024")</f>
        <v/>
      </c>
      <c r="Y246">
        <f>HYPERLINK("https://klasma.github.io/Logging_2283/tillsynsmail/A 7114-2024 tillsynsbegäran mail.docx", "A 7114-2024")</f>
        <v/>
      </c>
      <c r="Z246">
        <f>HYPERLINK("https://klasma.github.io/Logging_2283/fåglar/A 7114-2024 prioriterade fågelarter.docx", "A 7114-2024")</f>
        <v/>
      </c>
    </row>
    <row r="247" ht="15" customHeight="1">
      <c r="A247" t="inlineStr">
        <is>
          <t>A 7468-2024</t>
        </is>
      </c>
      <c r="B247" s="1" t="n">
        <v>45345</v>
      </c>
      <c r="C247" s="1" t="n">
        <v>45353</v>
      </c>
      <c r="D247" t="inlineStr">
        <is>
          <t>VÄSTERNORRLANDS LÄN</t>
        </is>
      </c>
      <c r="E247" t="inlineStr">
        <is>
          <t>SOLLEFTEÅ</t>
        </is>
      </c>
      <c r="F247" t="inlineStr">
        <is>
          <t>SCA</t>
        </is>
      </c>
      <c r="G247" t="n">
        <v>55.2</v>
      </c>
      <c r="H247" t="n">
        <v>0</v>
      </c>
      <c r="I247" t="n">
        <v>0</v>
      </c>
      <c r="J247" t="n">
        <v>1</v>
      </c>
      <c r="K247" t="n">
        <v>0</v>
      </c>
      <c r="L247" t="n">
        <v>0</v>
      </c>
      <c r="M247" t="n">
        <v>0</v>
      </c>
      <c r="N247" t="n">
        <v>0</v>
      </c>
      <c r="O247" t="n">
        <v>1</v>
      </c>
      <c r="P247" t="n">
        <v>0</v>
      </c>
      <c r="Q247" t="n">
        <v>1</v>
      </c>
      <c r="R247" s="2" t="inlineStr">
        <is>
          <t>Granticka</t>
        </is>
      </c>
      <c r="S247">
        <f>HYPERLINK("https://klasma.github.io/Logging_2283/artfynd/A 7468-2024 artfynd.xlsx", "A 7468-2024")</f>
        <v/>
      </c>
      <c r="T247">
        <f>HYPERLINK("https://klasma.github.io/Logging_2283/kartor/A 7468-2024 karta.png", "A 7468-2024")</f>
        <v/>
      </c>
      <c r="V247">
        <f>HYPERLINK("https://klasma.github.io/Logging_2283/klagomål/A 7468-2024 FSC-klagomål.docx", "A 7468-2024")</f>
        <v/>
      </c>
      <c r="W247">
        <f>HYPERLINK("https://klasma.github.io/Logging_2283/klagomålsmail/A 7468-2024 FSC-klagomål mail.docx", "A 7468-2024")</f>
        <v/>
      </c>
      <c r="X247">
        <f>HYPERLINK("https://klasma.github.io/Logging_2283/tillsyn/A 7468-2024 tillsynsbegäran.docx", "A 7468-2024")</f>
        <v/>
      </c>
      <c r="Y247">
        <f>HYPERLINK("https://klasma.github.io/Logging_2283/tillsynsmail/A 7468-2024 tillsynsbegäran mail.docx", "A 7468-2024")</f>
        <v/>
      </c>
    </row>
    <row r="248" ht="15" customHeight="1">
      <c r="A248" t="inlineStr">
        <is>
          <t>A 7909-2024</t>
        </is>
      </c>
      <c r="B248" s="1" t="n">
        <v>45350</v>
      </c>
      <c r="C248" s="1" t="n">
        <v>45353</v>
      </c>
      <c r="D248" t="inlineStr">
        <is>
          <t>VÄSTERNORRLANDS LÄN</t>
        </is>
      </c>
      <c r="E248" t="inlineStr">
        <is>
          <t>SOLLEFTEÅ</t>
        </is>
      </c>
      <c r="G248" t="n">
        <v>7.2</v>
      </c>
      <c r="H248" t="n">
        <v>0</v>
      </c>
      <c r="I248" t="n">
        <v>0</v>
      </c>
      <c r="J248" t="n">
        <v>1</v>
      </c>
      <c r="K248" t="n">
        <v>0</v>
      </c>
      <c r="L248" t="n">
        <v>0</v>
      </c>
      <c r="M248" t="n">
        <v>0</v>
      </c>
      <c r="N248" t="n">
        <v>0</v>
      </c>
      <c r="O248" t="n">
        <v>1</v>
      </c>
      <c r="P248" t="n">
        <v>0</v>
      </c>
      <c r="Q248" t="n">
        <v>1</v>
      </c>
      <c r="R248" s="2" t="inlineStr">
        <is>
          <t>Lunglav</t>
        </is>
      </c>
      <c r="S248">
        <f>HYPERLINK("https://klasma.github.io/Logging_2283/artfynd/A 7909-2024 artfynd.xlsx", "A 7909-2024")</f>
        <v/>
      </c>
      <c r="T248">
        <f>HYPERLINK("https://klasma.github.io/Logging_2283/kartor/A 7909-2024 karta.png", "A 7909-2024")</f>
        <v/>
      </c>
      <c r="V248">
        <f>HYPERLINK("https://klasma.github.io/Logging_2283/klagomål/A 7909-2024 FSC-klagomål.docx", "A 7909-2024")</f>
        <v/>
      </c>
      <c r="W248">
        <f>HYPERLINK("https://klasma.github.io/Logging_2283/klagomålsmail/A 7909-2024 FSC-klagomål mail.docx", "A 7909-2024")</f>
        <v/>
      </c>
      <c r="X248">
        <f>HYPERLINK("https://klasma.github.io/Logging_2283/tillsyn/A 7909-2024 tillsynsbegäran.docx", "A 7909-2024")</f>
        <v/>
      </c>
      <c r="Y248">
        <f>HYPERLINK("https://klasma.github.io/Logging_2283/tillsynsmail/A 7909-2024 tillsynsbegäran mail.docx", "A 7909-2024")</f>
        <v/>
      </c>
    </row>
    <row r="249" ht="15" customHeight="1">
      <c r="A249" t="inlineStr">
        <is>
          <t>A 33896-2018</t>
        </is>
      </c>
      <c r="B249" s="1" t="n">
        <v>43314</v>
      </c>
      <c r="C249" s="1" t="n">
        <v>45353</v>
      </c>
      <c r="D249" t="inlineStr">
        <is>
          <t>VÄSTERNORRLANDS LÄN</t>
        </is>
      </c>
      <c r="E249" t="inlineStr">
        <is>
          <t>SOLLEFTEÅ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34267-2018</t>
        </is>
      </c>
      <c r="B250" s="1" t="n">
        <v>43318</v>
      </c>
      <c r="C250" s="1" t="n">
        <v>45353</v>
      </c>
      <c r="D250" t="inlineStr">
        <is>
          <t>VÄSTERNORRLANDS LÄN</t>
        </is>
      </c>
      <c r="E250" t="inlineStr">
        <is>
          <t>SOLLEFTEÅ</t>
        </is>
      </c>
      <c r="G250" t="n">
        <v>5.3</v>
      </c>
      <c r="H250" t="n">
        <v>0</v>
      </c>
      <c r="I250" t="n">
        <v>0</v>
      </c>
      <c r="J250" t="n">
        <v>0</v>
      </c>
      <c r="K250" t="n">
        <v>0</v>
      </c>
      <c r="L250" t="n">
        <v>0</v>
      </c>
      <c r="M250" t="n">
        <v>0</v>
      </c>
      <c r="N250" t="n">
        <v>0</v>
      </c>
      <c r="O250" t="n">
        <v>0</v>
      </c>
      <c r="P250" t="n">
        <v>0</v>
      </c>
      <c r="Q250" t="n">
        <v>0</v>
      </c>
      <c r="R250" s="2" t="inlineStr"/>
    </row>
    <row r="251" ht="15" customHeight="1">
      <c r="A251" t="inlineStr">
        <is>
          <t>A 36973-2018</t>
        </is>
      </c>
      <c r="B251" s="1" t="n">
        <v>43332</v>
      </c>
      <c r="C251" s="1" t="n">
        <v>45353</v>
      </c>
      <c r="D251" t="inlineStr">
        <is>
          <t>VÄSTERNORRLANDS LÄN</t>
        </is>
      </c>
      <c r="E251" t="inlineStr">
        <is>
          <t>SOLLEFTEÅ</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37589-2018</t>
        </is>
      </c>
      <c r="B252" s="1" t="n">
        <v>43334</v>
      </c>
      <c r="C252" s="1" t="n">
        <v>45353</v>
      </c>
      <c r="D252" t="inlineStr">
        <is>
          <t>VÄSTERNORRLANDS LÄN</t>
        </is>
      </c>
      <c r="E252" t="inlineStr">
        <is>
          <t>SOLLEFTEÅ</t>
        </is>
      </c>
      <c r="G252" t="n">
        <v>1.6</v>
      </c>
      <c r="H252" t="n">
        <v>0</v>
      </c>
      <c r="I252" t="n">
        <v>0</v>
      </c>
      <c r="J252" t="n">
        <v>0</v>
      </c>
      <c r="K252" t="n">
        <v>0</v>
      </c>
      <c r="L252" t="n">
        <v>0</v>
      </c>
      <c r="M252" t="n">
        <v>0</v>
      </c>
      <c r="N252" t="n">
        <v>0</v>
      </c>
      <c r="O252" t="n">
        <v>0</v>
      </c>
      <c r="P252" t="n">
        <v>0</v>
      </c>
      <c r="Q252" t="n">
        <v>0</v>
      </c>
      <c r="R252" s="2" t="inlineStr"/>
    </row>
    <row r="253" ht="15" customHeight="1">
      <c r="A253" t="inlineStr">
        <is>
          <t>A 37875-2018</t>
        </is>
      </c>
      <c r="B253" s="1" t="n">
        <v>43335</v>
      </c>
      <c r="C253" s="1" t="n">
        <v>45353</v>
      </c>
      <c r="D253" t="inlineStr">
        <is>
          <t>VÄSTERNORRLANDS LÄN</t>
        </is>
      </c>
      <c r="E253" t="inlineStr">
        <is>
          <t>SOLLEFTEÅ</t>
        </is>
      </c>
      <c r="G253" t="n">
        <v>4.9</v>
      </c>
      <c r="H253" t="n">
        <v>0</v>
      </c>
      <c r="I253" t="n">
        <v>0</v>
      </c>
      <c r="J253" t="n">
        <v>0</v>
      </c>
      <c r="K253" t="n">
        <v>0</v>
      </c>
      <c r="L253" t="n">
        <v>0</v>
      </c>
      <c r="M253" t="n">
        <v>0</v>
      </c>
      <c r="N253" t="n">
        <v>0</v>
      </c>
      <c r="O253" t="n">
        <v>0</v>
      </c>
      <c r="P253" t="n">
        <v>0</v>
      </c>
      <c r="Q253" t="n">
        <v>0</v>
      </c>
      <c r="R253" s="2" t="inlineStr"/>
    </row>
    <row r="254" ht="15" customHeight="1">
      <c r="A254" t="inlineStr">
        <is>
          <t>A 40310-2018</t>
        </is>
      </c>
      <c r="B254" s="1" t="n">
        <v>43343</v>
      </c>
      <c r="C254" s="1" t="n">
        <v>45353</v>
      </c>
      <c r="D254" t="inlineStr">
        <is>
          <t>VÄSTERNORRLANDS LÄN</t>
        </is>
      </c>
      <c r="E254" t="inlineStr">
        <is>
          <t>SOLLEFTEÅ</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40433-2018</t>
        </is>
      </c>
      <c r="B255" s="1" t="n">
        <v>43346</v>
      </c>
      <c r="C255" s="1" t="n">
        <v>45353</v>
      </c>
      <c r="D255" t="inlineStr">
        <is>
          <t>VÄSTERNORRLANDS LÄN</t>
        </is>
      </c>
      <c r="E255" t="inlineStr">
        <is>
          <t>SOLLEFTEÅ</t>
        </is>
      </c>
      <c r="G255" t="n">
        <v>4.1</v>
      </c>
      <c r="H255" t="n">
        <v>0</v>
      </c>
      <c r="I255" t="n">
        <v>0</v>
      </c>
      <c r="J255" t="n">
        <v>0</v>
      </c>
      <c r="K255" t="n">
        <v>0</v>
      </c>
      <c r="L255" t="n">
        <v>0</v>
      </c>
      <c r="M255" t="n">
        <v>0</v>
      </c>
      <c r="N255" t="n">
        <v>0</v>
      </c>
      <c r="O255" t="n">
        <v>0</v>
      </c>
      <c r="P255" t="n">
        <v>0</v>
      </c>
      <c r="Q255" t="n">
        <v>0</v>
      </c>
      <c r="R255" s="2" t="inlineStr"/>
    </row>
    <row r="256" ht="15" customHeight="1">
      <c r="A256" t="inlineStr">
        <is>
          <t>A 40683-2018</t>
        </is>
      </c>
      <c r="B256" s="1" t="n">
        <v>43346</v>
      </c>
      <c r="C256" s="1" t="n">
        <v>45353</v>
      </c>
      <c r="D256" t="inlineStr">
        <is>
          <t>VÄSTERNORRLANDS LÄN</t>
        </is>
      </c>
      <c r="E256" t="inlineStr">
        <is>
          <t>SOLLEFTEÅ</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41185-2018</t>
        </is>
      </c>
      <c r="B257" s="1" t="n">
        <v>43346</v>
      </c>
      <c r="C257" s="1" t="n">
        <v>45353</v>
      </c>
      <c r="D257" t="inlineStr">
        <is>
          <t>VÄSTERNORRLANDS LÄN</t>
        </is>
      </c>
      <c r="E257" t="inlineStr">
        <is>
          <t>SOLLEFTEÅ</t>
        </is>
      </c>
      <c r="G257" t="n">
        <v>3.1</v>
      </c>
      <c r="H257" t="n">
        <v>0</v>
      </c>
      <c r="I257" t="n">
        <v>0</v>
      </c>
      <c r="J257" t="n">
        <v>0</v>
      </c>
      <c r="K257" t="n">
        <v>0</v>
      </c>
      <c r="L257" t="n">
        <v>0</v>
      </c>
      <c r="M257" t="n">
        <v>0</v>
      </c>
      <c r="N257" t="n">
        <v>0</v>
      </c>
      <c r="O257" t="n">
        <v>0</v>
      </c>
      <c r="P257" t="n">
        <v>0</v>
      </c>
      <c r="Q257" t="n">
        <v>0</v>
      </c>
      <c r="R257" s="2" t="inlineStr"/>
    </row>
    <row r="258" ht="15" customHeight="1">
      <c r="A258" t="inlineStr">
        <is>
          <t>A 41661-2018</t>
        </is>
      </c>
      <c r="B258" s="1" t="n">
        <v>43349</v>
      </c>
      <c r="C258" s="1" t="n">
        <v>45353</v>
      </c>
      <c r="D258" t="inlineStr">
        <is>
          <t>VÄSTERNORRLANDS LÄN</t>
        </is>
      </c>
      <c r="E258" t="inlineStr">
        <is>
          <t>SOLLEFTEÅ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43215-2018</t>
        </is>
      </c>
      <c r="B259" s="1" t="n">
        <v>43353</v>
      </c>
      <c r="C259" s="1" t="n">
        <v>45353</v>
      </c>
      <c r="D259" t="inlineStr">
        <is>
          <t>VÄSTERNORRLANDS LÄN</t>
        </is>
      </c>
      <c r="E259" t="inlineStr">
        <is>
          <t>SOLLEFTEÅ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45786-2018</t>
        </is>
      </c>
      <c r="B260" s="1" t="n">
        <v>43362</v>
      </c>
      <c r="C260" s="1" t="n">
        <v>45353</v>
      </c>
      <c r="D260" t="inlineStr">
        <is>
          <t>VÄSTERNORRLANDS LÄN</t>
        </is>
      </c>
      <c r="E260" t="inlineStr">
        <is>
          <t>SOLLEFTEÅ</t>
        </is>
      </c>
      <c r="G260" t="n">
        <v>6.1</v>
      </c>
      <c r="H260" t="n">
        <v>0</v>
      </c>
      <c r="I260" t="n">
        <v>0</v>
      </c>
      <c r="J260" t="n">
        <v>0</v>
      </c>
      <c r="K260" t="n">
        <v>0</v>
      </c>
      <c r="L260" t="n">
        <v>0</v>
      </c>
      <c r="M260" t="n">
        <v>0</v>
      </c>
      <c r="N260" t="n">
        <v>0</v>
      </c>
      <c r="O260" t="n">
        <v>0</v>
      </c>
      <c r="P260" t="n">
        <v>0</v>
      </c>
      <c r="Q260" t="n">
        <v>0</v>
      </c>
      <c r="R260" s="2" t="inlineStr"/>
    </row>
    <row r="261" ht="15" customHeight="1">
      <c r="A261" t="inlineStr">
        <is>
          <t>A 50423-2018</t>
        </is>
      </c>
      <c r="B261" s="1" t="n">
        <v>43378</v>
      </c>
      <c r="C261" s="1" t="n">
        <v>45353</v>
      </c>
      <c r="D261" t="inlineStr">
        <is>
          <t>VÄSTERNORRLANDS LÄN</t>
        </is>
      </c>
      <c r="E261" t="inlineStr">
        <is>
          <t>SOLLEFTEÅ</t>
        </is>
      </c>
      <c r="F261" t="inlineStr">
        <is>
          <t>SCA</t>
        </is>
      </c>
      <c r="G261" t="n">
        <v>6.4</v>
      </c>
      <c r="H261" t="n">
        <v>0</v>
      </c>
      <c r="I261" t="n">
        <v>0</v>
      </c>
      <c r="J261" t="n">
        <v>0</v>
      </c>
      <c r="K261" t="n">
        <v>0</v>
      </c>
      <c r="L261" t="n">
        <v>0</v>
      </c>
      <c r="M261" t="n">
        <v>0</v>
      </c>
      <c r="N261" t="n">
        <v>0</v>
      </c>
      <c r="O261" t="n">
        <v>0</v>
      </c>
      <c r="P261" t="n">
        <v>0</v>
      </c>
      <c r="Q261" t="n">
        <v>0</v>
      </c>
      <c r="R261" s="2" t="inlineStr"/>
    </row>
    <row r="262" ht="15" customHeight="1">
      <c r="A262" t="inlineStr">
        <is>
          <t>A 50996-2018</t>
        </is>
      </c>
      <c r="B262" s="1" t="n">
        <v>43378</v>
      </c>
      <c r="C262" s="1" t="n">
        <v>45353</v>
      </c>
      <c r="D262" t="inlineStr">
        <is>
          <t>VÄSTERNORRLANDS LÄN</t>
        </is>
      </c>
      <c r="E262" t="inlineStr">
        <is>
          <t>SOLLEFTEÅ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52458-2018</t>
        </is>
      </c>
      <c r="B263" s="1" t="n">
        <v>43383</v>
      </c>
      <c r="C263" s="1" t="n">
        <v>45353</v>
      </c>
      <c r="D263" t="inlineStr">
        <is>
          <t>VÄSTERNORRLANDS LÄN</t>
        </is>
      </c>
      <c r="E263" t="inlineStr">
        <is>
          <t>SOLLEFTEÅ</t>
        </is>
      </c>
      <c r="G263" t="n">
        <v>7.6</v>
      </c>
      <c r="H263" t="n">
        <v>0</v>
      </c>
      <c r="I263" t="n">
        <v>0</v>
      </c>
      <c r="J263" t="n">
        <v>0</v>
      </c>
      <c r="K263" t="n">
        <v>0</v>
      </c>
      <c r="L263" t="n">
        <v>0</v>
      </c>
      <c r="M263" t="n">
        <v>0</v>
      </c>
      <c r="N263" t="n">
        <v>0</v>
      </c>
      <c r="O263" t="n">
        <v>0</v>
      </c>
      <c r="P263" t="n">
        <v>0</v>
      </c>
      <c r="Q263" t="n">
        <v>0</v>
      </c>
      <c r="R263" s="2" t="inlineStr"/>
    </row>
    <row r="264" ht="15" customHeight="1">
      <c r="A264" t="inlineStr">
        <is>
          <t>A 52745-2018</t>
        </is>
      </c>
      <c r="B264" s="1" t="n">
        <v>43384</v>
      </c>
      <c r="C264" s="1" t="n">
        <v>45353</v>
      </c>
      <c r="D264" t="inlineStr">
        <is>
          <t>VÄSTERNORRLANDS LÄN</t>
        </is>
      </c>
      <c r="E264" t="inlineStr">
        <is>
          <t>SOLLEFTEÅ</t>
        </is>
      </c>
      <c r="G264" t="n">
        <v>4.7</v>
      </c>
      <c r="H264" t="n">
        <v>0</v>
      </c>
      <c r="I264" t="n">
        <v>0</v>
      </c>
      <c r="J264" t="n">
        <v>0</v>
      </c>
      <c r="K264" t="n">
        <v>0</v>
      </c>
      <c r="L264" t="n">
        <v>0</v>
      </c>
      <c r="M264" t="n">
        <v>0</v>
      </c>
      <c r="N264" t="n">
        <v>0</v>
      </c>
      <c r="O264" t="n">
        <v>0</v>
      </c>
      <c r="P264" t="n">
        <v>0</v>
      </c>
      <c r="Q264" t="n">
        <v>0</v>
      </c>
      <c r="R264" s="2" t="inlineStr"/>
    </row>
    <row r="265" ht="15" customHeight="1">
      <c r="A265" t="inlineStr">
        <is>
          <t>A 53595-2018</t>
        </is>
      </c>
      <c r="B265" s="1" t="n">
        <v>43388</v>
      </c>
      <c r="C265" s="1" t="n">
        <v>45353</v>
      </c>
      <c r="D265" t="inlineStr">
        <is>
          <t>VÄSTERNORRLANDS LÄN</t>
        </is>
      </c>
      <c r="E265" t="inlineStr">
        <is>
          <t>SOLLEFTEÅ</t>
        </is>
      </c>
      <c r="G265" t="n">
        <v>4.5</v>
      </c>
      <c r="H265" t="n">
        <v>0</v>
      </c>
      <c r="I265" t="n">
        <v>0</v>
      </c>
      <c r="J265" t="n">
        <v>0</v>
      </c>
      <c r="K265" t="n">
        <v>0</v>
      </c>
      <c r="L265" t="n">
        <v>0</v>
      </c>
      <c r="M265" t="n">
        <v>0</v>
      </c>
      <c r="N265" t="n">
        <v>0</v>
      </c>
      <c r="O265" t="n">
        <v>0</v>
      </c>
      <c r="P265" t="n">
        <v>0</v>
      </c>
      <c r="Q265" t="n">
        <v>0</v>
      </c>
      <c r="R265" s="2" t="inlineStr"/>
    </row>
    <row r="266" ht="15" customHeight="1">
      <c r="A266" t="inlineStr">
        <is>
          <t>A 54076-2018</t>
        </is>
      </c>
      <c r="B266" s="1" t="n">
        <v>43388</v>
      </c>
      <c r="C266" s="1" t="n">
        <v>45353</v>
      </c>
      <c r="D266" t="inlineStr">
        <is>
          <t>VÄSTERNORRLANDS LÄN</t>
        </is>
      </c>
      <c r="E266" t="inlineStr">
        <is>
          <t>SOLLEFTEÅ</t>
        </is>
      </c>
      <c r="G266" t="n">
        <v>1.1</v>
      </c>
      <c r="H266" t="n">
        <v>0</v>
      </c>
      <c r="I266" t="n">
        <v>0</v>
      </c>
      <c r="J266" t="n">
        <v>0</v>
      </c>
      <c r="K266" t="n">
        <v>0</v>
      </c>
      <c r="L266" t="n">
        <v>0</v>
      </c>
      <c r="M266" t="n">
        <v>0</v>
      </c>
      <c r="N266" t="n">
        <v>0</v>
      </c>
      <c r="O266" t="n">
        <v>0</v>
      </c>
      <c r="P266" t="n">
        <v>0</v>
      </c>
      <c r="Q266" t="n">
        <v>0</v>
      </c>
      <c r="R266" s="2" t="inlineStr"/>
    </row>
    <row r="267" ht="15" customHeight="1">
      <c r="A267" t="inlineStr">
        <is>
          <t>A 56189-2018</t>
        </is>
      </c>
      <c r="B267" s="1" t="n">
        <v>43389</v>
      </c>
      <c r="C267" s="1" t="n">
        <v>45353</v>
      </c>
      <c r="D267" t="inlineStr">
        <is>
          <t>VÄSTERNORRLANDS LÄN</t>
        </is>
      </c>
      <c r="E267" t="inlineStr">
        <is>
          <t>SOLLEFTEÅ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54667-2018</t>
        </is>
      </c>
      <c r="B268" s="1" t="n">
        <v>43389</v>
      </c>
      <c r="C268" s="1" t="n">
        <v>45353</v>
      </c>
      <c r="D268" t="inlineStr">
        <is>
          <t>VÄSTERNORRLANDS LÄN</t>
        </is>
      </c>
      <c r="E268" t="inlineStr">
        <is>
          <t>SOLLEFTEÅ</t>
        </is>
      </c>
      <c r="G268" t="n">
        <v>1.8</v>
      </c>
      <c r="H268" t="n">
        <v>0</v>
      </c>
      <c r="I268" t="n">
        <v>0</v>
      </c>
      <c r="J268" t="n">
        <v>0</v>
      </c>
      <c r="K268" t="n">
        <v>0</v>
      </c>
      <c r="L268" t="n">
        <v>0</v>
      </c>
      <c r="M268" t="n">
        <v>0</v>
      </c>
      <c r="N268" t="n">
        <v>0</v>
      </c>
      <c r="O268" t="n">
        <v>0</v>
      </c>
      <c r="P268" t="n">
        <v>0</v>
      </c>
      <c r="Q268" t="n">
        <v>0</v>
      </c>
      <c r="R268" s="2" t="inlineStr"/>
    </row>
    <row r="269" ht="15" customHeight="1">
      <c r="A269" t="inlineStr">
        <is>
          <t>A 53746-2018</t>
        </is>
      </c>
      <c r="B269" s="1" t="n">
        <v>43391</v>
      </c>
      <c r="C269" s="1" t="n">
        <v>45353</v>
      </c>
      <c r="D269" t="inlineStr">
        <is>
          <t>VÄSTERNORRLANDS LÄN</t>
        </is>
      </c>
      <c r="E269" t="inlineStr">
        <is>
          <t>SOLLEFTEÅ</t>
        </is>
      </c>
      <c r="G269" t="n">
        <v>1</v>
      </c>
      <c r="H269" t="n">
        <v>0</v>
      </c>
      <c r="I269" t="n">
        <v>0</v>
      </c>
      <c r="J269" t="n">
        <v>0</v>
      </c>
      <c r="K269" t="n">
        <v>0</v>
      </c>
      <c r="L269" t="n">
        <v>0</v>
      </c>
      <c r="M269" t="n">
        <v>0</v>
      </c>
      <c r="N269" t="n">
        <v>0</v>
      </c>
      <c r="O269" t="n">
        <v>0</v>
      </c>
      <c r="P269" t="n">
        <v>0</v>
      </c>
      <c r="Q269" t="n">
        <v>0</v>
      </c>
      <c r="R269" s="2" t="inlineStr"/>
    </row>
    <row r="270" ht="15" customHeight="1">
      <c r="A270" t="inlineStr">
        <is>
          <t>A 54226-2018</t>
        </is>
      </c>
      <c r="B270" s="1" t="n">
        <v>43392</v>
      </c>
      <c r="C270" s="1" t="n">
        <v>45353</v>
      </c>
      <c r="D270" t="inlineStr">
        <is>
          <t>VÄSTERNORRLANDS LÄN</t>
        </is>
      </c>
      <c r="E270" t="inlineStr">
        <is>
          <t>SOLLEFTEÅ</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55996-2018</t>
        </is>
      </c>
      <c r="B271" s="1" t="n">
        <v>43392</v>
      </c>
      <c r="C271" s="1" t="n">
        <v>45353</v>
      </c>
      <c r="D271" t="inlineStr">
        <is>
          <t>VÄSTERNORRLANDS LÄN</t>
        </is>
      </c>
      <c r="E271" t="inlineStr">
        <is>
          <t>SOLLEFTEÅ</t>
        </is>
      </c>
      <c r="G271" t="n">
        <v>2</v>
      </c>
      <c r="H271" t="n">
        <v>0</v>
      </c>
      <c r="I271" t="n">
        <v>0</v>
      </c>
      <c r="J271" t="n">
        <v>0</v>
      </c>
      <c r="K271" t="n">
        <v>0</v>
      </c>
      <c r="L271" t="n">
        <v>0</v>
      </c>
      <c r="M271" t="n">
        <v>0</v>
      </c>
      <c r="N271" t="n">
        <v>0</v>
      </c>
      <c r="O271" t="n">
        <v>0</v>
      </c>
      <c r="P271" t="n">
        <v>0</v>
      </c>
      <c r="Q271" t="n">
        <v>0</v>
      </c>
      <c r="R271" s="2" t="inlineStr"/>
    </row>
    <row r="272" ht="15" customHeight="1">
      <c r="A272" t="inlineStr">
        <is>
          <t>A 56610-2018</t>
        </is>
      </c>
      <c r="B272" s="1" t="n">
        <v>43395</v>
      </c>
      <c r="C272" s="1" t="n">
        <v>45353</v>
      </c>
      <c r="D272" t="inlineStr">
        <is>
          <t>VÄSTERNORRLANDS LÄN</t>
        </is>
      </c>
      <c r="E272" t="inlineStr">
        <is>
          <t>SOLLEFTEÅ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56666-2018</t>
        </is>
      </c>
      <c r="B273" s="1" t="n">
        <v>43395</v>
      </c>
      <c r="C273" s="1" t="n">
        <v>45353</v>
      </c>
      <c r="D273" t="inlineStr">
        <is>
          <t>VÄSTERNORRLANDS LÄN</t>
        </is>
      </c>
      <c r="E273" t="inlineStr">
        <is>
          <t>SOLLEFTEÅ</t>
        </is>
      </c>
      <c r="G273" t="n">
        <v>6</v>
      </c>
      <c r="H273" t="n">
        <v>0</v>
      </c>
      <c r="I273" t="n">
        <v>0</v>
      </c>
      <c r="J273" t="n">
        <v>0</v>
      </c>
      <c r="K273" t="n">
        <v>0</v>
      </c>
      <c r="L273" t="n">
        <v>0</v>
      </c>
      <c r="M273" t="n">
        <v>0</v>
      </c>
      <c r="N273" t="n">
        <v>0</v>
      </c>
      <c r="O273" t="n">
        <v>0</v>
      </c>
      <c r="P273" t="n">
        <v>0</v>
      </c>
      <c r="Q273" t="n">
        <v>0</v>
      </c>
      <c r="R273" s="2" t="inlineStr"/>
    </row>
    <row r="274" ht="15" customHeight="1">
      <c r="A274" t="inlineStr">
        <is>
          <t>A 56629-2018</t>
        </is>
      </c>
      <c r="B274" s="1" t="n">
        <v>43395</v>
      </c>
      <c r="C274" s="1" t="n">
        <v>45353</v>
      </c>
      <c r="D274" t="inlineStr">
        <is>
          <t>VÄSTERNORRLANDS LÄN</t>
        </is>
      </c>
      <c r="E274" t="inlineStr">
        <is>
          <t>SOLLEFTEÅ</t>
        </is>
      </c>
      <c r="G274" t="n">
        <v>10.6</v>
      </c>
      <c r="H274" t="n">
        <v>0</v>
      </c>
      <c r="I274" t="n">
        <v>0</v>
      </c>
      <c r="J274" t="n">
        <v>0</v>
      </c>
      <c r="K274" t="n">
        <v>0</v>
      </c>
      <c r="L274" t="n">
        <v>0</v>
      </c>
      <c r="M274" t="n">
        <v>0</v>
      </c>
      <c r="N274" t="n">
        <v>0</v>
      </c>
      <c r="O274" t="n">
        <v>0</v>
      </c>
      <c r="P274" t="n">
        <v>0</v>
      </c>
      <c r="Q274" t="n">
        <v>0</v>
      </c>
      <c r="R274" s="2" t="inlineStr"/>
    </row>
    <row r="275" ht="15" customHeight="1">
      <c r="A275" t="inlineStr">
        <is>
          <t>A 56139-2018</t>
        </is>
      </c>
      <c r="B275" s="1" t="n">
        <v>43398</v>
      </c>
      <c r="C275" s="1" t="n">
        <v>45353</v>
      </c>
      <c r="D275" t="inlineStr">
        <is>
          <t>VÄSTERNORRLANDS LÄN</t>
        </is>
      </c>
      <c r="E275" t="inlineStr">
        <is>
          <t>SOLLEFTEÅ</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58020-2018</t>
        </is>
      </c>
      <c r="B276" s="1" t="n">
        <v>43398</v>
      </c>
      <c r="C276" s="1" t="n">
        <v>45353</v>
      </c>
      <c r="D276" t="inlineStr">
        <is>
          <t>VÄSTERNORRLANDS LÄN</t>
        </is>
      </c>
      <c r="E276" t="inlineStr">
        <is>
          <t>SOLLEFTEÅ</t>
        </is>
      </c>
      <c r="G276" t="n">
        <v>6.5</v>
      </c>
      <c r="H276" t="n">
        <v>0</v>
      </c>
      <c r="I276" t="n">
        <v>0</v>
      </c>
      <c r="J276" t="n">
        <v>0</v>
      </c>
      <c r="K276" t="n">
        <v>0</v>
      </c>
      <c r="L276" t="n">
        <v>0</v>
      </c>
      <c r="M276" t="n">
        <v>0</v>
      </c>
      <c r="N276" t="n">
        <v>0</v>
      </c>
      <c r="O276" t="n">
        <v>0</v>
      </c>
      <c r="P276" t="n">
        <v>0</v>
      </c>
      <c r="Q276" t="n">
        <v>0</v>
      </c>
      <c r="R276" s="2" t="inlineStr"/>
    </row>
    <row r="277" ht="15" customHeight="1">
      <c r="A277" t="inlineStr">
        <is>
          <t>A 58397-2018</t>
        </is>
      </c>
      <c r="B277" s="1" t="n">
        <v>43399</v>
      </c>
      <c r="C277" s="1" t="n">
        <v>45353</v>
      </c>
      <c r="D277" t="inlineStr">
        <is>
          <t>VÄSTERNORRLANDS LÄN</t>
        </is>
      </c>
      <c r="E277" t="inlineStr">
        <is>
          <t>SOLLEFTEÅ</t>
        </is>
      </c>
      <c r="G277" t="n">
        <v>1</v>
      </c>
      <c r="H277" t="n">
        <v>0</v>
      </c>
      <c r="I277" t="n">
        <v>0</v>
      </c>
      <c r="J277" t="n">
        <v>0</v>
      </c>
      <c r="K277" t="n">
        <v>0</v>
      </c>
      <c r="L277" t="n">
        <v>0</v>
      </c>
      <c r="M277" t="n">
        <v>0</v>
      </c>
      <c r="N277" t="n">
        <v>0</v>
      </c>
      <c r="O277" t="n">
        <v>0</v>
      </c>
      <c r="P277" t="n">
        <v>0</v>
      </c>
      <c r="Q277" t="n">
        <v>0</v>
      </c>
      <c r="R277" s="2" t="inlineStr"/>
    </row>
    <row r="278" ht="15" customHeight="1">
      <c r="A278" t="inlineStr">
        <is>
          <t>A 56500-2018</t>
        </is>
      </c>
      <c r="B278" s="1" t="n">
        <v>43399</v>
      </c>
      <c r="C278" s="1" t="n">
        <v>45353</v>
      </c>
      <c r="D278" t="inlineStr">
        <is>
          <t>VÄSTERNORRLANDS LÄN</t>
        </is>
      </c>
      <c r="E278" t="inlineStr">
        <is>
          <t>SOLLEFTEÅ</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59371-2018</t>
        </is>
      </c>
      <c r="B279" s="1" t="n">
        <v>43404</v>
      </c>
      <c r="C279" s="1" t="n">
        <v>45353</v>
      </c>
      <c r="D279" t="inlineStr">
        <is>
          <t>VÄSTERNORRLANDS LÄN</t>
        </is>
      </c>
      <c r="E279" t="inlineStr">
        <is>
          <t>SOLLEFTEÅ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57954-2018</t>
        </is>
      </c>
      <c r="B280" s="1" t="n">
        <v>43405</v>
      </c>
      <c r="C280" s="1" t="n">
        <v>45353</v>
      </c>
      <c r="D280" t="inlineStr">
        <is>
          <t>VÄSTERNORRLANDS LÄN</t>
        </is>
      </c>
      <c r="E280" t="inlineStr">
        <is>
          <t>SOLLEFTEÅ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57747-2018</t>
        </is>
      </c>
      <c r="B281" s="1" t="n">
        <v>43405</v>
      </c>
      <c r="C281" s="1" t="n">
        <v>45353</v>
      </c>
      <c r="D281" t="inlineStr">
        <is>
          <t>VÄSTERNORRLANDS LÄN</t>
        </is>
      </c>
      <c r="E281" t="inlineStr">
        <is>
          <t>SOLLEFTEÅ</t>
        </is>
      </c>
      <c r="G281" t="n">
        <v>2.4</v>
      </c>
      <c r="H281" t="n">
        <v>0</v>
      </c>
      <c r="I281" t="n">
        <v>0</v>
      </c>
      <c r="J281" t="n">
        <v>0</v>
      </c>
      <c r="K281" t="n">
        <v>0</v>
      </c>
      <c r="L281" t="n">
        <v>0</v>
      </c>
      <c r="M281" t="n">
        <v>0</v>
      </c>
      <c r="N281" t="n">
        <v>0</v>
      </c>
      <c r="O281" t="n">
        <v>0</v>
      </c>
      <c r="P281" t="n">
        <v>0</v>
      </c>
      <c r="Q281" t="n">
        <v>0</v>
      </c>
      <c r="R281" s="2" t="inlineStr"/>
    </row>
    <row r="282" ht="15" customHeight="1">
      <c r="A282" t="inlineStr">
        <is>
          <t>A 57956-2018</t>
        </is>
      </c>
      <c r="B282" s="1" t="n">
        <v>43405</v>
      </c>
      <c r="C282" s="1" t="n">
        <v>45353</v>
      </c>
      <c r="D282" t="inlineStr">
        <is>
          <t>VÄSTERNORRLANDS LÄN</t>
        </is>
      </c>
      <c r="E282" t="inlineStr">
        <is>
          <t>SOLLEFTEÅ</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60057-2018</t>
        </is>
      </c>
      <c r="B283" s="1" t="n">
        <v>43412</v>
      </c>
      <c r="C283" s="1" t="n">
        <v>45353</v>
      </c>
      <c r="D283" t="inlineStr">
        <is>
          <t>VÄSTERNORRLANDS LÄN</t>
        </is>
      </c>
      <c r="E283" t="inlineStr">
        <is>
          <t>SOLLEFTEÅ</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60206-2018</t>
        </is>
      </c>
      <c r="B284" s="1" t="n">
        <v>43412</v>
      </c>
      <c r="C284" s="1" t="n">
        <v>45353</v>
      </c>
      <c r="D284" t="inlineStr">
        <is>
          <t>VÄSTERNORRLANDS LÄN</t>
        </is>
      </c>
      <c r="E284" t="inlineStr">
        <is>
          <t>SOLLEFTEÅ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62604-2018</t>
        </is>
      </c>
      <c r="B285" s="1" t="n">
        <v>43416</v>
      </c>
      <c r="C285" s="1" t="n">
        <v>45353</v>
      </c>
      <c r="D285" t="inlineStr">
        <is>
          <t>VÄSTERNORRLANDS LÄN</t>
        </is>
      </c>
      <c r="E285" t="inlineStr">
        <is>
          <t>SOLLEFTEÅ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62571-2018</t>
        </is>
      </c>
      <c r="B286" s="1" t="n">
        <v>43416</v>
      </c>
      <c r="C286" s="1" t="n">
        <v>45353</v>
      </c>
      <c r="D286" t="inlineStr">
        <is>
          <t>VÄSTERNORRLANDS LÄN</t>
        </is>
      </c>
      <c r="E286" t="inlineStr">
        <is>
          <t>SOLLEFTEÅ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59894-2018</t>
        </is>
      </c>
      <c r="B287" s="1" t="n">
        <v>43419</v>
      </c>
      <c r="C287" s="1" t="n">
        <v>45353</v>
      </c>
      <c r="D287" t="inlineStr">
        <is>
          <t>VÄSTERNORRLANDS LÄN</t>
        </is>
      </c>
      <c r="E287" t="inlineStr">
        <is>
          <t>SOLLEFTEÅ</t>
        </is>
      </c>
      <c r="F287" t="inlineStr">
        <is>
          <t>SCA</t>
        </is>
      </c>
      <c r="G287" t="n">
        <v>0.3</v>
      </c>
      <c r="H287" t="n">
        <v>0</v>
      </c>
      <c r="I287" t="n">
        <v>0</v>
      </c>
      <c r="J287" t="n">
        <v>0</v>
      </c>
      <c r="K287" t="n">
        <v>0</v>
      </c>
      <c r="L287" t="n">
        <v>0</v>
      </c>
      <c r="M287" t="n">
        <v>0</v>
      </c>
      <c r="N287" t="n">
        <v>0</v>
      </c>
      <c r="O287" t="n">
        <v>0</v>
      </c>
      <c r="P287" t="n">
        <v>0</v>
      </c>
      <c r="Q287" t="n">
        <v>0</v>
      </c>
      <c r="R287" s="2" t="inlineStr"/>
    </row>
    <row r="288" ht="15" customHeight="1">
      <c r="A288" t="inlineStr">
        <is>
          <t>A 59621-2018</t>
        </is>
      </c>
      <c r="B288" s="1" t="n">
        <v>43419</v>
      </c>
      <c r="C288" s="1" t="n">
        <v>45353</v>
      </c>
      <c r="D288" t="inlineStr">
        <is>
          <t>VÄSTERNORRLANDS LÄN</t>
        </is>
      </c>
      <c r="E288" t="inlineStr">
        <is>
          <t>SOLLEFTEÅ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59615-2018</t>
        </is>
      </c>
      <c r="B289" s="1" t="n">
        <v>43419</v>
      </c>
      <c r="C289" s="1" t="n">
        <v>45353</v>
      </c>
      <c r="D289" t="inlineStr">
        <is>
          <t>VÄSTERNORRLANDS LÄN</t>
        </is>
      </c>
      <c r="E289" t="inlineStr">
        <is>
          <t>SOLLEFTEÅ</t>
        </is>
      </c>
      <c r="G289" t="n">
        <v>2</v>
      </c>
      <c r="H289" t="n">
        <v>0</v>
      </c>
      <c r="I289" t="n">
        <v>0</v>
      </c>
      <c r="J289" t="n">
        <v>0</v>
      </c>
      <c r="K289" t="n">
        <v>0</v>
      </c>
      <c r="L289" t="n">
        <v>0</v>
      </c>
      <c r="M289" t="n">
        <v>0</v>
      </c>
      <c r="N289" t="n">
        <v>0</v>
      </c>
      <c r="O289" t="n">
        <v>0</v>
      </c>
      <c r="P289" t="n">
        <v>0</v>
      </c>
      <c r="Q289" t="n">
        <v>0</v>
      </c>
      <c r="R289" s="2" t="inlineStr"/>
    </row>
    <row r="290" ht="15" customHeight="1">
      <c r="A290" t="inlineStr">
        <is>
          <t>A 60505-2018</t>
        </is>
      </c>
      <c r="B290" s="1" t="n">
        <v>43420</v>
      </c>
      <c r="C290" s="1" t="n">
        <v>45353</v>
      </c>
      <c r="D290" t="inlineStr">
        <is>
          <t>VÄSTERNORRLANDS LÄN</t>
        </is>
      </c>
      <c r="E290" t="inlineStr">
        <is>
          <t>SOLLEFTEÅ</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60507-2018</t>
        </is>
      </c>
      <c r="B291" s="1" t="n">
        <v>43420</v>
      </c>
      <c r="C291" s="1" t="n">
        <v>45353</v>
      </c>
      <c r="D291" t="inlineStr">
        <is>
          <t>VÄSTERNORRLANDS LÄN</t>
        </is>
      </c>
      <c r="E291" t="inlineStr">
        <is>
          <t>SOLLEFTEÅ</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65627-2018</t>
        </is>
      </c>
      <c r="B292" s="1" t="n">
        <v>43425</v>
      </c>
      <c r="C292" s="1" t="n">
        <v>45353</v>
      </c>
      <c r="D292" t="inlineStr">
        <is>
          <t>VÄSTERNORRLANDS LÄN</t>
        </is>
      </c>
      <c r="E292" t="inlineStr">
        <is>
          <t>SOLLEFTEÅ</t>
        </is>
      </c>
      <c r="G292" t="n">
        <v>8.5</v>
      </c>
      <c r="H292" t="n">
        <v>0</v>
      </c>
      <c r="I292" t="n">
        <v>0</v>
      </c>
      <c r="J292" t="n">
        <v>0</v>
      </c>
      <c r="K292" t="n">
        <v>0</v>
      </c>
      <c r="L292" t="n">
        <v>0</v>
      </c>
      <c r="M292" t="n">
        <v>0</v>
      </c>
      <c r="N292" t="n">
        <v>0</v>
      </c>
      <c r="O292" t="n">
        <v>0</v>
      </c>
      <c r="P292" t="n">
        <v>0</v>
      </c>
      <c r="Q292" t="n">
        <v>0</v>
      </c>
      <c r="R292" s="2" t="inlineStr"/>
    </row>
    <row r="293" ht="15" customHeight="1">
      <c r="A293" t="inlineStr">
        <is>
          <t>A 66224-2018</t>
        </is>
      </c>
      <c r="B293" s="1" t="n">
        <v>43426</v>
      </c>
      <c r="C293" s="1" t="n">
        <v>45353</v>
      </c>
      <c r="D293" t="inlineStr">
        <is>
          <t>VÄSTERNORRLANDS LÄN</t>
        </is>
      </c>
      <c r="E293" t="inlineStr">
        <is>
          <t>SOLLEFTEÅ</t>
        </is>
      </c>
      <c r="G293" t="n">
        <v>1.5</v>
      </c>
      <c r="H293" t="n">
        <v>0</v>
      </c>
      <c r="I293" t="n">
        <v>0</v>
      </c>
      <c r="J293" t="n">
        <v>0</v>
      </c>
      <c r="K293" t="n">
        <v>0</v>
      </c>
      <c r="L293" t="n">
        <v>0</v>
      </c>
      <c r="M293" t="n">
        <v>0</v>
      </c>
      <c r="N293" t="n">
        <v>0</v>
      </c>
      <c r="O293" t="n">
        <v>0</v>
      </c>
      <c r="P293" t="n">
        <v>0</v>
      </c>
      <c r="Q293" t="n">
        <v>0</v>
      </c>
      <c r="R293" s="2" t="inlineStr"/>
    </row>
    <row r="294" ht="15" customHeight="1">
      <c r="A294" t="inlineStr">
        <is>
          <t>A 63618-2018</t>
        </is>
      </c>
      <c r="B294" s="1" t="n">
        <v>43427</v>
      </c>
      <c r="C294" s="1" t="n">
        <v>45353</v>
      </c>
      <c r="D294" t="inlineStr">
        <is>
          <t>VÄSTERNORRLANDS LÄN</t>
        </is>
      </c>
      <c r="E294" t="inlineStr">
        <is>
          <t>SOLLEFTEÅ</t>
        </is>
      </c>
      <c r="F294" t="inlineStr">
        <is>
          <t>SCA</t>
        </is>
      </c>
      <c r="G294" t="n">
        <v>6</v>
      </c>
      <c r="H294" t="n">
        <v>0</v>
      </c>
      <c r="I294" t="n">
        <v>0</v>
      </c>
      <c r="J294" t="n">
        <v>0</v>
      </c>
      <c r="K294" t="n">
        <v>0</v>
      </c>
      <c r="L294" t="n">
        <v>0</v>
      </c>
      <c r="M294" t="n">
        <v>0</v>
      </c>
      <c r="N294" t="n">
        <v>0</v>
      </c>
      <c r="O294" t="n">
        <v>0</v>
      </c>
      <c r="P294" t="n">
        <v>0</v>
      </c>
      <c r="Q294" t="n">
        <v>0</v>
      </c>
      <c r="R294" s="2" t="inlineStr"/>
    </row>
    <row r="295" ht="15" customHeight="1">
      <c r="A295" t="inlineStr">
        <is>
          <t>A 63664-2018</t>
        </is>
      </c>
      <c r="B295" s="1" t="n">
        <v>43427</v>
      </c>
      <c r="C295" s="1" t="n">
        <v>45353</v>
      </c>
      <c r="D295" t="inlineStr">
        <is>
          <t>VÄSTERNORRLANDS LÄN</t>
        </is>
      </c>
      <c r="E295" t="inlineStr">
        <is>
          <t>SOLLEFTEÅ</t>
        </is>
      </c>
      <c r="G295" t="n">
        <v>1.9</v>
      </c>
      <c r="H295" t="n">
        <v>0</v>
      </c>
      <c r="I295" t="n">
        <v>0</v>
      </c>
      <c r="J295" t="n">
        <v>0</v>
      </c>
      <c r="K295" t="n">
        <v>0</v>
      </c>
      <c r="L295" t="n">
        <v>0</v>
      </c>
      <c r="M295" t="n">
        <v>0</v>
      </c>
      <c r="N295" t="n">
        <v>0</v>
      </c>
      <c r="O295" t="n">
        <v>0</v>
      </c>
      <c r="P295" t="n">
        <v>0</v>
      </c>
      <c r="Q295" t="n">
        <v>0</v>
      </c>
      <c r="R295" s="2" t="inlineStr"/>
    </row>
    <row r="296" ht="15" customHeight="1">
      <c r="A296" t="inlineStr">
        <is>
          <t>A 63391-2018</t>
        </is>
      </c>
      <c r="B296" s="1" t="n">
        <v>43427</v>
      </c>
      <c r="C296" s="1" t="n">
        <v>45353</v>
      </c>
      <c r="D296" t="inlineStr">
        <is>
          <t>VÄSTERNORRLANDS LÄN</t>
        </is>
      </c>
      <c r="E296" t="inlineStr">
        <is>
          <t>SOLLEFTEÅ</t>
        </is>
      </c>
      <c r="G296" t="n">
        <v>9</v>
      </c>
      <c r="H296" t="n">
        <v>0</v>
      </c>
      <c r="I296" t="n">
        <v>0</v>
      </c>
      <c r="J296" t="n">
        <v>0</v>
      </c>
      <c r="K296" t="n">
        <v>0</v>
      </c>
      <c r="L296" t="n">
        <v>0</v>
      </c>
      <c r="M296" t="n">
        <v>0</v>
      </c>
      <c r="N296" t="n">
        <v>0</v>
      </c>
      <c r="O296" t="n">
        <v>0</v>
      </c>
      <c r="P296" t="n">
        <v>0</v>
      </c>
      <c r="Q296" t="n">
        <v>0</v>
      </c>
      <c r="R296" s="2" t="inlineStr"/>
    </row>
    <row r="297" ht="15" customHeight="1">
      <c r="A297" t="inlineStr">
        <is>
          <t>A 64084-2018</t>
        </is>
      </c>
      <c r="B297" s="1" t="n">
        <v>43430</v>
      </c>
      <c r="C297" s="1" t="n">
        <v>45353</v>
      </c>
      <c r="D297" t="inlineStr">
        <is>
          <t>VÄSTERNORRLANDS LÄN</t>
        </is>
      </c>
      <c r="E297" t="inlineStr">
        <is>
          <t>SOLLEFTEÅ</t>
        </is>
      </c>
      <c r="G297" t="n">
        <v>1.7</v>
      </c>
      <c r="H297" t="n">
        <v>0</v>
      </c>
      <c r="I297" t="n">
        <v>0</v>
      </c>
      <c r="J297" t="n">
        <v>0</v>
      </c>
      <c r="K297" t="n">
        <v>0</v>
      </c>
      <c r="L297" t="n">
        <v>0</v>
      </c>
      <c r="M297" t="n">
        <v>0</v>
      </c>
      <c r="N297" t="n">
        <v>0</v>
      </c>
      <c r="O297" t="n">
        <v>0</v>
      </c>
      <c r="P297" t="n">
        <v>0</v>
      </c>
      <c r="Q297" t="n">
        <v>0</v>
      </c>
      <c r="R297" s="2" t="inlineStr"/>
    </row>
    <row r="298" ht="15" customHeight="1">
      <c r="A298" t="inlineStr">
        <is>
          <t>A 67309-2018</t>
        </is>
      </c>
      <c r="B298" s="1" t="n">
        <v>43432</v>
      </c>
      <c r="C298" s="1" t="n">
        <v>45353</v>
      </c>
      <c r="D298" t="inlineStr">
        <is>
          <t>VÄSTERNORRLANDS LÄN</t>
        </is>
      </c>
      <c r="E298" t="inlineStr">
        <is>
          <t>SOLLEFTEÅ</t>
        </is>
      </c>
      <c r="G298" t="n">
        <v>4.1</v>
      </c>
      <c r="H298" t="n">
        <v>0</v>
      </c>
      <c r="I298" t="n">
        <v>0</v>
      </c>
      <c r="J298" t="n">
        <v>0</v>
      </c>
      <c r="K298" t="n">
        <v>0</v>
      </c>
      <c r="L298" t="n">
        <v>0</v>
      </c>
      <c r="M298" t="n">
        <v>0</v>
      </c>
      <c r="N298" t="n">
        <v>0</v>
      </c>
      <c r="O298" t="n">
        <v>0</v>
      </c>
      <c r="P298" t="n">
        <v>0</v>
      </c>
      <c r="Q298" t="n">
        <v>0</v>
      </c>
      <c r="R298" s="2" t="inlineStr"/>
    </row>
    <row r="299" ht="15" customHeight="1">
      <c r="A299" t="inlineStr">
        <is>
          <t>A 67325-2018</t>
        </is>
      </c>
      <c r="B299" s="1" t="n">
        <v>43432</v>
      </c>
      <c r="C299" s="1" t="n">
        <v>45353</v>
      </c>
      <c r="D299" t="inlineStr">
        <is>
          <t>VÄSTERNORRLANDS LÄN</t>
        </is>
      </c>
      <c r="E299" t="inlineStr">
        <is>
          <t>SOLLEFTEÅ</t>
        </is>
      </c>
      <c r="G299" t="n">
        <v>1.9</v>
      </c>
      <c r="H299" t="n">
        <v>0</v>
      </c>
      <c r="I299" t="n">
        <v>0</v>
      </c>
      <c r="J299" t="n">
        <v>0</v>
      </c>
      <c r="K299" t="n">
        <v>0</v>
      </c>
      <c r="L299" t="n">
        <v>0</v>
      </c>
      <c r="M299" t="n">
        <v>0</v>
      </c>
      <c r="N299" t="n">
        <v>0</v>
      </c>
      <c r="O299" t="n">
        <v>0</v>
      </c>
      <c r="P299" t="n">
        <v>0</v>
      </c>
      <c r="Q299" t="n">
        <v>0</v>
      </c>
      <c r="R299" s="2" t="inlineStr"/>
    </row>
    <row r="300" ht="15" customHeight="1">
      <c r="A300" t="inlineStr">
        <is>
          <t>A 66193-2018</t>
        </is>
      </c>
      <c r="B300" s="1" t="n">
        <v>43434</v>
      </c>
      <c r="C300" s="1" t="n">
        <v>45353</v>
      </c>
      <c r="D300" t="inlineStr">
        <is>
          <t>VÄSTERNORRLANDS LÄN</t>
        </is>
      </c>
      <c r="E300" t="inlineStr">
        <is>
          <t>SOLLEFTEÅ</t>
        </is>
      </c>
      <c r="F300" t="inlineStr">
        <is>
          <t>SCA</t>
        </is>
      </c>
      <c r="G300" t="n">
        <v>9.5</v>
      </c>
      <c r="H300" t="n">
        <v>0</v>
      </c>
      <c r="I300" t="n">
        <v>0</v>
      </c>
      <c r="J300" t="n">
        <v>0</v>
      </c>
      <c r="K300" t="n">
        <v>0</v>
      </c>
      <c r="L300" t="n">
        <v>0</v>
      </c>
      <c r="M300" t="n">
        <v>0</v>
      </c>
      <c r="N300" t="n">
        <v>0</v>
      </c>
      <c r="O300" t="n">
        <v>0</v>
      </c>
      <c r="P300" t="n">
        <v>0</v>
      </c>
      <c r="Q300" t="n">
        <v>0</v>
      </c>
      <c r="R300" s="2" t="inlineStr"/>
    </row>
    <row r="301" ht="15" customHeight="1">
      <c r="A301" t="inlineStr">
        <is>
          <t>A 66449-2018</t>
        </is>
      </c>
      <c r="B301" s="1" t="n">
        <v>43437</v>
      </c>
      <c r="C301" s="1" t="n">
        <v>45353</v>
      </c>
      <c r="D301" t="inlineStr">
        <is>
          <t>VÄSTERNORRLANDS LÄN</t>
        </is>
      </c>
      <c r="E301" t="inlineStr">
        <is>
          <t>SOLLEFTEÅ</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68205-2018</t>
        </is>
      </c>
      <c r="B302" s="1" t="n">
        <v>43437</v>
      </c>
      <c r="C302" s="1" t="n">
        <v>45353</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68153-2018</t>
        </is>
      </c>
      <c r="B303" s="1" t="n">
        <v>43437</v>
      </c>
      <c r="C303" s="1" t="n">
        <v>45353</v>
      </c>
      <c r="D303" t="inlineStr">
        <is>
          <t>VÄSTERNORRLANDS LÄN</t>
        </is>
      </c>
      <c r="E303" t="inlineStr">
        <is>
          <t>SOLLEFTEÅ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66761-2018</t>
        </is>
      </c>
      <c r="B304" s="1" t="n">
        <v>43437</v>
      </c>
      <c r="C304" s="1" t="n">
        <v>45353</v>
      </c>
      <c r="D304" t="inlineStr">
        <is>
          <t>VÄSTERNORRLANDS LÄN</t>
        </is>
      </c>
      <c r="E304" t="inlineStr">
        <is>
          <t>SOLLEFTEÅ</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68195-2018</t>
        </is>
      </c>
      <c r="B305" s="1" t="n">
        <v>43437</v>
      </c>
      <c r="C305" s="1" t="n">
        <v>45353</v>
      </c>
      <c r="D305" t="inlineStr">
        <is>
          <t>VÄSTERNORRLANDS LÄN</t>
        </is>
      </c>
      <c r="E305" t="inlineStr">
        <is>
          <t>SOLLEFTEÅ</t>
        </is>
      </c>
      <c r="G305" t="n">
        <v>6.5</v>
      </c>
      <c r="H305" t="n">
        <v>0</v>
      </c>
      <c r="I305" t="n">
        <v>0</v>
      </c>
      <c r="J305" t="n">
        <v>0</v>
      </c>
      <c r="K305" t="n">
        <v>0</v>
      </c>
      <c r="L305" t="n">
        <v>0</v>
      </c>
      <c r="M305" t="n">
        <v>0</v>
      </c>
      <c r="N305" t="n">
        <v>0</v>
      </c>
      <c r="O305" t="n">
        <v>0</v>
      </c>
      <c r="P305" t="n">
        <v>0</v>
      </c>
      <c r="Q305" t="n">
        <v>0</v>
      </c>
      <c r="R305" s="2" t="inlineStr"/>
    </row>
    <row r="306" ht="15" customHeight="1">
      <c r="A306" t="inlineStr">
        <is>
          <t>A 67572-2018</t>
        </is>
      </c>
      <c r="B306" s="1" t="n">
        <v>43439</v>
      </c>
      <c r="C306" s="1" t="n">
        <v>45353</v>
      </c>
      <c r="D306" t="inlineStr">
        <is>
          <t>VÄSTERNORRLANDS LÄN</t>
        </is>
      </c>
      <c r="E306" t="inlineStr">
        <is>
          <t>SOLLEFTEÅ</t>
        </is>
      </c>
      <c r="G306" t="n">
        <v>5.9</v>
      </c>
      <c r="H306" t="n">
        <v>0</v>
      </c>
      <c r="I306" t="n">
        <v>0</v>
      </c>
      <c r="J306" t="n">
        <v>0</v>
      </c>
      <c r="K306" t="n">
        <v>0</v>
      </c>
      <c r="L306" t="n">
        <v>0</v>
      </c>
      <c r="M306" t="n">
        <v>0</v>
      </c>
      <c r="N306" t="n">
        <v>0</v>
      </c>
      <c r="O306" t="n">
        <v>0</v>
      </c>
      <c r="P306" t="n">
        <v>0</v>
      </c>
      <c r="Q306" t="n">
        <v>0</v>
      </c>
      <c r="R306" s="2" t="inlineStr"/>
    </row>
    <row r="307" ht="15" customHeight="1">
      <c r="A307" t="inlineStr">
        <is>
          <t>A 68665-2018</t>
        </is>
      </c>
      <c r="B307" s="1" t="n">
        <v>43444</v>
      </c>
      <c r="C307" s="1" t="n">
        <v>45353</v>
      </c>
      <c r="D307" t="inlineStr">
        <is>
          <t>VÄSTERNORRLANDS LÄN</t>
        </is>
      </c>
      <c r="E307" t="inlineStr">
        <is>
          <t>SOLLEFTEÅ</t>
        </is>
      </c>
      <c r="G307" t="n">
        <v>3.3</v>
      </c>
      <c r="H307" t="n">
        <v>0</v>
      </c>
      <c r="I307" t="n">
        <v>0</v>
      </c>
      <c r="J307" t="n">
        <v>0</v>
      </c>
      <c r="K307" t="n">
        <v>0</v>
      </c>
      <c r="L307" t="n">
        <v>0</v>
      </c>
      <c r="M307" t="n">
        <v>0</v>
      </c>
      <c r="N307" t="n">
        <v>0</v>
      </c>
      <c r="O307" t="n">
        <v>0</v>
      </c>
      <c r="P307" t="n">
        <v>0</v>
      </c>
      <c r="Q307" t="n">
        <v>0</v>
      </c>
      <c r="R307" s="2" t="inlineStr"/>
    </row>
    <row r="308" ht="15" customHeight="1">
      <c r="A308" t="inlineStr">
        <is>
          <t>A 70365-2018</t>
        </is>
      </c>
      <c r="B308" s="1" t="n">
        <v>43446</v>
      </c>
      <c r="C308" s="1" t="n">
        <v>45353</v>
      </c>
      <c r="D308" t="inlineStr">
        <is>
          <t>VÄSTERNORRLANDS LÄN</t>
        </is>
      </c>
      <c r="E308" t="inlineStr">
        <is>
          <t>SOLLEFTEÅ</t>
        </is>
      </c>
      <c r="G308" t="n">
        <v>9</v>
      </c>
      <c r="H308" t="n">
        <v>0</v>
      </c>
      <c r="I308" t="n">
        <v>0</v>
      </c>
      <c r="J308" t="n">
        <v>0</v>
      </c>
      <c r="K308" t="n">
        <v>0</v>
      </c>
      <c r="L308" t="n">
        <v>0</v>
      </c>
      <c r="M308" t="n">
        <v>0</v>
      </c>
      <c r="N308" t="n">
        <v>0</v>
      </c>
      <c r="O308" t="n">
        <v>0</v>
      </c>
      <c r="P308" t="n">
        <v>0</v>
      </c>
      <c r="Q308" t="n">
        <v>0</v>
      </c>
      <c r="R308" s="2" t="inlineStr"/>
    </row>
    <row r="309" ht="15" customHeight="1">
      <c r="A309" t="inlineStr">
        <is>
          <t>A 70368-2018</t>
        </is>
      </c>
      <c r="B309" s="1" t="n">
        <v>43446</v>
      </c>
      <c r="C309" s="1" t="n">
        <v>45353</v>
      </c>
      <c r="D309" t="inlineStr">
        <is>
          <t>VÄSTERNORRLANDS LÄN</t>
        </is>
      </c>
      <c r="E309" t="inlineStr">
        <is>
          <t>SOLLEFTEÅ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70581-2018</t>
        </is>
      </c>
      <c r="B310" s="1" t="n">
        <v>43447</v>
      </c>
      <c r="C310" s="1" t="n">
        <v>45353</v>
      </c>
      <c r="D310" t="inlineStr">
        <is>
          <t>VÄSTERNORRLANDS LÄN</t>
        </is>
      </c>
      <c r="E310" t="inlineStr">
        <is>
          <t>SOLLEFTEÅ</t>
        </is>
      </c>
      <c r="G310" t="n">
        <v>1</v>
      </c>
      <c r="H310" t="n">
        <v>0</v>
      </c>
      <c r="I310" t="n">
        <v>0</v>
      </c>
      <c r="J310" t="n">
        <v>0</v>
      </c>
      <c r="K310" t="n">
        <v>0</v>
      </c>
      <c r="L310" t="n">
        <v>0</v>
      </c>
      <c r="M310" t="n">
        <v>0</v>
      </c>
      <c r="N310" t="n">
        <v>0</v>
      </c>
      <c r="O310" t="n">
        <v>0</v>
      </c>
      <c r="P310" t="n">
        <v>0</v>
      </c>
      <c r="Q310" t="n">
        <v>0</v>
      </c>
      <c r="R310" s="2" t="inlineStr"/>
    </row>
    <row r="311" ht="15" customHeight="1">
      <c r="A311" t="inlineStr">
        <is>
          <t>A 69970-2018</t>
        </is>
      </c>
      <c r="B311" s="1" t="n">
        <v>43447</v>
      </c>
      <c r="C311" s="1" t="n">
        <v>45353</v>
      </c>
      <c r="D311" t="inlineStr">
        <is>
          <t>VÄSTERNORRLANDS LÄN</t>
        </is>
      </c>
      <c r="E311" t="inlineStr">
        <is>
          <t>SOLLEFTEÅ</t>
        </is>
      </c>
      <c r="G311" t="n">
        <v>1.5</v>
      </c>
      <c r="H311" t="n">
        <v>0</v>
      </c>
      <c r="I311" t="n">
        <v>0</v>
      </c>
      <c r="J311" t="n">
        <v>0</v>
      </c>
      <c r="K311" t="n">
        <v>0</v>
      </c>
      <c r="L311" t="n">
        <v>0</v>
      </c>
      <c r="M311" t="n">
        <v>0</v>
      </c>
      <c r="N311" t="n">
        <v>0</v>
      </c>
      <c r="O311" t="n">
        <v>0</v>
      </c>
      <c r="P311" t="n">
        <v>0</v>
      </c>
      <c r="Q311" t="n">
        <v>0</v>
      </c>
      <c r="R311" s="2" t="inlineStr"/>
    </row>
    <row r="312" ht="15" customHeight="1">
      <c r="A312" t="inlineStr">
        <is>
          <t>A 70429-2018</t>
        </is>
      </c>
      <c r="B312" s="1" t="n">
        <v>43451</v>
      </c>
      <c r="C312" s="1" t="n">
        <v>45353</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71366-2018</t>
        </is>
      </c>
      <c r="B313" s="1" t="n">
        <v>43453</v>
      </c>
      <c r="C313" s="1" t="n">
        <v>45353</v>
      </c>
      <c r="D313" t="inlineStr">
        <is>
          <t>VÄSTERNORRLANDS LÄN</t>
        </is>
      </c>
      <c r="E313" t="inlineStr">
        <is>
          <t>SOLLEFTEÅ</t>
        </is>
      </c>
      <c r="G313" t="n">
        <v>11.7</v>
      </c>
      <c r="H313" t="n">
        <v>0</v>
      </c>
      <c r="I313" t="n">
        <v>0</v>
      </c>
      <c r="J313" t="n">
        <v>0</v>
      </c>
      <c r="K313" t="n">
        <v>0</v>
      </c>
      <c r="L313" t="n">
        <v>0</v>
      </c>
      <c r="M313" t="n">
        <v>0</v>
      </c>
      <c r="N313" t="n">
        <v>0</v>
      </c>
      <c r="O313" t="n">
        <v>0</v>
      </c>
      <c r="P313" t="n">
        <v>0</v>
      </c>
      <c r="Q313" t="n">
        <v>0</v>
      </c>
      <c r="R313" s="2" t="inlineStr"/>
    </row>
    <row r="314" ht="15" customHeight="1">
      <c r="A314" t="inlineStr">
        <is>
          <t>A 71359-2018</t>
        </is>
      </c>
      <c r="B314" s="1" t="n">
        <v>43453</v>
      </c>
      <c r="C314" s="1" t="n">
        <v>45353</v>
      </c>
      <c r="D314" t="inlineStr">
        <is>
          <t>VÄSTERNORRLANDS LÄN</t>
        </is>
      </c>
      <c r="E314" t="inlineStr">
        <is>
          <t>SOLLEFTEÅ</t>
        </is>
      </c>
      <c r="G314" t="n">
        <v>13.6</v>
      </c>
      <c r="H314" t="n">
        <v>0</v>
      </c>
      <c r="I314" t="n">
        <v>0</v>
      </c>
      <c r="J314" t="n">
        <v>0</v>
      </c>
      <c r="K314" t="n">
        <v>0</v>
      </c>
      <c r="L314" t="n">
        <v>0</v>
      </c>
      <c r="M314" t="n">
        <v>0</v>
      </c>
      <c r="N314" t="n">
        <v>0</v>
      </c>
      <c r="O314" t="n">
        <v>0</v>
      </c>
      <c r="P314" t="n">
        <v>0</v>
      </c>
      <c r="Q314" t="n">
        <v>0</v>
      </c>
      <c r="R314" s="2" t="inlineStr"/>
    </row>
    <row r="315" ht="15" customHeight="1">
      <c r="A315" t="inlineStr">
        <is>
          <t>A 71384-2018</t>
        </is>
      </c>
      <c r="B315" s="1" t="n">
        <v>43453</v>
      </c>
      <c r="C315" s="1" t="n">
        <v>45353</v>
      </c>
      <c r="D315" t="inlineStr">
        <is>
          <t>VÄSTERNORRLANDS LÄN</t>
        </is>
      </c>
      <c r="E315" t="inlineStr">
        <is>
          <t>SOLLEFTEÅ</t>
        </is>
      </c>
      <c r="G315" t="n">
        <v>3.7</v>
      </c>
      <c r="H315" t="n">
        <v>0</v>
      </c>
      <c r="I315" t="n">
        <v>0</v>
      </c>
      <c r="J315" t="n">
        <v>0</v>
      </c>
      <c r="K315" t="n">
        <v>0</v>
      </c>
      <c r="L315" t="n">
        <v>0</v>
      </c>
      <c r="M315" t="n">
        <v>0</v>
      </c>
      <c r="N315" t="n">
        <v>0</v>
      </c>
      <c r="O315" t="n">
        <v>0</v>
      </c>
      <c r="P315" t="n">
        <v>0</v>
      </c>
      <c r="Q315" t="n">
        <v>0</v>
      </c>
      <c r="R315" s="2" t="inlineStr"/>
    </row>
    <row r="316" ht="15" customHeight="1">
      <c r="A316" t="inlineStr">
        <is>
          <t>A 71419-2018</t>
        </is>
      </c>
      <c r="B316" s="1" t="n">
        <v>43453</v>
      </c>
      <c r="C316" s="1" t="n">
        <v>45353</v>
      </c>
      <c r="D316" t="inlineStr">
        <is>
          <t>VÄSTERNORRLANDS LÄN</t>
        </is>
      </c>
      <c r="E316" t="inlineStr">
        <is>
          <t>SOLLEFTEÅ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71868-2018</t>
        </is>
      </c>
      <c r="B317" s="1" t="n">
        <v>43454</v>
      </c>
      <c r="C317" s="1" t="n">
        <v>45353</v>
      </c>
      <c r="D317" t="inlineStr">
        <is>
          <t>VÄSTERNORRLANDS LÄN</t>
        </is>
      </c>
      <c r="E317" t="inlineStr">
        <is>
          <t>SOLLEFTEÅ</t>
        </is>
      </c>
      <c r="G317" t="n">
        <v>2</v>
      </c>
      <c r="H317" t="n">
        <v>0</v>
      </c>
      <c r="I317" t="n">
        <v>0</v>
      </c>
      <c r="J317" t="n">
        <v>0</v>
      </c>
      <c r="K317" t="n">
        <v>0</v>
      </c>
      <c r="L317" t="n">
        <v>0</v>
      </c>
      <c r="M317" t="n">
        <v>0</v>
      </c>
      <c r="N317" t="n">
        <v>0</v>
      </c>
      <c r="O317" t="n">
        <v>0</v>
      </c>
      <c r="P317" t="n">
        <v>0</v>
      </c>
      <c r="Q317" t="n">
        <v>0</v>
      </c>
      <c r="R317" s="2" t="inlineStr"/>
    </row>
    <row r="318" ht="15" customHeight="1">
      <c r="A318" t="inlineStr">
        <is>
          <t>A 71866-2018</t>
        </is>
      </c>
      <c r="B318" s="1" t="n">
        <v>43454</v>
      </c>
      <c r="C318" s="1" t="n">
        <v>45353</v>
      </c>
      <c r="D318" t="inlineStr">
        <is>
          <t>VÄSTERNORRLANDS LÄN</t>
        </is>
      </c>
      <c r="E318" t="inlineStr">
        <is>
          <t>SOLLEFTEÅ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72286-2018</t>
        </is>
      </c>
      <c r="B319" s="1" t="n">
        <v>43455</v>
      </c>
      <c r="C319" s="1" t="n">
        <v>45353</v>
      </c>
      <c r="D319" t="inlineStr">
        <is>
          <t>VÄSTERNORRLANDS LÄN</t>
        </is>
      </c>
      <c r="E319" t="inlineStr">
        <is>
          <t>SOLLEFTEÅ</t>
        </is>
      </c>
      <c r="G319" t="n">
        <v>2.6</v>
      </c>
      <c r="H319" t="n">
        <v>0</v>
      </c>
      <c r="I319" t="n">
        <v>0</v>
      </c>
      <c r="J319" t="n">
        <v>0</v>
      </c>
      <c r="K319" t="n">
        <v>0</v>
      </c>
      <c r="L319" t="n">
        <v>0</v>
      </c>
      <c r="M319" t="n">
        <v>0</v>
      </c>
      <c r="N319" t="n">
        <v>0</v>
      </c>
      <c r="O319" t="n">
        <v>0</v>
      </c>
      <c r="P319" t="n">
        <v>0</v>
      </c>
      <c r="Q319" t="n">
        <v>0</v>
      </c>
      <c r="R319" s="2" t="inlineStr"/>
    </row>
    <row r="320" ht="15" customHeight="1">
      <c r="A320" t="inlineStr">
        <is>
          <t>A 72483-2018</t>
        </is>
      </c>
      <c r="B320" s="1" t="n">
        <v>43461</v>
      </c>
      <c r="C320" s="1" t="n">
        <v>45353</v>
      </c>
      <c r="D320" t="inlineStr">
        <is>
          <t>VÄSTERNORRLANDS LÄN</t>
        </is>
      </c>
      <c r="E320" t="inlineStr">
        <is>
          <t>SOLLEFTEÅ</t>
        </is>
      </c>
      <c r="F320" t="inlineStr">
        <is>
          <t>SCA</t>
        </is>
      </c>
      <c r="G320" t="n">
        <v>9</v>
      </c>
      <c r="H320" t="n">
        <v>0</v>
      </c>
      <c r="I320" t="n">
        <v>0</v>
      </c>
      <c r="J320" t="n">
        <v>0</v>
      </c>
      <c r="K320" t="n">
        <v>0</v>
      </c>
      <c r="L320" t="n">
        <v>0</v>
      </c>
      <c r="M320" t="n">
        <v>0</v>
      </c>
      <c r="N320" t="n">
        <v>0</v>
      </c>
      <c r="O320" t="n">
        <v>0</v>
      </c>
      <c r="P320" t="n">
        <v>0</v>
      </c>
      <c r="Q320" t="n">
        <v>0</v>
      </c>
      <c r="R320" s="2" t="inlineStr"/>
    </row>
    <row r="321" ht="15" customHeight="1">
      <c r="A321" t="inlineStr">
        <is>
          <t>A 2421-2019</t>
        </is>
      </c>
      <c r="B321" s="1" t="n">
        <v>43468</v>
      </c>
      <c r="C321" s="1" t="n">
        <v>45353</v>
      </c>
      <c r="D321" t="inlineStr">
        <is>
          <t>VÄSTERNORRLANDS LÄN</t>
        </is>
      </c>
      <c r="E321" t="inlineStr">
        <is>
          <t>SOLLEFTEÅ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543-2019</t>
        </is>
      </c>
      <c r="B322" s="1" t="n">
        <v>43469</v>
      </c>
      <c r="C322" s="1" t="n">
        <v>45353</v>
      </c>
      <c r="D322" t="inlineStr">
        <is>
          <t>VÄSTERNORRLANDS LÄN</t>
        </is>
      </c>
      <c r="E322" t="inlineStr">
        <is>
          <t>SOLLEFTEÅ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552-2019</t>
        </is>
      </c>
      <c r="B323" s="1" t="n">
        <v>43469</v>
      </c>
      <c r="C323" s="1" t="n">
        <v>45353</v>
      </c>
      <c r="D323" t="inlineStr">
        <is>
          <t>VÄSTERNORRLANDS LÄN</t>
        </is>
      </c>
      <c r="E323" t="inlineStr">
        <is>
          <t>SOLLEFTEÅ</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565-2019</t>
        </is>
      </c>
      <c r="B324" s="1" t="n">
        <v>43469</v>
      </c>
      <c r="C324" s="1" t="n">
        <v>45353</v>
      </c>
      <c r="D324" t="inlineStr">
        <is>
          <t>VÄSTERNORRLANDS LÄN</t>
        </is>
      </c>
      <c r="E324" t="inlineStr">
        <is>
          <t>SOLLEFTEÅ</t>
        </is>
      </c>
      <c r="G324" t="n">
        <v>7</v>
      </c>
      <c r="H324" t="n">
        <v>0</v>
      </c>
      <c r="I324" t="n">
        <v>0</v>
      </c>
      <c r="J324" t="n">
        <v>0</v>
      </c>
      <c r="K324" t="n">
        <v>0</v>
      </c>
      <c r="L324" t="n">
        <v>0</v>
      </c>
      <c r="M324" t="n">
        <v>0</v>
      </c>
      <c r="N324" t="n">
        <v>0</v>
      </c>
      <c r="O324" t="n">
        <v>0</v>
      </c>
      <c r="P324" t="n">
        <v>0</v>
      </c>
      <c r="Q324" t="n">
        <v>0</v>
      </c>
      <c r="R324" s="2" t="inlineStr"/>
    </row>
    <row r="325" ht="15" customHeight="1">
      <c r="A325" t="inlineStr">
        <is>
          <t>A 3110-2019</t>
        </is>
      </c>
      <c r="B325" s="1" t="n">
        <v>43479</v>
      </c>
      <c r="C325" s="1" t="n">
        <v>45353</v>
      </c>
      <c r="D325" t="inlineStr">
        <is>
          <t>VÄSTERNORRLANDS LÄN</t>
        </is>
      </c>
      <c r="E325" t="inlineStr">
        <is>
          <t>SOLLEFTEÅ</t>
        </is>
      </c>
      <c r="G325" t="n">
        <v>3.5</v>
      </c>
      <c r="H325" t="n">
        <v>0</v>
      </c>
      <c r="I325" t="n">
        <v>0</v>
      </c>
      <c r="J325" t="n">
        <v>0</v>
      </c>
      <c r="K325" t="n">
        <v>0</v>
      </c>
      <c r="L325" t="n">
        <v>0</v>
      </c>
      <c r="M325" t="n">
        <v>0</v>
      </c>
      <c r="N325" t="n">
        <v>0</v>
      </c>
      <c r="O325" t="n">
        <v>0</v>
      </c>
      <c r="P325" t="n">
        <v>0</v>
      </c>
      <c r="Q325" t="n">
        <v>0</v>
      </c>
      <c r="R325" s="2" t="inlineStr"/>
    </row>
    <row r="326" ht="15" customHeight="1">
      <c r="A326" t="inlineStr">
        <is>
          <t>A 4336-2019</t>
        </is>
      </c>
      <c r="B326" s="1" t="n">
        <v>43479</v>
      </c>
      <c r="C326" s="1" t="n">
        <v>45353</v>
      </c>
      <c r="D326" t="inlineStr">
        <is>
          <t>VÄSTERNORRLANDS LÄN</t>
        </is>
      </c>
      <c r="E326" t="inlineStr">
        <is>
          <t>SOLLEFTEÅ</t>
        </is>
      </c>
      <c r="G326" t="n">
        <v>1.3</v>
      </c>
      <c r="H326" t="n">
        <v>0</v>
      </c>
      <c r="I326" t="n">
        <v>0</v>
      </c>
      <c r="J326" t="n">
        <v>0</v>
      </c>
      <c r="K326" t="n">
        <v>0</v>
      </c>
      <c r="L326" t="n">
        <v>0</v>
      </c>
      <c r="M326" t="n">
        <v>0</v>
      </c>
      <c r="N326" t="n">
        <v>0</v>
      </c>
      <c r="O326" t="n">
        <v>0</v>
      </c>
      <c r="P326" t="n">
        <v>0</v>
      </c>
      <c r="Q326" t="n">
        <v>0</v>
      </c>
      <c r="R326" s="2" t="inlineStr"/>
    </row>
    <row r="327" ht="15" customHeight="1">
      <c r="A327" t="inlineStr">
        <is>
          <t>A 3162-2019</t>
        </is>
      </c>
      <c r="B327" s="1" t="n">
        <v>43480</v>
      </c>
      <c r="C327" s="1" t="n">
        <v>45353</v>
      </c>
      <c r="D327" t="inlineStr">
        <is>
          <t>VÄSTERNORRLANDS LÄN</t>
        </is>
      </c>
      <c r="E327" t="inlineStr">
        <is>
          <t>SOLLEFTEÅ</t>
        </is>
      </c>
      <c r="G327" t="n">
        <v>3.9</v>
      </c>
      <c r="H327" t="n">
        <v>0</v>
      </c>
      <c r="I327" t="n">
        <v>0</v>
      </c>
      <c r="J327" t="n">
        <v>0</v>
      </c>
      <c r="K327" t="n">
        <v>0</v>
      </c>
      <c r="L327" t="n">
        <v>0</v>
      </c>
      <c r="M327" t="n">
        <v>0</v>
      </c>
      <c r="N327" t="n">
        <v>0</v>
      </c>
      <c r="O327" t="n">
        <v>0</v>
      </c>
      <c r="P327" t="n">
        <v>0</v>
      </c>
      <c r="Q327" t="n">
        <v>0</v>
      </c>
      <c r="R327" s="2" t="inlineStr"/>
    </row>
    <row r="328" ht="15" customHeight="1">
      <c r="A328" t="inlineStr">
        <is>
          <t>A 3157-2019</t>
        </is>
      </c>
      <c r="B328" s="1" t="n">
        <v>43480</v>
      </c>
      <c r="C328" s="1" t="n">
        <v>45353</v>
      </c>
      <c r="D328" t="inlineStr">
        <is>
          <t>VÄSTERNORRLANDS LÄN</t>
        </is>
      </c>
      <c r="E328" t="inlineStr">
        <is>
          <t>SOLLEFTEÅ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5065-2019</t>
        </is>
      </c>
      <c r="B329" s="1" t="n">
        <v>43480</v>
      </c>
      <c r="C329" s="1" t="n">
        <v>45353</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3781-2019</t>
        </is>
      </c>
      <c r="B330" s="1" t="n">
        <v>43481</v>
      </c>
      <c r="C330" s="1" t="n">
        <v>45353</v>
      </c>
      <c r="D330" t="inlineStr">
        <is>
          <t>VÄSTERNORRLANDS LÄN</t>
        </is>
      </c>
      <c r="E330" t="inlineStr">
        <is>
          <t>SOLLEFTEÅ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5193-2019</t>
        </is>
      </c>
      <c r="B331" s="1" t="n">
        <v>43481</v>
      </c>
      <c r="C331" s="1" t="n">
        <v>45353</v>
      </c>
      <c r="D331" t="inlineStr">
        <is>
          <t>VÄSTERNORRLANDS LÄN</t>
        </is>
      </c>
      <c r="E331" t="inlineStr">
        <is>
          <t>SOLLEFTEÅ</t>
        </is>
      </c>
      <c r="G331" t="n">
        <v>11.3</v>
      </c>
      <c r="H331" t="n">
        <v>0</v>
      </c>
      <c r="I331" t="n">
        <v>0</v>
      </c>
      <c r="J331" t="n">
        <v>0</v>
      </c>
      <c r="K331" t="n">
        <v>0</v>
      </c>
      <c r="L331" t="n">
        <v>0</v>
      </c>
      <c r="M331" t="n">
        <v>0</v>
      </c>
      <c r="N331" t="n">
        <v>0</v>
      </c>
      <c r="O331" t="n">
        <v>0</v>
      </c>
      <c r="P331" t="n">
        <v>0</v>
      </c>
      <c r="Q331" t="n">
        <v>0</v>
      </c>
      <c r="R331" s="2" t="inlineStr"/>
    </row>
    <row r="332" ht="15" customHeight="1">
      <c r="A332" t="inlineStr">
        <is>
          <t>A 3780-2019</t>
        </is>
      </c>
      <c r="B332" s="1" t="n">
        <v>43481</v>
      </c>
      <c r="C332" s="1" t="n">
        <v>45353</v>
      </c>
      <c r="D332" t="inlineStr">
        <is>
          <t>VÄSTERNORRLANDS LÄN</t>
        </is>
      </c>
      <c r="E332" t="inlineStr">
        <is>
          <t>SOLLEFTEÅ</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3952-2019</t>
        </is>
      </c>
      <c r="B333" s="1" t="n">
        <v>43482</v>
      </c>
      <c r="C333" s="1" t="n">
        <v>45353</v>
      </c>
      <c r="D333" t="inlineStr">
        <is>
          <t>VÄSTERNORRLANDS LÄN</t>
        </is>
      </c>
      <c r="E333" t="inlineStr">
        <is>
          <t>SOLLEFTEÅ</t>
        </is>
      </c>
      <c r="G333" t="n">
        <v>4</v>
      </c>
      <c r="H333" t="n">
        <v>0</v>
      </c>
      <c r="I333" t="n">
        <v>0</v>
      </c>
      <c r="J333" t="n">
        <v>0</v>
      </c>
      <c r="K333" t="n">
        <v>0</v>
      </c>
      <c r="L333" t="n">
        <v>0</v>
      </c>
      <c r="M333" t="n">
        <v>0</v>
      </c>
      <c r="N333" t="n">
        <v>0</v>
      </c>
      <c r="O333" t="n">
        <v>0</v>
      </c>
      <c r="P333" t="n">
        <v>0</v>
      </c>
      <c r="Q333" t="n">
        <v>0</v>
      </c>
      <c r="R333" s="2" t="inlineStr"/>
    </row>
    <row r="334" ht="15" customHeight="1">
      <c r="A334" t="inlineStr">
        <is>
          <t>A 5050-2019</t>
        </is>
      </c>
      <c r="B334" s="1" t="n">
        <v>43487</v>
      </c>
      <c r="C334" s="1" t="n">
        <v>45353</v>
      </c>
      <c r="D334" t="inlineStr">
        <is>
          <t>VÄSTERNORRLANDS LÄN</t>
        </is>
      </c>
      <c r="E334" t="inlineStr">
        <is>
          <t>SOLLEFTEÅ</t>
        </is>
      </c>
      <c r="F334" t="inlineStr">
        <is>
          <t>Kyrkan</t>
        </is>
      </c>
      <c r="G334" t="n">
        <v>17.3</v>
      </c>
      <c r="H334" t="n">
        <v>0</v>
      </c>
      <c r="I334" t="n">
        <v>0</v>
      </c>
      <c r="J334" t="n">
        <v>0</v>
      </c>
      <c r="K334" t="n">
        <v>0</v>
      </c>
      <c r="L334" t="n">
        <v>0</v>
      </c>
      <c r="M334" t="n">
        <v>0</v>
      </c>
      <c r="N334" t="n">
        <v>0</v>
      </c>
      <c r="O334" t="n">
        <v>0</v>
      </c>
      <c r="P334" t="n">
        <v>0</v>
      </c>
      <c r="Q334" t="n">
        <v>0</v>
      </c>
      <c r="R334" s="2" t="inlineStr"/>
    </row>
    <row r="335" ht="15" customHeight="1">
      <c r="A335" t="inlineStr">
        <is>
          <t>A 7159-2019</t>
        </is>
      </c>
      <c r="B335" s="1" t="n">
        <v>43489</v>
      </c>
      <c r="C335" s="1" t="n">
        <v>45353</v>
      </c>
      <c r="D335" t="inlineStr">
        <is>
          <t>VÄSTERNORRLANDS LÄN</t>
        </is>
      </c>
      <c r="E335" t="inlineStr">
        <is>
          <t>SOLLEFTEÅ</t>
        </is>
      </c>
      <c r="F335" t="inlineStr">
        <is>
          <t>SCA</t>
        </is>
      </c>
      <c r="G335" t="n">
        <v>0.4</v>
      </c>
      <c r="H335" t="n">
        <v>0</v>
      </c>
      <c r="I335" t="n">
        <v>0</v>
      </c>
      <c r="J335" t="n">
        <v>0</v>
      </c>
      <c r="K335" t="n">
        <v>0</v>
      </c>
      <c r="L335" t="n">
        <v>0</v>
      </c>
      <c r="M335" t="n">
        <v>0</v>
      </c>
      <c r="N335" t="n">
        <v>0</v>
      </c>
      <c r="O335" t="n">
        <v>0</v>
      </c>
      <c r="P335" t="n">
        <v>0</v>
      </c>
      <c r="Q335" t="n">
        <v>0</v>
      </c>
      <c r="R335" s="2" t="inlineStr"/>
    </row>
    <row r="336" ht="15" customHeight="1">
      <c r="A336" t="inlineStr">
        <is>
          <t>A 5923-2019</t>
        </is>
      </c>
      <c r="B336" s="1" t="n">
        <v>43490</v>
      </c>
      <c r="C336" s="1" t="n">
        <v>45353</v>
      </c>
      <c r="D336" t="inlineStr">
        <is>
          <t>VÄSTERNORRLANDS LÄN</t>
        </is>
      </c>
      <c r="E336" t="inlineStr">
        <is>
          <t>SOLLEFTEÅ</t>
        </is>
      </c>
      <c r="G336" t="n">
        <v>6.8</v>
      </c>
      <c r="H336" t="n">
        <v>0</v>
      </c>
      <c r="I336" t="n">
        <v>0</v>
      </c>
      <c r="J336" t="n">
        <v>0</v>
      </c>
      <c r="K336" t="n">
        <v>0</v>
      </c>
      <c r="L336" t="n">
        <v>0</v>
      </c>
      <c r="M336" t="n">
        <v>0</v>
      </c>
      <c r="N336" t="n">
        <v>0</v>
      </c>
      <c r="O336" t="n">
        <v>0</v>
      </c>
      <c r="P336" t="n">
        <v>0</v>
      </c>
      <c r="Q336" t="n">
        <v>0</v>
      </c>
      <c r="R336" s="2" t="inlineStr"/>
    </row>
    <row r="337" ht="15" customHeight="1">
      <c r="A337" t="inlineStr">
        <is>
          <t>A 7792-2019</t>
        </is>
      </c>
      <c r="B337" s="1" t="n">
        <v>43494</v>
      </c>
      <c r="C337" s="1" t="n">
        <v>45353</v>
      </c>
      <c r="D337" t="inlineStr">
        <is>
          <t>VÄSTERNORRLANDS LÄN</t>
        </is>
      </c>
      <c r="E337" t="inlineStr">
        <is>
          <t>SOLLEFTEÅ</t>
        </is>
      </c>
      <c r="G337" t="n">
        <v>2.5</v>
      </c>
      <c r="H337" t="n">
        <v>0</v>
      </c>
      <c r="I337" t="n">
        <v>0</v>
      </c>
      <c r="J337" t="n">
        <v>0</v>
      </c>
      <c r="K337" t="n">
        <v>0</v>
      </c>
      <c r="L337" t="n">
        <v>0</v>
      </c>
      <c r="M337" t="n">
        <v>0</v>
      </c>
      <c r="N337" t="n">
        <v>0</v>
      </c>
      <c r="O337" t="n">
        <v>0</v>
      </c>
      <c r="P337" t="n">
        <v>0</v>
      </c>
      <c r="Q337" t="n">
        <v>0</v>
      </c>
      <c r="R337" s="2" t="inlineStr"/>
    </row>
    <row r="338" ht="15" customHeight="1">
      <c r="A338" t="inlineStr">
        <is>
          <t>A 7878-2019</t>
        </is>
      </c>
      <c r="B338" s="1" t="n">
        <v>43500</v>
      </c>
      <c r="C338" s="1" t="n">
        <v>45353</v>
      </c>
      <c r="D338" t="inlineStr">
        <is>
          <t>VÄSTERNORRLANDS LÄN</t>
        </is>
      </c>
      <c r="E338" t="inlineStr">
        <is>
          <t>SOLLEFTEÅ</t>
        </is>
      </c>
      <c r="G338" t="n">
        <v>4</v>
      </c>
      <c r="H338" t="n">
        <v>0</v>
      </c>
      <c r="I338" t="n">
        <v>0</v>
      </c>
      <c r="J338" t="n">
        <v>0</v>
      </c>
      <c r="K338" t="n">
        <v>0</v>
      </c>
      <c r="L338" t="n">
        <v>0</v>
      </c>
      <c r="M338" t="n">
        <v>0</v>
      </c>
      <c r="N338" t="n">
        <v>0</v>
      </c>
      <c r="O338" t="n">
        <v>0</v>
      </c>
      <c r="P338" t="n">
        <v>0</v>
      </c>
      <c r="Q338" t="n">
        <v>0</v>
      </c>
      <c r="R338" s="2" t="inlineStr"/>
    </row>
    <row r="339" ht="15" customHeight="1">
      <c r="A339" t="inlineStr">
        <is>
          <t>A 8020-2019</t>
        </is>
      </c>
      <c r="B339" s="1" t="n">
        <v>43501</v>
      </c>
      <c r="C339" s="1" t="n">
        <v>45353</v>
      </c>
      <c r="D339" t="inlineStr">
        <is>
          <t>VÄSTERNORRLANDS LÄN</t>
        </is>
      </c>
      <c r="E339" t="inlineStr">
        <is>
          <t>SOLLEFTEÅ</t>
        </is>
      </c>
      <c r="G339" t="n">
        <v>9</v>
      </c>
      <c r="H339" t="n">
        <v>0</v>
      </c>
      <c r="I339" t="n">
        <v>0</v>
      </c>
      <c r="J339" t="n">
        <v>0</v>
      </c>
      <c r="K339" t="n">
        <v>0</v>
      </c>
      <c r="L339" t="n">
        <v>0</v>
      </c>
      <c r="M339" t="n">
        <v>0</v>
      </c>
      <c r="N339" t="n">
        <v>0</v>
      </c>
      <c r="O339" t="n">
        <v>0</v>
      </c>
      <c r="P339" t="n">
        <v>0</v>
      </c>
      <c r="Q339" t="n">
        <v>0</v>
      </c>
      <c r="R339" s="2" t="inlineStr"/>
    </row>
    <row r="340" ht="15" customHeight="1">
      <c r="A340" t="inlineStr">
        <is>
          <t>A 7970-2019</t>
        </is>
      </c>
      <c r="B340" s="1" t="n">
        <v>43501</v>
      </c>
      <c r="C340" s="1" t="n">
        <v>45353</v>
      </c>
      <c r="D340" t="inlineStr">
        <is>
          <t>VÄSTERNORRLANDS LÄN</t>
        </is>
      </c>
      <c r="E340" t="inlineStr">
        <is>
          <t>SOLLEFTEÅ</t>
        </is>
      </c>
      <c r="G340" t="n">
        <v>1.7</v>
      </c>
      <c r="H340" t="n">
        <v>0</v>
      </c>
      <c r="I340" t="n">
        <v>0</v>
      </c>
      <c r="J340" t="n">
        <v>0</v>
      </c>
      <c r="K340" t="n">
        <v>0</v>
      </c>
      <c r="L340" t="n">
        <v>0</v>
      </c>
      <c r="M340" t="n">
        <v>0</v>
      </c>
      <c r="N340" t="n">
        <v>0</v>
      </c>
      <c r="O340" t="n">
        <v>0</v>
      </c>
      <c r="P340" t="n">
        <v>0</v>
      </c>
      <c r="Q340" t="n">
        <v>0</v>
      </c>
      <c r="R340" s="2" t="inlineStr"/>
    </row>
    <row r="341" ht="15" customHeight="1">
      <c r="A341" t="inlineStr">
        <is>
          <t>A 9051-2019</t>
        </is>
      </c>
      <c r="B341" s="1" t="n">
        <v>43504</v>
      </c>
      <c r="C341" s="1" t="n">
        <v>45353</v>
      </c>
      <c r="D341" t="inlineStr">
        <is>
          <t>VÄSTERNORRLANDS LÄN</t>
        </is>
      </c>
      <c r="E341" t="inlineStr">
        <is>
          <t>SOLLEFTEÅ</t>
        </is>
      </c>
      <c r="G341" t="n">
        <v>4.3</v>
      </c>
      <c r="H341" t="n">
        <v>0</v>
      </c>
      <c r="I341" t="n">
        <v>0</v>
      </c>
      <c r="J341" t="n">
        <v>0</v>
      </c>
      <c r="K341" t="n">
        <v>0</v>
      </c>
      <c r="L341" t="n">
        <v>0</v>
      </c>
      <c r="M341" t="n">
        <v>0</v>
      </c>
      <c r="N341" t="n">
        <v>0</v>
      </c>
      <c r="O341" t="n">
        <v>0</v>
      </c>
      <c r="P341" t="n">
        <v>0</v>
      </c>
      <c r="Q341" t="n">
        <v>0</v>
      </c>
      <c r="R341" s="2" t="inlineStr"/>
    </row>
    <row r="342" ht="15" customHeight="1">
      <c r="A342" t="inlineStr">
        <is>
          <t>A 9521-2019</t>
        </is>
      </c>
      <c r="B342" s="1" t="n">
        <v>43507</v>
      </c>
      <c r="C342" s="1" t="n">
        <v>45353</v>
      </c>
      <c r="D342" t="inlineStr">
        <is>
          <t>VÄSTERNORRLANDS LÄN</t>
        </is>
      </c>
      <c r="E342" t="inlineStr">
        <is>
          <t>SOLLEFTEÅ</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9519-2019</t>
        </is>
      </c>
      <c r="B343" s="1" t="n">
        <v>43507</v>
      </c>
      <c r="C343" s="1" t="n">
        <v>45353</v>
      </c>
      <c r="D343" t="inlineStr">
        <is>
          <t>VÄSTERNORRLANDS LÄN</t>
        </is>
      </c>
      <c r="E343" t="inlineStr">
        <is>
          <t>SOLLEFTEÅ</t>
        </is>
      </c>
      <c r="G343" t="n">
        <v>0.8</v>
      </c>
      <c r="H343" t="n">
        <v>0</v>
      </c>
      <c r="I343" t="n">
        <v>0</v>
      </c>
      <c r="J343" t="n">
        <v>0</v>
      </c>
      <c r="K343" t="n">
        <v>0</v>
      </c>
      <c r="L343" t="n">
        <v>0</v>
      </c>
      <c r="M343" t="n">
        <v>0</v>
      </c>
      <c r="N343" t="n">
        <v>0</v>
      </c>
      <c r="O343" t="n">
        <v>0</v>
      </c>
      <c r="P343" t="n">
        <v>0</v>
      </c>
      <c r="Q343" t="n">
        <v>0</v>
      </c>
      <c r="R343" s="2" t="inlineStr"/>
    </row>
    <row r="344" ht="15" customHeight="1">
      <c r="A344" t="inlineStr">
        <is>
          <t>A 9367-2019</t>
        </is>
      </c>
      <c r="B344" s="1" t="n">
        <v>43507</v>
      </c>
      <c r="C344" s="1" t="n">
        <v>45353</v>
      </c>
      <c r="D344" t="inlineStr">
        <is>
          <t>VÄSTERNORRLANDS LÄN</t>
        </is>
      </c>
      <c r="E344" t="inlineStr">
        <is>
          <t>SOLLEFTEÅ</t>
        </is>
      </c>
      <c r="G344" t="n">
        <v>0.5</v>
      </c>
      <c r="H344" t="n">
        <v>0</v>
      </c>
      <c r="I344" t="n">
        <v>0</v>
      </c>
      <c r="J344" t="n">
        <v>0</v>
      </c>
      <c r="K344" t="n">
        <v>0</v>
      </c>
      <c r="L344" t="n">
        <v>0</v>
      </c>
      <c r="M344" t="n">
        <v>0</v>
      </c>
      <c r="N344" t="n">
        <v>0</v>
      </c>
      <c r="O344" t="n">
        <v>0</v>
      </c>
      <c r="P344" t="n">
        <v>0</v>
      </c>
      <c r="Q344" t="n">
        <v>0</v>
      </c>
      <c r="R344" s="2" t="inlineStr"/>
    </row>
    <row r="345" ht="15" customHeight="1">
      <c r="A345" t="inlineStr">
        <is>
          <t>A 9610-2019</t>
        </is>
      </c>
      <c r="B345" s="1" t="n">
        <v>43508</v>
      </c>
      <c r="C345" s="1" t="n">
        <v>45353</v>
      </c>
      <c r="D345" t="inlineStr">
        <is>
          <t>VÄSTERNORRLANDS LÄN</t>
        </is>
      </c>
      <c r="E345" t="inlineStr">
        <is>
          <t>SOLLEFTEÅ</t>
        </is>
      </c>
      <c r="G345" t="n">
        <v>7.7</v>
      </c>
      <c r="H345" t="n">
        <v>0</v>
      </c>
      <c r="I345" t="n">
        <v>0</v>
      </c>
      <c r="J345" t="n">
        <v>0</v>
      </c>
      <c r="K345" t="n">
        <v>0</v>
      </c>
      <c r="L345" t="n">
        <v>0</v>
      </c>
      <c r="M345" t="n">
        <v>0</v>
      </c>
      <c r="N345" t="n">
        <v>0</v>
      </c>
      <c r="O345" t="n">
        <v>0</v>
      </c>
      <c r="P345" t="n">
        <v>0</v>
      </c>
      <c r="Q345" t="n">
        <v>0</v>
      </c>
      <c r="R345" s="2" t="inlineStr"/>
    </row>
    <row r="346" ht="15" customHeight="1">
      <c r="A346" t="inlineStr">
        <is>
          <t>A 9727-2019</t>
        </is>
      </c>
      <c r="B346" s="1" t="n">
        <v>43508</v>
      </c>
      <c r="C346" s="1" t="n">
        <v>45353</v>
      </c>
      <c r="D346" t="inlineStr">
        <is>
          <t>VÄSTERNORRLANDS LÄN</t>
        </is>
      </c>
      <c r="E346" t="inlineStr">
        <is>
          <t>SOLLEFTEÅ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11285-2019</t>
        </is>
      </c>
      <c r="B347" s="1" t="n">
        <v>43516</v>
      </c>
      <c r="C347" s="1" t="n">
        <v>45353</v>
      </c>
      <c r="D347" t="inlineStr">
        <is>
          <t>VÄSTERNORRLANDS LÄN</t>
        </is>
      </c>
      <c r="E347" t="inlineStr">
        <is>
          <t>SOLLEFTEÅ</t>
        </is>
      </c>
      <c r="F347" t="inlineStr">
        <is>
          <t>SCA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11283-2019</t>
        </is>
      </c>
      <c r="B348" s="1" t="n">
        <v>43516</v>
      </c>
      <c r="C348" s="1" t="n">
        <v>45353</v>
      </c>
      <c r="D348" t="inlineStr">
        <is>
          <t>VÄSTERNORRLANDS LÄN</t>
        </is>
      </c>
      <c r="E348" t="inlineStr">
        <is>
          <t>SOLLEFTEÅ</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11177-2019</t>
        </is>
      </c>
      <c r="B349" s="1" t="n">
        <v>43516</v>
      </c>
      <c r="C349" s="1" t="n">
        <v>45353</v>
      </c>
      <c r="D349" t="inlineStr">
        <is>
          <t>VÄSTERNORRLANDS LÄN</t>
        </is>
      </c>
      <c r="E349" t="inlineStr">
        <is>
          <t>SOLLEFTEÅ</t>
        </is>
      </c>
      <c r="F349" t="inlineStr">
        <is>
          <t>Kyrkan</t>
        </is>
      </c>
      <c r="G349" t="n">
        <v>5.1</v>
      </c>
      <c r="H349" t="n">
        <v>0</v>
      </c>
      <c r="I349" t="n">
        <v>0</v>
      </c>
      <c r="J349" t="n">
        <v>0</v>
      </c>
      <c r="K349" t="n">
        <v>0</v>
      </c>
      <c r="L349" t="n">
        <v>0</v>
      </c>
      <c r="M349" t="n">
        <v>0</v>
      </c>
      <c r="N349" t="n">
        <v>0</v>
      </c>
      <c r="O349" t="n">
        <v>0</v>
      </c>
      <c r="P349" t="n">
        <v>0</v>
      </c>
      <c r="Q349" t="n">
        <v>0</v>
      </c>
      <c r="R349" s="2" t="inlineStr"/>
    </row>
    <row r="350" ht="15" customHeight="1">
      <c r="A350" t="inlineStr">
        <is>
          <t>A 11341-2019</t>
        </is>
      </c>
      <c r="B350" s="1" t="n">
        <v>43517</v>
      </c>
      <c r="C350" s="1" t="n">
        <v>45353</v>
      </c>
      <c r="D350" t="inlineStr">
        <is>
          <t>VÄSTERNORRLANDS LÄN</t>
        </is>
      </c>
      <c r="E350" t="inlineStr">
        <is>
          <t>SOLLEFTEÅ</t>
        </is>
      </c>
      <c r="G350" t="n">
        <v>7.2</v>
      </c>
      <c r="H350" t="n">
        <v>0</v>
      </c>
      <c r="I350" t="n">
        <v>0</v>
      </c>
      <c r="J350" t="n">
        <v>0</v>
      </c>
      <c r="K350" t="n">
        <v>0</v>
      </c>
      <c r="L350" t="n">
        <v>0</v>
      </c>
      <c r="M350" t="n">
        <v>0</v>
      </c>
      <c r="N350" t="n">
        <v>0</v>
      </c>
      <c r="O350" t="n">
        <v>0</v>
      </c>
      <c r="P350" t="n">
        <v>0</v>
      </c>
      <c r="Q350" t="n">
        <v>0</v>
      </c>
      <c r="R350" s="2" t="inlineStr"/>
    </row>
    <row r="351" ht="15" customHeight="1">
      <c r="A351" t="inlineStr">
        <is>
          <t>A 11766-2019</t>
        </is>
      </c>
      <c r="B351" s="1" t="n">
        <v>43520</v>
      </c>
      <c r="C351" s="1" t="n">
        <v>45353</v>
      </c>
      <c r="D351" t="inlineStr">
        <is>
          <t>VÄSTERNORRLANDS LÄN</t>
        </is>
      </c>
      <c r="E351" t="inlineStr">
        <is>
          <t>SOLLEFTEÅ</t>
        </is>
      </c>
      <c r="G351" t="n">
        <v>7.1</v>
      </c>
      <c r="H351" t="n">
        <v>0</v>
      </c>
      <c r="I351" t="n">
        <v>0</v>
      </c>
      <c r="J351" t="n">
        <v>0</v>
      </c>
      <c r="K351" t="n">
        <v>0</v>
      </c>
      <c r="L351" t="n">
        <v>0</v>
      </c>
      <c r="M351" t="n">
        <v>0</v>
      </c>
      <c r="N351" t="n">
        <v>0</v>
      </c>
      <c r="O351" t="n">
        <v>0</v>
      </c>
      <c r="P351" t="n">
        <v>0</v>
      </c>
      <c r="Q351" t="n">
        <v>0</v>
      </c>
      <c r="R351" s="2" t="inlineStr"/>
    </row>
    <row r="352" ht="15" customHeight="1">
      <c r="A352" t="inlineStr">
        <is>
          <t>A 11759-2019</t>
        </is>
      </c>
      <c r="B352" s="1" t="n">
        <v>43520</v>
      </c>
      <c r="C352" s="1" t="n">
        <v>45353</v>
      </c>
      <c r="D352" t="inlineStr">
        <is>
          <t>VÄSTERNORRLANDS LÄN</t>
        </is>
      </c>
      <c r="E352" t="inlineStr">
        <is>
          <t>SOLLEFTEÅ</t>
        </is>
      </c>
      <c r="G352" t="n">
        <v>0.3</v>
      </c>
      <c r="H352" t="n">
        <v>0</v>
      </c>
      <c r="I352" t="n">
        <v>0</v>
      </c>
      <c r="J352" t="n">
        <v>0</v>
      </c>
      <c r="K352" t="n">
        <v>0</v>
      </c>
      <c r="L352" t="n">
        <v>0</v>
      </c>
      <c r="M352" t="n">
        <v>0</v>
      </c>
      <c r="N352" t="n">
        <v>0</v>
      </c>
      <c r="O352" t="n">
        <v>0</v>
      </c>
      <c r="P352" t="n">
        <v>0</v>
      </c>
      <c r="Q352" t="n">
        <v>0</v>
      </c>
      <c r="R352" s="2" t="inlineStr"/>
    </row>
    <row r="353" ht="15" customHeight="1">
      <c r="A353" t="inlineStr">
        <is>
          <t>A 12510-2019</t>
        </is>
      </c>
      <c r="B353" s="1" t="n">
        <v>43523</v>
      </c>
      <c r="C353" s="1" t="n">
        <v>45353</v>
      </c>
      <c r="D353" t="inlineStr">
        <is>
          <t>VÄSTERNORRLANDS LÄN</t>
        </is>
      </c>
      <c r="E353" t="inlineStr">
        <is>
          <t>SOLLEFTEÅ</t>
        </is>
      </c>
      <c r="G353" t="n">
        <v>1</v>
      </c>
      <c r="H353" t="n">
        <v>0</v>
      </c>
      <c r="I353" t="n">
        <v>0</v>
      </c>
      <c r="J353" t="n">
        <v>0</v>
      </c>
      <c r="K353" t="n">
        <v>0</v>
      </c>
      <c r="L353" t="n">
        <v>0</v>
      </c>
      <c r="M353" t="n">
        <v>0</v>
      </c>
      <c r="N353" t="n">
        <v>0</v>
      </c>
      <c r="O353" t="n">
        <v>0</v>
      </c>
      <c r="P353" t="n">
        <v>0</v>
      </c>
      <c r="Q353" t="n">
        <v>0</v>
      </c>
      <c r="R353" s="2" t="inlineStr"/>
    </row>
    <row r="354" ht="15" customHeight="1">
      <c r="A354" t="inlineStr">
        <is>
          <t>A 12812-2019</t>
        </is>
      </c>
      <c r="B354" s="1" t="n">
        <v>43524</v>
      </c>
      <c r="C354" s="1" t="n">
        <v>45353</v>
      </c>
      <c r="D354" t="inlineStr">
        <is>
          <t>VÄSTERNORRLANDS LÄN</t>
        </is>
      </c>
      <c r="E354" t="inlineStr">
        <is>
          <t>SOLLEFTEÅ</t>
        </is>
      </c>
      <c r="G354" t="n">
        <v>6.4</v>
      </c>
      <c r="H354" t="n">
        <v>0</v>
      </c>
      <c r="I354" t="n">
        <v>0</v>
      </c>
      <c r="J354" t="n">
        <v>0</v>
      </c>
      <c r="K354" t="n">
        <v>0</v>
      </c>
      <c r="L354" t="n">
        <v>0</v>
      </c>
      <c r="M354" t="n">
        <v>0</v>
      </c>
      <c r="N354" t="n">
        <v>0</v>
      </c>
      <c r="O354" t="n">
        <v>0</v>
      </c>
      <c r="P354" t="n">
        <v>0</v>
      </c>
      <c r="Q354" t="n">
        <v>0</v>
      </c>
      <c r="R354" s="2" t="inlineStr"/>
    </row>
    <row r="355" ht="15" customHeight="1">
      <c r="A355" t="inlineStr">
        <is>
          <t>A 12987-2019</t>
        </is>
      </c>
      <c r="B355" s="1" t="n">
        <v>43525</v>
      </c>
      <c r="C355" s="1" t="n">
        <v>45353</v>
      </c>
      <c r="D355" t="inlineStr">
        <is>
          <t>VÄSTERNORRLANDS LÄN</t>
        </is>
      </c>
      <c r="E355" t="inlineStr">
        <is>
          <t>SOLLEFTEÅ</t>
        </is>
      </c>
      <c r="G355" t="n">
        <v>3</v>
      </c>
      <c r="H355" t="n">
        <v>0</v>
      </c>
      <c r="I355" t="n">
        <v>0</v>
      </c>
      <c r="J355" t="n">
        <v>0</v>
      </c>
      <c r="K355" t="n">
        <v>0</v>
      </c>
      <c r="L355" t="n">
        <v>0</v>
      </c>
      <c r="M355" t="n">
        <v>0</v>
      </c>
      <c r="N355" t="n">
        <v>0</v>
      </c>
      <c r="O355" t="n">
        <v>0</v>
      </c>
      <c r="P355" t="n">
        <v>0</v>
      </c>
      <c r="Q355" t="n">
        <v>0</v>
      </c>
      <c r="R355" s="2" t="inlineStr"/>
    </row>
    <row r="356" ht="15" customHeight="1">
      <c r="A356" t="inlineStr">
        <is>
          <t>A 13653-2019</t>
        </is>
      </c>
      <c r="B356" s="1" t="n">
        <v>43530</v>
      </c>
      <c r="C356" s="1" t="n">
        <v>45353</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13711-2019</t>
        </is>
      </c>
      <c r="B357" s="1" t="n">
        <v>43530</v>
      </c>
      <c r="C357" s="1" t="n">
        <v>45353</v>
      </c>
      <c r="D357" t="inlineStr">
        <is>
          <t>VÄSTERNORRLANDS LÄN</t>
        </is>
      </c>
      <c r="E357" t="inlineStr">
        <is>
          <t>SOLLEFTEÅ</t>
        </is>
      </c>
      <c r="G357" t="n">
        <v>5.6</v>
      </c>
      <c r="H357" t="n">
        <v>0</v>
      </c>
      <c r="I357" t="n">
        <v>0</v>
      </c>
      <c r="J357" t="n">
        <v>0</v>
      </c>
      <c r="K357" t="n">
        <v>0</v>
      </c>
      <c r="L357" t="n">
        <v>0</v>
      </c>
      <c r="M357" t="n">
        <v>0</v>
      </c>
      <c r="N357" t="n">
        <v>0</v>
      </c>
      <c r="O357" t="n">
        <v>0</v>
      </c>
      <c r="P357" t="n">
        <v>0</v>
      </c>
      <c r="Q357" t="n">
        <v>0</v>
      </c>
      <c r="R357" s="2" t="inlineStr"/>
    </row>
    <row r="358" ht="15" customHeight="1">
      <c r="A358" t="inlineStr">
        <is>
          <t>A 13801-2019</t>
        </is>
      </c>
      <c r="B358" s="1" t="n">
        <v>43530</v>
      </c>
      <c r="C358" s="1" t="n">
        <v>45353</v>
      </c>
      <c r="D358" t="inlineStr">
        <is>
          <t>VÄSTERNORRLANDS LÄN</t>
        </is>
      </c>
      <c r="E358" t="inlineStr">
        <is>
          <t>SOLLEFTEÅ</t>
        </is>
      </c>
      <c r="G358" t="n">
        <v>1.8</v>
      </c>
      <c r="H358" t="n">
        <v>0</v>
      </c>
      <c r="I358" t="n">
        <v>0</v>
      </c>
      <c r="J358" t="n">
        <v>0</v>
      </c>
      <c r="K358" t="n">
        <v>0</v>
      </c>
      <c r="L358" t="n">
        <v>0</v>
      </c>
      <c r="M358" t="n">
        <v>0</v>
      </c>
      <c r="N358" t="n">
        <v>0</v>
      </c>
      <c r="O358" t="n">
        <v>0</v>
      </c>
      <c r="P358" t="n">
        <v>0</v>
      </c>
      <c r="Q358" t="n">
        <v>0</v>
      </c>
      <c r="R358" s="2" t="inlineStr"/>
    </row>
    <row r="359" ht="15" customHeight="1">
      <c r="A359" t="inlineStr">
        <is>
          <t>A 13648-2019</t>
        </is>
      </c>
      <c r="B359" s="1" t="n">
        <v>43530</v>
      </c>
      <c r="C359" s="1" t="n">
        <v>45353</v>
      </c>
      <c r="D359" t="inlineStr">
        <is>
          <t>VÄSTERNORRLANDS LÄN</t>
        </is>
      </c>
      <c r="E359" t="inlineStr">
        <is>
          <t>SOLLEFTEÅ</t>
        </is>
      </c>
      <c r="G359" t="n">
        <v>4.1</v>
      </c>
      <c r="H359" t="n">
        <v>0</v>
      </c>
      <c r="I359" t="n">
        <v>0</v>
      </c>
      <c r="J359" t="n">
        <v>0</v>
      </c>
      <c r="K359" t="n">
        <v>0</v>
      </c>
      <c r="L359" t="n">
        <v>0</v>
      </c>
      <c r="M359" t="n">
        <v>0</v>
      </c>
      <c r="N359" t="n">
        <v>0</v>
      </c>
      <c r="O359" t="n">
        <v>0</v>
      </c>
      <c r="P359" t="n">
        <v>0</v>
      </c>
      <c r="Q359" t="n">
        <v>0</v>
      </c>
      <c r="R359" s="2" t="inlineStr"/>
    </row>
    <row r="360" ht="15" customHeight="1">
      <c r="A360" t="inlineStr">
        <is>
          <t>A 13800-2019</t>
        </is>
      </c>
      <c r="B360" s="1" t="n">
        <v>43530</v>
      </c>
      <c r="C360" s="1" t="n">
        <v>45353</v>
      </c>
      <c r="D360" t="inlineStr">
        <is>
          <t>VÄSTERNORRLANDS LÄN</t>
        </is>
      </c>
      <c r="E360" t="inlineStr">
        <is>
          <t>SOLLEFTEÅ</t>
        </is>
      </c>
      <c r="G360" t="n">
        <v>7.3</v>
      </c>
      <c r="H360" t="n">
        <v>0</v>
      </c>
      <c r="I360" t="n">
        <v>0</v>
      </c>
      <c r="J360" t="n">
        <v>0</v>
      </c>
      <c r="K360" t="n">
        <v>0</v>
      </c>
      <c r="L360" t="n">
        <v>0</v>
      </c>
      <c r="M360" t="n">
        <v>0</v>
      </c>
      <c r="N360" t="n">
        <v>0</v>
      </c>
      <c r="O360" t="n">
        <v>0</v>
      </c>
      <c r="P360" t="n">
        <v>0</v>
      </c>
      <c r="Q360" t="n">
        <v>0</v>
      </c>
      <c r="R360" s="2" t="inlineStr"/>
    </row>
    <row r="361" ht="15" customHeight="1">
      <c r="A361" t="inlineStr">
        <is>
          <t>A 13914-2019</t>
        </is>
      </c>
      <c r="B361" s="1" t="n">
        <v>43531</v>
      </c>
      <c r="C361" s="1" t="n">
        <v>45353</v>
      </c>
      <c r="D361" t="inlineStr">
        <is>
          <t>VÄSTERNORRLANDS LÄN</t>
        </is>
      </c>
      <c r="E361" t="inlineStr">
        <is>
          <t>SOLLEFTEÅ</t>
        </is>
      </c>
      <c r="G361" t="n">
        <v>4.1</v>
      </c>
      <c r="H361" t="n">
        <v>0</v>
      </c>
      <c r="I361" t="n">
        <v>0</v>
      </c>
      <c r="J361" t="n">
        <v>0</v>
      </c>
      <c r="K361" t="n">
        <v>0</v>
      </c>
      <c r="L361" t="n">
        <v>0</v>
      </c>
      <c r="M361" t="n">
        <v>0</v>
      </c>
      <c r="N361" t="n">
        <v>0</v>
      </c>
      <c r="O361" t="n">
        <v>0</v>
      </c>
      <c r="P361" t="n">
        <v>0</v>
      </c>
      <c r="Q361" t="n">
        <v>0</v>
      </c>
      <c r="R361" s="2" t="inlineStr"/>
    </row>
    <row r="362" ht="15" customHeight="1">
      <c r="A362" t="inlineStr">
        <is>
          <t>A 13912-2019</t>
        </is>
      </c>
      <c r="B362" s="1" t="n">
        <v>43531</v>
      </c>
      <c r="C362" s="1" t="n">
        <v>45353</v>
      </c>
      <c r="D362" t="inlineStr">
        <is>
          <t>VÄSTERNORRLANDS LÄN</t>
        </is>
      </c>
      <c r="E362" t="inlineStr">
        <is>
          <t>SOLLEFTEÅ</t>
        </is>
      </c>
      <c r="G362" t="n">
        <v>6.1</v>
      </c>
      <c r="H362" t="n">
        <v>0</v>
      </c>
      <c r="I362" t="n">
        <v>0</v>
      </c>
      <c r="J362" t="n">
        <v>0</v>
      </c>
      <c r="K362" t="n">
        <v>0</v>
      </c>
      <c r="L362" t="n">
        <v>0</v>
      </c>
      <c r="M362" t="n">
        <v>0</v>
      </c>
      <c r="N362" t="n">
        <v>0</v>
      </c>
      <c r="O362" t="n">
        <v>0</v>
      </c>
      <c r="P362" t="n">
        <v>0</v>
      </c>
      <c r="Q362" t="n">
        <v>0</v>
      </c>
      <c r="R362" s="2" t="inlineStr"/>
    </row>
    <row r="363" ht="15" customHeight="1">
      <c r="A363" t="inlineStr">
        <is>
          <t>A 15272-2019</t>
        </is>
      </c>
      <c r="B363" s="1" t="n">
        <v>43539</v>
      </c>
      <c r="C363" s="1" t="n">
        <v>45353</v>
      </c>
      <c r="D363" t="inlineStr">
        <is>
          <t>VÄSTERNORRLANDS LÄN</t>
        </is>
      </c>
      <c r="E363" t="inlineStr">
        <is>
          <t>SOLLEFTEÅ</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15737-2019</t>
        </is>
      </c>
      <c r="B364" s="1" t="n">
        <v>43542</v>
      </c>
      <c r="C364" s="1" t="n">
        <v>45353</v>
      </c>
      <c r="D364" t="inlineStr">
        <is>
          <t>VÄSTERNORRLANDS LÄN</t>
        </is>
      </c>
      <c r="E364" t="inlineStr">
        <is>
          <t>SOLLEFTEÅ</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15897-2019</t>
        </is>
      </c>
      <c r="B365" s="1" t="n">
        <v>43543</v>
      </c>
      <c r="C365" s="1" t="n">
        <v>45353</v>
      </c>
      <c r="D365" t="inlineStr">
        <is>
          <t>VÄSTERNORRLANDS LÄN</t>
        </is>
      </c>
      <c r="E365" t="inlineStr">
        <is>
          <t>SOLLEFTEÅ</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16033-2019</t>
        </is>
      </c>
      <c r="B366" s="1" t="n">
        <v>43543</v>
      </c>
      <c r="C366" s="1" t="n">
        <v>45353</v>
      </c>
      <c r="D366" t="inlineStr">
        <is>
          <t>VÄSTERNORRLANDS LÄN</t>
        </is>
      </c>
      <c r="E366" t="inlineStr">
        <is>
          <t>SOLLEFTEÅ</t>
        </is>
      </c>
      <c r="G366" t="n">
        <v>6.3</v>
      </c>
      <c r="H366" t="n">
        <v>0</v>
      </c>
      <c r="I366" t="n">
        <v>0</v>
      </c>
      <c r="J366" t="n">
        <v>0</v>
      </c>
      <c r="K366" t="n">
        <v>0</v>
      </c>
      <c r="L366" t="n">
        <v>0</v>
      </c>
      <c r="M366" t="n">
        <v>0</v>
      </c>
      <c r="N366" t="n">
        <v>0</v>
      </c>
      <c r="O366" t="n">
        <v>0</v>
      </c>
      <c r="P366" t="n">
        <v>0</v>
      </c>
      <c r="Q366" t="n">
        <v>0</v>
      </c>
      <c r="R366" s="2" t="inlineStr"/>
    </row>
    <row r="367" ht="15" customHeight="1">
      <c r="A367" t="inlineStr">
        <is>
          <t>A 16565-2019</t>
        </is>
      </c>
      <c r="B367" s="1" t="n">
        <v>43546</v>
      </c>
      <c r="C367" s="1" t="n">
        <v>45353</v>
      </c>
      <c r="D367" t="inlineStr">
        <is>
          <t>VÄSTERNORRLANDS LÄN</t>
        </is>
      </c>
      <c r="E367" t="inlineStr">
        <is>
          <t>SOLLEFTEÅ</t>
        </is>
      </c>
      <c r="F367" t="inlineStr">
        <is>
          <t>SCA</t>
        </is>
      </c>
      <c r="G367" t="n">
        <v>13.6</v>
      </c>
      <c r="H367" t="n">
        <v>0</v>
      </c>
      <c r="I367" t="n">
        <v>0</v>
      </c>
      <c r="J367" t="n">
        <v>0</v>
      </c>
      <c r="K367" t="n">
        <v>0</v>
      </c>
      <c r="L367" t="n">
        <v>0</v>
      </c>
      <c r="M367" t="n">
        <v>0</v>
      </c>
      <c r="N367" t="n">
        <v>0</v>
      </c>
      <c r="O367" t="n">
        <v>0</v>
      </c>
      <c r="P367" t="n">
        <v>0</v>
      </c>
      <c r="Q367" t="n">
        <v>0</v>
      </c>
      <c r="R367" s="2" t="inlineStr"/>
    </row>
    <row r="368" ht="15" customHeight="1">
      <c r="A368" t="inlineStr">
        <is>
          <t>A 16552-2019</t>
        </is>
      </c>
      <c r="B368" s="1" t="n">
        <v>43546</v>
      </c>
      <c r="C368" s="1" t="n">
        <v>45353</v>
      </c>
      <c r="D368" t="inlineStr">
        <is>
          <t>VÄSTERNORRLANDS LÄN</t>
        </is>
      </c>
      <c r="E368" t="inlineStr">
        <is>
          <t>SOLLEFTEÅ</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16840-2019</t>
        </is>
      </c>
      <c r="B369" s="1" t="n">
        <v>43549</v>
      </c>
      <c r="C369" s="1" t="n">
        <v>45353</v>
      </c>
      <c r="D369" t="inlineStr">
        <is>
          <t>VÄSTERNORRLANDS LÄN</t>
        </is>
      </c>
      <c r="E369" t="inlineStr">
        <is>
          <t>SOLLEFTEÅ</t>
        </is>
      </c>
      <c r="F369" t="inlineStr">
        <is>
          <t>SCA</t>
        </is>
      </c>
      <c r="G369" t="n">
        <v>31.7</v>
      </c>
      <c r="H369" t="n">
        <v>0</v>
      </c>
      <c r="I369" t="n">
        <v>0</v>
      </c>
      <c r="J369" t="n">
        <v>0</v>
      </c>
      <c r="K369" t="n">
        <v>0</v>
      </c>
      <c r="L369" t="n">
        <v>0</v>
      </c>
      <c r="M369" t="n">
        <v>0</v>
      </c>
      <c r="N369" t="n">
        <v>0</v>
      </c>
      <c r="O369" t="n">
        <v>0</v>
      </c>
      <c r="P369" t="n">
        <v>0</v>
      </c>
      <c r="Q369" t="n">
        <v>0</v>
      </c>
      <c r="R369" s="2" t="inlineStr"/>
    </row>
    <row r="370" ht="15" customHeight="1">
      <c r="A370" t="inlineStr">
        <is>
          <t>A 16833-2019</t>
        </is>
      </c>
      <c r="B370" s="1" t="n">
        <v>43549</v>
      </c>
      <c r="C370" s="1" t="n">
        <v>45353</v>
      </c>
      <c r="D370" t="inlineStr">
        <is>
          <t>VÄSTERNORRLANDS LÄN</t>
        </is>
      </c>
      <c r="E370" t="inlineStr">
        <is>
          <t>SOLLEFTEÅ</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16832-2019</t>
        </is>
      </c>
      <c r="B371" s="1" t="n">
        <v>43549</v>
      </c>
      <c r="C371" s="1" t="n">
        <v>45353</v>
      </c>
      <c r="D371" t="inlineStr">
        <is>
          <t>VÄSTERNORRLANDS LÄN</t>
        </is>
      </c>
      <c r="E371" t="inlineStr">
        <is>
          <t>SOLLEFTEÅ</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17670-2019</t>
        </is>
      </c>
      <c r="B372" s="1" t="n">
        <v>43552</v>
      </c>
      <c r="C372" s="1" t="n">
        <v>45353</v>
      </c>
      <c r="D372" t="inlineStr">
        <is>
          <t>VÄSTERNORRLANDS LÄN</t>
        </is>
      </c>
      <c r="E372" t="inlineStr">
        <is>
          <t>SOLLEFTEÅ</t>
        </is>
      </c>
      <c r="G372" t="n">
        <v>6.6</v>
      </c>
      <c r="H372" t="n">
        <v>0</v>
      </c>
      <c r="I372" t="n">
        <v>0</v>
      </c>
      <c r="J372" t="n">
        <v>0</v>
      </c>
      <c r="K372" t="n">
        <v>0</v>
      </c>
      <c r="L372" t="n">
        <v>0</v>
      </c>
      <c r="M372" t="n">
        <v>0</v>
      </c>
      <c r="N372" t="n">
        <v>0</v>
      </c>
      <c r="O372" t="n">
        <v>0</v>
      </c>
      <c r="P372" t="n">
        <v>0</v>
      </c>
      <c r="Q372" t="n">
        <v>0</v>
      </c>
      <c r="R372" s="2" t="inlineStr"/>
    </row>
    <row r="373" ht="15" customHeight="1">
      <c r="A373" t="inlineStr">
        <is>
          <t>A 18277-2019</t>
        </is>
      </c>
      <c r="B373" s="1" t="n">
        <v>43557</v>
      </c>
      <c r="C373" s="1" t="n">
        <v>45353</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18578-2019</t>
        </is>
      </c>
      <c r="B374" s="1" t="n">
        <v>43558</v>
      </c>
      <c r="C374" s="1" t="n">
        <v>45353</v>
      </c>
      <c r="D374" t="inlineStr">
        <is>
          <t>VÄSTERNORRLANDS LÄN</t>
        </is>
      </c>
      <c r="E374" t="inlineStr">
        <is>
          <t>SOLLEFTEÅ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18452-2019</t>
        </is>
      </c>
      <c r="B375" s="1" t="n">
        <v>43559</v>
      </c>
      <c r="C375" s="1" t="n">
        <v>45353</v>
      </c>
      <c r="D375" t="inlineStr">
        <is>
          <t>VÄSTERNORRLANDS LÄN</t>
        </is>
      </c>
      <c r="E375" t="inlineStr">
        <is>
          <t>SOLLEFTEÅ</t>
        </is>
      </c>
      <c r="G375" t="n">
        <v>2.2</v>
      </c>
      <c r="H375" t="n">
        <v>0</v>
      </c>
      <c r="I375" t="n">
        <v>0</v>
      </c>
      <c r="J375" t="n">
        <v>0</v>
      </c>
      <c r="K375" t="n">
        <v>0</v>
      </c>
      <c r="L375" t="n">
        <v>0</v>
      </c>
      <c r="M375" t="n">
        <v>0</v>
      </c>
      <c r="N375" t="n">
        <v>0</v>
      </c>
      <c r="O375" t="n">
        <v>0</v>
      </c>
      <c r="P375" t="n">
        <v>0</v>
      </c>
      <c r="Q375" t="n">
        <v>0</v>
      </c>
      <c r="R375" s="2" t="inlineStr"/>
    </row>
    <row r="376" ht="15" customHeight="1">
      <c r="A376" t="inlineStr">
        <is>
          <t>A 18925-2019</t>
        </is>
      </c>
      <c r="B376" s="1" t="n">
        <v>43563</v>
      </c>
      <c r="C376" s="1" t="n">
        <v>45353</v>
      </c>
      <c r="D376" t="inlineStr">
        <is>
          <t>VÄSTERNORRLANDS LÄN</t>
        </is>
      </c>
      <c r="E376" t="inlineStr">
        <is>
          <t>SOLLEFTEÅ</t>
        </is>
      </c>
      <c r="G376" t="n">
        <v>1.9</v>
      </c>
      <c r="H376" t="n">
        <v>0</v>
      </c>
      <c r="I376" t="n">
        <v>0</v>
      </c>
      <c r="J376" t="n">
        <v>0</v>
      </c>
      <c r="K376" t="n">
        <v>0</v>
      </c>
      <c r="L376" t="n">
        <v>0</v>
      </c>
      <c r="M376" t="n">
        <v>0</v>
      </c>
      <c r="N376" t="n">
        <v>0</v>
      </c>
      <c r="O376" t="n">
        <v>0</v>
      </c>
      <c r="P376" t="n">
        <v>0</v>
      </c>
      <c r="Q376" t="n">
        <v>0</v>
      </c>
      <c r="R376" s="2" t="inlineStr"/>
    </row>
    <row r="377" ht="15" customHeight="1">
      <c r="A377" t="inlineStr">
        <is>
          <t>A 19123-2019</t>
        </is>
      </c>
      <c r="B377" s="1" t="n">
        <v>43564</v>
      </c>
      <c r="C377" s="1" t="n">
        <v>45353</v>
      </c>
      <c r="D377" t="inlineStr">
        <is>
          <t>VÄSTERNORRLANDS LÄN</t>
        </is>
      </c>
      <c r="E377" t="inlineStr">
        <is>
          <t>SOLLEFTEÅ</t>
        </is>
      </c>
      <c r="G377" t="n">
        <v>9.4</v>
      </c>
      <c r="H377" t="n">
        <v>0</v>
      </c>
      <c r="I377" t="n">
        <v>0</v>
      </c>
      <c r="J377" t="n">
        <v>0</v>
      </c>
      <c r="K377" t="n">
        <v>0</v>
      </c>
      <c r="L377" t="n">
        <v>0</v>
      </c>
      <c r="M377" t="n">
        <v>0</v>
      </c>
      <c r="N377" t="n">
        <v>0</v>
      </c>
      <c r="O377" t="n">
        <v>0</v>
      </c>
      <c r="P377" t="n">
        <v>0</v>
      </c>
      <c r="Q377" t="n">
        <v>0</v>
      </c>
      <c r="R377" s="2" t="inlineStr"/>
    </row>
    <row r="378" ht="15" customHeight="1">
      <c r="A378" t="inlineStr">
        <is>
          <t>A 19219-2019</t>
        </is>
      </c>
      <c r="B378" s="1" t="n">
        <v>43564</v>
      </c>
      <c r="C378" s="1" t="n">
        <v>45353</v>
      </c>
      <c r="D378" t="inlineStr">
        <is>
          <t>VÄSTERNORRLANDS LÄN</t>
        </is>
      </c>
      <c r="E378" t="inlineStr">
        <is>
          <t>SOLLEFTEÅ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19553-2019</t>
        </is>
      </c>
      <c r="B379" s="1" t="n">
        <v>43565</v>
      </c>
      <c r="C379" s="1" t="n">
        <v>45353</v>
      </c>
      <c r="D379" t="inlineStr">
        <is>
          <t>VÄSTERNORRLANDS LÄN</t>
        </is>
      </c>
      <c r="E379" t="inlineStr">
        <is>
          <t>SOLLEFTEÅ</t>
        </is>
      </c>
      <c r="G379" t="n">
        <v>28.1</v>
      </c>
      <c r="H379" t="n">
        <v>0</v>
      </c>
      <c r="I379" t="n">
        <v>0</v>
      </c>
      <c r="J379" t="n">
        <v>0</v>
      </c>
      <c r="K379" t="n">
        <v>0</v>
      </c>
      <c r="L379" t="n">
        <v>0</v>
      </c>
      <c r="M379" t="n">
        <v>0</v>
      </c>
      <c r="N379" t="n">
        <v>0</v>
      </c>
      <c r="O379" t="n">
        <v>0</v>
      </c>
      <c r="P379" t="n">
        <v>0</v>
      </c>
      <c r="Q379" t="n">
        <v>0</v>
      </c>
      <c r="R379" s="2" t="inlineStr"/>
    </row>
    <row r="380" ht="15" customHeight="1">
      <c r="A380" t="inlineStr">
        <is>
          <t>A 19730-2019</t>
        </is>
      </c>
      <c r="B380" s="1" t="n">
        <v>43566</v>
      </c>
      <c r="C380" s="1" t="n">
        <v>45353</v>
      </c>
      <c r="D380" t="inlineStr">
        <is>
          <t>VÄSTERNORRLANDS LÄN</t>
        </is>
      </c>
      <c r="E380" t="inlineStr">
        <is>
          <t>SOLLEFTEÅ</t>
        </is>
      </c>
      <c r="G380" t="n">
        <v>2</v>
      </c>
      <c r="H380" t="n">
        <v>0</v>
      </c>
      <c r="I380" t="n">
        <v>0</v>
      </c>
      <c r="J380" t="n">
        <v>0</v>
      </c>
      <c r="K380" t="n">
        <v>0</v>
      </c>
      <c r="L380" t="n">
        <v>0</v>
      </c>
      <c r="M380" t="n">
        <v>0</v>
      </c>
      <c r="N380" t="n">
        <v>0</v>
      </c>
      <c r="O380" t="n">
        <v>0</v>
      </c>
      <c r="P380" t="n">
        <v>0</v>
      </c>
      <c r="Q380" t="n">
        <v>0</v>
      </c>
      <c r="R380" s="2" t="inlineStr"/>
    </row>
    <row r="381" ht="15" customHeight="1">
      <c r="A381" t="inlineStr">
        <is>
          <t>A 19595-2019</t>
        </is>
      </c>
      <c r="B381" s="1" t="n">
        <v>43566</v>
      </c>
      <c r="C381" s="1" t="n">
        <v>45353</v>
      </c>
      <c r="D381" t="inlineStr">
        <is>
          <t>VÄSTERNORRLANDS LÄN</t>
        </is>
      </c>
      <c r="E381" t="inlineStr">
        <is>
          <t>SOLLEFTEÅ</t>
        </is>
      </c>
      <c r="F381" t="inlineStr">
        <is>
          <t>Kyrkan</t>
        </is>
      </c>
      <c r="G381" t="n">
        <v>2.5</v>
      </c>
      <c r="H381" t="n">
        <v>0</v>
      </c>
      <c r="I381" t="n">
        <v>0</v>
      </c>
      <c r="J381" t="n">
        <v>0</v>
      </c>
      <c r="K381" t="n">
        <v>0</v>
      </c>
      <c r="L381" t="n">
        <v>0</v>
      </c>
      <c r="M381" t="n">
        <v>0</v>
      </c>
      <c r="N381" t="n">
        <v>0</v>
      </c>
      <c r="O381" t="n">
        <v>0</v>
      </c>
      <c r="P381" t="n">
        <v>0</v>
      </c>
      <c r="Q381" t="n">
        <v>0</v>
      </c>
      <c r="R381" s="2" t="inlineStr"/>
    </row>
    <row r="382" ht="15" customHeight="1">
      <c r="A382" t="inlineStr">
        <is>
          <t>A 19732-2019</t>
        </is>
      </c>
      <c r="B382" s="1" t="n">
        <v>43566</v>
      </c>
      <c r="C382" s="1" t="n">
        <v>45353</v>
      </c>
      <c r="D382" t="inlineStr">
        <is>
          <t>VÄSTERNORRLANDS LÄN</t>
        </is>
      </c>
      <c r="E382" t="inlineStr">
        <is>
          <t>SOLLEFTEÅ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19731-2019</t>
        </is>
      </c>
      <c r="B383" s="1" t="n">
        <v>43566</v>
      </c>
      <c r="C383" s="1" t="n">
        <v>45353</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20201-2019</t>
        </is>
      </c>
      <c r="B384" s="1" t="n">
        <v>43570</v>
      </c>
      <c r="C384" s="1" t="n">
        <v>45353</v>
      </c>
      <c r="D384" t="inlineStr">
        <is>
          <t>VÄSTERNORRLANDS LÄN</t>
        </is>
      </c>
      <c r="E384" t="inlineStr">
        <is>
          <t>SOLLEFTEÅ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20198-2019</t>
        </is>
      </c>
      <c r="B385" s="1" t="n">
        <v>43570</v>
      </c>
      <c r="C385" s="1" t="n">
        <v>45353</v>
      </c>
      <c r="D385" t="inlineStr">
        <is>
          <t>VÄSTERNORRLANDS LÄN</t>
        </is>
      </c>
      <c r="E385" t="inlineStr">
        <is>
          <t>SOLLEFTEÅ</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20200-2019</t>
        </is>
      </c>
      <c r="B386" s="1" t="n">
        <v>43570</v>
      </c>
      <c r="C386" s="1" t="n">
        <v>45353</v>
      </c>
      <c r="D386" t="inlineStr">
        <is>
          <t>VÄSTERNORRLANDS LÄN</t>
        </is>
      </c>
      <c r="E386" t="inlineStr">
        <is>
          <t>SOLLEFTEÅ</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20444-2019</t>
        </is>
      </c>
      <c r="B387" s="1" t="n">
        <v>43571</v>
      </c>
      <c r="C387" s="1" t="n">
        <v>45353</v>
      </c>
      <c r="D387" t="inlineStr">
        <is>
          <t>VÄSTERNORRLANDS LÄN</t>
        </is>
      </c>
      <c r="E387" t="inlineStr">
        <is>
          <t>SOLLEFTEÅ</t>
        </is>
      </c>
      <c r="G387" t="n">
        <v>2.9</v>
      </c>
      <c r="H387" t="n">
        <v>0</v>
      </c>
      <c r="I387" t="n">
        <v>0</v>
      </c>
      <c r="J387" t="n">
        <v>0</v>
      </c>
      <c r="K387" t="n">
        <v>0</v>
      </c>
      <c r="L387" t="n">
        <v>0</v>
      </c>
      <c r="M387" t="n">
        <v>0</v>
      </c>
      <c r="N387" t="n">
        <v>0</v>
      </c>
      <c r="O387" t="n">
        <v>0</v>
      </c>
      <c r="P387" t="n">
        <v>0</v>
      </c>
      <c r="Q387" t="n">
        <v>0</v>
      </c>
      <c r="R387" s="2" t="inlineStr"/>
    </row>
    <row r="388" ht="15" customHeight="1">
      <c r="A388" t="inlineStr">
        <is>
          <t>A 20649-2019</t>
        </is>
      </c>
      <c r="B388" s="1" t="n">
        <v>43572</v>
      </c>
      <c r="C388" s="1" t="n">
        <v>45353</v>
      </c>
      <c r="D388" t="inlineStr">
        <is>
          <t>VÄSTERNORRLANDS LÄN</t>
        </is>
      </c>
      <c r="E388" t="inlineStr">
        <is>
          <t>SOLLEFTEÅ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20648-2019</t>
        </is>
      </c>
      <c r="B389" s="1" t="n">
        <v>43572</v>
      </c>
      <c r="C389" s="1" t="n">
        <v>45353</v>
      </c>
      <c r="D389" t="inlineStr">
        <is>
          <t>VÄSTERNORRLANDS LÄN</t>
        </is>
      </c>
      <c r="E389" t="inlineStr">
        <is>
          <t>SOLLEFTEÅ</t>
        </is>
      </c>
      <c r="G389" t="n">
        <v>3.9</v>
      </c>
      <c r="H389" t="n">
        <v>0</v>
      </c>
      <c r="I389" t="n">
        <v>0</v>
      </c>
      <c r="J389" t="n">
        <v>0</v>
      </c>
      <c r="K389" t="n">
        <v>0</v>
      </c>
      <c r="L389" t="n">
        <v>0</v>
      </c>
      <c r="M389" t="n">
        <v>0</v>
      </c>
      <c r="N389" t="n">
        <v>0</v>
      </c>
      <c r="O389" t="n">
        <v>0</v>
      </c>
      <c r="P389" t="n">
        <v>0</v>
      </c>
      <c r="Q389" t="n">
        <v>0</v>
      </c>
      <c r="R389" s="2" t="inlineStr"/>
    </row>
    <row r="390" ht="15" customHeight="1">
      <c r="A390" t="inlineStr">
        <is>
          <t>A 21119-2019</t>
        </is>
      </c>
      <c r="B390" s="1" t="n">
        <v>43578</v>
      </c>
      <c r="C390" s="1" t="n">
        <v>45353</v>
      </c>
      <c r="D390" t="inlineStr">
        <is>
          <t>VÄSTERNORRLANDS LÄN</t>
        </is>
      </c>
      <c r="E390" t="inlineStr">
        <is>
          <t>SOLLEFTEÅ</t>
        </is>
      </c>
      <c r="F390" t="inlineStr">
        <is>
          <t>SCA</t>
        </is>
      </c>
      <c r="G390" t="n">
        <v>57.7</v>
      </c>
      <c r="H390" t="n">
        <v>0</v>
      </c>
      <c r="I390" t="n">
        <v>0</v>
      </c>
      <c r="J390" t="n">
        <v>0</v>
      </c>
      <c r="K390" t="n">
        <v>0</v>
      </c>
      <c r="L390" t="n">
        <v>0</v>
      </c>
      <c r="M390" t="n">
        <v>0</v>
      </c>
      <c r="N390" t="n">
        <v>0</v>
      </c>
      <c r="O390" t="n">
        <v>0</v>
      </c>
      <c r="P390" t="n">
        <v>0</v>
      </c>
      <c r="Q390" t="n">
        <v>0</v>
      </c>
      <c r="R390" s="2" t="inlineStr"/>
    </row>
    <row r="391" ht="15" customHeight="1">
      <c r="A391" t="inlineStr">
        <is>
          <t>A 21526-2019</t>
        </is>
      </c>
      <c r="B391" s="1" t="n">
        <v>43580</v>
      </c>
      <c r="C391" s="1" t="n">
        <v>45353</v>
      </c>
      <c r="D391" t="inlineStr">
        <is>
          <t>VÄSTERNORRLANDS LÄN</t>
        </is>
      </c>
      <c r="E391" t="inlineStr">
        <is>
          <t>SOLLEFTEÅ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21799-2019</t>
        </is>
      </c>
      <c r="B392" s="1" t="n">
        <v>43581</v>
      </c>
      <c r="C392" s="1" t="n">
        <v>45353</v>
      </c>
      <c r="D392" t="inlineStr">
        <is>
          <t>VÄSTERNORRLANDS LÄN</t>
        </is>
      </c>
      <c r="E392" t="inlineStr">
        <is>
          <t>SOLLEFTEÅ</t>
        </is>
      </c>
      <c r="F392" t="inlineStr">
        <is>
          <t>SCA</t>
        </is>
      </c>
      <c r="G392" t="n">
        <v>14.1</v>
      </c>
      <c r="H392" t="n">
        <v>0</v>
      </c>
      <c r="I392" t="n">
        <v>0</v>
      </c>
      <c r="J392" t="n">
        <v>0</v>
      </c>
      <c r="K392" t="n">
        <v>0</v>
      </c>
      <c r="L392" t="n">
        <v>0</v>
      </c>
      <c r="M392" t="n">
        <v>0</v>
      </c>
      <c r="N392" t="n">
        <v>0</v>
      </c>
      <c r="O392" t="n">
        <v>0</v>
      </c>
      <c r="P392" t="n">
        <v>0</v>
      </c>
      <c r="Q392" t="n">
        <v>0</v>
      </c>
      <c r="R392" s="2" t="inlineStr"/>
    </row>
    <row r="393" ht="15" customHeight="1">
      <c r="A393" t="inlineStr">
        <is>
          <t>A 21788-2019</t>
        </is>
      </c>
      <c r="B393" s="1" t="n">
        <v>43581</v>
      </c>
      <c r="C393" s="1" t="n">
        <v>45353</v>
      </c>
      <c r="D393" t="inlineStr">
        <is>
          <t>VÄSTERNORRLANDS LÄN</t>
        </is>
      </c>
      <c r="E393" t="inlineStr">
        <is>
          <t>SOLLEFTEÅ</t>
        </is>
      </c>
      <c r="F393" t="inlineStr">
        <is>
          <t>SCA</t>
        </is>
      </c>
      <c r="G393" t="n">
        <v>7.7</v>
      </c>
      <c r="H393" t="n">
        <v>0</v>
      </c>
      <c r="I393" t="n">
        <v>0</v>
      </c>
      <c r="J393" t="n">
        <v>0</v>
      </c>
      <c r="K393" t="n">
        <v>0</v>
      </c>
      <c r="L393" t="n">
        <v>0</v>
      </c>
      <c r="M393" t="n">
        <v>0</v>
      </c>
      <c r="N393" t="n">
        <v>0</v>
      </c>
      <c r="O393" t="n">
        <v>0</v>
      </c>
      <c r="P393" t="n">
        <v>0</v>
      </c>
      <c r="Q393" t="n">
        <v>0</v>
      </c>
      <c r="R393" s="2" t="inlineStr"/>
    </row>
    <row r="394" ht="15" customHeight="1">
      <c r="A394" t="inlineStr">
        <is>
          <t>A 22088-2019</t>
        </is>
      </c>
      <c r="B394" s="1" t="n">
        <v>43584</v>
      </c>
      <c r="C394" s="1" t="n">
        <v>45353</v>
      </c>
      <c r="D394" t="inlineStr">
        <is>
          <t>VÄSTERNORRLANDS LÄN</t>
        </is>
      </c>
      <c r="E394" t="inlineStr">
        <is>
          <t>SOLLEFTEÅ</t>
        </is>
      </c>
      <c r="F394" t="inlineStr">
        <is>
          <t>SCA</t>
        </is>
      </c>
      <c r="G394" t="n">
        <v>37.9</v>
      </c>
      <c r="H394" t="n">
        <v>0</v>
      </c>
      <c r="I394" t="n">
        <v>0</v>
      </c>
      <c r="J394" t="n">
        <v>0</v>
      </c>
      <c r="K394" t="n">
        <v>0</v>
      </c>
      <c r="L394" t="n">
        <v>0</v>
      </c>
      <c r="M394" t="n">
        <v>0</v>
      </c>
      <c r="N394" t="n">
        <v>0</v>
      </c>
      <c r="O394" t="n">
        <v>0</v>
      </c>
      <c r="P394" t="n">
        <v>0</v>
      </c>
      <c r="Q394" t="n">
        <v>0</v>
      </c>
      <c r="R394" s="2" t="inlineStr"/>
    </row>
    <row r="395" ht="15" customHeight="1">
      <c r="A395" t="inlineStr">
        <is>
          <t>A 22283-2019</t>
        </is>
      </c>
      <c r="B395" s="1" t="n">
        <v>43585</v>
      </c>
      <c r="C395" s="1" t="n">
        <v>45353</v>
      </c>
      <c r="D395" t="inlineStr">
        <is>
          <t>VÄSTERNORRLANDS LÄN</t>
        </is>
      </c>
      <c r="E395" t="inlineStr">
        <is>
          <t>SOLLEFTEÅ</t>
        </is>
      </c>
      <c r="F395" t="inlineStr">
        <is>
          <t>SCA</t>
        </is>
      </c>
      <c r="G395" t="n">
        <v>9.1</v>
      </c>
      <c r="H395" t="n">
        <v>0</v>
      </c>
      <c r="I395" t="n">
        <v>0</v>
      </c>
      <c r="J395" t="n">
        <v>0</v>
      </c>
      <c r="K395" t="n">
        <v>0</v>
      </c>
      <c r="L395" t="n">
        <v>0</v>
      </c>
      <c r="M395" t="n">
        <v>0</v>
      </c>
      <c r="N395" t="n">
        <v>0</v>
      </c>
      <c r="O395" t="n">
        <v>0</v>
      </c>
      <c r="P395" t="n">
        <v>0</v>
      </c>
      <c r="Q395" t="n">
        <v>0</v>
      </c>
      <c r="R395" s="2" t="inlineStr"/>
    </row>
    <row r="396" ht="15" customHeight="1">
      <c r="A396" t="inlineStr">
        <is>
          <t>A 22587-2019</t>
        </is>
      </c>
      <c r="B396" s="1" t="n">
        <v>43587</v>
      </c>
      <c r="C396" s="1" t="n">
        <v>45353</v>
      </c>
      <c r="D396" t="inlineStr">
        <is>
          <t>VÄSTERNORRLANDS LÄN</t>
        </is>
      </c>
      <c r="E396" t="inlineStr">
        <is>
          <t>SOLLEFTEÅ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23241-2019</t>
        </is>
      </c>
      <c r="B397" s="1" t="n">
        <v>43591</v>
      </c>
      <c r="C397" s="1" t="n">
        <v>45353</v>
      </c>
      <c r="D397" t="inlineStr">
        <is>
          <t>VÄSTERNORRLANDS LÄN</t>
        </is>
      </c>
      <c r="E397" t="inlineStr">
        <is>
          <t>SOLLEFTEÅ</t>
        </is>
      </c>
      <c r="G397" t="n">
        <v>6.2</v>
      </c>
      <c r="H397" t="n">
        <v>0</v>
      </c>
      <c r="I397" t="n">
        <v>0</v>
      </c>
      <c r="J397" t="n">
        <v>0</v>
      </c>
      <c r="K397" t="n">
        <v>0</v>
      </c>
      <c r="L397" t="n">
        <v>0</v>
      </c>
      <c r="M397" t="n">
        <v>0</v>
      </c>
      <c r="N397" t="n">
        <v>0</v>
      </c>
      <c r="O397" t="n">
        <v>0</v>
      </c>
      <c r="P397" t="n">
        <v>0</v>
      </c>
      <c r="Q397" t="n">
        <v>0</v>
      </c>
      <c r="R397" s="2" t="inlineStr"/>
    </row>
    <row r="398" ht="15" customHeight="1">
      <c r="A398" t="inlineStr">
        <is>
          <t>A 23314-2019</t>
        </is>
      </c>
      <c r="B398" s="1" t="n">
        <v>43591</v>
      </c>
      <c r="C398" s="1" t="n">
        <v>45353</v>
      </c>
      <c r="D398" t="inlineStr">
        <is>
          <t>VÄSTERNORRLANDS LÄN</t>
        </is>
      </c>
      <c r="E398" t="inlineStr">
        <is>
          <t>SOLLEFTEÅ</t>
        </is>
      </c>
      <c r="G398" t="n">
        <v>2.5</v>
      </c>
      <c r="H398" t="n">
        <v>0</v>
      </c>
      <c r="I398" t="n">
        <v>0</v>
      </c>
      <c r="J398" t="n">
        <v>0</v>
      </c>
      <c r="K398" t="n">
        <v>0</v>
      </c>
      <c r="L398" t="n">
        <v>0</v>
      </c>
      <c r="M398" t="n">
        <v>0</v>
      </c>
      <c r="N398" t="n">
        <v>0</v>
      </c>
      <c r="O398" t="n">
        <v>0</v>
      </c>
      <c r="P398" t="n">
        <v>0</v>
      </c>
      <c r="Q398" t="n">
        <v>0</v>
      </c>
      <c r="R398" s="2" t="inlineStr"/>
    </row>
    <row r="399" ht="15" customHeight="1">
      <c r="A399" t="inlineStr">
        <is>
          <t>A 23323-2019</t>
        </is>
      </c>
      <c r="B399" s="1" t="n">
        <v>43591</v>
      </c>
      <c r="C399" s="1" t="n">
        <v>45353</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23246-2019</t>
        </is>
      </c>
      <c r="B400" s="1" t="n">
        <v>43591</v>
      </c>
      <c r="C400" s="1" t="n">
        <v>45353</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24157-2019</t>
        </is>
      </c>
      <c r="B401" s="1" t="n">
        <v>43598</v>
      </c>
      <c r="C401" s="1" t="n">
        <v>45353</v>
      </c>
      <c r="D401" t="inlineStr">
        <is>
          <t>VÄSTERNORRLANDS LÄN</t>
        </is>
      </c>
      <c r="E401" t="inlineStr">
        <is>
          <t>SOLLEFTEÅ</t>
        </is>
      </c>
      <c r="F401" t="inlineStr">
        <is>
          <t>SCA</t>
        </is>
      </c>
      <c r="G401" t="n">
        <v>0.1</v>
      </c>
      <c r="H401" t="n">
        <v>0</v>
      </c>
      <c r="I401" t="n">
        <v>0</v>
      </c>
      <c r="J401" t="n">
        <v>0</v>
      </c>
      <c r="K401" t="n">
        <v>0</v>
      </c>
      <c r="L401" t="n">
        <v>0</v>
      </c>
      <c r="M401" t="n">
        <v>0</v>
      </c>
      <c r="N401" t="n">
        <v>0</v>
      </c>
      <c r="O401" t="n">
        <v>0</v>
      </c>
      <c r="P401" t="n">
        <v>0</v>
      </c>
      <c r="Q401" t="n">
        <v>0</v>
      </c>
      <c r="R401" s="2" t="inlineStr"/>
    </row>
    <row r="402" ht="15" customHeight="1">
      <c r="A402" t="inlineStr">
        <is>
          <t>A 24168-2019</t>
        </is>
      </c>
      <c r="B402" s="1" t="n">
        <v>43598</v>
      </c>
      <c r="C402" s="1" t="n">
        <v>45353</v>
      </c>
      <c r="D402" t="inlineStr">
        <is>
          <t>VÄSTERNORRLANDS LÄN</t>
        </is>
      </c>
      <c r="E402" t="inlineStr">
        <is>
          <t>SOLLEFTEÅ</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25334-2019</t>
        </is>
      </c>
      <c r="B403" s="1" t="n">
        <v>43601</v>
      </c>
      <c r="C403" s="1" t="n">
        <v>45353</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25331-2019</t>
        </is>
      </c>
      <c r="B404" s="1" t="n">
        <v>43601</v>
      </c>
      <c r="C404" s="1" t="n">
        <v>45353</v>
      </c>
      <c r="D404" t="inlineStr">
        <is>
          <t>VÄSTERNORRLANDS LÄN</t>
        </is>
      </c>
      <c r="E404" t="inlineStr">
        <is>
          <t>SOLLEFTEÅ</t>
        </is>
      </c>
      <c r="G404" t="n">
        <v>7.2</v>
      </c>
      <c r="H404" t="n">
        <v>0</v>
      </c>
      <c r="I404" t="n">
        <v>0</v>
      </c>
      <c r="J404" t="n">
        <v>0</v>
      </c>
      <c r="K404" t="n">
        <v>0</v>
      </c>
      <c r="L404" t="n">
        <v>0</v>
      </c>
      <c r="M404" t="n">
        <v>0</v>
      </c>
      <c r="N404" t="n">
        <v>0</v>
      </c>
      <c r="O404" t="n">
        <v>0</v>
      </c>
      <c r="P404" t="n">
        <v>0</v>
      </c>
      <c r="Q404" t="n">
        <v>0</v>
      </c>
      <c r="R404" s="2" t="inlineStr"/>
    </row>
    <row r="405" ht="15" customHeight="1">
      <c r="A405" t="inlineStr">
        <is>
          <t>A 25260-2019</t>
        </is>
      </c>
      <c r="B405" s="1" t="n">
        <v>43601</v>
      </c>
      <c r="C405" s="1" t="n">
        <v>45353</v>
      </c>
      <c r="D405" t="inlineStr">
        <is>
          <t>VÄSTERNORRLANDS LÄN</t>
        </is>
      </c>
      <c r="E405" t="inlineStr">
        <is>
          <t>SOLLEFTEÅ</t>
        </is>
      </c>
      <c r="G405" t="n">
        <v>3.4</v>
      </c>
      <c r="H405" t="n">
        <v>0</v>
      </c>
      <c r="I405" t="n">
        <v>0</v>
      </c>
      <c r="J405" t="n">
        <v>0</v>
      </c>
      <c r="K405" t="n">
        <v>0</v>
      </c>
      <c r="L405" t="n">
        <v>0</v>
      </c>
      <c r="M405" t="n">
        <v>0</v>
      </c>
      <c r="N405" t="n">
        <v>0</v>
      </c>
      <c r="O405" t="n">
        <v>0</v>
      </c>
      <c r="P405" t="n">
        <v>0</v>
      </c>
      <c r="Q405" t="n">
        <v>0</v>
      </c>
      <c r="R405" s="2" t="inlineStr"/>
    </row>
    <row r="406" ht="15" customHeight="1">
      <c r="A406" t="inlineStr">
        <is>
          <t>A 25328-2019</t>
        </is>
      </c>
      <c r="B406" s="1" t="n">
        <v>43601</v>
      </c>
      <c r="C406" s="1" t="n">
        <v>45353</v>
      </c>
      <c r="D406" t="inlineStr">
        <is>
          <t>VÄSTERNORRLANDS LÄN</t>
        </is>
      </c>
      <c r="E406" t="inlineStr">
        <is>
          <t>SOLLEFTEÅ</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25014-2019</t>
        </is>
      </c>
      <c r="B407" s="1" t="n">
        <v>43602</v>
      </c>
      <c r="C407" s="1" t="n">
        <v>45353</v>
      </c>
      <c r="D407" t="inlineStr">
        <is>
          <t>VÄSTERNORRLANDS LÄN</t>
        </is>
      </c>
      <c r="E407" t="inlineStr">
        <is>
          <t>SOLLEFTEÅ</t>
        </is>
      </c>
      <c r="F407" t="inlineStr">
        <is>
          <t>SCA</t>
        </is>
      </c>
      <c r="G407" t="n">
        <v>11.1</v>
      </c>
      <c r="H407" t="n">
        <v>0</v>
      </c>
      <c r="I407" t="n">
        <v>0</v>
      </c>
      <c r="J407" t="n">
        <v>0</v>
      </c>
      <c r="K407" t="n">
        <v>0</v>
      </c>
      <c r="L407" t="n">
        <v>0</v>
      </c>
      <c r="M407" t="n">
        <v>0</v>
      </c>
      <c r="N407" t="n">
        <v>0</v>
      </c>
      <c r="O407" t="n">
        <v>0</v>
      </c>
      <c r="P407" t="n">
        <v>0</v>
      </c>
      <c r="Q407" t="n">
        <v>0</v>
      </c>
      <c r="R407" s="2" t="inlineStr"/>
    </row>
    <row r="408" ht="15" customHeight="1">
      <c r="A408" t="inlineStr">
        <is>
          <t>A 26111-2019</t>
        </is>
      </c>
      <c r="B408" s="1" t="n">
        <v>43605</v>
      </c>
      <c r="C408" s="1" t="n">
        <v>45353</v>
      </c>
      <c r="D408" t="inlineStr">
        <is>
          <t>VÄSTERNORRLANDS LÄN</t>
        </is>
      </c>
      <c r="E408" t="inlineStr">
        <is>
          <t>SOLLEFTEÅ</t>
        </is>
      </c>
      <c r="G408" t="n">
        <v>3.5</v>
      </c>
      <c r="H408" t="n">
        <v>0</v>
      </c>
      <c r="I408" t="n">
        <v>0</v>
      </c>
      <c r="J408" t="n">
        <v>0</v>
      </c>
      <c r="K408" t="n">
        <v>0</v>
      </c>
      <c r="L408" t="n">
        <v>0</v>
      </c>
      <c r="M408" t="n">
        <v>0</v>
      </c>
      <c r="N408" t="n">
        <v>0</v>
      </c>
      <c r="O408" t="n">
        <v>0</v>
      </c>
      <c r="P408" t="n">
        <v>0</v>
      </c>
      <c r="Q408" t="n">
        <v>0</v>
      </c>
      <c r="R408" s="2" t="inlineStr"/>
    </row>
    <row r="409" ht="15" customHeight="1">
      <c r="A409" t="inlineStr">
        <is>
          <t>A 25714-2019</t>
        </is>
      </c>
      <c r="B409" s="1" t="n">
        <v>43607</v>
      </c>
      <c r="C409" s="1" t="n">
        <v>45353</v>
      </c>
      <c r="D409" t="inlineStr">
        <is>
          <t>VÄSTERNORRLANDS LÄN</t>
        </is>
      </c>
      <c r="E409" t="inlineStr">
        <is>
          <t>SOLLEFTEÅ</t>
        </is>
      </c>
      <c r="F409" t="inlineStr">
        <is>
          <t>SCA</t>
        </is>
      </c>
      <c r="G409" t="n">
        <v>28.3</v>
      </c>
      <c r="H409" t="n">
        <v>0</v>
      </c>
      <c r="I409" t="n">
        <v>0</v>
      </c>
      <c r="J409" t="n">
        <v>0</v>
      </c>
      <c r="K409" t="n">
        <v>0</v>
      </c>
      <c r="L409" t="n">
        <v>0</v>
      </c>
      <c r="M409" t="n">
        <v>0</v>
      </c>
      <c r="N409" t="n">
        <v>0</v>
      </c>
      <c r="O409" t="n">
        <v>0</v>
      </c>
      <c r="P409" t="n">
        <v>0</v>
      </c>
      <c r="Q409" t="n">
        <v>0</v>
      </c>
      <c r="R409" s="2" t="inlineStr"/>
    </row>
    <row r="410" ht="15" customHeight="1">
      <c r="A410" t="inlineStr">
        <is>
          <t>A 25979-2019</t>
        </is>
      </c>
      <c r="B410" s="1" t="n">
        <v>43608</v>
      </c>
      <c r="C410" s="1" t="n">
        <v>45353</v>
      </c>
      <c r="D410" t="inlineStr">
        <is>
          <t>VÄSTERNORRLANDS LÄN</t>
        </is>
      </c>
      <c r="E410" t="inlineStr">
        <is>
          <t>SOLLEFTEÅ</t>
        </is>
      </c>
      <c r="F410" t="inlineStr">
        <is>
          <t>SCA</t>
        </is>
      </c>
      <c r="G410" t="n">
        <v>26.1</v>
      </c>
      <c r="H410" t="n">
        <v>0</v>
      </c>
      <c r="I410" t="n">
        <v>0</v>
      </c>
      <c r="J410" t="n">
        <v>0</v>
      </c>
      <c r="K410" t="n">
        <v>0</v>
      </c>
      <c r="L410" t="n">
        <v>0</v>
      </c>
      <c r="M410" t="n">
        <v>0</v>
      </c>
      <c r="N410" t="n">
        <v>0</v>
      </c>
      <c r="O410" t="n">
        <v>0</v>
      </c>
      <c r="P410" t="n">
        <v>0</v>
      </c>
      <c r="Q410" t="n">
        <v>0</v>
      </c>
      <c r="R410" s="2" t="inlineStr"/>
    </row>
    <row r="411" ht="15" customHeight="1">
      <c r="A411" t="inlineStr">
        <is>
          <t>A 25982-2019</t>
        </is>
      </c>
      <c r="B411" s="1" t="n">
        <v>43608</v>
      </c>
      <c r="C411" s="1" t="n">
        <v>45353</v>
      </c>
      <c r="D411" t="inlineStr">
        <is>
          <t>VÄSTERNORRLANDS LÄN</t>
        </is>
      </c>
      <c r="E411" t="inlineStr">
        <is>
          <t>SOLLEFTEÅ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25997-2019</t>
        </is>
      </c>
      <c r="B412" s="1" t="n">
        <v>43608</v>
      </c>
      <c r="C412" s="1" t="n">
        <v>45353</v>
      </c>
      <c r="D412" t="inlineStr">
        <is>
          <t>VÄSTERNORRLANDS LÄN</t>
        </is>
      </c>
      <c r="E412" t="inlineStr">
        <is>
          <t>SOLLEFTEÅ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25959-2019</t>
        </is>
      </c>
      <c r="B413" s="1" t="n">
        <v>43608</v>
      </c>
      <c r="C413" s="1" t="n">
        <v>45353</v>
      </c>
      <c r="D413" t="inlineStr">
        <is>
          <t>VÄSTERNORRLANDS LÄN</t>
        </is>
      </c>
      <c r="E413" t="inlineStr">
        <is>
          <t>SOLLEFTEÅ</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26254-2019</t>
        </is>
      </c>
      <c r="B414" s="1" t="n">
        <v>43609</v>
      </c>
      <c r="C414" s="1" t="n">
        <v>45353</v>
      </c>
      <c r="D414" t="inlineStr">
        <is>
          <t>VÄSTERNORRLANDS LÄN</t>
        </is>
      </c>
      <c r="E414" t="inlineStr">
        <is>
          <t>SOLLEFTEÅ</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26253-2019</t>
        </is>
      </c>
      <c r="B415" s="1" t="n">
        <v>43609</v>
      </c>
      <c r="C415" s="1" t="n">
        <v>45353</v>
      </c>
      <c r="D415" t="inlineStr">
        <is>
          <t>VÄSTERNORRLANDS LÄN</t>
        </is>
      </c>
      <c r="E415" t="inlineStr">
        <is>
          <t>SOLLEFTEÅ</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26640-2019</t>
        </is>
      </c>
      <c r="B416" s="1" t="n">
        <v>43612</v>
      </c>
      <c r="C416" s="1" t="n">
        <v>45353</v>
      </c>
      <c r="D416" t="inlineStr">
        <is>
          <t>VÄSTERNORRLANDS LÄN</t>
        </is>
      </c>
      <c r="E416" t="inlineStr">
        <is>
          <t>SOLLEFTEÅ</t>
        </is>
      </c>
      <c r="F416" t="inlineStr">
        <is>
          <t>SCA</t>
        </is>
      </c>
      <c r="G416" t="n">
        <v>10.4</v>
      </c>
      <c r="H416" t="n">
        <v>0</v>
      </c>
      <c r="I416" t="n">
        <v>0</v>
      </c>
      <c r="J416" t="n">
        <v>0</v>
      </c>
      <c r="K416" t="n">
        <v>0</v>
      </c>
      <c r="L416" t="n">
        <v>0</v>
      </c>
      <c r="M416" t="n">
        <v>0</v>
      </c>
      <c r="N416" t="n">
        <v>0</v>
      </c>
      <c r="O416" t="n">
        <v>0</v>
      </c>
      <c r="P416" t="n">
        <v>0</v>
      </c>
      <c r="Q416" t="n">
        <v>0</v>
      </c>
      <c r="R416" s="2" t="inlineStr"/>
    </row>
    <row r="417" ht="15" customHeight="1">
      <c r="A417" t="inlineStr">
        <is>
          <t>A 27597-2019</t>
        </is>
      </c>
      <c r="B417" s="1" t="n">
        <v>43612</v>
      </c>
      <c r="C417" s="1" t="n">
        <v>45353</v>
      </c>
      <c r="D417" t="inlineStr">
        <is>
          <t>VÄSTERNORRLANDS LÄN</t>
        </is>
      </c>
      <c r="E417" t="inlineStr">
        <is>
          <t>SOLLEFTEÅ</t>
        </is>
      </c>
      <c r="G417" t="n">
        <v>5.6</v>
      </c>
      <c r="H417" t="n">
        <v>0</v>
      </c>
      <c r="I417" t="n">
        <v>0</v>
      </c>
      <c r="J417" t="n">
        <v>0</v>
      </c>
      <c r="K417" t="n">
        <v>0</v>
      </c>
      <c r="L417" t="n">
        <v>0</v>
      </c>
      <c r="M417" t="n">
        <v>0</v>
      </c>
      <c r="N417" t="n">
        <v>0</v>
      </c>
      <c r="O417" t="n">
        <v>0</v>
      </c>
      <c r="P417" t="n">
        <v>0</v>
      </c>
      <c r="Q417" t="n">
        <v>0</v>
      </c>
      <c r="R417" s="2" t="inlineStr"/>
    </row>
    <row r="418" ht="15" customHeight="1">
      <c r="A418" t="inlineStr">
        <is>
          <t>A 26945-2019</t>
        </is>
      </c>
      <c r="B418" s="1" t="n">
        <v>43613</v>
      </c>
      <c r="C418" s="1" t="n">
        <v>45353</v>
      </c>
      <c r="D418" t="inlineStr">
        <is>
          <t>VÄSTERNORRLANDS LÄN</t>
        </is>
      </c>
      <c r="E418" t="inlineStr">
        <is>
          <t>SOLLEFTEÅ</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26957-2019</t>
        </is>
      </c>
      <c r="B419" s="1" t="n">
        <v>43613</v>
      </c>
      <c r="C419" s="1" t="n">
        <v>45353</v>
      </c>
      <c r="D419" t="inlineStr">
        <is>
          <t>VÄSTERNORRLANDS LÄN</t>
        </is>
      </c>
      <c r="E419" t="inlineStr">
        <is>
          <t>SOLLEFTEÅ</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27226-2019</t>
        </is>
      </c>
      <c r="B420" s="1" t="n">
        <v>43614</v>
      </c>
      <c r="C420" s="1" t="n">
        <v>45353</v>
      </c>
      <c r="D420" t="inlineStr">
        <is>
          <t>VÄSTERNORRLANDS LÄN</t>
        </is>
      </c>
      <c r="E420" t="inlineStr">
        <is>
          <t>SOLLEFTEÅ</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27979-2019</t>
        </is>
      </c>
      <c r="B421" s="1" t="n">
        <v>43620</v>
      </c>
      <c r="C421" s="1" t="n">
        <v>45353</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28212-2019</t>
        </is>
      </c>
      <c r="B422" s="1" t="n">
        <v>43621</v>
      </c>
      <c r="C422" s="1" t="n">
        <v>45353</v>
      </c>
      <c r="D422" t="inlineStr">
        <is>
          <t>VÄSTERNORRLANDS LÄN</t>
        </is>
      </c>
      <c r="E422" t="inlineStr">
        <is>
          <t>SOLLEFTEÅ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28236-2019</t>
        </is>
      </c>
      <c r="B423" s="1" t="n">
        <v>43621</v>
      </c>
      <c r="C423" s="1" t="n">
        <v>45353</v>
      </c>
      <c r="D423" t="inlineStr">
        <is>
          <t>VÄSTERNORRLANDS LÄN</t>
        </is>
      </c>
      <c r="E423" t="inlineStr">
        <is>
          <t>SOLLEFTEÅ</t>
        </is>
      </c>
      <c r="G423" t="n">
        <v>0.6</v>
      </c>
      <c r="H423" t="n">
        <v>0</v>
      </c>
      <c r="I423" t="n">
        <v>0</v>
      </c>
      <c r="J423" t="n">
        <v>0</v>
      </c>
      <c r="K423" t="n">
        <v>0</v>
      </c>
      <c r="L423" t="n">
        <v>0</v>
      </c>
      <c r="M423" t="n">
        <v>0</v>
      </c>
      <c r="N423" t="n">
        <v>0</v>
      </c>
      <c r="O423" t="n">
        <v>0</v>
      </c>
      <c r="P423" t="n">
        <v>0</v>
      </c>
      <c r="Q423" t="n">
        <v>0</v>
      </c>
      <c r="R423" s="2" t="inlineStr"/>
    </row>
    <row r="424" ht="15" customHeight="1">
      <c r="A424" t="inlineStr">
        <is>
          <t>A 30383-2019</t>
        </is>
      </c>
      <c r="B424" s="1" t="n">
        <v>43634</v>
      </c>
      <c r="C424" s="1" t="n">
        <v>45353</v>
      </c>
      <c r="D424" t="inlineStr">
        <is>
          <t>VÄSTERNORRLANDS LÄN</t>
        </is>
      </c>
      <c r="E424" t="inlineStr">
        <is>
          <t>SOLLEFTEÅ</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30628-2019</t>
        </is>
      </c>
      <c r="B425" s="1" t="n">
        <v>43635</v>
      </c>
      <c r="C425" s="1" t="n">
        <v>45353</v>
      </c>
      <c r="D425" t="inlineStr">
        <is>
          <t>VÄSTERNORRLANDS LÄN</t>
        </is>
      </c>
      <c r="E425" t="inlineStr">
        <is>
          <t>SOLLEFTEÅ</t>
        </is>
      </c>
      <c r="F425" t="inlineStr">
        <is>
          <t>SCA</t>
        </is>
      </c>
      <c r="G425" t="n">
        <v>7.2</v>
      </c>
      <c r="H425" t="n">
        <v>0</v>
      </c>
      <c r="I425" t="n">
        <v>0</v>
      </c>
      <c r="J425" t="n">
        <v>0</v>
      </c>
      <c r="K425" t="n">
        <v>0</v>
      </c>
      <c r="L425" t="n">
        <v>0</v>
      </c>
      <c r="M425" t="n">
        <v>0</v>
      </c>
      <c r="N425" t="n">
        <v>0</v>
      </c>
      <c r="O425" t="n">
        <v>0</v>
      </c>
      <c r="P425" t="n">
        <v>0</v>
      </c>
      <c r="Q425" t="n">
        <v>0</v>
      </c>
      <c r="R425" s="2" t="inlineStr"/>
    </row>
    <row r="426" ht="15" customHeight="1">
      <c r="A426" t="inlineStr">
        <is>
          <t>A 32202-2019</t>
        </is>
      </c>
      <c r="B426" s="1" t="n">
        <v>43643</v>
      </c>
      <c r="C426" s="1" t="n">
        <v>45353</v>
      </c>
      <c r="D426" t="inlineStr">
        <is>
          <t>VÄSTERNORRLANDS LÄN</t>
        </is>
      </c>
      <c r="E426" t="inlineStr">
        <is>
          <t>SOLLEFTEÅ</t>
        </is>
      </c>
      <c r="G426" t="n">
        <v>2.7</v>
      </c>
      <c r="H426" t="n">
        <v>0</v>
      </c>
      <c r="I426" t="n">
        <v>0</v>
      </c>
      <c r="J426" t="n">
        <v>0</v>
      </c>
      <c r="K426" t="n">
        <v>0</v>
      </c>
      <c r="L426" t="n">
        <v>0</v>
      </c>
      <c r="M426" t="n">
        <v>0</v>
      </c>
      <c r="N426" t="n">
        <v>0</v>
      </c>
      <c r="O426" t="n">
        <v>0</v>
      </c>
      <c r="P426" t="n">
        <v>0</v>
      </c>
      <c r="Q426" t="n">
        <v>0</v>
      </c>
      <c r="R426" s="2" t="inlineStr"/>
    </row>
    <row r="427" ht="15" customHeight="1">
      <c r="A427" t="inlineStr">
        <is>
          <t>A 32203-2019</t>
        </is>
      </c>
      <c r="B427" s="1" t="n">
        <v>43643</v>
      </c>
      <c r="C427" s="1" t="n">
        <v>45353</v>
      </c>
      <c r="D427" t="inlineStr">
        <is>
          <t>VÄSTERNORRLANDS LÄN</t>
        </is>
      </c>
      <c r="E427" t="inlineStr">
        <is>
          <t>SOLLEFTEÅ</t>
        </is>
      </c>
      <c r="G427" t="n">
        <v>1.7</v>
      </c>
      <c r="H427" t="n">
        <v>0</v>
      </c>
      <c r="I427" t="n">
        <v>0</v>
      </c>
      <c r="J427" t="n">
        <v>0</v>
      </c>
      <c r="K427" t="n">
        <v>0</v>
      </c>
      <c r="L427" t="n">
        <v>0</v>
      </c>
      <c r="M427" t="n">
        <v>0</v>
      </c>
      <c r="N427" t="n">
        <v>0</v>
      </c>
      <c r="O427" t="n">
        <v>0</v>
      </c>
      <c r="P427" t="n">
        <v>0</v>
      </c>
      <c r="Q427" t="n">
        <v>0</v>
      </c>
      <c r="R427" s="2" t="inlineStr"/>
    </row>
    <row r="428" ht="15" customHeight="1">
      <c r="A428" t="inlineStr">
        <is>
          <t>A 32744-2019</t>
        </is>
      </c>
      <c r="B428" s="1" t="n">
        <v>43647</v>
      </c>
      <c r="C428" s="1" t="n">
        <v>45353</v>
      </c>
      <c r="D428" t="inlineStr">
        <is>
          <t>VÄSTERNORRLANDS LÄN</t>
        </is>
      </c>
      <c r="E428" t="inlineStr">
        <is>
          <t>SOLLEFTEÅ</t>
        </is>
      </c>
      <c r="F428" t="inlineStr">
        <is>
          <t>SCA</t>
        </is>
      </c>
      <c r="G428" t="n">
        <v>33.3</v>
      </c>
      <c r="H428" t="n">
        <v>0</v>
      </c>
      <c r="I428" t="n">
        <v>0</v>
      </c>
      <c r="J428" t="n">
        <v>0</v>
      </c>
      <c r="K428" t="n">
        <v>0</v>
      </c>
      <c r="L428" t="n">
        <v>0</v>
      </c>
      <c r="M428" t="n">
        <v>0</v>
      </c>
      <c r="N428" t="n">
        <v>0</v>
      </c>
      <c r="O428" t="n">
        <v>0</v>
      </c>
      <c r="P428" t="n">
        <v>0</v>
      </c>
      <c r="Q428" t="n">
        <v>0</v>
      </c>
      <c r="R428" s="2" t="inlineStr"/>
    </row>
    <row r="429" ht="15" customHeight="1">
      <c r="A429" t="inlineStr">
        <is>
          <t>A 33217-2019</t>
        </is>
      </c>
      <c r="B429" s="1" t="n">
        <v>43649</v>
      </c>
      <c r="C429" s="1" t="n">
        <v>45353</v>
      </c>
      <c r="D429" t="inlineStr">
        <is>
          <t>VÄSTERNORRLANDS LÄN</t>
        </is>
      </c>
      <c r="E429" t="inlineStr">
        <is>
          <t>SOLLEFTEÅ</t>
        </is>
      </c>
      <c r="G429" t="n">
        <v>29.3</v>
      </c>
      <c r="H429" t="n">
        <v>0</v>
      </c>
      <c r="I429" t="n">
        <v>0</v>
      </c>
      <c r="J429" t="n">
        <v>0</v>
      </c>
      <c r="K429" t="n">
        <v>0</v>
      </c>
      <c r="L429" t="n">
        <v>0</v>
      </c>
      <c r="M429" t="n">
        <v>0</v>
      </c>
      <c r="N429" t="n">
        <v>0</v>
      </c>
      <c r="O429" t="n">
        <v>0</v>
      </c>
      <c r="P429" t="n">
        <v>0</v>
      </c>
      <c r="Q429" t="n">
        <v>0</v>
      </c>
      <c r="R429" s="2" t="inlineStr"/>
    </row>
    <row r="430" ht="15" customHeight="1">
      <c r="A430" t="inlineStr">
        <is>
          <t>A 34886-2019</t>
        </is>
      </c>
      <c r="B430" s="1" t="n">
        <v>43650</v>
      </c>
      <c r="C430" s="1" t="n">
        <v>45353</v>
      </c>
      <c r="D430" t="inlineStr">
        <is>
          <t>VÄSTERNORRLANDS LÄN</t>
        </is>
      </c>
      <c r="E430" t="inlineStr">
        <is>
          <t>SOLLEFTEÅ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33833-2019</t>
        </is>
      </c>
      <c r="B431" s="1" t="n">
        <v>43651</v>
      </c>
      <c r="C431" s="1" t="n">
        <v>45353</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33826-2019</t>
        </is>
      </c>
      <c r="B432" s="1" t="n">
        <v>43651</v>
      </c>
      <c r="C432" s="1" t="n">
        <v>45353</v>
      </c>
      <c r="D432" t="inlineStr">
        <is>
          <t>VÄSTERNORRLANDS LÄN</t>
        </is>
      </c>
      <c r="E432" t="inlineStr">
        <is>
          <t>SOLLEFTEÅ</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33852-2019</t>
        </is>
      </c>
      <c r="B433" s="1" t="n">
        <v>43651</v>
      </c>
      <c r="C433" s="1" t="n">
        <v>45353</v>
      </c>
      <c r="D433" t="inlineStr">
        <is>
          <t>VÄSTERNORRLANDS LÄN</t>
        </is>
      </c>
      <c r="E433" t="inlineStr">
        <is>
          <t>SOLLEFTEÅ</t>
        </is>
      </c>
      <c r="G433" t="n">
        <v>1.6</v>
      </c>
      <c r="H433" t="n">
        <v>0</v>
      </c>
      <c r="I433" t="n">
        <v>0</v>
      </c>
      <c r="J433" t="n">
        <v>0</v>
      </c>
      <c r="K433" t="n">
        <v>0</v>
      </c>
      <c r="L433" t="n">
        <v>0</v>
      </c>
      <c r="M433" t="n">
        <v>0</v>
      </c>
      <c r="N433" t="n">
        <v>0</v>
      </c>
      <c r="O433" t="n">
        <v>0</v>
      </c>
      <c r="P433" t="n">
        <v>0</v>
      </c>
      <c r="Q433" t="n">
        <v>0</v>
      </c>
      <c r="R433" s="2" t="inlineStr"/>
    </row>
    <row r="434" ht="15" customHeight="1">
      <c r="A434" t="inlineStr">
        <is>
          <t>A 33914-2019</t>
        </is>
      </c>
      <c r="B434" s="1" t="n">
        <v>43654</v>
      </c>
      <c r="C434" s="1" t="n">
        <v>45353</v>
      </c>
      <c r="D434" t="inlineStr">
        <is>
          <t>VÄSTERNORRLANDS LÄN</t>
        </is>
      </c>
      <c r="E434" t="inlineStr">
        <is>
          <t>SOLLEFTEÅ</t>
        </is>
      </c>
      <c r="G434" t="n">
        <v>2.9</v>
      </c>
      <c r="H434" t="n">
        <v>0</v>
      </c>
      <c r="I434" t="n">
        <v>0</v>
      </c>
      <c r="J434" t="n">
        <v>0</v>
      </c>
      <c r="K434" t="n">
        <v>0</v>
      </c>
      <c r="L434" t="n">
        <v>0</v>
      </c>
      <c r="M434" t="n">
        <v>0</v>
      </c>
      <c r="N434" t="n">
        <v>0</v>
      </c>
      <c r="O434" t="n">
        <v>0</v>
      </c>
      <c r="P434" t="n">
        <v>0</v>
      </c>
      <c r="Q434" t="n">
        <v>0</v>
      </c>
      <c r="R434" s="2" t="inlineStr"/>
    </row>
    <row r="435" ht="15" customHeight="1">
      <c r="A435" t="inlineStr">
        <is>
          <t>A 34113-2019</t>
        </is>
      </c>
      <c r="B435" s="1" t="n">
        <v>43654</v>
      </c>
      <c r="C435" s="1" t="n">
        <v>45353</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34311-2019</t>
        </is>
      </c>
      <c r="B436" s="1" t="n">
        <v>43655</v>
      </c>
      <c r="C436" s="1" t="n">
        <v>45353</v>
      </c>
      <c r="D436" t="inlineStr">
        <is>
          <t>VÄSTERNORRLANDS LÄN</t>
        </is>
      </c>
      <c r="E436" t="inlineStr">
        <is>
          <t>SOLLEFTEÅ</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34229-2019</t>
        </is>
      </c>
      <c r="B437" s="1" t="n">
        <v>43655</v>
      </c>
      <c r="C437" s="1" t="n">
        <v>45353</v>
      </c>
      <c r="D437" t="inlineStr">
        <is>
          <t>VÄSTERNORRLANDS LÄN</t>
        </is>
      </c>
      <c r="E437" t="inlineStr">
        <is>
          <t>SOLLEFTEÅ</t>
        </is>
      </c>
      <c r="G437" t="n">
        <v>7.9</v>
      </c>
      <c r="H437" t="n">
        <v>0</v>
      </c>
      <c r="I437" t="n">
        <v>0</v>
      </c>
      <c r="J437" t="n">
        <v>0</v>
      </c>
      <c r="K437" t="n">
        <v>0</v>
      </c>
      <c r="L437" t="n">
        <v>0</v>
      </c>
      <c r="M437" t="n">
        <v>0</v>
      </c>
      <c r="N437" t="n">
        <v>0</v>
      </c>
      <c r="O437" t="n">
        <v>0</v>
      </c>
      <c r="P437" t="n">
        <v>0</v>
      </c>
      <c r="Q437" t="n">
        <v>0</v>
      </c>
      <c r="R437" s="2" t="inlineStr"/>
    </row>
    <row r="438" ht="15" customHeight="1">
      <c r="A438" t="inlineStr">
        <is>
          <t>A 34302-2019</t>
        </is>
      </c>
      <c r="B438" s="1" t="n">
        <v>43655</v>
      </c>
      <c r="C438" s="1" t="n">
        <v>45353</v>
      </c>
      <c r="D438" t="inlineStr">
        <is>
          <t>VÄSTERNORRLANDS LÄN</t>
        </is>
      </c>
      <c r="E438" t="inlineStr">
        <is>
          <t>SOLLEFTEÅ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34738-2019</t>
        </is>
      </c>
      <c r="B439" s="1" t="n">
        <v>43657</v>
      </c>
      <c r="C439" s="1" t="n">
        <v>45353</v>
      </c>
      <c r="D439" t="inlineStr">
        <is>
          <t>VÄSTERNORRLANDS LÄN</t>
        </is>
      </c>
      <c r="E439" t="inlineStr">
        <is>
          <t>SOLLEFTEÅ</t>
        </is>
      </c>
      <c r="G439" t="n">
        <v>4.2</v>
      </c>
      <c r="H439" t="n">
        <v>0</v>
      </c>
      <c r="I439" t="n">
        <v>0</v>
      </c>
      <c r="J439" t="n">
        <v>0</v>
      </c>
      <c r="K439" t="n">
        <v>0</v>
      </c>
      <c r="L439" t="n">
        <v>0</v>
      </c>
      <c r="M439" t="n">
        <v>0</v>
      </c>
      <c r="N439" t="n">
        <v>0</v>
      </c>
      <c r="O439" t="n">
        <v>0</v>
      </c>
      <c r="P439" t="n">
        <v>0</v>
      </c>
      <c r="Q439" t="n">
        <v>0</v>
      </c>
      <c r="R439" s="2" t="inlineStr"/>
    </row>
    <row r="440" ht="15" customHeight="1">
      <c r="A440" t="inlineStr">
        <is>
          <t>A 34916-2019</t>
        </is>
      </c>
      <c r="B440" s="1" t="n">
        <v>43658</v>
      </c>
      <c r="C440" s="1" t="n">
        <v>45353</v>
      </c>
      <c r="D440" t="inlineStr">
        <is>
          <t>VÄSTERNORRLANDS LÄN</t>
        </is>
      </c>
      <c r="E440" t="inlineStr">
        <is>
          <t>SOLLEFTEÅ</t>
        </is>
      </c>
      <c r="G440" t="n">
        <v>2.6</v>
      </c>
      <c r="H440" t="n">
        <v>0</v>
      </c>
      <c r="I440" t="n">
        <v>0</v>
      </c>
      <c r="J440" t="n">
        <v>0</v>
      </c>
      <c r="K440" t="n">
        <v>0</v>
      </c>
      <c r="L440" t="n">
        <v>0</v>
      </c>
      <c r="M440" t="n">
        <v>0</v>
      </c>
      <c r="N440" t="n">
        <v>0</v>
      </c>
      <c r="O440" t="n">
        <v>0</v>
      </c>
      <c r="P440" t="n">
        <v>0</v>
      </c>
      <c r="Q440" t="n">
        <v>0</v>
      </c>
      <c r="R440" s="2" t="inlineStr"/>
    </row>
    <row r="441" ht="15" customHeight="1">
      <c r="A441" t="inlineStr">
        <is>
          <t>A 35320-2019</t>
        </is>
      </c>
      <c r="B441" s="1" t="n">
        <v>43662</v>
      </c>
      <c r="C441" s="1" t="n">
        <v>45353</v>
      </c>
      <c r="D441" t="inlineStr">
        <is>
          <t>VÄSTERNORRLANDS LÄN</t>
        </is>
      </c>
      <c r="E441" t="inlineStr">
        <is>
          <t>SOLLEFTEÅ</t>
        </is>
      </c>
      <c r="F441" t="inlineStr">
        <is>
          <t>SCA</t>
        </is>
      </c>
      <c r="G441" t="n">
        <v>8</v>
      </c>
      <c r="H441" t="n">
        <v>0</v>
      </c>
      <c r="I441" t="n">
        <v>0</v>
      </c>
      <c r="J441" t="n">
        <v>0</v>
      </c>
      <c r="K441" t="n">
        <v>0</v>
      </c>
      <c r="L441" t="n">
        <v>0</v>
      </c>
      <c r="M441" t="n">
        <v>0</v>
      </c>
      <c r="N441" t="n">
        <v>0</v>
      </c>
      <c r="O441" t="n">
        <v>0</v>
      </c>
      <c r="P441" t="n">
        <v>0</v>
      </c>
      <c r="Q441" t="n">
        <v>0</v>
      </c>
      <c r="R441" s="2" t="inlineStr"/>
    </row>
    <row r="442" ht="15" customHeight="1">
      <c r="A442" t="inlineStr">
        <is>
          <t>A 35970-2019</t>
        </is>
      </c>
      <c r="B442" s="1" t="n">
        <v>43665</v>
      </c>
      <c r="C442" s="1" t="n">
        <v>45353</v>
      </c>
      <c r="D442" t="inlineStr">
        <is>
          <t>VÄSTERNORRLANDS LÄN</t>
        </is>
      </c>
      <c r="E442" t="inlineStr">
        <is>
          <t>SOLLEFTEÅ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35969-2019</t>
        </is>
      </c>
      <c r="B443" s="1" t="n">
        <v>43665</v>
      </c>
      <c r="C443" s="1" t="n">
        <v>45353</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36137-2019</t>
        </is>
      </c>
      <c r="B444" s="1" t="n">
        <v>43668</v>
      </c>
      <c r="C444" s="1" t="n">
        <v>45353</v>
      </c>
      <c r="D444" t="inlineStr">
        <is>
          <t>VÄSTERNORRLANDS LÄN</t>
        </is>
      </c>
      <c r="E444" t="inlineStr">
        <is>
          <t>SOLLEFTEÅ</t>
        </is>
      </c>
      <c r="G444" t="n">
        <v>1.2</v>
      </c>
      <c r="H444" t="n">
        <v>0</v>
      </c>
      <c r="I444" t="n">
        <v>0</v>
      </c>
      <c r="J444" t="n">
        <v>0</v>
      </c>
      <c r="K444" t="n">
        <v>0</v>
      </c>
      <c r="L444" t="n">
        <v>0</v>
      </c>
      <c r="M444" t="n">
        <v>0</v>
      </c>
      <c r="N444" t="n">
        <v>0</v>
      </c>
      <c r="O444" t="n">
        <v>0</v>
      </c>
      <c r="P444" t="n">
        <v>0</v>
      </c>
      <c r="Q444" t="n">
        <v>0</v>
      </c>
      <c r="R444" s="2" t="inlineStr"/>
    </row>
    <row r="445" ht="15" customHeight="1">
      <c r="A445" t="inlineStr">
        <is>
          <t>A 36486-2019</t>
        </is>
      </c>
      <c r="B445" s="1" t="n">
        <v>43668</v>
      </c>
      <c r="C445" s="1" t="n">
        <v>45353</v>
      </c>
      <c r="D445" t="inlineStr">
        <is>
          <t>VÄSTERNORRLANDS LÄN</t>
        </is>
      </c>
      <c r="E445" t="inlineStr">
        <is>
          <t>SOLLEFTEÅ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36293-2019</t>
        </is>
      </c>
      <c r="B446" s="1" t="n">
        <v>43669</v>
      </c>
      <c r="C446" s="1" t="n">
        <v>45353</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36711-2019</t>
        </is>
      </c>
      <c r="B447" s="1" t="n">
        <v>43671</v>
      </c>
      <c r="C447" s="1" t="n">
        <v>45353</v>
      </c>
      <c r="D447" t="inlineStr">
        <is>
          <t>VÄSTERNORRLANDS LÄN</t>
        </is>
      </c>
      <c r="E447" t="inlineStr">
        <is>
          <t>SOLLEFTEÅ</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37292-2019</t>
        </is>
      </c>
      <c r="B448" s="1" t="n">
        <v>43677</v>
      </c>
      <c r="C448" s="1" t="n">
        <v>45353</v>
      </c>
      <c r="D448" t="inlineStr">
        <is>
          <t>VÄSTERNORRLANDS LÄN</t>
        </is>
      </c>
      <c r="E448" t="inlineStr">
        <is>
          <t>SOLLEFTEÅ</t>
        </is>
      </c>
      <c r="G448" t="n">
        <v>7.8</v>
      </c>
      <c r="H448" t="n">
        <v>0</v>
      </c>
      <c r="I448" t="n">
        <v>0</v>
      </c>
      <c r="J448" t="n">
        <v>0</v>
      </c>
      <c r="K448" t="n">
        <v>0</v>
      </c>
      <c r="L448" t="n">
        <v>0</v>
      </c>
      <c r="M448" t="n">
        <v>0</v>
      </c>
      <c r="N448" t="n">
        <v>0</v>
      </c>
      <c r="O448" t="n">
        <v>0</v>
      </c>
      <c r="P448" t="n">
        <v>0</v>
      </c>
      <c r="Q448" t="n">
        <v>0</v>
      </c>
      <c r="R448" s="2" t="inlineStr"/>
    </row>
    <row r="449" ht="15" customHeight="1">
      <c r="A449" t="inlineStr">
        <is>
          <t>A 37291-2019</t>
        </is>
      </c>
      <c r="B449" s="1" t="n">
        <v>43677</v>
      </c>
      <c r="C449" s="1" t="n">
        <v>45353</v>
      </c>
      <c r="D449" t="inlineStr">
        <is>
          <t>VÄSTERNORRLANDS LÄN</t>
        </is>
      </c>
      <c r="E449" t="inlineStr">
        <is>
          <t>SOLLEFTEÅ</t>
        </is>
      </c>
      <c r="G449" t="n">
        <v>7.4</v>
      </c>
      <c r="H449" t="n">
        <v>0</v>
      </c>
      <c r="I449" t="n">
        <v>0</v>
      </c>
      <c r="J449" t="n">
        <v>0</v>
      </c>
      <c r="K449" t="n">
        <v>0</v>
      </c>
      <c r="L449" t="n">
        <v>0</v>
      </c>
      <c r="M449" t="n">
        <v>0</v>
      </c>
      <c r="N449" t="n">
        <v>0</v>
      </c>
      <c r="O449" t="n">
        <v>0</v>
      </c>
      <c r="P449" t="n">
        <v>0</v>
      </c>
      <c r="Q449" t="n">
        <v>0</v>
      </c>
      <c r="R449" s="2" t="inlineStr"/>
    </row>
    <row r="450" ht="15" customHeight="1">
      <c r="A450" t="inlineStr">
        <is>
          <t>A 37434-2019</t>
        </is>
      </c>
      <c r="B450" s="1" t="n">
        <v>43678</v>
      </c>
      <c r="C450" s="1" t="n">
        <v>45353</v>
      </c>
      <c r="D450" t="inlineStr">
        <is>
          <t>VÄSTERNORRLANDS LÄN</t>
        </is>
      </c>
      <c r="E450" t="inlineStr">
        <is>
          <t>SOLLEFTEÅ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37652-2019</t>
        </is>
      </c>
      <c r="B451" s="1" t="n">
        <v>43679</v>
      </c>
      <c r="C451" s="1" t="n">
        <v>45353</v>
      </c>
      <c r="D451" t="inlineStr">
        <is>
          <t>VÄSTERNORRLANDS LÄN</t>
        </is>
      </c>
      <c r="E451" t="inlineStr">
        <is>
          <t>SOLLEFTEÅ</t>
        </is>
      </c>
      <c r="G451" t="n">
        <v>3.6</v>
      </c>
      <c r="H451" t="n">
        <v>0</v>
      </c>
      <c r="I451" t="n">
        <v>0</v>
      </c>
      <c r="J451" t="n">
        <v>0</v>
      </c>
      <c r="K451" t="n">
        <v>0</v>
      </c>
      <c r="L451" t="n">
        <v>0</v>
      </c>
      <c r="M451" t="n">
        <v>0</v>
      </c>
      <c r="N451" t="n">
        <v>0</v>
      </c>
      <c r="O451" t="n">
        <v>0</v>
      </c>
      <c r="P451" t="n">
        <v>0</v>
      </c>
      <c r="Q451" t="n">
        <v>0</v>
      </c>
      <c r="R451" s="2" t="inlineStr"/>
    </row>
    <row r="452" ht="15" customHeight="1">
      <c r="A452" t="inlineStr">
        <is>
          <t>A 37670-2019</t>
        </is>
      </c>
      <c r="B452" s="1" t="n">
        <v>43679</v>
      </c>
      <c r="C452" s="1" t="n">
        <v>45353</v>
      </c>
      <c r="D452" t="inlineStr">
        <is>
          <t>VÄSTERNORRLANDS LÄN</t>
        </is>
      </c>
      <c r="E452" t="inlineStr">
        <is>
          <t>SOLLEFTEÅ</t>
        </is>
      </c>
      <c r="G452" t="n">
        <v>3.2</v>
      </c>
      <c r="H452" t="n">
        <v>0</v>
      </c>
      <c r="I452" t="n">
        <v>0</v>
      </c>
      <c r="J452" t="n">
        <v>0</v>
      </c>
      <c r="K452" t="n">
        <v>0</v>
      </c>
      <c r="L452" t="n">
        <v>0</v>
      </c>
      <c r="M452" t="n">
        <v>0</v>
      </c>
      <c r="N452" t="n">
        <v>0</v>
      </c>
      <c r="O452" t="n">
        <v>0</v>
      </c>
      <c r="P452" t="n">
        <v>0</v>
      </c>
      <c r="Q452" t="n">
        <v>0</v>
      </c>
      <c r="R452" s="2" t="inlineStr"/>
    </row>
    <row r="453" ht="15" customHeight="1">
      <c r="A453" t="inlineStr">
        <is>
          <t>A 38081-2019</t>
        </is>
      </c>
      <c r="B453" s="1" t="n">
        <v>43682</v>
      </c>
      <c r="C453" s="1" t="n">
        <v>45353</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38074-2019</t>
        </is>
      </c>
      <c r="B454" s="1" t="n">
        <v>43682</v>
      </c>
      <c r="C454" s="1" t="n">
        <v>45353</v>
      </c>
      <c r="D454" t="inlineStr">
        <is>
          <t>VÄSTERNORRLANDS LÄN</t>
        </is>
      </c>
      <c r="E454" t="inlineStr">
        <is>
          <t>SOLLEFTEÅ</t>
        </is>
      </c>
      <c r="G454" t="n">
        <v>4.2</v>
      </c>
      <c r="H454" t="n">
        <v>0</v>
      </c>
      <c r="I454" t="n">
        <v>0</v>
      </c>
      <c r="J454" t="n">
        <v>0</v>
      </c>
      <c r="K454" t="n">
        <v>0</v>
      </c>
      <c r="L454" t="n">
        <v>0</v>
      </c>
      <c r="M454" t="n">
        <v>0</v>
      </c>
      <c r="N454" t="n">
        <v>0</v>
      </c>
      <c r="O454" t="n">
        <v>0</v>
      </c>
      <c r="P454" t="n">
        <v>0</v>
      </c>
      <c r="Q454" t="n">
        <v>0</v>
      </c>
      <c r="R454" s="2" t="inlineStr"/>
    </row>
    <row r="455" ht="15" customHeight="1">
      <c r="A455" t="inlineStr">
        <is>
          <t>A 38080-2019</t>
        </is>
      </c>
      <c r="B455" s="1" t="n">
        <v>43682</v>
      </c>
      <c r="C455" s="1" t="n">
        <v>45353</v>
      </c>
      <c r="D455" t="inlineStr">
        <is>
          <t>VÄSTERNORRLANDS LÄN</t>
        </is>
      </c>
      <c r="E455" t="inlineStr">
        <is>
          <t>SOLLEFTEÅ</t>
        </is>
      </c>
      <c r="G455" t="n">
        <v>0.5</v>
      </c>
      <c r="H455" t="n">
        <v>0</v>
      </c>
      <c r="I455" t="n">
        <v>0</v>
      </c>
      <c r="J455" t="n">
        <v>0</v>
      </c>
      <c r="K455" t="n">
        <v>0</v>
      </c>
      <c r="L455" t="n">
        <v>0</v>
      </c>
      <c r="M455" t="n">
        <v>0</v>
      </c>
      <c r="N455" t="n">
        <v>0</v>
      </c>
      <c r="O455" t="n">
        <v>0</v>
      </c>
      <c r="P455" t="n">
        <v>0</v>
      </c>
      <c r="Q455" t="n">
        <v>0</v>
      </c>
      <c r="R455" s="2" t="inlineStr"/>
    </row>
    <row r="456" ht="15" customHeight="1">
      <c r="A456" t="inlineStr">
        <is>
          <t>A 38083-2019</t>
        </is>
      </c>
      <c r="B456" s="1" t="n">
        <v>43682</v>
      </c>
      <c r="C456" s="1" t="n">
        <v>45353</v>
      </c>
      <c r="D456" t="inlineStr">
        <is>
          <t>VÄSTERNORRLANDS LÄN</t>
        </is>
      </c>
      <c r="E456" t="inlineStr">
        <is>
          <t>SOLLEFTEÅ</t>
        </is>
      </c>
      <c r="G456" t="n">
        <v>9.6</v>
      </c>
      <c r="H456" t="n">
        <v>0</v>
      </c>
      <c r="I456" t="n">
        <v>0</v>
      </c>
      <c r="J456" t="n">
        <v>0</v>
      </c>
      <c r="K456" t="n">
        <v>0</v>
      </c>
      <c r="L456" t="n">
        <v>0</v>
      </c>
      <c r="M456" t="n">
        <v>0</v>
      </c>
      <c r="N456" t="n">
        <v>0</v>
      </c>
      <c r="O456" t="n">
        <v>0</v>
      </c>
      <c r="P456" t="n">
        <v>0</v>
      </c>
      <c r="Q456" t="n">
        <v>0</v>
      </c>
      <c r="R456" s="2" t="inlineStr"/>
    </row>
    <row r="457" ht="15" customHeight="1">
      <c r="A457" t="inlineStr">
        <is>
          <t>A 38544-2019</t>
        </is>
      </c>
      <c r="B457" s="1" t="n">
        <v>43684</v>
      </c>
      <c r="C457" s="1" t="n">
        <v>45353</v>
      </c>
      <c r="D457" t="inlineStr">
        <is>
          <t>VÄSTERNORRLANDS LÄN</t>
        </is>
      </c>
      <c r="E457" t="inlineStr">
        <is>
          <t>SOLLEFTEÅ</t>
        </is>
      </c>
      <c r="G457" t="n">
        <v>6.6</v>
      </c>
      <c r="H457" t="n">
        <v>0</v>
      </c>
      <c r="I457" t="n">
        <v>0</v>
      </c>
      <c r="J457" t="n">
        <v>0</v>
      </c>
      <c r="K457" t="n">
        <v>0</v>
      </c>
      <c r="L457" t="n">
        <v>0</v>
      </c>
      <c r="M457" t="n">
        <v>0</v>
      </c>
      <c r="N457" t="n">
        <v>0</v>
      </c>
      <c r="O457" t="n">
        <v>0</v>
      </c>
      <c r="P457" t="n">
        <v>0</v>
      </c>
      <c r="Q457" t="n">
        <v>0</v>
      </c>
      <c r="R457" s="2" t="inlineStr"/>
    </row>
    <row r="458" ht="15" customHeight="1">
      <c r="A458" t="inlineStr">
        <is>
          <t>A 38252-2019</t>
        </is>
      </c>
      <c r="B458" s="1" t="n">
        <v>43684</v>
      </c>
      <c r="C458" s="1" t="n">
        <v>45353</v>
      </c>
      <c r="D458" t="inlineStr">
        <is>
          <t>VÄSTERNORRLANDS LÄN</t>
        </is>
      </c>
      <c r="E458" t="inlineStr">
        <is>
          <t>SOLLEFTEÅ</t>
        </is>
      </c>
      <c r="G458" t="n">
        <v>2.4</v>
      </c>
      <c r="H458" t="n">
        <v>0</v>
      </c>
      <c r="I458" t="n">
        <v>0</v>
      </c>
      <c r="J458" t="n">
        <v>0</v>
      </c>
      <c r="K458" t="n">
        <v>0</v>
      </c>
      <c r="L458" t="n">
        <v>0</v>
      </c>
      <c r="M458" t="n">
        <v>0</v>
      </c>
      <c r="N458" t="n">
        <v>0</v>
      </c>
      <c r="O458" t="n">
        <v>0</v>
      </c>
      <c r="P458" t="n">
        <v>0</v>
      </c>
      <c r="Q458" t="n">
        <v>0</v>
      </c>
      <c r="R458" s="2" t="inlineStr"/>
    </row>
    <row r="459" ht="15" customHeight="1">
      <c r="A459" t="inlineStr">
        <is>
          <t>A 38566-2019</t>
        </is>
      </c>
      <c r="B459" s="1" t="n">
        <v>43685</v>
      </c>
      <c r="C459" s="1" t="n">
        <v>45353</v>
      </c>
      <c r="D459" t="inlineStr">
        <is>
          <t>VÄSTERNORRLANDS LÄN</t>
        </is>
      </c>
      <c r="E459" t="inlineStr">
        <is>
          <t>SOLLEFTEÅ</t>
        </is>
      </c>
      <c r="F459" t="inlineStr">
        <is>
          <t>SCA</t>
        </is>
      </c>
      <c r="G459" t="n">
        <v>15.1</v>
      </c>
      <c r="H459" t="n">
        <v>0</v>
      </c>
      <c r="I459" t="n">
        <v>0</v>
      </c>
      <c r="J459" t="n">
        <v>0</v>
      </c>
      <c r="K459" t="n">
        <v>0</v>
      </c>
      <c r="L459" t="n">
        <v>0</v>
      </c>
      <c r="M459" t="n">
        <v>0</v>
      </c>
      <c r="N459" t="n">
        <v>0</v>
      </c>
      <c r="O459" t="n">
        <v>0</v>
      </c>
      <c r="P459" t="n">
        <v>0</v>
      </c>
      <c r="Q459" t="n">
        <v>0</v>
      </c>
      <c r="R459" s="2" t="inlineStr"/>
    </row>
    <row r="460" ht="15" customHeight="1">
      <c r="A460" t="inlineStr">
        <is>
          <t>A 38762-2019</t>
        </is>
      </c>
      <c r="B460" s="1" t="n">
        <v>43686</v>
      </c>
      <c r="C460" s="1" t="n">
        <v>45353</v>
      </c>
      <c r="D460" t="inlineStr">
        <is>
          <t>VÄSTERNORRLANDS LÄN</t>
        </is>
      </c>
      <c r="E460" t="inlineStr">
        <is>
          <t>SOLLEFTEÅ</t>
        </is>
      </c>
      <c r="G460" t="n">
        <v>7.7</v>
      </c>
      <c r="H460" t="n">
        <v>0</v>
      </c>
      <c r="I460" t="n">
        <v>0</v>
      </c>
      <c r="J460" t="n">
        <v>0</v>
      </c>
      <c r="K460" t="n">
        <v>0</v>
      </c>
      <c r="L460" t="n">
        <v>0</v>
      </c>
      <c r="M460" t="n">
        <v>0</v>
      </c>
      <c r="N460" t="n">
        <v>0</v>
      </c>
      <c r="O460" t="n">
        <v>0</v>
      </c>
      <c r="P460" t="n">
        <v>0</v>
      </c>
      <c r="Q460" t="n">
        <v>0</v>
      </c>
      <c r="R460" s="2" t="inlineStr"/>
    </row>
    <row r="461" ht="15" customHeight="1">
      <c r="A461" t="inlineStr">
        <is>
          <t>A 38763-2019</t>
        </is>
      </c>
      <c r="B461" s="1" t="n">
        <v>43686</v>
      </c>
      <c r="C461" s="1" t="n">
        <v>45353</v>
      </c>
      <c r="D461" t="inlineStr">
        <is>
          <t>VÄSTERNORRLANDS LÄN</t>
        </is>
      </c>
      <c r="E461" t="inlineStr">
        <is>
          <t>SOLLEFTEÅ</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39123-2019</t>
        </is>
      </c>
      <c r="B462" s="1" t="n">
        <v>43689</v>
      </c>
      <c r="C462" s="1" t="n">
        <v>45353</v>
      </c>
      <c r="D462" t="inlineStr">
        <is>
          <t>VÄSTERNORRLANDS LÄN</t>
        </is>
      </c>
      <c r="E462" t="inlineStr">
        <is>
          <t>SOLLEFTEÅ</t>
        </is>
      </c>
      <c r="G462" t="n">
        <v>10.9</v>
      </c>
      <c r="H462" t="n">
        <v>0</v>
      </c>
      <c r="I462" t="n">
        <v>0</v>
      </c>
      <c r="J462" t="n">
        <v>0</v>
      </c>
      <c r="K462" t="n">
        <v>0</v>
      </c>
      <c r="L462" t="n">
        <v>0</v>
      </c>
      <c r="M462" t="n">
        <v>0</v>
      </c>
      <c r="N462" t="n">
        <v>0</v>
      </c>
      <c r="O462" t="n">
        <v>0</v>
      </c>
      <c r="P462" t="n">
        <v>0</v>
      </c>
      <c r="Q462" t="n">
        <v>0</v>
      </c>
      <c r="R462" s="2" t="inlineStr"/>
    </row>
    <row r="463" ht="15" customHeight="1">
      <c r="A463" t="inlineStr">
        <is>
          <t>A 39768-2019</t>
        </is>
      </c>
      <c r="B463" s="1" t="n">
        <v>43689</v>
      </c>
      <c r="C463" s="1" t="n">
        <v>45353</v>
      </c>
      <c r="D463" t="inlineStr">
        <is>
          <t>VÄSTERNORRLANDS LÄN</t>
        </is>
      </c>
      <c r="E463" t="inlineStr">
        <is>
          <t>SOLLEFTEÅ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40764-2019</t>
        </is>
      </c>
      <c r="B464" s="1" t="n">
        <v>43692</v>
      </c>
      <c r="C464" s="1" t="n">
        <v>45353</v>
      </c>
      <c r="D464" t="inlineStr">
        <is>
          <t>VÄSTERNORRLANDS LÄN</t>
        </is>
      </c>
      <c r="E464" t="inlineStr">
        <is>
          <t>SOLLEFTEÅ</t>
        </is>
      </c>
      <c r="G464" t="n">
        <v>2.9</v>
      </c>
      <c r="H464" t="n">
        <v>0</v>
      </c>
      <c r="I464" t="n">
        <v>0</v>
      </c>
      <c r="J464" t="n">
        <v>0</v>
      </c>
      <c r="K464" t="n">
        <v>0</v>
      </c>
      <c r="L464" t="n">
        <v>0</v>
      </c>
      <c r="M464" t="n">
        <v>0</v>
      </c>
      <c r="N464" t="n">
        <v>0</v>
      </c>
      <c r="O464" t="n">
        <v>0</v>
      </c>
      <c r="P464" t="n">
        <v>0</v>
      </c>
      <c r="Q464" t="n">
        <v>0</v>
      </c>
      <c r="R464" s="2" t="inlineStr"/>
    </row>
    <row r="465" ht="15" customHeight="1">
      <c r="A465" t="inlineStr">
        <is>
          <t>A 40769-2019</t>
        </is>
      </c>
      <c r="B465" s="1" t="n">
        <v>43692</v>
      </c>
      <c r="C465" s="1" t="n">
        <v>45353</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41069-2019</t>
        </is>
      </c>
      <c r="B466" s="1" t="n">
        <v>43693</v>
      </c>
      <c r="C466" s="1" t="n">
        <v>45353</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40512-2019</t>
        </is>
      </c>
      <c r="B467" s="1" t="n">
        <v>43696</v>
      </c>
      <c r="C467" s="1" t="n">
        <v>45353</v>
      </c>
      <c r="D467" t="inlineStr">
        <is>
          <t>VÄSTERNORRLANDS LÄN</t>
        </is>
      </c>
      <c r="E467" t="inlineStr">
        <is>
          <t>SOLLEFTEÅ</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40685-2019</t>
        </is>
      </c>
      <c r="B468" s="1" t="n">
        <v>43696</v>
      </c>
      <c r="C468" s="1" t="n">
        <v>45353</v>
      </c>
      <c r="D468" t="inlineStr">
        <is>
          <t>VÄSTERNORRLANDS LÄN</t>
        </is>
      </c>
      <c r="E468" t="inlineStr">
        <is>
          <t>SOLLEFTEÅ</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40682-2019</t>
        </is>
      </c>
      <c r="B469" s="1" t="n">
        <v>43696</v>
      </c>
      <c r="C469" s="1" t="n">
        <v>45353</v>
      </c>
      <c r="D469" t="inlineStr">
        <is>
          <t>VÄSTERNORRLANDS LÄN</t>
        </is>
      </c>
      <c r="E469" t="inlineStr">
        <is>
          <t>SOLLEFTEÅ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40514-2019</t>
        </is>
      </c>
      <c r="B470" s="1" t="n">
        <v>43696</v>
      </c>
      <c r="C470" s="1" t="n">
        <v>45353</v>
      </c>
      <c r="D470" t="inlineStr">
        <is>
          <t>VÄSTERNORRLANDS LÄN</t>
        </is>
      </c>
      <c r="E470" t="inlineStr">
        <is>
          <t>SOLLEFTEÅ</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40679-2019</t>
        </is>
      </c>
      <c r="B471" s="1" t="n">
        <v>43696</v>
      </c>
      <c r="C471" s="1" t="n">
        <v>45353</v>
      </c>
      <c r="D471" t="inlineStr">
        <is>
          <t>VÄSTERNORRLANDS LÄN</t>
        </is>
      </c>
      <c r="E471" t="inlineStr">
        <is>
          <t>SOLLEFTEÅ</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41786-2019</t>
        </is>
      </c>
      <c r="B472" s="1" t="n">
        <v>43699</v>
      </c>
      <c r="C472" s="1" t="n">
        <v>45353</v>
      </c>
      <c r="D472" t="inlineStr">
        <is>
          <t>VÄSTERNORRLANDS LÄN</t>
        </is>
      </c>
      <c r="E472" t="inlineStr">
        <is>
          <t>SOLLEFTEÅ</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42417-2019</t>
        </is>
      </c>
      <c r="B473" s="1" t="n">
        <v>43703</v>
      </c>
      <c r="C473" s="1" t="n">
        <v>45353</v>
      </c>
      <c r="D473" t="inlineStr">
        <is>
          <t>VÄSTERNORRLANDS LÄN</t>
        </is>
      </c>
      <c r="E473" t="inlineStr">
        <is>
          <t>SOLLEFTEÅ</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42791-2019</t>
        </is>
      </c>
      <c r="B474" s="1" t="n">
        <v>43704</v>
      </c>
      <c r="C474" s="1" t="n">
        <v>45353</v>
      </c>
      <c r="D474" t="inlineStr">
        <is>
          <t>VÄSTERNORRLANDS LÄN</t>
        </is>
      </c>
      <c r="E474" t="inlineStr">
        <is>
          <t>SOLLEFTEÅ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42792-2019</t>
        </is>
      </c>
      <c r="B475" s="1" t="n">
        <v>43704</v>
      </c>
      <c r="C475" s="1" t="n">
        <v>45353</v>
      </c>
      <c r="D475" t="inlineStr">
        <is>
          <t>VÄSTERNORRLANDS LÄN</t>
        </is>
      </c>
      <c r="E475" t="inlineStr">
        <is>
          <t>SOLLEFTEÅ</t>
        </is>
      </c>
      <c r="G475" t="n">
        <v>5.7</v>
      </c>
      <c r="H475" t="n">
        <v>0</v>
      </c>
      <c r="I475" t="n">
        <v>0</v>
      </c>
      <c r="J475" t="n">
        <v>0</v>
      </c>
      <c r="K475" t="n">
        <v>0</v>
      </c>
      <c r="L475" t="n">
        <v>0</v>
      </c>
      <c r="M475" t="n">
        <v>0</v>
      </c>
      <c r="N475" t="n">
        <v>0</v>
      </c>
      <c r="O475" t="n">
        <v>0</v>
      </c>
      <c r="P475" t="n">
        <v>0</v>
      </c>
      <c r="Q475" t="n">
        <v>0</v>
      </c>
      <c r="R475" s="2" t="inlineStr"/>
    </row>
    <row r="476" ht="15" customHeight="1">
      <c r="A476" t="inlineStr">
        <is>
          <t>A 43499-2019</t>
        </is>
      </c>
      <c r="B476" s="1" t="n">
        <v>43706</v>
      </c>
      <c r="C476" s="1" t="n">
        <v>45353</v>
      </c>
      <c r="D476" t="inlineStr">
        <is>
          <t>VÄSTERNORRLANDS LÄN</t>
        </is>
      </c>
      <c r="E476" t="inlineStr">
        <is>
          <t>SOLLEFTEÅ</t>
        </is>
      </c>
      <c r="G476" t="n">
        <v>19.3</v>
      </c>
      <c r="H476" t="n">
        <v>0</v>
      </c>
      <c r="I476" t="n">
        <v>0</v>
      </c>
      <c r="J476" t="n">
        <v>0</v>
      </c>
      <c r="K476" t="n">
        <v>0</v>
      </c>
      <c r="L476" t="n">
        <v>0</v>
      </c>
      <c r="M476" t="n">
        <v>0</v>
      </c>
      <c r="N476" t="n">
        <v>0</v>
      </c>
      <c r="O476" t="n">
        <v>0</v>
      </c>
      <c r="P476" t="n">
        <v>0</v>
      </c>
      <c r="Q476" t="n">
        <v>0</v>
      </c>
      <c r="R476" s="2" t="inlineStr"/>
    </row>
    <row r="477" ht="15" customHeight="1">
      <c r="A477" t="inlineStr">
        <is>
          <t>A 45032-2019</t>
        </is>
      </c>
      <c r="B477" s="1" t="n">
        <v>43707</v>
      </c>
      <c r="C477" s="1" t="n">
        <v>45353</v>
      </c>
      <c r="D477" t="inlineStr">
        <is>
          <t>VÄSTERNORRLANDS LÄN</t>
        </is>
      </c>
      <c r="E477" t="inlineStr">
        <is>
          <t>SOLLEFTEÅ</t>
        </is>
      </c>
      <c r="G477" t="n">
        <v>9.4</v>
      </c>
      <c r="H477" t="n">
        <v>0</v>
      </c>
      <c r="I477" t="n">
        <v>0</v>
      </c>
      <c r="J477" t="n">
        <v>0</v>
      </c>
      <c r="K477" t="n">
        <v>0</v>
      </c>
      <c r="L477" t="n">
        <v>0</v>
      </c>
      <c r="M477" t="n">
        <v>0</v>
      </c>
      <c r="N477" t="n">
        <v>0</v>
      </c>
      <c r="O477" t="n">
        <v>0</v>
      </c>
      <c r="P477" t="n">
        <v>0</v>
      </c>
      <c r="Q477" t="n">
        <v>0</v>
      </c>
      <c r="R477" s="2" t="inlineStr"/>
    </row>
    <row r="478" ht="15" customHeight="1">
      <c r="A478" t="inlineStr">
        <is>
          <t>A 44815-2019</t>
        </is>
      </c>
      <c r="B478" s="1" t="n">
        <v>43712</v>
      </c>
      <c r="C478" s="1" t="n">
        <v>45353</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45941-2019</t>
        </is>
      </c>
      <c r="B479" s="1" t="n">
        <v>43712</v>
      </c>
      <c r="C479" s="1" t="n">
        <v>45353</v>
      </c>
      <c r="D479" t="inlineStr">
        <is>
          <t>VÄSTERNORRLANDS LÄN</t>
        </is>
      </c>
      <c r="E479" t="inlineStr">
        <is>
          <t>SOLLEFTEÅ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44888-2019</t>
        </is>
      </c>
      <c r="B480" s="1" t="n">
        <v>43712</v>
      </c>
      <c r="C480" s="1" t="n">
        <v>45353</v>
      </c>
      <c r="D480" t="inlineStr">
        <is>
          <t>VÄSTERNORRLANDS LÄN</t>
        </is>
      </c>
      <c r="E480" t="inlineStr">
        <is>
          <t>SOLLEFTEÅ</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44960-2019</t>
        </is>
      </c>
      <c r="B481" s="1" t="n">
        <v>43713</v>
      </c>
      <c r="C481" s="1" t="n">
        <v>45353</v>
      </c>
      <c r="D481" t="inlineStr">
        <is>
          <t>VÄSTERNORRLANDS LÄN</t>
        </is>
      </c>
      <c r="E481" t="inlineStr">
        <is>
          <t>SOLLEFTEÅ</t>
        </is>
      </c>
      <c r="G481" t="n">
        <v>14.9</v>
      </c>
      <c r="H481" t="n">
        <v>0</v>
      </c>
      <c r="I481" t="n">
        <v>0</v>
      </c>
      <c r="J481" t="n">
        <v>0</v>
      </c>
      <c r="K481" t="n">
        <v>0</v>
      </c>
      <c r="L481" t="n">
        <v>0</v>
      </c>
      <c r="M481" t="n">
        <v>0</v>
      </c>
      <c r="N481" t="n">
        <v>0</v>
      </c>
      <c r="O481" t="n">
        <v>0</v>
      </c>
      <c r="P481" t="n">
        <v>0</v>
      </c>
      <c r="Q481" t="n">
        <v>0</v>
      </c>
      <c r="R481" s="2" t="inlineStr"/>
    </row>
    <row r="482" ht="15" customHeight="1">
      <c r="A482" t="inlineStr">
        <is>
          <t>A 45537-2019</t>
        </is>
      </c>
      <c r="B482" s="1" t="n">
        <v>43714</v>
      </c>
      <c r="C482" s="1" t="n">
        <v>45353</v>
      </c>
      <c r="D482" t="inlineStr">
        <is>
          <t>VÄSTERNORRLANDS LÄN</t>
        </is>
      </c>
      <c r="E482" t="inlineStr">
        <is>
          <t>SOLLEFTEÅ</t>
        </is>
      </c>
      <c r="F482" t="inlineStr">
        <is>
          <t>SCA</t>
        </is>
      </c>
      <c r="G482" t="n">
        <v>35.1</v>
      </c>
      <c r="H482" t="n">
        <v>0</v>
      </c>
      <c r="I482" t="n">
        <v>0</v>
      </c>
      <c r="J482" t="n">
        <v>0</v>
      </c>
      <c r="K482" t="n">
        <v>0</v>
      </c>
      <c r="L482" t="n">
        <v>0</v>
      </c>
      <c r="M482" t="n">
        <v>0</v>
      </c>
      <c r="N482" t="n">
        <v>0</v>
      </c>
      <c r="O482" t="n">
        <v>0</v>
      </c>
      <c r="P482" t="n">
        <v>0</v>
      </c>
      <c r="Q482" t="n">
        <v>0</v>
      </c>
      <c r="R482" s="2" t="inlineStr"/>
    </row>
    <row r="483" ht="15" customHeight="1">
      <c r="A483" t="inlineStr">
        <is>
          <t>A 46345-2019</t>
        </is>
      </c>
      <c r="B483" s="1" t="n">
        <v>43718</v>
      </c>
      <c r="C483" s="1" t="n">
        <v>45353</v>
      </c>
      <c r="D483" t="inlineStr">
        <is>
          <t>VÄSTERNORRLANDS LÄN</t>
        </is>
      </c>
      <c r="E483" t="inlineStr">
        <is>
          <t>SOLLEFTEÅ</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46956-2019</t>
        </is>
      </c>
      <c r="B484" s="1" t="n">
        <v>43719</v>
      </c>
      <c r="C484" s="1" t="n">
        <v>45353</v>
      </c>
      <c r="D484" t="inlineStr">
        <is>
          <t>VÄSTERNORRLANDS LÄN</t>
        </is>
      </c>
      <c r="E484" t="inlineStr">
        <is>
          <t>SOLLEFTEÅ</t>
        </is>
      </c>
      <c r="G484" t="n">
        <v>18.1</v>
      </c>
      <c r="H484" t="n">
        <v>0</v>
      </c>
      <c r="I484" t="n">
        <v>0</v>
      </c>
      <c r="J484" t="n">
        <v>0</v>
      </c>
      <c r="K484" t="n">
        <v>0</v>
      </c>
      <c r="L484" t="n">
        <v>0</v>
      </c>
      <c r="M484" t="n">
        <v>0</v>
      </c>
      <c r="N484" t="n">
        <v>0</v>
      </c>
      <c r="O484" t="n">
        <v>0</v>
      </c>
      <c r="P484" t="n">
        <v>0</v>
      </c>
      <c r="Q484" t="n">
        <v>0</v>
      </c>
      <c r="R484" s="2" t="inlineStr"/>
    </row>
    <row r="485" ht="15" customHeight="1">
      <c r="A485" t="inlineStr">
        <is>
          <t>A 47366-2019</t>
        </is>
      </c>
      <c r="B485" s="1" t="n">
        <v>43721</v>
      </c>
      <c r="C485" s="1" t="n">
        <v>45353</v>
      </c>
      <c r="D485" t="inlineStr">
        <is>
          <t>VÄSTERNORRLANDS LÄN</t>
        </is>
      </c>
      <c r="E485" t="inlineStr">
        <is>
          <t>SOLLEFTEÅ</t>
        </is>
      </c>
      <c r="G485" t="n">
        <v>1.1</v>
      </c>
      <c r="H485" t="n">
        <v>0</v>
      </c>
      <c r="I485" t="n">
        <v>0</v>
      </c>
      <c r="J485" t="n">
        <v>0</v>
      </c>
      <c r="K485" t="n">
        <v>0</v>
      </c>
      <c r="L485" t="n">
        <v>0</v>
      </c>
      <c r="M485" t="n">
        <v>0</v>
      </c>
      <c r="N485" t="n">
        <v>0</v>
      </c>
      <c r="O485" t="n">
        <v>0</v>
      </c>
      <c r="P485" t="n">
        <v>0</v>
      </c>
      <c r="Q485" t="n">
        <v>0</v>
      </c>
      <c r="R485" s="2" t="inlineStr"/>
    </row>
    <row r="486" ht="15" customHeight="1">
      <c r="A486" t="inlineStr">
        <is>
          <t>A 47764-2019</t>
        </is>
      </c>
      <c r="B486" s="1" t="n">
        <v>43724</v>
      </c>
      <c r="C486" s="1" t="n">
        <v>45353</v>
      </c>
      <c r="D486" t="inlineStr">
        <is>
          <t>VÄSTERNORRLANDS LÄN</t>
        </is>
      </c>
      <c r="E486" t="inlineStr">
        <is>
          <t>SOLLEFTEÅ</t>
        </is>
      </c>
      <c r="F486" t="inlineStr">
        <is>
          <t>Kyrkan</t>
        </is>
      </c>
      <c r="G486" t="n">
        <v>4.1</v>
      </c>
      <c r="H486" t="n">
        <v>0</v>
      </c>
      <c r="I486" t="n">
        <v>0</v>
      </c>
      <c r="J486" t="n">
        <v>0</v>
      </c>
      <c r="K486" t="n">
        <v>0</v>
      </c>
      <c r="L486" t="n">
        <v>0</v>
      </c>
      <c r="M486" t="n">
        <v>0</v>
      </c>
      <c r="N486" t="n">
        <v>0</v>
      </c>
      <c r="O486" t="n">
        <v>0</v>
      </c>
      <c r="P486" t="n">
        <v>0</v>
      </c>
      <c r="Q486" t="n">
        <v>0</v>
      </c>
      <c r="R486" s="2" t="inlineStr"/>
    </row>
    <row r="487" ht="15" customHeight="1">
      <c r="A487" t="inlineStr">
        <is>
          <t>A 47768-2019</t>
        </is>
      </c>
      <c r="B487" s="1" t="n">
        <v>43724</v>
      </c>
      <c r="C487" s="1" t="n">
        <v>45353</v>
      </c>
      <c r="D487" t="inlineStr">
        <is>
          <t>VÄSTERNORRLANDS LÄN</t>
        </is>
      </c>
      <c r="E487" t="inlineStr">
        <is>
          <t>SOLLEFTEÅ</t>
        </is>
      </c>
      <c r="F487" t="inlineStr">
        <is>
          <t>Kyrkan</t>
        </is>
      </c>
      <c r="G487" t="n">
        <v>12.1</v>
      </c>
      <c r="H487" t="n">
        <v>0</v>
      </c>
      <c r="I487" t="n">
        <v>0</v>
      </c>
      <c r="J487" t="n">
        <v>0</v>
      </c>
      <c r="K487" t="n">
        <v>0</v>
      </c>
      <c r="L487" t="n">
        <v>0</v>
      </c>
      <c r="M487" t="n">
        <v>0</v>
      </c>
      <c r="N487" t="n">
        <v>0</v>
      </c>
      <c r="O487" t="n">
        <v>0</v>
      </c>
      <c r="P487" t="n">
        <v>0</v>
      </c>
      <c r="Q487" t="n">
        <v>0</v>
      </c>
      <c r="R487" s="2" t="inlineStr"/>
    </row>
    <row r="488" ht="15" customHeight="1">
      <c r="A488" t="inlineStr">
        <is>
          <t>A 49381-2019</t>
        </is>
      </c>
      <c r="B488" s="1" t="n">
        <v>43731</v>
      </c>
      <c r="C488" s="1" t="n">
        <v>45353</v>
      </c>
      <c r="D488" t="inlineStr">
        <is>
          <t>VÄSTERNORRLANDS LÄN</t>
        </is>
      </c>
      <c r="E488" t="inlineStr">
        <is>
          <t>SOLLEFTEÅ</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49380-2019</t>
        </is>
      </c>
      <c r="B489" s="1" t="n">
        <v>43731</v>
      </c>
      <c r="C489" s="1" t="n">
        <v>45353</v>
      </c>
      <c r="D489" t="inlineStr">
        <is>
          <t>VÄSTERNORRLANDS LÄN</t>
        </is>
      </c>
      <c r="E489" t="inlineStr">
        <is>
          <t>SOLLEFTEÅ</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49674-2019</t>
        </is>
      </c>
      <c r="B490" s="1" t="n">
        <v>43732</v>
      </c>
      <c r="C490" s="1" t="n">
        <v>45353</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50283-2019</t>
        </is>
      </c>
      <c r="B491" s="1" t="n">
        <v>43734</v>
      </c>
      <c r="C491" s="1" t="n">
        <v>45353</v>
      </c>
      <c r="D491" t="inlineStr">
        <is>
          <t>VÄSTERNORRLANDS LÄN</t>
        </is>
      </c>
      <c r="E491" t="inlineStr">
        <is>
          <t>SOLLEFTEÅ</t>
        </is>
      </c>
      <c r="F491" t="inlineStr">
        <is>
          <t>SCA</t>
        </is>
      </c>
      <c r="G491" t="n">
        <v>10.6</v>
      </c>
      <c r="H491" t="n">
        <v>0</v>
      </c>
      <c r="I491" t="n">
        <v>0</v>
      </c>
      <c r="J491" t="n">
        <v>0</v>
      </c>
      <c r="K491" t="n">
        <v>0</v>
      </c>
      <c r="L491" t="n">
        <v>0</v>
      </c>
      <c r="M491" t="n">
        <v>0</v>
      </c>
      <c r="N491" t="n">
        <v>0</v>
      </c>
      <c r="O491" t="n">
        <v>0</v>
      </c>
      <c r="P491" t="n">
        <v>0</v>
      </c>
      <c r="Q491" t="n">
        <v>0</v>
      </c>
      <c r="R491" s="2" t="inlineStr"/>
    </row>
    <row r="492" ht="15" customHeight="1">
      <c r="A492" t="inlineStr">
        <is>
          <t>A 50513-2019</t>
        </is>
      </c>
      <c r="B492" s="1" t="n">
        <v>43735</v>
      </c>
      <c r="C492" s="1" t="n">
        <v>45353</v>
      </c>
      <c r="D492" t="inlineStr">
        <is>
          <t>VÄSTERNORRLANDS LÄN</t>
        </is>
      </c>
      <c r="E492" t="inlineStr">
        <is>
          <t>SOLLEFTEÅ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50668-2019</t>
        </is>
      </c>
      <c r="B493" s="1" t="n">
        <v>43737</v>
      </c>
      <c r="C493" s="1" t="n">
        <v>45353</v>
      </c>
      <c r="D493" t="inlineStr">
        <is>
          <t>VÄSTERNORRLANDS LÄN</t>
        </is>
      </c>
      <c r="E493" t="inlineStr">
        <is>
          <t>SOLLEFTEÅ</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51002-2019</t>
        </is>
      </c>
      <c r="B494" s="1" t="n">
        <v>43738</v>
      </c>
      <c r="C494" s="1" t="n">
        <v>45353</v>
      </c>
      <c r="D494" t="inlineStr">
        <is>
          <t>VÄSTERNORRLANDS LÄN</t>
        </is>
      </c>
      <c r="E494" t="inlineStr">
        <is>
          <t>SOLLEFTEÅ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50999-2019</t>
        </is>
      </c>
      <c r="B495" s="1" t="n">
        <v>43738</v>
      </c>
      <c r="C495" s="1" t="n">
        <v>45353</v>
      </c>
      <c r="D495" t="inlineStr">
        <is>
          <t>VÄSTERNORRLANDS LÄN</t>
        </is>
      </c>
      <c r="E495" t="inlineStr">
        <is>
          <t>SOLLEFTEÅ</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51675-2019</t>
        </is>
      </c>
      <c r="B496" s="1" t="n">
        <v>43740</v>
      </c>
      <c r="C496" s="1" t="n">
        <v>45353</v>
      </c>
      <c r="D496" t="inlineStr">
        <is>
          <t>VÄSTERNORRLANDS LÄN</t>
        </is>
      </c>
      <c r="E496" t="inlineStr">
        <is>
          <t>SOLLEFTEÅ</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51671-2019</t>
        </is>
      </c>
      <c r="B497" s="1" t="n">
        <v>43740</v>
      </c>
      <c r="C497" s="1" t="n">
        <v>45353</v>
      </c>
      <c r="D497" t="inlineStr">
        <is>
          <t>VÄSTERNORRLANDS LÄN</t>
        </is>
      </c>
      <c r="E497" t="inlineStr">
        <is>
          <t>SOLLEFTEÅ</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51682-2019</t>
        </is>
      </c>
      <c r="B498" s="1" t="n">
        <v>43740</v>
      </c>
      <c r="C498" s="1" t="n">
        <v>45353</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53079-2019</t>
        </is>
      </c>
      <c r="B499" s="1" t="n">
        <v>43740</v>
      </c>
      <c r="C499" s="1" t="n">
        <v>45353</v>
      </c>
      <c r="D499" t="inlineStr">
        <is>
          <t>VÄSTERNORRLANDS LÄN</t>
        </is>
      </c>
      <c r="E499" t="inlineStr">
        <is>
          <t>SOLLEFTEÅ</t>
        </is>
      </c>
      <c r="G499" t="n">
        <v>7.9</v>
      </c>
      <c r="H499" t="n">
        <v>0</v>
      </c>
      <c r="I499" t="n">
        <v>0</v>
      </c>
      <c r="J499" t="n">
        <v>0</v>
      </c>
      <c r="K499" t="n">
        <v>0</v>
      </c>
      <c r="L499" t="n">
        <v>0</v>
      </c>
      <c r="M499" t="n">
        <v>0</v>
      </c>
      <c r="N499" t="n">
        <v>0</v>
      </c>
      <c r="O499" t="n">
        <v>0</v>
      </c>
      <c r="P499" t="n">
        <v>0</v>
      </c>
      <c r="Q499" t="n">
        <v>0</v>
      </c>
      <c r="R499" s="2" t="inlineStr"/>
    </row>
    <row r="500" ht="15" customHeight="1">
      <c r="A500" t="inlineStr">
        <is>
          <t>A 51673-2019</t>
        </is>
      </c>
      <c r="B500" s="1" t="n">
        <v>43740</v>
      </c>
      <c r="C500" s="1" t="n">
        <v>45353</v>
      </c>
      <c r="D500" t="inlineStr">
        <is>
          <t>VÄSTERNORRLANDS LÄN</t>
        </is>
      </c>
      <c r="E500" t="inlineStr">
        <is>
          <t>SOLLEFTEÅ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53076-2019</t>
        </is>
      </c>
      <c r="B501" s="1" t="n">
        <v>43740</v>
      </c>
      <c r="C501" s="1" t="n">
        <v>45353</v>
      </c>
      <c r="D501" t="inlineStr">
        <is>
          <t>VÄSTERNORRLANDS LÄN</t>
        </is>
      </c>
      <c r="E501" t="inlineStr">
        <is>
          <t>SOLLEFTEÅ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53088-2019</t>
        </is>
      </c>
      <c r="B502" s="1" t="n">
        <v>43740</v>
      </c>
      <c r="C502" s="1" t="n">
        <v>45353</v>
      </c>
      <c r="D502" t="inlineStr">
        <is>
          <t>VÄSTERNORRLANDS LÄN</t>
        </is>
      </c>
      <c r="E502" t="inlineStr">
        <is>
          <t>SOLLEFTEÅ</t>
        </is>
      </c>
      <c r="G502" t="n">
        <v>3</v>
      </c>
      <c r="H502" t="n">
        <v>0</v>
      </c>
      <c r="I502" t="n">
        <v>0</v>
      </c>
      <c r="J502" t="n">
        <v>0</v>
      </c>
      <c r="K502" t="n">
        <v>0</v>
      </c>
      <c r="L502" t="n">
        <v>0</v>
      </c>
      <c r="M502" t="n">
        <v>0</v>
      </c>
      <c r="N502" t="n">
        <v>0</v>
      </c>
      <c r="O502" t="n">
        <v>0</v>
      </c>
      <c r="P502" t="n">
        <v>0</v>
      </c>
      <c r="Q502" t="n">
        <v>0</v>
      </c>
      <c r="R502" s="2" t="inlineStr"/>
    </row>
    <row r="503" ht="15" customHeight="1">
      <c r="A503" t="inlineStr">
        <is>
          <t>A 51665-2019</t>
        </is>
      </c>
      <c r="B503" s="1" t="n">
        <v>43740</v>
      </c>
      <c r="C503" s="1" t="n">
        <v>45353</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51953-2019</t>
        </is>
      </c>
      <c r="B504" s="1" t="n">
        <v>43741</v>
      </c>
      <c r="C504" s="1" t="n">
        <v>45353</v>
      </c>
      <c r="D504" t="inlineStr">
        <is>
          <t>VÄSTERNORRLANDS LÄN</t>
        </is>
      </c>
      <c r="E504" t="inlineStr">
        <is>
          <t>SOLLEFTEÅ</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53677-2019</t>
        </is>
      </c>
      <c r="B505" s="1" t="n">
        <v>43741</v>
      </c>
      <c r="C505" s="1" t="n">
        <v>45353</v>
      </c>
      <c r="D505" t="inlineStr">
        <is>
          <t>VÄSTERNORRLANDS LÄN</t>
        </is>
      </c>
      <c r="E505" t="inlineStr">
        <is>
          <t>SOLLEFTEÅ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51952-2019</t>
        </is>
      </c>
      <c r="B506" s="1" t="n">
        <v>43741</v>
      </c>
      <c r="C506" s="1" t="n">
        <v>45353</v>
      </c>
      <c r="D506" t="inlineStr">
        <is>
          <t>VÄSTERNORRLANDS LÄN</t>
        </is>
      </c>
      <c r="E506" t="inlineStr">
        <is>
          <t>SOLLEFTEÅ</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52568-2019</t>
        </is>
      </c>
      <c r="B507" s="1" t="n">
        <v>43745</v>
      </c>
      <c r="C507" s="1" t="n">
        <v>45353</v>
      </c>
      <c r="D507" t="inlineStr">
        <is>
          <t>VÄSTERNORRLANDS LÄN</t>
        </is>
      </c>
      <c r="E507" t="inlineStr">
        <is>
          <t>SOLLEFTEÅ</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52569-2019</t>
        </is>
      </c>
      <c r="B508" s="1" t="n">
        <v>43745</v>
      </c>
      <c r="C508" s="1" t="n">
        <v>45353</v>
      </c>
      <c r="D508" t="inlineStr">
        <is>
          <t>VÄSTERNORRLANDS LÄN</t>
        </is>
      </c>
      <c r="E508" t="inlineStr">
        <is>
          <t>SOLLEFTEÅ</t>
        </is>
      </c>
      <c r="G508" t="n">
        <v>7.1</v>
      </c>
      <c r="H508" t="n">
        <v>0</v>
      </c>
      <c r="I508" t="n">
        <v>0</v>
      </c>
      <c r="J508" t="n">
        <v>0</v>
      </c>
      <c r="K508" t="n">
        <v>0</v>
      </c>
      <c r="L508" t="n">
        <v>0</v>
      </c>
      <c r="M508" t="n">
        <v>0</v>
      </c>
      <c r="N508" t="n">
        <v>0</v>
      </c>
      <c r="O508" t="n">
        <v>0</v>
      </c>
      <c r="P508" t="n">
        <v>0</v>
      </c>
      <c r="Q508" t="n">
        <v>0</v>
      </c>
      <c r="R508" s="2" t="inlineStr"/>
    </row>
    <row r="509" ht="15" customHeight="1">
      <c r="A509" t="inlineStr">
        <is>
          <t>A 52922-2019</t>
        </is>
      </c>
      <c r="B509" s="1" t="n">
        <v>43746</v>
      </c>
      <c r="C509" s="1" t="n">
        <v>45353</v>
      </c>
      <c r="D509" t="inlineStr">
        <is>
          <t>VÄSTERNORRLANDS LÄN</t>
        </is>
      </c>
      <c r="E509" t="inlineStr">
        <is>
          <t>SOLLEFTEÅ</t>
        </is>
      </c>
      <c r="G509" t="n">
        <v>6.5</v>
      </c>
      <c r="H509" t="n">
        <v>0</v>
      </c>
      <c r="I509" t="n">
        <v>0</v>
      </c>
      <c r="J509" t="n">
        <v>0</v>
      </c>
      <c r="K509" t="n">
        <v>0</v>
      </c>
      <c r="L509" t="n">
        <v>0</v>
      </c>
      <c r="M509" t="n">
        <v>0</v>
      </c>
      <c r="N509" t="n">
        <v>0</v>
      </c>
      <c r="O509" t="n">
        <v>0</v>
      </c>
      <c r="P509" t="n">
        <v>0</v>
      </c>
      <c r="Q509" t="n">
        <v>0</v>
      </c>
      <c r="R509" s="2" t="inlineStr"/>
    </row>
    <row r="510" ht="15" customHeight="1">
      <c r="A510" t="inlineStr">
        <is>
          <t>A 53161-2019</t>
        </is>
      </c>
      <c r="B510" s="1" t="n">
        <v>43747</v>
      </c>
      <c r="C510" s="1" t="n">
        <v>45353</v>
      </c>
      <c r="D510" t="inlineStr">
        <is>
          <t>VÄSTERNORRLANDS LÄN</t>
        </is>
      </c>
      <c r="E510" t="inlineStr">
        <is>
          <t>SOLLEFTEÅ</t>
        </is>
      </c>
      <c r="F510" t="inlineStr">
        <is>
          <t>Kommuner</t>
        </is>
      </c>
      <c r="G510" t="n">
        <v>0.4</v>
      </c>
      <c r="H510" t="n">
        <v>0</v>
      </c>
      <c r="I510" t="n">
        <v>0</v>
      </c>
      <c r="J510" t="n">
        <v>0</v>
      </c>
      <c r="K510" t="n">
        <v>0</v>
      </c>
      <c r="L510" t="n">
        <v>0</v>
      </c>
      <c r="M510" t="n">
        <v>0</v>
      </c>
      <c r="N510" t="n">
        <v>0</v>
      </c>
      <c r="O510" t="n">
        <v>0</v>
      </c>
      <c r="P510" t="n">
        <v>0</v>
      </c>
      <c r="Q510" t="n">
        <v>0</v>
      </c>
      <c r="R510" s="2" t="inlineStr"/>
    </row>
    <row r="511" ht="15" customHeight="1">
      <c r="A511" t="inlineStr">
        <is>
          <t>A 55623-2019</t>
        </is>
      </c>
      <c r="B511" s="1" t="n">
        <v>43755</v>
      </c>
      <c r="C511" s="1" t="n">
        <v>45353</v>
      </c>
      <c r="D511" t="inlineStr">
        <is>
          <t>VÄSTERNORRLANDS LÄN</t>
        </is>
      </c>
      <c r="E511" t="inlineStr">
        <is>
          <t>SOLLEFTEÅ</t>
        </is>
      </c>
      <c r="G511" t="n">
        <v>0.6</v>
      </c>
      <c r="H511" t="n">
        <v>0</v>
      </c>
      <c r="I511" t="n">
        <v>0</v>
      </c>
      <c r="J511" t="n">
        <v>0</v>
      </c>
      <c r="K511" t="n">
        <v>0</v>
      </c>
      <c r="L511" t="n">
        <v>0</v>
      </c>
      <c r="M511" t="n">
        <v>0</v>
      </c>
      <c r="N511" t="n">
        <v>0</v>
      </c>
      <c r="O511" t="n">
        <v>0</v>
      </c>
      <c r="P511" t="n">
        <v>0</v>
      </c>
      <c r="Q511" t="n">
        <v>0</v>
      </c>
      <c r="R511" s="2" t="inlineStr"/>
    </row>
    <row r="512" ht="15" customHeight="1">
      <c r="A512" t="inlineStr">
        <is>
          <t>A 55925-2019</t>
        </is>
      </c>
      <c r="B512" s="1" t="n">
        <v>43755</v>
      </c>
      <c r="C512" s="1" t="n">
        <v>45353</v>
      </c>
      <c r="D512" t="inlineStr">
        <is>
          <t>VÄSTERNORRLANDS LÄN</t>
        </is>
      </c>
      <c r="E512" t="inlineStr">
        <is>
          <t>SOLLEFTEÅ</t>
        </is>
      </c>
      <c r="G512" t="n">
        <v>6.4</v>
      </c>
      <c r="H512" t="n">
        <v>0</v>
      </c>
      <c r="I512" t="n">
        <v>0</v>
      </c>
      <c r="J512" t="n">
        <v>0</v>
      </c>
      <c r="K512" t="n">
        <v>0</v>
      </c>
      <c r="L512" t="n">
        <v>0</v>
      </c>
      <c r="M512" t="n">
        <v>0</v>
      </c>
      <c r="N512" t="n">
        <v>0</v>
      </c>
      <c r="O512" t="n">
        <v>0</v>
      </c>
      <c r="P512" t="n">
        <v>0</v>
      </c>
      <c r="Q512" t="n">
        <v>0</v>
      </c>
      <c r="R512" s="2" t="inlineStr"/>
    </row>
    <row r="513" ht="15" customHeight="1">
      <c r="A513" t="inlineStr">
        <is>
          <t>A 55628-2019</t>
        </is>
      </c>
      <c r="B513" s="1" t="n">
        <v>43755</v>
      </c>
      <c r="C513" s="1" t="n">
        <v>45353</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55625-2019</t>
        </is>
      </c>
      <c r="B514" s="1" t="n">
        <v>43755</v>
      </c>
      <c r="C514" s="1" t="n">
        <v>45353</v>
      </c>
      <c r="D514" t="inlineStr">
        <is>
          <t>VÄSTERNORRLANDS LÄN</t>
        </is>
      </c>
      <c r="E514" t="inlineStr">
        <is>
          <t>SOLLEFTEÅ</t>
        </is>
      </c>
      <c r="G514" t="n">
        <v>2.2</v>
      </c>
      <c r="H514" t="n">
        <v>0</v>
      </c>
      <c r="I514" t="n">
        <v>0</v>
      </c>
      <c r="J514" t="n">
        <v>0</v>
      </c>
      <c r="K514" t="n">
        <v>0</v>
      </c>
      <c r="L514" t="n">
        <v>0</v>
      </c>
      <c r="M514" t="n">
        <v>0</v>
      </c>
      <c r="N514" t="n">
        <v>0</v>
      </c>
      <c r="O514" t="n">
        <v>0</v>
      </c>
      <c r="P514" t="n">
        <v>0</v>
      </c>
      <c r="Q514" t="n">
        <v>0</v>
      </c>
      <c r="R514" s="2" t="inlineStr"/>
    </row>
    <row r="515" ht="15" customHeight="1">
      <c r="A515" t="inlineStr">
        <is>
          <t>A 57365-2019</t>
        </is>
      </c>
      <c r="B515" s="1" t="n">
        <v>43760</v>
      </c>
      <c r="C515" s="1" t="n">
        <v>45353</v>
      </c>
      <c r="D515" t="inlineStr">
        <is>
          <t>VÄSTERNORRLANDS LÄN</t>
        </is>
      </c>
      <c r="E515" t="inlineStr">
        <is>
          <t>SOLLEFTEÅ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57575-2019</t>
        </is>
      </c>
      <c r="B516" s="1" t="n">
        <v>43761</v>
      </c>
      <c r="C516" s="1" t="n">
        <v>45353</v>
      </c>
      <c r="D516" t="inlineStr">
        <is>
          <t>VÄSTERNORRLANDS LÄN</t>
        </is>
      </c>
      <c r="E516" t="inlineStr">
        <is>
          <t>SOLLEFTEÅ</t>
        </is>
      </c>
      <c r="G516" t="n">
        <v>14.4</v>
      </c>
      <c r="H516" t="n">
        <v>0</v>
      </c>
      <c r="I516" t="n">
        <v>0</v>
      </c>
      <c r="J516" t="n">
        <v>0</v>
      </c>
      <c r="K516" t="n">
        <v>0</v>
      </c>
      <c r="L516" t="n">
        <v>0</v>
      </c>
      <c r="M516" t="n">
        <v>0</v>
      </c>
      <c r="N516" t="n">
        <v>0</v>
      </c>
      <c r="O516" t="n">
        <v>0</v>
      </c>
      <c r="P516" t="n">
        <v>0</v>
      </c>
      <c r="Q516" t="n">
        <v>0</v>
      </c>
      <c r="R516" s="2" t="inlineStr"/>
    </row>
    <row r="517" ht="15" customHeight="1">
      <c r="A517" t="inlineStr">
        <is>
          <t>A 56252-2019</t>
        </is>
      </c>
      <c r="B517" s="1" t="n">
        <v>43762</v>
      </c>
      <c r="C517" s="1" t="n">
        <v>45353</v>
      </c>
      <c r="D517" t="inlineStr">
        <is>
          <t>VÄSTERNORRLANDS LÄN</t>
        </is>
      </c>
      <c r="E517" t="inlineStr">
        <is>
          <t>SOLLEFTEÅ</t>
        </is>
      </c>
      <c r="F517" t="inlineStr">
        <is>
          <t>Kyrkan</t>
        </is>
      </c>
      <c r="G517" t="n">
        <v>1.1</v>
      </c>
      <c r="H517" t="n">
        <v>0</v>
      </c>
      <c r="I517" t="n">
        <v>0</v>
      </c>
      <c r="J517" t="n">
        <v>0</v>
      </c>
      <c r="K517" t="n">
        <v>0</v>
      </c>
      <c r="L517" t="n">
        <v>0</v>
      </c>
      <c r="M517" t="n">
        <v>0</v>
      </c>
      <c r="N517" t="n">
        <v>0</v>
      </c>
      <c r="O517" t="n">
        <v>0</v>
      </c>
      <c r="P517" t="n">
        <v>0</v>
      </c>
      <c r="Q517" t="n">
        <v>0</v>
      </c>
      <c r="R517" s="2" t="inlineStr"/>
    </row>
    <row r="518" ht="15" customHeight="1">
      <c r="A518" t="inlineStr">
        <is>
          <t>A 56493-2019</t>
        </is>
      </c>
      <c r="B518" s="1" t="n">
        <v>43762</v>
      </c>
      <c r="C518" s="1" t="n">
        <v>45353</v>
      </c>
      <c r="D518" t="inlineStr">
        <is>
          <t>VÄSTERNORRLANDS LÄN</t>
        </is>
      </c>
      <c r="E518" t="inlineStr">
        <is>
          <t>SOLLEFTEÅ</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56492-2019</t>
        </is>
      </c>
      <c r="B519" s="1" t="n">
        <v>43762</v>
      </c>
      <c r="C519" s="1" t="n">
        <v>45353</v>
      </c>
      <c r="D519" t="inlineStr">
        <is>
          <t>VÄSTERNORRLANDS LÄN</t>
        </is>
      </c>
      <c r="E519" t="inlineStr">
        <is>
          <t>SOLLEFTEÅ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56803-2019</t>
        </is>
      </c>
      <c r="B520" s="1" t="n">
        <v>43763</v>
      </c>
      <c r="C520" s="1" t="n">
        <v>45353</v>
      </c>
      <c r="D520" t="inlineStr">
        <is>
          <t>VÄSTERNORRLANDS LÄN</t>
        </is>
      </c>
      <c r="E520" t="inlineStr">
        <is>
          <t>SOLLEFTEÅ</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56874-2019</t>
        </is>
      </c>
      <c r="B521" s="1" t="n">
        <v>43766</v>
      </c>
      <c r="C521" s="1" t="n">
        <v>45353</v>
      </c>
      <c r="D521" t="inlineStr">
        <is>
          <t>VÄSTERNORRLANDS LÄN</t>
        </is>
      </c>
      <c r="E521" t="inlineStr">
        <is>
          <t>SOLLEFTEÅ</t>
        </is>
      </c>
      <c r="G521" t="n">
        <v>6.1</v>
      </c>
      <c r="H521" t="n">
        <v>0</v>
      </c>
      <c r="I521" t="n">
        <v>0</v>
      </c>
      <c r="J521" t="n">
        <v>0</v>
      </c>
      <c r="K521" t="n">
        <v>0</v>
      </c>
      <c r="L521" t="n">
        <v>0</v>
      </c>
      <c r="M521" t="n">
        <v>0</v>
      </c>
      <c r="N521" t="n">
        <v>0</v>
      </c>
      <c r="O521" t="n">
        <v>0</v>
      </c>
      <c r="P521" t="n">
        <v>0</v>
      </c>
      <c r="Q521" t="n">
        <v>0</v>
      </c>
      <c r="R521" s="2" t="inlineStr"/>
    </row>
    <row r="522" ht="15" customHeight="1">
      <c r="A522" t="inlineStr">
        <is>
          <t>A 56985-2019</t>
        </is>
      </c>
      <c r="B522" s="1" t="n">
        <v>43766</v>
      </c>
      <c r="C522" s="1" t="n">
        <v>45353</v>
      </c>
      <c r="D522" t="inlineStr">
        <is>
          <t>VÄSTERNORRLANDS LÄN</t>
        </is>
      </c>
      <c r="E522" t="inlineStr">
        <is>
          <t>SOLLEFTEÅ</t>
        </is>
      </c>
      <c r="G522" t="n">
        <v>4.9</v>
      </c>
      <c r="H522" t="n">
        <v>0</v>
      </c>
      <c r="I522" t="n">
        <v>0</v>
      </c>
      <c r="J522" t="n">
        <v>0</v>
      </c>
      <c r="K522" t="n">
        <v>0</v>
      </c>
      <c r="L522" t="n">
        <v>0</v>
      </c>
      <c r="M522" t="n">
        <v>0</v>
      </c>
      <c r="N522" t="n">
        <v>0</v>
      </c>
      <c r="O522" t="n">
        <v>0</v>
      </c>
      <c r="P522" t="n">
        <v>0</v>
      </c>
      <c r="Q522" t="n">
        <v>0</v>
      </c>
      <c r="R522" s="2" t="inlineStr"/>
    </row>
    <row r="523" ht="15" customHeight="1">
      <c r="A523" t="inlineStr">
        <is>
          <t>A 57041-2019</t>
        </is>
      </c>
      <c r="B523" s="1" t="n">
        <v>43766</v>
      </c>
      <c r="C523" s="1" t="n">
        <v>45353</v>
      </c>
      <c r="D523" t="inlineStr">
        <is>
          <t>VÄSTERNORRLANDS LÄN</t>
        </is>
      </c>
      <c r="E523" t="inlineStr">
        <is>
          <t>SOLLEFTEÅ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57188-2019</t>
        </is>
      </c>
      <c r="B524" s="1" t="n">
        <v>43766</v>
      </c>
      <c r="C524" s="1" t="n">
        <v>45353</v>
      </c>
      <c r="D524" t="inlineStr">
        <is>
          <t>VÄSTERNORRLANDS LÄN</t>
        </is>
      </c>
      <c r="E524" t="inlineStr">
        <is>
          <t>SOLLEFTEÅ</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57882-2019</t>
        </is>
      </c>
      <c r="B525" s="1" t="n">
        <v>43768</v>
      </c>
      <c r="C525" s="1" t="n">
        <v>45353</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57884-2019</t>
        </is>
      </c>
      <c r="B526" s="1" t="n">
        <v>43768</v>
      </c>
      <c r="C526" s="1" t="n">
        <v>45353</v>
      </c>
      <c r="D526" t="inlineStr">
        <is>
          <t>VÄSTERNORRLANDS LÄN</t>
        </is>
      </c>
      <c r="E526" t="inlineStr">
        <is>
          <t>SOLLEFTEÅ</t>
        </is>
      </c>
      <c r="F526" t="inlineStr">
        <is>
          <t>SCA</t>
        </is>
      </c>
      <c r="G526" t="n">
        <v>14.7</v>
      </c>
      <c r="H526" t="n">
        <v>0</v>
      </c>
      <c r="I526" t="n">
        <v>0</v>
      </c>
      <c r="J526" t="n">
        <v>0</v>
      </c>
      <c r="K526" t="n">
        <v>0</v>
      </c>
      <c r="L526" t="n">
        <v>0</v>
      </c>
      <c r="M526" t="n">
        <v>0</v>
      </c>
      <c r="N526" t="n">
        <v>0</v>
      </c>
      <c r="O526" t="n">
        <v>0</v>
      </c>
      <c r="P526" t="n">
        <v>0</v>
      </c>
      <c r="Q526" t="n">
        <v>0</v>
      </c>
      <c r="R526" s="2" t="inlineStr"/>
    </row>
    <row r="527" ht="15" customHeight="1">
      <c r="A527" t="inlineStr">
        <is>
          <t>A 57883-2019</t>
        </is>
      </c>
      <c r="B527" s="1" t="n">
        <v>43768</v>
      </c>
      <c r="C527" s="1" t="n">
        <v>45353</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58170-2019</t>
        </is>
      </c>
      <c r="B528" s="1" t="n">
        <v>43769</v>
      </c>
      <c r="C528" s="1" t="n">
        <v>45353</v>
      </c>
      <c r="D528" t="inlineStr">
        <is>
          <t>VÄSTERNORRLANDS LÄN</t>
        </is>
      </c>
      <c r="E528" t="inlineStr">
        <is>
          <t>SOLLEFTEÅ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58267-2019</t>
        </is>
      </c>
      <c r="B529" s="1" t="n">
        <v>43770</v>
      </c>
      <c r="C529" s="1" t="n">
        <v>45353</v>
      </c>
      <c r="D529" t="inlineStr">
        <is>
          <t>VÄSTERNORRLANDS LÄN</t>
        </is>
      </c>
      <c r="E529" t="inlineStr">
        <is>
          <t>SOLLEFTEÅ</t>
        </is>
      </c>
      <c r="G529" t="n">
        <v>4.6</v>
      </c>
      <c r="H529" t="n">
        <v>0</v>
      </c>
      <c r="I529" t="n">
        <v>0</v>
      </c>
      <c r="J529" t="n">
        <v>0</v>
      </c>
      <c r="K529" t="n">
        <v>0</v>
      </c>
      <c r="L529" t="n">
        <v>0</v>
      </c>
      <c r="M529" t="n">
        <v>0</v>
      </c>
      <c r="N529" t="n">
        <v>0</v>
      </c>
      <c r="O529" t="n">
        <v>0</v>
      </c>
      <c r="P529" t="n">
        <v>0</v>
      </c>
      <c r="Q529" t="n">
        <v>0</v>
      </c>
      <c r="R529" s="2" t="inlineStr"/>
    </row>
    <row r="530" ht="15" customHeight="1">
      <c r="A530" t="inlineStr">
        <is>
          <t>A 59460-2019</t>
        </is>
      </c>
      <c r="B530" s="1" t="n">
        <v>43776</v>
      </c>
      <c r="C530" s="1" t="n">
        <v>45353</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60491-2019</t>
        </is>
      </c>
      <c r="B531" s="1" t="n">
        <v>43780</v>
      </c>
      <c r="C531" s="1" t="n">
        <v>45353</v>
      </c>
      <c r="D531" t="inlineStr">
        <is>
          <t>VÄSTERNORRLANDS LÄN</t>
        </is>
      </c>
      <c r="E531" t="inlineStr">
        <is>
          <t>SOLLEFTEÅ</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61428-2019</t>
        </is>
      </c>
      <c r="B532" s="1" t="n">
        <v>43780</v>
      </c>
      <c r="C532" s="1" t="n">
        <v>45353</v>
      </c>
      <c r="D532" t="inlineStr">
        <is>
          <t>VÄSTERNORRLANDS LÄN</t>
        </is>
      </c>
      <c r="E532" t="inlineStr">
        <is>
          <t>SOLLEFTEÅ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60531-2019</t>
        </is>
      </c>
      <c r="B533" s="1" t="n">
        <v>43781</v>
      </c>
      <c r="C533" s="1" t="n">
        <v>45353</v>
      </c>
      <c r="D533" t="inlineStr">
        <is>
          <t>VÄSTERNORRLANDS LÄN</t>
        </is>
      </c>
      <c r="E533" t="inlineStr">
        <is>
          <t>SOLLEFTEÅ</t>
        </is>
      </c>
      <c r="G533" t="n">
        <v>0.9</v>
      </c>
      <c r="H533" t="n">
        <v>0</v>
      </c>
      <c r="I533" t="n">
        <v>0</v>
      </c>
      <c r="J533" t="n">
        <v>0</v>
      </c>
      <c r="K533" t="n">
        <v>0</v>
      </c>
      <c r="L533" t="n">
        <v>0</v>
      </c>
      <c r="M533" t="n">
        <v>0</v>
      </c>
      <c r="N533" t="n">
        <v>0</v>
      </c>
      <c r="O533" t="n">
        <v>0</v>
      </c>
      <c r="P533" t="n">
        <v>0</v>
      </c>
      <c r="Q533" t="n">
        <v>0</v>
      </c>
      <c r="R533" s="2" t="inlineStr"/>
    </row>
    <row r="534" ht="15" customHeight="1">
      <c r="A534" t="inlineStr">
        <is>
          <t>A 60538-2019</t>
        </is>
      </c>
      <c r="B534" s="1" t="n">
        <v>43781</v>
      </c>
      <c r="C534" s="1" t="n">
        <v>45353</v>
      </c>
      <c r="D534" t="inlineStr">
        <is>
          <t>VÄSTERNORRLANDS LÄN</t>
        </is>
      </c>
      <c r="E534" t="inlineStr">
        <is>
          <t>SOLLEFTEÅ</t>
        </is>
      </c>
      <c r="G534" t="n">
        <v>4.6</v>
      </c>
      <c r="H534" t="n">
        <v>0</v>
      </c>
      <c r="I534" t="n">
        <v>0</v>
      </c>
      <c r="J534" t="n">
        <v>0</v>
      </c>
      <c r="K534" t="n">
        <v>0</v>
      </c>
      <c r="L534" t="n">
        <v>0</v>
      </c>
      <c r="M534" t="n">
        <v>0</v>
      </c>
      <c r="N534" t="n">
        <v>0</v>
      </c>
      <c r="O534" t="n">
        <v>0</v>
      </c>
      <c r="P534" t="n">
        <v>0</v>
      </c>
      <c r="Q534" t="n">
        <v>0</v>
      </c>
      <c r="R534" s="2" t="inlineStr"/>
    </row>
    <row r="535" ht="15" customHeight="1">
      <c r="A535" t="inlineStr">
        <is>
          <t>A 60905-2019</t>
        </is>
      </c>
      <c r="B535" s="1" t="n">
        <v>43781</v>
      </c>
      <c r="C535" s="1" t="n">
        <v>45353</v>
      </c>
      <c r="D535" t="inlineStr">
        <is>
          <t>VÄSTERNORRLANDS LÄN</t>
        </is>
      </c>
      <c r="E535" t="inlineStr">
        <is>
          <t>SOLLEFTEÅ</t>
        </is>
      </c>
      <c r="G535" t="n">
        <v>0.4</v>
      </c>
      <c r="H535" t="n">
        <v>0</v>
      </c>
      <c r="I535" t="n">
        <v>0</v>
      </c>
      <c r="J535" t="n">
        <v>0</v>
      </c>
      <c r="K535" t="n">
        <v>0</v>
      </c>
      <c r="L535" t="n">
        <v>0</v>
      </c>
      <c r="M535" t="n">
        <v>0</v>
      </c>
      <c r="N535" t="n">
        <v>0</v>
      </c>
      <c r="O535" t="n">
        <v>0</v>
      </c>
      <c r="P535" t="n">
        <v>0</v>
      </c>
      <c r="Q535" t="n">
        <v>0</v>
      </c>
      <c r="R535" s="2" t="inlineStr"/>
    </row>
    <row r="536" ht="15" customHeight="1">
      <c r="A536" t="inlineStr">
        <is>
          <t>A 61978-2019</t>
        </is>
      </c>
      <c r="B536" s="1" t="n">
        <v>43781</v>
      </c>
      <c r="C536" s="1" t="n">
        <v>45353</v>
      </c>
      <c r="D536" t="inlineStr">
        <is>
          <t>VÄSTERNORRLANDS LÄN</t>
        </is>
      </c>
      <c r="E536" t="inlineStr">
        <is>
          <t>SOLLEFTEÅ</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63450-2019</t>
        </is>
      </c>
      <c r="B537" s="1" t="n">
        <v>43788</v>
      </c>
      <c r="C537" s="1" t="n">
        <v>45353</v>
      </c>
      <c r="D537" t="inlineStr">
        <is>
          <t>VÄSTERNORRLANDS LÄN</t>
        </is>
      </c>
      <c r="E537" t="inlineStr">
        <is>
          <t>SOLLEFTEÅ</t>
        </is>
      </c>
      <c r="G537" t="n">
        <v>8.6</v>
      </c>
      <c r="H537" t="n">
        <v>0</v>
      </c>
      <c r="I537" t="n">
        <v>0</v>
      </c>
      <c r="J537" t="n">
        <v>0</v>
      </c>
      <c r="K537" t="n">
        <v>0</v>
      </c>
      <c r="L537" t="n">
        <v>0</v>
      </c>
      <c r="M537" t="n">
        <v>0</v>
      </c>
      <c r="N537" t="n">
        <v>0</v>
      </c>
      <c r="O537" t="n">
        <v>0</v>
      </c>
      <c r="P537" t="n">
        <v>0</v>
      </c>
      <c r="Q537" t="n">
        <v>0</v>
      </c>
      <c r="R537" s="2" t="inlineStr"/>
    </row>
    <row r="538" ht="15" customHeight="1">
      <c r="A538" t="inlineStr">
        <is>
          <t>A 62500-2019</t>
        </is>
      </c>
      <c r="B538" s="1" t="n">
        <v>43788</v>
      </c>
      <c r="C538" s="1" t="n">
        <v>45353</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64197-2019</t>
        </is>
      </c>
      <c r="B539" s="1" t="n">
        <v>43791</v>
      </c>
      <c r="C539" s="1" t="n">
        <v>45353</v>
      </c>
      <c r="D539" t="inlineStr">
        <is>
          <t>VÄSTERNORRLANDS LÄN</t>
        </is>
      </c>
      <c r="E539" t="inlineStr">
        <is>
          <t>SOLLEFTEÅ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63552-2019</t>
        </is>
      </c>
      <c r="B540" s="1" t="n">
        <v>43794</v>
      </c>
      <c r="C540" s="1" t="n">
        <v>45353</v>
      </c>
      <c r="D540" t="inlineStr">
        <is>
          <t>VÄSTERNORRLANDS LÄN</t>
        </is>
      </c>
      <c r="E540" t="inlineStr">
        <is>
          <t>SOLLEFTEÅ</t>
        </is>
      </c>
      <c r="G540" t="n">
        <v>7.2</v>
      </c>
      <c r="H540" t="n">
        <v>0</v>
      </c>
      <c r="I540" t="n">
        <v>0</v>
      </c>
      <c r="J540" t="n">
        <v>0</v>
      </c>
      <c r="K540" t="n">
        <v>0</v>
      </c>
      <c r="L540" t="n">
        <v>0</v>
      </c>
      <c r="M540" t="n">
        <v>0</v>
      </c>
      <c r="N540" t="n">
        <v>0</v>
      </c>
      <c r="O540" t="n">
        <v>0</v>
      </c>
      <c r="P540" t="n">
        <v>0</v>
      </c>
      <c r="Q540" t="n">
        <v>0</v>
      </c>
      <c r="R540" s="2" t="inlineStr"/>
    </row>
    <row r="541" ht="15" customHeight="1">
      <c r="A541" t="inlineStr">
        <is>
          <t>A 63752-2019</t>
        </is>
      </c>
      <c r="B541" s="1" t="n">
        <v>43795</v>
      </c>
      <c r="C541" s="1" t="n">
        <v>45353</v>
      </c>
      <c r="D541" t="inlineStr">
        <is>
          <t>VÄSTERNORRLANDS LÄN</t>
        </is>
      </c>
      <c r="E541" t="inlineStr">
        <is>
          <t>SOLLEFTEÅ</t>
        </is>
      </c>
      <c r="G541" t="n">
        <v>4.2</v>
      </c>
      <c r="H541" t="n">
        <v>0</v>
      </c>
      <c r="I541" t="n">
        <v>0</v>
      </c>
      <c r="J541" t="n">
        <v>0</v>
      </c>
      <c r="K541" t="n">
        <v>0</v>
      </c>
      <c r="L541" t="n">
        <v>0</v>
      </c>
      <c r="M541" t="n">
        <v>0</v>
      </c>
      <c r="N541" t="n">
        <v>0</v>
      </c>
      <c r="O541" t="n">
        <v>0</v>
      </c>
      <c r="P541" t="n">
        <v>0</v>
      </c>
      <c r="Q541" t="n">
        <v>0</v>
      </c>
      <c r="R541" s="2" t="inlineStr"/>
    </row>
    <row r="542" ht="15" customHeight="1">
      <c r="A542" t="inlineStr">
        <is>
          <t>A 65218-2019</t>
        </is>
      </c>
      <c r="B542" s="1" t="n">
        <v>43797</v>
      </c>
      <c r="C542" s="1" t="n">
        <v>45353</v>
      </c>
      <c r="D542" t="inlineStr">
        <is>
          <t>VÄSTERNORRLANDS LÄN</t>
        </is>
      </c>
      <c r="E542" t="inlineStr">
        <is>
          <t>SOLLEFTEÅ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65029-2019</t>
        </is>
      </c>
      <c r="B543" s="1" t="n">
        <v>43801</v>
      </c>
      <c r="C543" s="1" t="n">
        <v>45353</v>
      </c>
      <c r="D543" t="inlineStr">
        <is>
          <t>VÄSTERNORRLANDS LÄN</t>
        </is>
      </c>
      <c r="E543" t="inlineStr">
        <is>
          <t>SOLLEFTEÅ</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65332-2019</t>
        </is>
      </c>
      <c r="B544" s="1" t="n">
        <v>43802</v>
      </c>
      <c r="C544" s="1" t="n">
        <v>45353</v>
      </c>
      <c r="D544" t="inlineStr">
        <is>
          <t>VÄSTERNORRLANDS LÄN</t>
        </is>
      </c>
      <c r="E544" t="inlineStr">
        <is>
          <t>SOLLEFTEÅ</t>
        </is>
      </c>
      <c r="G544" t="n">
        <v>1.5</v>
      </c>
      <c r="H544" t="n">
        <v>0</v>
      </c>
      <c r="I544" t="n">
        <v>0</v>
      </c>
      <c r="J544" t="n">
        <v>0</v>
      </c>
      <c r="K544" t="n">
        <v>0</v>
      </c>
      <c r="L544" t="n">
        <v>0</v>
      </c>
      <c r="M544" t="n">
        <v>0</v>
      </c>
      <c r="N544" t="n">
        <v>0</v>
      </c>
      <c r="O544" t="n">
        <v>0</v>
      </c>
      <c r="P544" t="n">
        <v>0</v>
      </c>
      <c r="Q544" t="n">
        <v>0</v>
      </c>
      <c r="R544" s="2" t="inlineStr"/>
    </row>
    <row r="545" ht="15" customHeight="1">
      <c r="A545" t="inlineStr">
        <is>
          <t>A 66321-2019</t>
        </is>
      </c>
      <c r="B545" s="1" t="n">
        <v>43802</v>
      </c>
      <c r="C545" s="1" t="n">
        <v>45353</v>
      </c>
      <c r="D545" t="inlineStr">
        <is>
          <t>VÄSTERNORRLANDS LÄN</t>
        </is>
      </c>
      <c r="E545" t="inlineStr">
        <is>
          <t>SOLLEFTEÅ</t>
        </is>
      </c>
      <c r="G545" t="n">
        <v>6.4</v>
      </c>
      <c r="H545" t="n">
        <v>0</v>
      </c>
      <c r="I545" t="n">
        <v>0</v>
      </c>
      <c r="J545" t="n">
        <v>0</v>
      </c>
      <c r="K545" t="n">
        <v>0</v>
      </c>
      <c r="L545" t="n">
        <v>0</v>
      </c>
      <c r="M545" t="n">
        <v>0</v>
      </c>
      <c r="N545" t="n">
        <v>0</v>
      </c>
      <c r="O545" t="n">
        <v>0</v>
      </c>
      <c r="P545" t="n">
        <v>0</v>
      </c>
      <c r="Q545" t="n">
        <v>0</v>
      </c>
      <c r="R545" s="2" t="inlineStr"/>
    </row>
    <row r="546" ht="15" customHeight="1">
      <c r="A546" t="inlineStr">
        <is>
          <t>A 65319-2019</t>
        </is>
      </c>
      <c r="B546" s="1" t="n">
        <v>43802</v>
      </c>
      <c r="C546" s="1" t="n">
        <v>45353</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65327-2019</t>
        </is>
      </c>
      <c r="B547" s="1" t="n">
        <v>43802</v>
      </c>
      <c r="C547" s="1" t="n">
        <v>45353</v>
      </c>
      <c r="D547" t="inlineStr">
        <is>
          <t>VÄSTERNORRLANDS LÄN</t>
        </is>
      </c>
      <c r="E547" t="inlineStr">
        <is>
          <t>SOLLEFTEÅ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66391-2019</t>
        </is>
      </c>
      <c r="B548" s="1" t="n">
        <v>43808</v>
      </c>
      <c r="C548" s="1" t="n">
        <v>45353</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67805-2019</t>
        </is>
      </c>
      <c r="B549" s="1" t="n">
        <v>43815</v>
      </c>
      <c r="C549" s="1" t="n">
        <v>45353</v>
      </c>
      <c r="D549" t="inlineStr">
        <is>
          <t>VÄSTERNORRLANDS LÄN</t>
        </is>
      </c>
      <c r="E549" t="inlineStr">
        <is>
          <t>SOLLEFTEÅ</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67815-2019</t>
        </is>
      </c>
      <c r="B550" s="1" t="n">
        <v>43815</v>
      </c>
      <c r="C550" s="1" t="n">
        <v>45353</v>
      </c>
      <c r="D550" t="inlineStr">
        <is>
          <t>VÄSTERNORRLANDS LÄN</t>
        </is>
      </c>
      <c r="E550" t="inlineStr">
        <is>
          <t>SOLLEFTEÅ</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1627-2020</t>
        </is>
      </c>
      <c r="B551" s="1" t="n">
        <v>43829</v>
      </c>
      <c r="C551" s="1" t="n">
        <v>45353</v>
      </c>
      <c r="D551" t="inlineStr">
        <is>
          <t>VÄSTERNORRLANDS LÄN</t>
        </is>
      </c>
      <c r="E551" t="inlineStr">
        <is>
          <t>SOLLEFTEÅ</t>
        </is>
      </c>
      <c r="G551" t="n">
        <v>9</v>
      </c>
      <c r="H551" t="n">
        <v>0</v>
      </c>
      <c r="I551" t="n">
        <v>0</v>
      </c>
      <c r="J551" t="n">
        <v>0</v>
      </c>
      <c r="K551" t="n">
        <v>0</v>
      </c>
      <c r="L551" t="n">
        <v>0</v>
      </c>
      <c r="M551" t="n">
        <v>0</v>
      </c>
      <c r="N551" t="n">
        <v>0</v>
      </c>
      <c r="O551" t="n">
        <v>0</v>
      </c>
      <c r="P551" t="n">
        <v>0</v>
      </c>
      <c r="Q551" t="n">
        <v>0</v>
      </c>
      <c r="R551" s="2" t="inlineStr"/>
    </row>
    <row r="552" ht="15" customHeight="1">
      <c r="A552" t="inlineStr">
        <is>
          <t>A 127-2020</t>
        </is>
      </c>
      <c r="B552" s="1" t="n">
        <v>43832</v>
      </c>
      <c r="C552" s="1" t="n">
        <v>45353</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125-2020</t>
        </is>
      </c>
      <c r="B553" s="1" t="n">
        <v>43832</v>
      </c>
      <c r="C553" s="1" t="n">
        <v>45353</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126-2020</t>
        </is>
      </c>
      <c r="B554" s="1" t="n">
        <v>43832</v>
      </c>
      <c r="C554" s="1" t="n">
        <v>45353</v>
      </c>
      <c r="D554" t="inlineStr">
        <is>
          <t>VÄSTERNORRLANDS LÄN</t>
        </is>
      </c>
      <c r="E554" t="inlineStr">
        <is>
          <t>SOLLEFTEÅ</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538-2020</t>
        </is>
      </c>
      <c r="B555" s="1" t="n">
        <v>43837</v>
      </c>
      <c r="C555" s="1" t="n">
        <v>45353</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1263-2020</t>
        </is>
      </c>
      <c r="B556" s="1" t="n">
        <v>43840</v>
      </c>
      <c r="C556" s="1" t="n">
        <v>45353</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1262-2020</t>
        </is>
      </c>
      <c r="B557" s="1" t="n">
        <v>43840</v>
      </c>
      <c r="C557" s="1" t="n">
        <v>45353</v>
      </c>
      <c r="D557" t="inlineStr">
        <is>
          <t>VÄSTERNORRLANDS LÄN</t>
        </is>
      </c>
      <c r="E557" t="inlineStr">
        <is>
          <t>SOLLEFTEÅ</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1213-2020</t>
        </is>
      </c>
      <c r="B558" s="1" t="n">
        <v>43840</v>
      </c>
      <c r="C558" s="1" t="n">
        <v>45353</v>
      </c>
      <c r="D558" t="inlineStr">
        <is>
          <t>VÄSTERNORRLANDS LÄN</t>
        </is>
      </c>
      <c r="E558" t="inlineStr">
        <is>
          <t>SOLLEFTEÅ</t>
        </is>
      </c>
      <c r="F558" t="inlineStr">
        <is>
          <t>Kyrkan</t>
        </is>
      </c>
      <c r="G558" t="n">
        <v>13.9</v>
      </c>
      <c r="H558" t="n">
        <v>0</v>
      </c>
      <c r="I558" t="n">
        <v>0</v>
      </c>
      <c r="J558" t="n">
        <v>0</v>
      </c>
      <c r="K558" t="n">
        <v>0</v>
      </c>
      <c r="L558" t="n">
        <v>0</v>
      </c>
      <c r="M558" t="n">
        <v>0</v>
      </c>
      <c r="N558" t="n">
        <v>0</v>
      </c>
      <c r="O558" t="n">
        <v>0</v>
      </c>
      <c r="P558" t="n">
        <v>0</v>
      </c>
      <c r="Q558" t="n">
        <v>0</v>
      </c>
      <c r="R558" s="2" t="inlineStr"/>
    </row>
    <row r="559" ht="15" customHeight="1">
      <c r="A559" t="inlineStr">
        <is>
          <t>A 1568-2020</t>
        </is>
      </c>
      <c r="B559" s="1" t="n">
        <v>43844</v>
      </c>
      <c r="C559" s="1" t="n">
        <v>45353</v>
      </c>
      <c r="D559" t="inlineStr">
        <is>
          <t>VÄSTERNORRLANDS LÄN</t>
        </is>
      </c>
      <c r="E559" t="inlineStr">
        <is>
          <t>SOLLEFTEÅ</t>
        </is>
      </c>
      <c r="G559" t="n">
        <v>3.4</v>
      </c>
      <c r="H559" t="n">
        <v>0</v>
      </c>
      <c r="I559" t="n">
        <v>0</v>
      </c>
      <c r="J559" t="n">
        <v>0</v>
      </c>
      <c r="K559" t="n">
        <v>0</v>
      </c>
      <c r="L559" t="n">
        <v>0</v>
      </c>
      <c r="M559" t="n">
        <v>0</v>
      </c>
      <c r="N559" t="n">
        <v>0</v>
      </c>
      <c r="O559" t="n">
        <v>0</v>
      </c>
      <c r="P559" t="n">
        <v>0</v>
      </c>
      <c r="Q559" t="n">
        <v>0</v>
      </c>
      <c r="R559" s="2" t="inlineStr"/>
    </row>
    <row r="560" ht="15" customHeight="1">
      <c r="A560" t="inlineStr">
        <is>
          <t>A 2897-2020</t>
        </is>
      </c>
      <c r="B560" s="1" t="n">
        <v>43850</v>
      </c>
      <c r="C560" s="1" t="n">
        <v>45353</v>
      </c>
      <c r="D560" t="inlineStr">
        <is>
          <t>VÄSTERNORRLANDS LÄN</t>
        </is>
      </c>
      <c r="E560" t="inlineStr">
        <is>
          <t>SOLLEFTEÅ</t>
        </is>
      </c>
      <c r="G560" t="n">
        <v>7.6</v>
      </c>
      <c r="H560" t="n">
        <v>0</v>
      </c>
      <c r="I560" t="n">
        <v>0</v>
      </c>
      <c r="J560" t="n">
        <v>0</v>
      </c>
      <c r="K560" t="n">
        <v>0</v>
      </c>
      <c r="L560" t="n">
        <v>0</v>
      </c>
      <c r="M560" t="n">
        <v>0</v>
      </c>
      <c r="N560" t="n">
        <v>0</v>
      </c>
      <c r="O560" t="n">
        <v>0</v>
      </c>
      <c r="P560" t="n">
        <v>0</v>
      </c>
      <c r="Q560" t="n">
        <v>0</v>
      </c>
      <c r="R560" s="2" t="inlineStr"/>
    </row>
    <row r="561" ht="15" customHeight="1">
      <c r="A561" t="inlineStr">
        <is>
          <t>A 3230-2020</t>
        </is>
      </c>
      <c r="B561" s="1" t="n">
        <v>43851</v>
      </c>
      <c r="C561" s="1" t="n">
        <v>45353</v>
      </c>
      <c r="D561" t="inlineStr">
        <is>
          <t>VÄSTERNORRLANDS LÄN</t>
        </is>
      </c>
      <c r="E561" t="inlineStr">
        <is>
          <t>SOLLEFTEÅ</t>
        </is>
      </c>
      <c r="F561" t="inlineStr">
        <is>
          <t>Övriga statliga verk och myndigheter</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4363-2020</t>
        </is>
      </c>
      <c r="B562" s="1" t="n">
        <v>43857</v>
      </c>
      <c r="C562" s="1" t="n">
        <v>45353</v>
      </c>
      <c r="D562" t="inlineStr">
        <is>
          <t>VÄSTERNORRLANDS LÄN</t>
        </is>
      </c>
      <c r="E562" t="inlineStr">
        <is>
          <t>SOLLEFTEÅ</t>
        </is>
      </c>
      <c r="G562" t="n">
        <v>6.4</v>
      </c>
      <c r="H562" t="n">
        <v>0</v>
      </c>
      <c r="I562" t="n">
        <v>0</v>
      </c>
      <c r="J562" t="n">
        <v>0</v>
      </c>
      <c r="K562" t="n">
        <v>0</v>
      </c>
      <c r="L562" t="n">
        <v>0</v>
      </c>
      <c r="M562" t="n">
        <v>0</v>
      </c>
      <c r="N562" t="n">
        <v>0</v>
      </c>
      <c r="O562" t="n">
        <v>0</v>
      </c>
      <c r="P562" t="n">
        <v>0</v>
      </c>
      <c r="Q562" t="n">
        <v>0</v>
      </c>
      <c r="R562" s="2" t="inlineStr"/>
    </row>
    <row r="563" ht="15" customHeight="1">
      <c r="A563" t="inlineStr">
        <is>
          <t>A 5248-2020</t>
        </is>
      </c>
      <c r="B563" s="1" t="n">
        <v>43857</v>
      </c>
      <c r="C563" s="1" t="n">
        <v>45353</v>
      </c>
      <c r="D563" t="inlineStr">
        <is>
          <t>VÄSTERNORRLANDS LÄN</t>
        </is>
      </c>
      <c r="E563" t="inlineStr">
        <is>
          <t>SOLLEFTEÅ</t>
        </is>
      </c>
      <c r="G563" t="n">
        <v>0.9</v>
      </c>
      <c r="H563" t="n">
        <v>0</v>
      </c>
      <c r="I563" t="n">
        <v>0</v>
      </c>
      <c r="J563" t="n">
        <v>0</v>
      </c>
      <c r="K563" t="n">
        <v>0</v>
      </c>
      <c r="L563" t="n">
        <v>0</v>
      </c>
      <c r="M563" t="n">
        <v>0</v>
      </c>
      <c r="N563" t="n">
        <v>0</v>
      </c>
      <c r="O563" t="n">
        <v>0</v>
      </c>
      <c r="P563" t="n">
        <v>0</v>
      </c>
      <c r="Q563" t="n">
        <v>0</v>
      </c>
      <c r="R563" s="2" t="inlineStr"/>
    </row>
    <row r="564" ht="15" customHeight="1">
      <c r="A564" t="inlineStr">
        <is>
          <t>A 5635-2020</t>
        </is>
      </c>
      <c r="B564" s="1" t="n">
        <v>43860</v>
      </c>
      <c r="C564" s="1" t="n">
        <v>45353</v>
      </c>
      <c r="D564" t="inlineStr">
        <is>
          <t>VÄSTERNORRLANDS LÄN</t>
        </is>
      </c>
      <c r="E564" t="inlineStr">
        <is>
          <t>SOLLEFTEÅ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5662-2020</t>
        </is>
      </c>
      <c r="B565" s="1" t="n">
        <v>43861</v>
      </c>
      <c r="C565" s="1" t="n">
        <v>45353</v>
      </c>
      <c r="D565" t="inlineStr">
        <is>
          <t>VÄSTERNORRLANDS LÄN</t>
        </is>
      </c>
      <c r="E565" t="inlineStr">
        <is>
          <t>SOLLEFTEÅ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5714-2020</t>
        </is>
      </c>
      <c r="B566" s="1" t="n">
        <v>43861</v>
      </c>
      <c r="C566" s="1" t="n">
        <v>45353</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5908-2020</t>
        </is>
      </c>
      <c r="B567" s="1" t="n">
        <v>43861</v>
      </c>
      <c r="C567" s="1" t="n">
        <v>45353</v>
      </c>
      <c r="D567" t="inlineStr">
        <is>
          <t>VÄSTERNORRLANDS LÄN</t>
        </is>
      </c>
      <c r="E567" t="inlineStr">
        <is>
          <t>SOLLEFTEÅ</t>
        </is>
      </c>
      <c r="G567" t="n">
        <v>4.6</v>
      </c>
      <c r="H567" t="n">
        <v>0</v>
      </c>
      <c r="I567" t="n">
        <v>0</v>
      </c>
      <c r="J567" t="n">
        <v>0</v>
      </c>
      <c r="K567" t="n">
        <v>0</v>
      </c>
      <c r="L567" t="n">
        <v>0</v>
      </c>
      <c r="M567" t="n">
        <v>0</v>
      </c>
      <c r="N567" t="n">
        <v>0</v>
      </c>
      <c r="O567" t="n">
        <v>0</v>
      </c>
      <c r="P567" t="n">
        <v>0</v>
      </c>
      <c r="Q567" t="n">
        <v>0</v>
      </c>
      <c r="R567" s="2" t="inlineStr"/>
    </row>
    <row r="568" ht="15" customHeight="1">
      <c r="A568" t="inlineStr">
        <is>
          <t>A 8363-2020</t>
        </is>
      </c>
      <c r="B568" s="1" t="n">
        <v>43875</v>
      </c>
      <c r="C568" s="1" t="n">
        <v>45353</v>
      </c>
      <c r="D568" t="inlineStr">
        <is>
          <t>VÄSTERNORRLANDS LÄN</t>
        </is>
      </c>
      <c r="E568" t="inlineStr">
        <is>
          <t>SOLLEFTEÅ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8935-2020</t>
        </is>
      </c>
      <c r="B569" s="1" t="n">
        <v>43878</v>
      </c>
      <c r="C569" s="1" t="n">
        <v>45353</v>
      </c>
      <c r="D569" t="inlineStr">
        <is>
          <t>VÄSTERNORRLANDS LÄN</t>
        </is>
      </c>
      <c r="E569" t="inlineStr">
        <is>
          <t>SOLLEFTEÅ</t>
        </is>
      </c>
      <c r="G569" t="n">
        <v>3.9</v>
      </c>
      <c r="H569" t="n">
        <v>0</v>
      </c>
      <c r="I569" t="n">
        <v>0</v>
      </c>
      <c r="J569" t="n">
        <v>0</v>
      </c>
      <c r="K569" t="n">
        <v>0</v>
      </c>
      <c r="L569" t="n">
        <v>0</v>
      </c>
      <c r="M569" t="n">
        <v>0</v>
      </c>
      <c r="N569" t="n">
        <v>0</v>
      </c>
      <c r="O569" t="n">
        <v>0</v>
      </c>
      <c r="P569" t="n">
        <v>0</v>
      </c>
      <c r="Q569" t="n">
        <v>0</v>
      </c>
      <c r="R569" s="2" t="inlineStr"/>
    </row>
    <row r="570" ht="15" customHeight="1">
      <c r="A570" t="inlineStr">
        <is>
          <t>A 10631-2020</t>
        </is>
      </c>
      <c r="B570" s="1" t="n">
        <v>43887</v>
      </c>
      <c r="C570" s="1" t="n">
        <v>45353</v>
      </c>
      <c r="D570" t="inlineStr">
        <is>
          <t>VÄSTERNORRLANDS LÄN</t>
        </is>
      </c>
      <c r="E570" t="inlineStr">
        <is>
          <t>SOLLEFTEÅ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10846-2020</t>
        </is>
      </c>
      <c r="B571" s="1" t="n">
        <v>43888</v>
      </c>
      <c r="C571" s="1" t="n">
        <v>45353</v>
      </c>
      <c r="D571" t="inlineStr">
        <is>
          <t>VÄSTERNORRLANDS LÄN</t>
        </is>
      </c>
      <c r="E571" t="inlineStr">
        <is>
          <t>SOLLEFTEÅ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11685-2020</t>
        </is>
      </c>
      <c r="B572" s="1" t="n">
        <v>43893</v>
      </c>
      <c r="C572" s="1" t="n">
        <v>45353</v>
      </c>
      <c r="D572" t="inlineStr">
        <is>
          <t>VÄSTERNORRLANDS LÄN</t>
        </is>
      </c>
      <c r="E572" t="inlineStr">
        <is>
          <t>SOLLEFTEÅ</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12819-2020</t>
        </is>
      </c>
      <c r="B573" s="1" t="n">
        <v>43893</v>
      </c>
      <c r="C573" s="1" t="n">
        <v>45353</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12526-2020</t>
        </is>
      </c>
      <c r="B574" s="1" t="n">
        <v>43896</v>
      </c>
      <c r="C574" s="1" t="n">
        <v>45353</v>
      </c>
      <c r="D574" t="inlineStr">
        <is>
          <t>VÄSTERNORRLANDS LÄN</t>
        </is>
      </c>
      <c r="E574" t="inlineStr">
        <is>
          <t>SOLLEFTEÅ</t>
        </is>
      </c>
      <c r="F574" t="inlineStr">
        <is>
          <t>SCA</t>
        </is>
      </c>
      <c r="G574" t="n">
        <v>14.7</v>
      </c>
      <c r="H574" t="n">
        <v>0</v>
      </c>
      <c r="I574" t="n">
        <v>0</v>
      </c>
      <c r="J574" t="n">
        <v>0</v>
      </c>
      <c r="K574" t="n">
        <v>0</v>
      </c>
      <c r="L574" t="n">
        <v>0</v>
      </c>
      <c r="M574" t="n">
        <v>0</v>
      </c>
      <c r="N574" t="n">
        <v>0</v>
      </c>
      <c r="O574" t="n">
        <v>0</v>
      </c>
      <c r="P574" t="n">
        <v>0</v>
      </c>
      <c r="Q574" t="n">
        <v>0</v>
      </c>
      <c r="R574" s="2" t="inlineStr"/>
    </row>
    <row r="575" ht="15" customHeight="1">
      <c r="A575" t="inlineStr">
        <is>
          <t>A 12525-2020</t>
        </is>
      </c>
      <c r="B575" s="1" t="n">
        <v>43896</v>
      </c>
      <c r="C575" s="1" t="n">
        <v>45353</v>
      </c>
      <c r="D575" t="inlineStr">
        <is>
          <t>VÄSTERNORRLANDS LÄN</t>
        </is>
      </c>
      <c r="E575" t="inlineStr">
        <is>
          <t>SOLLEFTEÅ</t>
        </is>
      </c>
      <c r="F575" t="inlineStr">
        <is>
          <t>SCA</t>
        </is>
      </c>
      <c r="G575" t="n">
        <v>28.7</v>
      </c>
      <c r="H575" t="n">
        <v>0</v>
      </c>
      <c r="I575" t="n">
        <v>0</v>
      </c>
      <c r="J575" t="n">
        <v>0</v>
      </c>
      <c r="K575" t="n">
        <v>0</v>
      </c>
      <c r="L575" t="n">
        <v>0</v>
      </c>
      <c r="M575" t="n">
        <v>0</v>
      </c>
      <c r="N575" t="n">
        <v>0</v>
      </c>
      <c r="O575" t="n">
        <v>0</v>
      </c>
      <c r="P575" t="n">
        <v>0</v>
      </c>
      <c r="Q575" t="n">
        <v>0</v>
      </c>
      <c r="R575" s="2" t="inlineStr"/>
    </row>
    <row r="576" ht="15" customHeight="1">
      <c r="A576" t="inlineStr">
        <is>
          <t>A 13023-2020</t>
        </is>
      </c>
      <c r="B576" s="1" t="n">
        <v>43900</v>
      </c>
      <c r="C576" s="1" t="n">
        <v>45353</v>
      </c>
      <c r="D576" t="inlineStr">
        <is>
          <t>VÄSTERNORRLANDS LÄN</t>
        </is>
      </c>
      <c r="E576" t="inlineStr">
        <is>
          <t>SOLLEFTEÅ</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13567-2020</t>
        </is>
      </c>
      <c r="B577" s="1" t="n">
        <v>43902</v>
      </c>
      <c r="C577" s="1" t="n">
        <v>45353</v>
      </c>
      <c r="D577" t="inlineStr">
        <is>
          <t>VÄSTERNORRLANDS LÄN</t>
        </is>
      </c>
      <c r="E577" t="inlineStr">
        <is>
          <t>SOLLEFTEÅ</t>
        </is>
      </c>
      <c r="F577" t="inlineStr">
        <is>
          <t>SCA</t>
        </is>
      </c>
      <c r="G577" t="n">
        <v>15.9</v>
      </c>
      <c r="H577" t="n">
        <v>0</v>
      </c>
      <c r="I577" t="n">
        <v>0</v>
      </c>
      <c r="J577" t="n">
        <v>0</v>
      </c>
      <c r="K577" t="n">
        <v>0</v>
      </c>
      <c r="L577" t="n">
        <v>0</v>
      </c>
      <c r="M577" t="n">
        <v>0</v>
      </c>
      <c r="N577" t="n">
        <v>0</v>
      </c>
      <c r="O577" t="n">
        <v>0</v>
      </c>
      <c r="P577" t="n">
        <v>0</v>
      </c>
      <c r="Q577" t="n">
        <v>0</v>
      </c>
      <c r="R577" s="2" t="inlineStr"/>
    </row>
    <row r="578" ht="15" customHeight="1">
      <c r="A578" t="inlineStr">
        <is>
          <t>A 13577-2020</t>
        </is>
      </c>
      <c r="B578" s="1" t="n">
        <v>43902</v>
      </c>
      <c r="C578" s="1" t="n">
        <v>45353</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13565-2020</t>
        </is>
      </c>
      <c r="B579" s="1" t="n">
        <v>43902</v>
      </c>
      <c r="C579" s="1" t="n">
        <v>45353</v>
      </c>
      <c r="D579" t="inlineStr">
        <is>
          <t>VÄSTERNORRLANDS LÄN</t>
        </is>
      </c>
      <c r="E579" t="inlineStr">
        <is>
          <t>SOLLEFTEÅ</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13575-2020</t>
        </is>
      </c>
      <c r="B580" s="1" t="n">
        <v>43902</v>
      </c>
      <c r="C580" s="1" t="n">
        <v>45353</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13561-2020</t>
        </is>
      </c>
      <c r="B581" s="1" t="n">
        <v>43902</v>
      </c>
      <c r="C581" s="1" t="n">
        <v>45353</v>
      </c>
      <c r="D581" t="inlineStr">
        <is>
          <t>VÄSTERNORRLANDS LÄN</t>
        </is>
      </c>
      <c r="E581" t="inlineStr">
        <is>
          <t>SOLLEFTEÅ</t>
        </is>
      </c>
      <c r="F581" t="inlineStr">
        <is>
          <t>SCA</t>
        </is>
      </c>
      <c r="G581" t="n">
        <v>7.8</v>
      </c>
      <c r="H581" t="n">
        <v>0</v>
      </c>
      <c r="I581" t="n">
        <v>0</v>
      </c>
      <c r="J581" t="n">
        <v>0</v>
      </c>
      <c r="K581" t="n">
        <v>0</v>
      </c>
      <c r="L581" t="n">
        <v>0</v>
      </c>
      <c r="M581" t="n">
        <v>0</v>
      </c>
      <c r="N581" t="n">
        <v>0</v>
      </c>
      <c r="O581" t="n">
        <v>0</v>
      </c>
      <c r="P581" t="n">
        <v>0</v>
      </c>
      <c r="Q581" t="n">
        <v>0</v>
      </c>
      <c r="R581" s="2" t="inlineStr"/>
    </row>
    <row r="582" ht="15" customHeight="1">
      <c r="A582" t="inlineStr">
        <is>
          <t>A 13564-2020</t>
        </is>
      </c>
      <c r="B582" s="1" t="n">
        <v>43902</v>
      </c>
      <c r="C582" s="1" t="n">
        <v>45353</v>
      </c>
      <c r="D582" t="inlineStr">
        <is>
          <t>VÄSTERNORRLANDS LÄN</t>
        </is>
      </c>
      <c r="E582" t="inlineStr">
        <is>
          <t>SOLLEFTEÅ</t>
        </is>
      </c>
      <c r="F582" t="inlineStr">
        <is>
          <t>SCA</t>
        </is>
      </c>
      <c r="G582" t="n">
        <v>26.1</v>
      </c>
      <c r="H582" t="n">
        <v>0</v>
      </c>
      <c r="I582" t="n">
        <v>0</v>
      </c>
      <c r="J582" t="n">
        <v>0</v>
      </c>
      <c r="K582" t="n">
        <v>0</v>
      </c>
      <c r="L582" t="n">
        <v>0</v>
      </c>
      <c r="M582" t="n">
        <v>0</v>
      </c>
      <c r="N582" t="n">
        <v>0</v>
      </c>
      <c r="O582" t="n">
        <v>0</v>
      </c>
      <c r="P582" t="n">
        <v>0</v>
      </c>
      <c r="Q582" t="n">
        <v>0</v>
      </c>
      <c r="R582" s="2" t="inlineStr"/>
    </row>
    <row r="583" ht="15" customHeight="1">
      <c r="A583" t="inlineStr">
        <is>
          <t>A 13798-2020</t>
        </is>
      </c>
      <c r="B583" s="1" t="n">
        <v>43903</v>
      </c>
      <c r="C583" s="1" t="n">
        <v>45353</v>
      </c>
      <c r="D583" t="inlineStr">
        <is>
          <t>VÄSTERNORRLANDS LÄN</t>
        </is>
      </c>
      <c r="E583" t="inlineStr">
        <is>
          <t>SOLLEFTEÅ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13864-2020</t>
        </is>
      </c>
      <c r="B584" s="1" t="n">
        <v>43906</v>
      </c>
      <c r="C584" s="1" t="n">
        <v>45353</v>
      </c>
      <c r="D584" t="inlineStr">
        <is>
          <t>VÄSTERNORRLANDS LÄN</t>
        </is>
      </c>
      <c r="E584" t="inlineStr">
        <is>
          <t>SOLLEFTEÅ</t>
        </is>
      </c>
      <c r="G584" t="n">
        <v>0.4</v>
      </c>
      <c r="H584" t="n">
        <v>0</v>
      </c>
      <c r="I584" t="n">
        <v>0</v>
      </c>
      <c r="J584" t="n">
        <v>0</v>
      </c>
      <c r="K584" t="n">
        <v>0</v>
      </c>
      <c r="L584" t="n">
        <v>0</v>
      </c>
      <c r="M584" t="n">
        <v>0</v>
      </c>
      <c r="N584" t="n">
        <v>0</v>
      </c>
      <c r="O584" t="n">
        <v>0</v>
      </c>
      <c r="P584" t="n">
        <v>0</v>
      </c>
      <c r="Q584" t="n">
        <v>0</v>
      </c>
      <c r="R584" s="2" t="inlineStr"/>
    </row>
    <row r="585" ht="15" customHeight="1">
      <c r="A585" t="inlineStr">
        <is>
          <t>A 14859-2020</t>
        </is>
      </c>
      <c r="B585" s="1" t="n">
        <v>43909</v>
      </c>
      <c r="C585" s="1" t="n">
        <v>45353</v>
      </c>
      <c r="D585" t="inlineStr">
        <is>
          <t>VÄSTERNORRLANDS LÄN</t>
        </is>
      </c>
      <c r="E585" t="inlineStr">
        <is>
          <t>SOLLEFTEÅ</t>
        </is>
      </c>
      <c r="F585" t="inlineStr">
        <is>
          <t>SCA</t>
        </is>
      </c>
      <c r="G585" t="n">
        <v>5.8</v>
      </c>
      <c r="H585" t="n">
        <v>0</v>
      </c>
      <c r="I585" t="n">
        <v>0</v>
      </c>
      <c r="J585" t="n">
        <v>0</v>
      </c>
      <c r="K585" t="n">
        <v>0</v>
      </c>
      <c r="L585" t="n">
        <v>0</v>
      </c>
      <c r="M585" t="n">
        <v>0</v>
      </c>
      <c r="N585" t="n">
        <v>0</v>
      </c>
      <c r="O585" t="n">
        <v>0</v>
      </c>
      <c r="P585" t="n">
        <v>0</v>
      </c>
      <c r="Q585" t="n">
        <v>0</v>
      </c>
      <c r="R585" s="2" t="inlineStr"/>
    </row>
    <row r="586" ht="15" customHeight="1">
      <c r="A586" t="inlineStr">
        <is>
          <t>A 18515-2020</t>
        </is>
      </c>
      <c r="B586" s="1" t="n">
        <v>43927</v>
      </c>
      <c r="C586" s="1" t="n">
        <v>45353</v>
      </c>
      <c r="D586" t="inlineStr">
        <is>
          <t>VÄSTERNORRLANDS LÄN</t>
        </is>
      </c>
      <c r="E586" t="inlineStr">
        <is>
          <t>SOLLEFTEÅ</t>
        </is>
      </c>
      <c r="G586" t="n">
        <v>2.5</v>
      </c>
      <c r="H586" t="n">
        <v>0</v>
      </c>
      <c r="I586" t="n">
        <v>0</v>
      </c>
      <c r="J586" t="n">
        <v>0</v>
      </c>
      <c r="K586" t="n">
        <v>0</v>
      </c>
      <c r="L586" t="n">
        <v>0</v>
      </c>
      <c r="M586" t="n">
        <v>0</v>
      </c>
      <c r="N586" t="n">
        <v>0</v>
      </c>
      <c r="O586" t="n">
        <v>0</v>
      </c>
      <c r="P586" t="n">
        <v>0</v>
      </c>
      <c r="Q586" t="n">
        <v>0</v>
      </c>
      <c r="R586" s="2" t="inlineStr"/>
    </row>
    <row r="587" ht="15" customHeight="1">
      <c r="A587" t="inlineStr">
        <is>
          <t>A 18402-2020</t>
        </is>
      </c>
      <c r="B587" s="1" t="n">
        <v>43928</v>
      </c>
      <c r="C587" s="1" t="n">
        <v>45353</v>
      </c>
      <c r="D587" t="inlineStr">
        <is>
          <t>VÄSTERNORRLANDS LÄN</t>
        </is>
      </c>
      <c r="E587" t="inlineStr">
        <is>
          <t>SOLLEFTEÅ</t>
        </is>
      </c>
      <c r="F587" t="inlineStr">
        <is>
          <t>Kyrkan</t>
        </is>
      </c>
      <c r="G587" t="n">
        <v>2.2</v>
      </c>
      <c r="H587" t="n">
        <v>0</v>
      </c>
      <c r="I587" t="n">
        <v>0</v>
      </c>
      <c r="J587" t="n">
        <v>0</v>
      </c>
      <c r="K587" t="n">
        <v>0</v>
      </c>
      <c r="L587" t="n">
        <v>0</v>
      </c>
      <c r="M587" t="n">
        <v>0</v>
      </c>
      <c r="N587" t="n">
        <v>0</v>
      </c>
      <c r="O587" t="n">
        <v>0</v>
      </c>
      <c r="P587" t="n">
        <v>0</v>
      </c>
      <c r="Q587" t="n">
        <v>0</v>
      </c>
      <c r="R587" s="2" t="inlineStr"/>
    </row>
    <row r="588" ht="15" customHeight="1">
      <c r="A588" t="inlineStr">
        <is>
          <t>A 20164-2020</t>
        </is>
      </c>
      <c r="B588" s="1" t="n">
        <v>43944</v>
      </c>
      <c r="C588" s="1" t="n">
        <v>45353</v>
      </c>
      <c r="D588" t="inlineStr">
        <is>
          <t>VÄSTERNORRLANDS LÄN</t>
        </is>
      </c>
      <c r="E588" t="inlineStr">
        <is>
          <t>SOLLEFTEÅ</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20419-2020</t>
        </is>
      </c>
      <c r="B589" s="1" t="n">
        <v>43945</v>
      </c>
      <c r="C589" s="1" t="n">
        <v>45353</v>
      </c>
      <c r="D589" t="inlineStr">
        <is>
          <t>VÄSTERNORRLANDS LÄN</t>
        </is>
      </c>
      <c r="E589" t="inlineStr">
        <is>
          <t>SOLLEFTEÅ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20861-2020</t>
        </is>
      </c>
      <c r="B590" s="1" t="n">
        <v>43948</v>
      </c>
      <c r="C590" s="1" t="n">
        <v>45353</v>
      </c>
      <c r="D590" t="inlineStr">
        <is>
          <t>VÄSTERNORRLANDS LÄN</t>
        </is>
      </c>
      <c r="E590" t="inlineStr">
        <is>
          <t>SOLLEFTEÅ</t>
        </is>
      </c>
      <c r="G590" t="n">
        <v>2.9</v>
      </c>
      <c r="H590" t="n">
        <v>0</v>
      </c>
      <c r="I590" t="n">
        <v>0</v>
      </c>
      <c r="J590" t="n">
        <v>0</v>
      </c>
      <c r="K590" t="n">
        <v>0</v>
      </c>
      <c r="L590" t="n">
        <v>0</v>
      </c>
      <c r="M590" t="n">
        <v>0</v>
      </c>
      <c r="N590" t="n">
        <v>0</v>
      </c>
      <c r="O590" t="n">
        <v>0</v>
      </c>
      <c r="P590" t="n">
        <v>0</v>
      </c>
      <c r="Q590" t="n">
        <v>0</v>
      </c>
      <c r="R590" s="2" t="inlineStr"/>
    </row>
    <row r="591" ht="15" customHeight="1">
      <c r="A591" t="inlineStr">
        <is>
          <t>A 21022-2020</t>
        </is>
      </c>
      <c r="B591" s="1" t="n">
        <v>43950</v>
      </c>
      <c r="C591" s="1" t="n">
        <v>45353</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21097-2020</t>
        </is>
      </c>
      <c r="B592" s="1" t="n">
        <v>43950</v>
      </c>
      <c r="C592" s="1" t="n">
        <v>45353</v>
      </c>
      <c r="D592" t="inlineStr">
        <is>
          <t>VÄSTERNORRLANDS LÄN</t>
        </is>
      </c>
      <c r="E592" t="inlineStr">
        <is>
          <t>SOLLEFTEÅ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21020-2020</t>
        </is>
      </c>
      <c r="B593" s="1" t="n">
        <v>43950</v>
      </c>
      <c r="C593" s="1" t="n">
        <v>45353</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22371-2020</t>
        </is>
      </c>
      <c r="B594" s="1" t="n">
        <v>43957</v>
      </c>
      <c r="C594" s="1" t="n">
        <v>45353</v>
      </c>
      <c r="D594" t="inlineStr">
        <is>
          <t>VÄSTERNORRLANDS LÄN</t>
        </is>
      </c>
      <c r="E594" t="inlineStr">
        <is>
          <t>SOLLEFTEÅ</t>
        </is>
      </c>
      <c r="G594" t="n">
        <v>0.7</v>
      </c>
      <c r="H594" t="n">
        <v>0</v>
      </c>
      <c r="I594" t="n">
        <v>0</v>
      </c>
      <c r="J594" t="n">
        <v>0</v>
      </c>
      <c r="K594" t="n">
        <v>0</v>
      </c>
      <c r="L594" t="n">
        <v>0</v>
      </c>
      <c r="M594" t="n">
        <v>0</v>
      </c>
      <c r="N594" t="n">
        <v>0</v>
      </c>
      <c r="O594" t="n">
        <v>0</v>
      </c>
      <c r="P594" t="n">
        <v>0</v>
      </c>
      <c r="Q594" t="n">
        <v>0</v>
      </c>
      <c r="R594" s="2" t="inlineStr"/>
    </row>
    <row r="595" ht="15" customHeight="1">
      <c r="A595" t="inlineStr">
        <is>
          <t>A 22731-2020</t>
        </is>
      </c>
      <c r="B595" s="1" t="n">
        <v>43962</v>
      </c>
      <c r="C595" s="1" t="n">
        <v>45353</v>
      </c>
      <c r="D595" t="inlineStr">
        <is>
          <t>VÄSTERNORRLANDS LÄN</t>
        </is>
      </c>
      <c r="E595" t="inlineStr">
        <is>
          <t>SOLLEFTEÅ</t>
        </is>
      </c>
      <c r="G595" t="n">
        <v>16.8</v>
      </c>
      <c r="H595" t="n">
        <v>0</v>
      </c>
      <c r="I595" t="n">
        <v>0</v>
      </c>
      <c r="J595" t="n">
        <v>0</v>
      </c>
      <c r="K595" t="n">
        <v>0</v>
      </c>
      <c r="L595" t="n">
        <v>0</v>
      </c>
      <c r="M595" t="n">
        <v>0</v>
      </c>
      <c r="N595" t="n">
        <v>0</v>
      </c>
      <c r="O595" t="n">
        <v>0</v>
      </c>
      <c r="P595" t="n">
        <v>0</v>
      </c>
      <c r="Q595" t="n">
        <v>0</v>
      </c>
      <c r="R595" s="2" t="inlineStr"/>
    </row>
    <row r="596" ht="15" customHeight="1">
      <c r="A596" t="inlineStr">
        <is>
          <t>A 21607-2020</t>
        </is>
      </c>
      <c r="B596" s="1" t="n">
        <v>43963</v>
      </c>
      <c r="C596" s="1" t="n">
        <v>45353</v>
      </c>
      <c r="D596" t="inlineStr">
        <is>
          <t>VÄSTERNORRLANDS LÄN</t>
        </is>
      </c>
      <c r="E596" t="inlineStr">
        <is>
          <t>SOLLEFTEÅ</t>
        </is>
      </c>
      <c r="G596" t="n">
        <v>3.6</v>
      </c>
      <c r="H596" t="n">
        <v>0</v>
      </c>
      <c r="I596" t="n">
        <v>0</v>
      </c>
      <c r="J596" t="n">
        <v>0</v>
      </c>
      <c r="K596" t="n">
        <v>0</v>
      </c>
      <c r="L596" t="n">
        <v>0</v>
      </c>
      <c r="M596" t="n">
        <v>0</v>
      </c>
      <c r="N596" t="n">
        <v>0</v>
      </c>
      <c r="O596" t="n">
        <v>0</v>
      </c>
      <c r="P596" t="n">
        <v>0</v>
      </c>
      <c r="Q596" t="n">
        <v>0</v>
      </c>
      <c r="R596" s="2" t="inlineStr"/>
    </row>
    <row r="597" ht="15" customHeight="1">
      <c r="A597" t="inlineStr">
        <is>
          <t>A 22561-2020</t>
        </is>
      </c>
      <c r="B597" s="1" t="n">
        <v>43963</v>
      </c>
      <c r="C597" s="1" t="n">
        <v>45353</v>
      </c>
      <c r="D597" t="inlineStr">
        <is>
          <t>VÄSTERNORRLANDS LÄN</t>
        </is>
      </c>
      <c r="E597" t="inlineStr">
        <is>
          <t>SOLLEFTEÅ</t>
        </is>
      </c>
      <c r="G597" t="n">
        <v>8.6</v>
      </c>
      <c r="H597" t="n">
        <v>0</v>
      </c>
      <c r="I597" t="n">
        <v>0</v>
      </c>
      <c r="J597" t="n">
        <v>0</v>
      </c>
      <c r="K597" t="n">
        <v>0</v>
      </c>
      <c r="L597" t="n">
        <v>0</v>
      </c>
      <c r="M597" t="n">
        <v>0</v>
      </c>
      <c r="N597" t="n">
        <v>0</v>
      </c>
      <c r="O597" t="n">
        <v>0</v>
      </c>
      <c r="P597" t="n">
        <v>0</v>
      </c>
      <c r="Q597" t="n">
        <v>0</v>
      </c>
      <c r="R597" s="2" t="inlineStr"/>
    </row>
    <row r="598" ht="15" customHeight="1">
      <c r="A598" t="inlineStr">
        <is>
          <t>A 23231-2020</t>
        </is>
      </c>
      <c r="B598" s="1" t="n">
        <v>43966</v>
      </c>
      <c r="C598" s="1" t="n">
        <v>45353</v>
      </c>
      <c r="D598" t="inlineStr">
        <is>
          <t>VÄSTERNORRLANDS LÄN</t>
        </is>
      </c>
      <c r="E598" t="inlineStr">
        <is>
          <t>SOLLEFTEÅ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23638-2020</t>
        </is>
      </c>
      <c r="B599" s="1" t="n">
        <v>43969</v>
      </c>
      <c r="C599" s="1" t="n">
        <v>45353</v>
      </c>
      <c r="D599" t="inlineStr">
        <is>
          <t>VÄSTERNORRLANDS LÄN</t>
        </is>
      </c>
      <c r="E599" t="inlineStr">
        <is>
          <t>SOLLEFTEÅ</t>
        </is>
      </c>
      <c r="G599" t="n">
        <v>8.9</v>
      </c>
      <c r="H599" t="n">
        <v>0</v>
      </c>
      <c r="I599" t="n">
        <v>0</v>
      </c>
      <c r="J599" t="n">
        <v>0</v>
      </c>
      <c r="K599" t="n">
        <v>0</v>
      </c>
      <c r="L599" t="n">
        <v>0</v>
      </c>
      <c r="M599" t="n">
        <v>0</v>
      </c>
      <c r="N599" t="n">
        <v>0</v>
      </c>
      <c r="O599" t="n">
        <v>0</v>
      </c>
      <c r="P599" t="n">
        <v>0</v>
      </c>
      <c r="Q599" t="n">
        <v>0</v>
      </c>
      <c r="R599" s="2" t="inlineStr"/>
    </row>
    <row r="600" ht="15" customHeight="1">
      <c r="A600" t="inlineStr">
        <is>
          <t>A 24060-2020</t>
        </is>
      </c>
      <c r="B600" s="1" t="n">
        <v>43971</v>
      </c>
      <c r="C600" s="1" t="n">
        <v>45353</v>
      </c>
      <c r="D600" t="inlineStr">
        <is>
          <t>VÄSTERNORRLANDS LÄN</t>
        </is>
      </c>
      <c r="E600" t="inlineStr">
        <is>
          <t>SOLLEFTEÅ</t>
        </is>
      </c>
      <c r="G600" t="n">
        <v>16.3</v>
      </c>
      <c r="H600" t="n">
        <v>0</v>
      </c>
      <c r="I600" t="n">
        <v>0</v>
      </c>
      <c r="J600" t="n">
        <v>0</v>
      </c>
      <c r="K600" t="n">
        <v>0</v>
      </c>
      <c r="L600" t="n">
        <v>0</v>
      </c>
      <c r="M600" t="n">
        <v>0</v>
      </c>
      <c r="N600" t="n">
        <v>0</v>
      </c>
      <c r="O600" t="n">
        <v>0</v>
      </c>
      <c r="P600" t="n">
        <v>0</v>
      </c>
      <c r="Q600" t="n">
        <v>0</v>
      </c>
      <c r="R600" s="2" t="inlineStr"/>
    </row>
    <row r="601" ht="15" customHeight="1">
      <c r="A601" t="inlineStr">
        <is>
          <t>A 24062-2020</t>
        </is>
      </c>
      <c r="B601" s="1" t="n">
        <v>43971</v>
      </c>
      <c r="C601" s="1" t="n">
        <v>45353</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24061-2020</t>
        </is>
      </c>
      <c r="B602" s="1" t="n">
        <v>43971</v>
      </c>
      <c r="C602" s="1" t="n">
        <v>45353</v>
      </c>
      <c r="D602" t="inlineStr">
        <is>
          <t>VÄSTERNORRLANDS LÄN</t>
        </is>
      </c>
      <c r="E602" t="inlineStr">
        <is>
          <t>SOLLEFTEÅ</t>
        </is>
      </c>
      <c r="G602" t="n">
        <v>5.7</v>
      </c>
      <c r="H602" t="n">
        <v>0</v>
      </c>
      <c r="I602" t="n">
        <v>0</v>
      </c>
      <c r="J602" t="n">
        <v>0</v>
      </c>
      <c r="K602" t="n">
        <v>0</v>
      </c>
      <c r="L602" t="n">
        <v>0</v>
      </c>
      <c r="M602" t="n">
        <v>0</v>
      </c>
      <c r="N602" t="n">
        <v>0</v>
      </c>
      <c r="O602" t="n">
        <v>0</v>
      </c>
      <c r="P602" t="n">
        <v>0</v>
      </c>
      <c r="Q602" t="n">
        <v>0</v>
      </c>
      <c r="R602" s="2" t="inlineStr"/>
    </row>
    <row r="603" ht="15" customHeight="1">
      <c r="A603" t="inlineStr">
        <is>
          <t>A 25100-2020</t>
        </is>
      </c>
      <c r="B603" s="1" t="n">
        <v>43979</v>
      </c>
      <c r="C603" s="1" t="n">
        <v>45353</v>
      </c>
      <c r="D603" t="inlineStr">
        <is>
          <t>VÄSTERNORRLANDS LÄN</t>
        </is>
      </c>
      <c r="E603" t="inlineStr">
        <is>
          <t>SOLLEFTEÅ</t>
        </is>
      </c>
      <c r="G603" t="n">
        <v>4.7</v>
      </c>
      <c r="H603" t="n">
        <v>0</v>
      </c>
      <c r="I603" t="n">
        <v>0</v>
      </c>
      <c r="J603" t="n">
        <v>0</v>
      </c>
      <c r="K603" t="n">
        <v>0</v>
      </c>
      <c r="L603" t="n">
        <v>0</v>
      </c>
      <c r="M603" t="n">
        <v>0</v>
      </c>
      <c r="N603" t="n">
        <v>0</v>
      </c>
      <c r="O603" t="n">
        <v>0</v>
      </c>
      <c r="P603" t="n">
        <v>0</v>
      </c>
      <c r="Q603" t="n">
        <v>0</v>
      </c>
      <c r="R603" s="2" t="inlineStr"/>
    </row>
    <row r="604" ht="15" customHeight="1">
      <c r="A604" t="inlineStr">
        <is>
          <t>A 26189-2020</t>
        </is>
      </c>
      <c r="B604" s="1" t="n">
        <v>43985</v>
      </c>
      <c r="C604" s="1" t="n">
        <v>45353</v>
      </c>
      <c r="D604" t="inlineStr">
        <is>
          <t>VÄSTERNORRLANDS LÄN</t>
        </is>
      </c>
      <c r="E604" t="inlineStr">
        <is>
          <t>SOLLEFTEÅ</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26249-2020</t>
        </is>
      </c>
      <c r="B605" s="1" t="n">
        <v>43986</v>
      </c>
      <c r="C605" s="1" t="n">
        <v>45353</v>
      </c>
      <c r="D605" t="inlineStr">
        <is>
          <t>VÄSTERNORRLANDS LÄN</t>
        </is>
      </c>
      <c r="E605" t="inlineStr">
        <is>
          <t>SOLLEFTEÅ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27199-2020</t>
        </is>
      </c>
      <c r="B606" s="1" t="n">
        <v>43991</v>
      </c>
      <c r="C606" s="1" t="n">
        <v>45353</v>
      </c>
      <c r="D606" t="inlineStr">
        <is>
          <t>VÄSTERNORRLANDS LÄN</t>
        </is>
      </c>
      <c r="E606" t="inlineStr">
        <is>
          <t>SOLLEFTEÅ</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27177-2020</t>
        </is>
      </c>
      <c r="B607" s="1" t="n">
        <v>43991</v>
      </c>
      <c r="C607" s="1" t="n">
        <v>45353</v>
      </c>
      <c r="D607" t="inlineStr">
        <is>
          <t>VÄSTERNORRLANDS LÄN</t>
        </is>
      </c>
      <c r="E607" t="inlineStr">
        <is>
          <t>SOLLEFTEÅ</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27209-2020</t>
        </is>
      </c>
      <c r="B608" s="1" t="n">
        <v>43991</v>
      </c>
      <c r="C608" s="1" t="n">
        <v>45353</v>
      </c>
      <c r="D608" t="inlineStr">
        <is>
          <t>VÄSTERNORRLANDS LÄN</t>
        </is>
      </c>
      <c r="E608" t="inlineStr">
        <is>
          <t>SOLLEFTEÅ</t>
        </is>
      </c>
      <c r="F608" t="inlineStr">
        <is>
          <t>SCA</t>
        </is>
      </c>
      <c r="G608" t="n">
        <v>15.7</v>
      </c>
      <c r="H608" t="n">
        <v>0</v>
      </c>
      <c r="I608" t="n">
        <v>0</v>
      </c>
      <c r="J608" t="n">
        <v>0</v>
      </c>
      <c r="K608" t="n">
        <v>0</v>
      </c>
      <c r="L608" t="n">
        <v>0</v>
      </c>
      <c r="M608" t="n">
        <v>0</v>
      </c>
      <c r="N608" t="n">
        <v>0</v>
      </c>
      <c r="O608" t="n">
        <v>0</v>
      </c>
      <c r="P608" t="n">
        <v>0</v>
      </c>
      <c r="Q608" t="n">
        <v>0</v>
      </c>
      <c r="R608" s="2" t="inlineStr"/>
    </row>
    <row r="609" ht="15" customHeight="1">
      <c r="A609" t="inlineStr">
        <is>
          <t>A 28489-2020</t>
        </is>
      </c>
      <c r="B609" s="1" t="n">
        <v>43998</v>
      </c>
      <c r="C609" s="1" t="n">
        <v>45353</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28486-2020</t>
        </is>
      </c>
      <c r="B610" s="1" t="n">
        <v>43999</v>
      </c>
      <c r="C610" s="1" t="n">
        <v>45353</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29648-2020</t>
        </is>
      </c>
      <c r="B611" s="1" t="n">
        <v>44004</v>
      </c>
      <c r="C611" s="1" t="n">
        <v>45353</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29503-2020</t>
        </is>
      </c>
      <c r="B612" s="1" t="n">
        <v>44005</v>
      </c>
      <c r="C612" s="1" t="n">
        <v>45353</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29825-2020</t>
        </is>
      </c>
      <c r="B613" s="1" t="n">
        <v>44005</v>
      </c>
      <c r="C613" s="1" t="n">
        <v>45353</v>
      </c>
      <c r="D613" t="inlineStr">
        <is>
          <t>VÄSTERNORRLANDS LÄN</t>
        </is>
      </c>
      <c r="E613" t="inlineStr">
        <is>
          <t>SOLLEFTEÅ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29801-2020</t>
        </is>
      </c>
      <c r="B614" s="1" t="n">
        <v>44005</v>
      </c>
      <c r="C614" s="1" t="n">
        <v>45353</v>
      </c>
      <c r="D614" t="inlineStr">
        <is>
          <t>VÄSTERNORRLANDS LÄN</t>
        </is>
      </c>
      <c r="E614" t="inlineStr">
        <is>
          <t>SOLLEFTEÅ</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30492-2020</t>
        </is>
      </c>
      <c r="B615" s="1" t="n">
        <v>44007</v>
      </c>
      <c r="C615" s="1" t="n">
        <v>45353</v>
      </c>
      <c r="D615" t="inlineStr">
        <is>
          <t>VÄSTERNORRLANDS LÄN</t>
        </is>
      </c>
      <c r="E615" t="inlineStr">
        <is>
          <t>SOLLEFTEÅ</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30484-2020</t>
        </is>
      </c>
      <c r="B616" s="1" t="n">
        <v>44007</v>
      </c>
      <c r="C616" s="1" t="n">
        <v>45353</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30753-2020</t>
        </is>
      </c>
      <c r="B617" s="1" t="n">
        <v>44008</v>
      </c>
      <c r="C617" s="1" t="n">
        <v>45353</v>
      </c>
      <c r="D617" t="inlineStr">
        <is>
          <t>VÄSTERNORRLANDS LÄN</t>
        </is>
      </c>
      <c r="E617" t="inlineStr">
        <is>
          <t>SOLLEFTEÅ</t>
        </is>
      </c>
      <c r="F617" t="inlineStr">
        <is>
          <t>SCA</t>
        </is>
      </c>
      <c r="G617" t="n">
        <v>10.7</v>
      </c>
      <c r="H617" t="n">
        <v>0</v>
      </c>
      <c r="I617" t="n">
        <v>0</v>
      </c>
      <c r="J617" t="n">
        <v>0</v>
      </c>
      <c r="K617" t="n">
        <v>0</v>
      </c>
      <c r="L617" t="n">
        <v>0</v>
      </c>
      <c r="M617" t="n">
        <v>0</v>
      </c>
      <c r="N617" t="n">
        <v>0</v>
      </c>
      <c r="O617" t="n">
        <v>0</v>
      </c>
      <c r="P617" t="n">
        <v>0</v>
      </c>
      <c r="Q617" t="n">
        <v>0</v>
      </c>
      <c r="R617" s="2" t="inlineStr"/>
    </row>
    <row r="618" ht="15" customHeight="1">
      <c r="A618" t="inlineStr">
        <is>
          <t>A 30747-2020</t>
        </is>
      </c>
      <c r="B618" s="1" t="n">
        <v>44008</v>
      </c>
      <c r="C618" s="1" t="n">
        <v>45353</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30802-2020</t>
        </is>
      </c>
      <c r="B619" s="1" t="n">
        <v>44011</v>
      </c>
      <c r="C619" s="1" t="n">
        <v>45353</v>
      </c>
      <c r="D619" t="inlineStr">
        <is>
          <t>VÄSTERNORRLANDS LÄN</t>
        </is>
      </c>
      <c r="E619" t="inlineStr">
        <is>
          <t>SOLLEFTEÅ</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31313-2020</t>
        </is>
      </c>
      <c r="B620" s="1" t="n">
        <v>44012</v>
      </c>
      <c r="C620" s="1" t="n">
        <v>45353</v>
      </c>
      <c r="D620" t="inlineStr">
        <is>
          <t>VÄSTERNORRLANDS LÄN</t>
        </is>
      </c>
      <c r="E620" t="inlineStr">
        <is>
          <t>SOLLEFTEÅ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32013-2020</t>
        </is>
      </c>
      <c r="B621" s="1" t="n">
        <v>44015</v>
      </c>
      <c r="C621" s="1" t="n">
        <v>45353</v>
      </c>
      <c r="D621" t="inlineStr">
        <is>
          <t>VÄSTERNORRLANDS LÄN</t>
        </is>
      </c>
      <c r="E621" t="inlineStr">
        <is>
          <t>SOLLEFTEÅ</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32325-2020</t>
        </is>
      </c>
      <c r="B622" s="1" t="n">
        <v>44016</v>
      </c>
      <c r="C622" s="1" t="n">
        <v>45353</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32461-2020</t>
        </is>
      </c>
      <c r="B623" s="1" t="n">
        <v>44015</v>
      </c>
      <c r="C623" s="1" t="n">
        <v>45353</v>
      </c>
      <c r="D623" t="inlineStr">
        <is>
          <t>VÄSTERNORRLANDS LÄN</t>
        </is>
      </c>
      <c r="E623" t="inlineStr">
        <is>
          <t>SOLLEFTEÅ</t>
        </is>
      </c>
      <c r="G623" t="n">
        <v>3.7</v>
      </c>
      <c r="H623" t="n">
        <v>0</v>
      </c>
      <c r="I623" t="n">
        <v>0</v>
      </c>
      <c r="J623" t="n">
        <v>0</v>
      </c>
      <c r="K623" t="n">
        <v>0</v>
      </c>
      <c r="L623" t="n">
        <v>0</v>
      </c>
      <c r="M623" t="n">
        <v>0</v>
      </c>
      <c r="N623" t="n">
        <v>0</v>
      </c>
      <c r="O623" t="n">
        <v>0</v>
      </c>
      <c r="P623" t="n">
        <v>0</v>
      </c>
      <c r="Q623" t="n">
        <v>0</v>
      </c>
      <c r="R623" s="2" t="inlineStr"/>
    </row>
    <row r="624" ht="15" customHeight="1">
      <c r="A624" t="inlineStr">
        <is>
          <t>A 32318-2020</t>
        </is>
      </c>
      <c r="B624" s="1" t="n">
        <v>44015</v>
      </c>
      <c r="C624" s="1" t="n">
        <v>45353</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32919-2020</t>
        </is>
      </c>
      <c r="B625" s="1" t="n">
        <v>44018</v>
      </c>
      <c r="C625" s="1" t="n">
        <v>45353</v>
      </c>
      <c r="D625" t="inlineStr">
        <is>
          <t>VÄSTERNORRLANDS LÄN</t>
        </is>
      </c>
      <c r="E625" t="inlineStr">
        <is>
          <t>SOLLEFTEÅ</t>
        </is>
      </c>
      <c r="G625" t="n">
        <v>5.5</v>
      </c>
      <c r="H625" t="n">
        <v>0</v>
      </c>
      <c r="I625" t="n">
        <v>0</v>
      </c>
      <c r="J625" t="n">
        <v>0</v>
      </c>
      <c r="K625" t="n">
        <v>0</v>
      </c>
      <c r="L625" t="n">
        <v>0</v>
      </c>
      <c r="M625" t="n">
        <v>0</v>
      </c>
      <c r="N625" t="n">
        <v>0</v>
      </c>
      <c r="O625" t="n">
        <v>0</v>
      </c>
      <c r="P625" t="n">
        <v>0</v>
      </c>
      <c r="Q625" t="n">
        <v>0</v>
      </c>
      <c r="R625" s="2" t="inlineStr"/>
    </row>
    <row r="626" ht="15" customHeight="1">
      <c r="A626" t="inlineStr">
        <is>
          <t>A 32929-2020</t>
        </is>
      </c>
      <c r="B626" s="1" t="n">
        <v>44018</v>
      </c>
      <c r="C626" s="1" t="n">
        <v>45353</v>
      </c>
      <c r="D626" t="inlineStr">
        <is>
          <t>VÄSTERNORRLANDS LÄN</t>
        </is>
      </c>
      <c r="E626" t="inlineStr">
        <is>
          <t>SOLLEFTEÅ</t>
        </is>
      </c>
      <c r="G626" t="n">
        <v>2.3</v>
      </c>
      <c r="H626" t="n">
        <v>0</v>
      </c>
      <c r="I626" t="n">
        <v>0</v>
      </c>
      <c r="J626" t="n">
        <v>0</v>
      </c>
      <c r="K626" t="n">
        <v>0</v>
      </c>
      <c r="L626" t="n">
        <v>0</v>
      </c>
      <c r="M626" t="n">
        <v>0</v>
      </c>
      <c r="N626" t="n">
        <v>0</v>
      </c>
      <c r="O626" t="n">
        <v>0</v>
      </c>
      <c r="P626" t="n">
        <v>0</v>
      </c>
      <c r="Q626" t="n">
        <v>0</v>
      </c>
      <c r="R626" s="2" t="inlineStr"/>
    </row>
    <row r="627" ht="15" customHeight="1">
      <c r="A627" t="inlineStr">
        <is>
          <t>A 32924-2020</t>
        </is>
      </c>
      <c r="B627" s="1" t="n">
        <v>44018</v>
      </c>
      <c r="C627" s="1" t="n">
        <v>45353</v>
      </c>
      <c r="D627" t="inlineStr">
        <is>
          <t>VÄSTERNORRLANDS LÄN</t>
        </is>
      </c>
      <c r="E627" t="inlineStr">
        <is>
          <t>SOLLEFTEÅ</t>
        </is>
      </c>
      <c r="G627" t="n">
        <v>2.8</v>
      </c>
      <c r="H627" t="n">
        <v>0</v>
      </c>
      <c r="I627" t="n">
        <v>0</v>
      </c>
      <c r="J627" t="n">
        <v>0</v>
      </c>
      <c r="K627" t="n">
        <v>0</v>
      </c>
      <c r="L627" t="n">
        <v>0</v>
      </c>
      <c r="M627" t="n">
        <v>0</v>
      </c>
      <c r="N627" t="n">
        <v>0</v>
      </c>
      <c r="O627" t="n">
        <v>0</v>
      </c>
      <c r="P627" t="n">
        <v>0</v>
      </c>
      <c r="Q627" t="n">
        <v>0</v>
      </c>
      <c r="R627" s="2" t="inlineStr"/>
    </row>
    <row r="628" ht="15" customHeight="1">
      <c r="A628" t="inlineStr">
        <is>
          <t>A 32742-2020</t>
        </is>
      </c>
      <c r="B628" s="1" t="n">
        <v>44019</v>
      </c>
      <c r="C628" s="1" t="n">
        <v>45353</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33013-2020</t>
        </is>
      </c>
      <c r="B629" s="1" t="n">
        <v>44020</v>
      </c>
      <c r="C629" s="1" t="n">
        <v>45353</v>
      </c>
      <c r="D629" t="inlineStr">
        <is>
          <t>VÄSTERNORRLANDS LÄN</t>
        </is>
      </c>
      <c r="E629" t="inlineStr">
        <is>
          <t>SOLLEFTEÅ</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33009-2020</t>
        </is>
      </c>
      <c r="B630" s="1" t="n">
        <v>44020</v>
      </c>
      <c r="C630" s="1" t="n">
        <v>45353</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33014-2020</t>
        </is>
      </c>
      <c r="B631" s="1" t="n">
        <v>44021</v>
      </c>
      <c r="C631" s="1" t="n">
        <v>45353</v>
      </c>
      <c r="D631" t="inlineStr">
        <is>
          <t>VÄSTERNORRLANDS LÄN</t>
        </is>
      </c>
      <c r="E631" t="inlineStr">
        <is>
          <t>SOLLEFTEÅ</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33010-2020</t>
        </is>
      </c>
      <c r="B632" s="1" t="n">
        <v>44020</v>
      </c>
      <c r="C632" s="1" t="n">
        <v>45353</v>
      </c>
      <c r="D632" t="inlineStr">
        <is>
          <t>VÄSTERNORRLANDS LÄN</t>
        </is>
      </c>
      <c r="E632" t="inlineStr">
        <is>
          <t>SOLLEFTEÅ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33200-2020</t>
        </is>
      </c>
      <c r="B633" s="1" t="n">
        <v>44021</v>
      </c>
      <c r="C633" s="1" t="n">
        <v>45353</v>
      </c>
      <c r="D633" t="inlineStr">
        <is>
          <t>VÄSTERNORRLANDS LÄN</t>
        </is>
      </c>
      <c r="E633" t="inlineStr">
        <is>
          <t>SOLLEFTEÅ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33209-2020</t>
        </is>
      </c>
      <c r="B634" s="1" t="n">
        <v>44021</v>
      </c>
      <c r="C634" s="1" t="n">
        <v>45353</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33211-2020</t>
        </is>
      </c>
      <c r="B635" s="1" t="n">
        <v>44021</v>
      </c>
      <c r="C635" s="1" t="n">
        <v>45353</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33212-2020</t>
        </is>
      </c>
      <c r="B636" s="1" t="n">
        <v>44021</v>
      </c>
      <c r="C636" s="1" t="n">
        <v>45353</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33208-2020</t>
        </is>
      </c>
      <c r="B637" s="1" t="n">
        <v>44021</v>
      </c>
      <c r="C637" s="1" t="n">
        <v>45353</v>
      </c>
      <c r="D637" t="inlineStr">
        <is>
          <t>VÄSTERNORRLANDS LÄN</t>
        </is>
      </c>
      <c r="E637" t="inlineStr">
        <is>
          <t>SOLLEFTEÅ</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33440-2020</t>
        </is>
      </c>
      <c r="B638" s="1" t="n">
        <v>44022</v>
      </c>
      <c r="C638" s="1" t="n">
        <v>45353</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33458-2020</t>
        </is>
      </c>
      <c r="B639" s="1" t="n">
        <v>44022</v>
      </c>
      <c r="C639" s="1" t="n">
        <v>45353</v>
      </c>
      <c r="D639" t="inlineStr">
        <is>
          <t>VÄSTERNORRLANDS LÄN</t>
        </is>
      </c>
      <c r="E639" t="inlineStr">
        <is>
          <t>SOLLEFTEÅ</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33445-2020</t>
        </is>
      </c>
      <c r="B640" s="1" t="n">
        <v>44022</v>
      </c>
      <c r="C640" s="1" t="n">
        <v>45353</v>
      </c>
      <c r="D640" t="inlineStr">
        <is>
          <t>VÄSTERNORRLANDS LÄN</t>
        </is>
      </c>
      <c r="E640" t="inlineStr">
        <is>
          <t>SOLLEFTEÅ</t>
        </is>
      </c>
      <c r="G640" t="n">
        <v>4.5</v>
      </c>
      <c r="H640" t="n">
        <v>0</v>
      </c>
      <c r="I640" t="n">
        <v>0</v>
      </c>
      <c r="J640" t="n">
        <v>0</v>
      </c>
      <c r="K640" t="n">
        <v>0</v>
      </c>
      <c r="L640" t="n">
        <v>0</v>
      </c>
      <c r="M640" t="n">
        <v>0</v>
      </c>
      <c r="N640" t="n">
        <v>0</v>
      </c>
      <c r="O640" t="n">
        <v>0</v>
      </c>
      <c r="P640" t="n">
        <v>0</v>
      </c>
      <c r="Q640" t="n">
        <v>0</v>
      </c>
      <c r="R640" s="2" t="inlineStr"/>
    </row>
    <row r="641" ht="15" customHeight="1">
      <c r="A641" t="inlineStr">
        <is>
          <t>A 33492-2020</t>
        </is>
      </c>
      <c r="B641" s="1" t="n">
        <v>44024</v>
      </c>
      <c r="C641" s="1" t="n">
        <v>45353</v>
      </c>
      <c r="D641" t="inlineStr">
        <is>
          <t>VÄSTERNORRLANDS LÄN</t>
        </is>
      </c>
      <c r="E641" t="inlineStr">
        <is>
          <t>SOLLEFTEÅ</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33640-2020</t>
        </is>
      </c>
      <c r="B642" s="1" t="n">
        <v>44025</v>
      </c>
      <c r="C642" s="1" t="n">
        <v>45353</v>
      </c>
      <c r="D642" t="inlineStr">
        <is>
          <t>VÄSTERNORRLANDS LÄN</t>
        </is>
      </c>
      <c r="E642" t="inlineStr">
        <is>
          <t>SOLLEFTEÅ</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33641-2020</t>
        </is>
      </c>
      <c r="B643" s="1" t="n">
        <v>44025</v>
      </c>
      <c r="C643" s="1" t="n">
        <v>45353</v>
      </c>
      <c r="D643" t="inlineStr">
        <is>
          <t>VÄSTERNORRLANDS LÄN</t>
        </is>
      </c>
      <c r="E643" t="inlineStr">
        <is>
          <t>SOLLEFTEÅ</t>
        </is>
      </c>
      <c r="F643" t="inlineStr">
        <is>
          <t>SCA</t>
        </is>
      </c>
      <c r="G643" t="n">
        <v>8.1</v>
      </c>
      <c r="H643" t="n">
        <v>0</v>
      </c>
      <c r="I643" t="n">
        <v>0</v>
      </c>
      <c r="J643" t="n">
        <v>0</v>
      </c>
      <c r="K643" t="n">
        <v>0</v>
      </c>
      <c r="L643" t="n">
        <v>0</v>
      </c>
      <c r="M643" t="n">
        <v>0</v>
      </c>
      <c r="N643" t="n">
        <v>0</v>
      </c>
      <c r="O643" t="n">
        <v>0</v>
      </c>
      <c r="P643" t="n">
        <v>0</v>
      </c>
      <c r="Q643" t="n">
        <v>0</v>
      </c>
      <c r="R643" s="2" t="inlineStr"/>
    </row>
    <row r="644" ht="15" customHeight="1">
      <c r="A644" t="inlineStr">
        <is>
          <t>A 33628-2020</t>
        </is>
      </c>
      <c r="B644" s="1" t="n">
        <v>44025</v>
      </c>
      <c r="C644" s="1" t="n">
        <v>45353</v>
      </c>
      <c r="D644" t="inlineStr">
        <is>
          <t>VÄSTERNORRLANDS LÄN</t>
        </is>
      </c>
      <c r="E644" t="inlineStr">
        <is>
          <t>SOLLEFTEÅ</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33784-2020</t>
        </is>
      </c>
      <c r="B645" s="1" t="n">
        <v>44026</v>
      </c>
      <c r="C645" s="1" t="n">
        <v>45353</v>
      </c>
      <c r="D645" t="inlineStr">
        <is>
          <t>VÄSTERNORRLANDS LÄN</t>
        </is>
      </c>
      <c r="E645" t="inlineStr">
        <is>
          <t>SOLLEFTEÅ</t>
        </is>
      </c>
      <c r="F645" t="inlineStr">
        <is>
          <t>SCA</t>
        </is>
      </c>
      <c r="G645" t="n">
        <v>10.6</v>
      </c>
      <c r="H645" t="n">
        <v>0</v>
      </c>
      <c r="I645" t="n">
        <v>0</v>
      </c>
      <c r="J645" t="n">
        <v>0</v>
      </c>
      <c r="K645" t="n">
        <v>0</v>
      </c>
      <c r="L645" t="n">
        <v>0</v>
      </c>
      <c r="M645" t="n">
        <v>0</v>
      </c>
      <c r="N645" t="n">
        <v>0</v>
      </c>
      <c r="O645" t="n">
        <v>0</v>
      </c>
      <c r="P645" t="n">
        <v>0</v>
      </c>
      <c r="Q645" t="n">
        <v>0</v>
      </c>
      <c r="R645" s="2" t="inlineStr"/>
    </row>
    <row r="646" ht="15" customHeight="1">
      <c r="A646" t="inlineStr">
        <is>
          <t>A 33782-2020</t>
        </is>
      </c>
      <c r="B646" s="1" t="n">
        <v>44026</v>
      </c>
      <c r="C646" s="1" t="n">
        <v>45353</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33950-2020</t>
        </is>
      </c>
      <c r="B647" s="1" t="n">
        <v>44027</v>
      </c>
      <c r="C647" s="1" t="n">
        <v>45353</v>
      </c>
      <c r="D647" t="inlineStr">
        <is>
          <t>VÄSTERNORRLANDS LÄN</t>
        </is>
      </c>
      <c r="E647" t="inlineStr">
        <is>
          <t>SOLLEFTEÅ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34120-2020</t>
        </is>
      </c>
      <c r="B648" s="1" t="n">
        <v>44029</v>
      </c>
      <c r="C648" s="1" t="n">
        <v>45353</v>
      </c>
      <c r="D648" t="inlineStr">
        <is>
          <t>VÄSTERNORRLANDS LÄN</t>
        </is>
      </c>
      <c r="E648" t="inlineStr">
        <is>
          <t>SOLLEFTEÅ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34474-2020</t>
        </is>
      </c>
      <c r="B649" s="1" t="n">
        <v>44032</v>
      </c>
      <c r="C649" s="1" t="n">
        <v>45353</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34585-2020</t>
        </is>
      </c>
      <c r="B650" s="1" t="n">
        <v>44033</v>
      </c>
      <c r="C650" s="1" t="n">
        <v>45353</v>
      </c>
      <c r="D650" t="inlineStr">
        <is>
          <t>VÄSTERNORRLANDS LÄN</t>
        </is>
      </c>
      <c r="E650" t="inlineStr">
        <is>
          <t>SOLLEFTEÅ</t>
        </is>
      </c>
      <c r="F650" t="inlineStr">
        <is>
          <t>SCA</t>
        </is>
      </c>
      <c r="G650" t="n">
        <v>10</v>
      </c>
      <c r="H650" t="n">
        <v>0</v>
      </c>
      <c r="I650" t="n">
        <v>0</v>
      </c>
      <c r="J650" t="n">
        <v>0</v>
      </c>
      <c r="K650" t="n">
        <v>0</v>
      </c>
      <c r="L650" t="n">
        <v>0</v>
      </c>
      <c r="M650" t="n">
        <v>0</v>
      </c>
      <c r="N650" t="n">
        <v>0</v>
      </c>
      <c r="O650" t="n">
        <v>0</v>
      </c>
      <c r="P650" t="n">
        <v>0</v>
      </c>
      <c r="Q650" t="n">
        <v>0</v>
      </c>
      <c r="R650" s="2" t="inlineStr"/>
    </row>
    <row r="651" ht="15" customHeight="1">
      <c r="A651" t="inlineStr">
        <is>
          <t>A 34669-2020</t>
        </is>
      </c>
      <c r="B651" s="1" t="n">
        <v>44034</v>
      </c>
      <c r="C651" s="1" t="n">
        <v>45353</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34800-2020</t>
        </is>
      </c>
      <c r="B652" s="1" t="n">
        <v>44035</v>
      </c>
      <c r="C652" s="1" t="n">
        <v>45353</v>
      </c>
      <c r="D652" t="inlineStr">
        <is>
          <t>VÄSTERNORRLANDS LÄN</t>
        </is>
      </c>
      <c r="E652" t="inlineStr">
        <is>
          <t>SOLLEFTEÅ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34921-2020</t>
        </is>
      </c>
      <c r="B653" s="1" t="n">
        <v>44036</v>
      </c>
      <c r="C653" s="1" t="n">
        <v>45353</v>
      </c>
      <c r="D653" t="inlineStr">
        <is>
          <t>VÄSTERNORRLANDS LÄN</t>
        </is>
      </c>
      <c r="E653" t="inlineStr">
        <is>
          <t>SOLLEFTEÅ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34923-2020</t>
        </is>
      </c>
      <c r="B654" s="1" t="n">
        <v>44037</v>
      </c>
      <c r="C654" s="1" t="n">
        <v>45353</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34922-2020</t>
        </is>
      </c>
      <c r="B655" s="1" t="n">
        <v>44036</v>
      </c>
      <c r="C655" s="1" t="n">
        <v>45353</v>
      </c>
      <c r="D655" t="inlineStr">
        <is>
          <t>VÄSTERNORRLANDS LÄN</t>
        </is>
      </c>
      <c r="E655" t="inlineStr">
        <is>
          <t>SOLLEFTEÅ</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35220-2020</t>
        </is>
      </c>
      <c r="B656" s="1" t="n">
        <v>44041</v>
      </c>
      <c r="C656" s="1" t="n">
        <v>45353</v>
      </c>
      <c r="D656" t="inlineStr">
        <is>
          <t>VÄSTERNORRLANDS LÄN</t>
        </is>
      </c>
      <c r="E656" t="inlineStr">
        <is>
          <t>SOLLEFTEÅ</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35372-2020</t>
        </is>
      </c>
      <c r="B657" s="1" t="n">
        <v>44041</v>
      </c>
      <c r="C657" s="1" t="n">
        <v>45353</v>
      </c>
      <c r="D657" t="inlineStr">
        <is>
          <t>VÄSTERNORRLANDS LÄN</t>
        </is>
      </c>
      <c r="E657" t="inlineStr">
        <is>
          <t>SOLLEFTEÅ</t>
        </is>
      </c>
      <c r="F657" t="inlineStr">
        <is>
          <t>SCA</t>
        </is>
      </c>
      <c r="G657" t="n">
        <v>12.3</v>
      </c>
      <c r="H657" t="n">
        <v>0</v>
      </c>
      <c r="I657" t="n">
        <v>0</v>
      </c>
      <c r="J657" t="n">
        <v>0</v>
      </c>
      <c r="K657" t="n">
        <v>0</v>
      </c>
      <c r="L657" t="n">
        <v>0</v>
      </c>
      <c r="M657" t="n">
        <v>0</v>
      </c>
      <c r="N657" t="n">
        <v>0</v>
      </c>
      <c r="O657" t="n">
        <v>0</v>
      </c>
      <c r="P657" t="n">
        <v>0</v>
      </c>
      <c r="Q657" t="n">
        <v>0</v>
      </c>
      <c r="R657" s="2" t="inlineStr"/>
    </row>
    <row r="658" ht="15" customHeight="1">
      <c r="A658" t="inlineStr">
        <is>
          <t>A 35361-2020</t>
        </is>
      </c>
      <c r="B658" s="1" t="n">
        <v>44041</v>
      </c>
      <c r="C658" s="1" t="n">
        <v>45353</v>
      </c>
      <c r="D658" t="inlineStr">
        <is>
          <t>VÄSTERNORRLANDS LÄN</t>
        </is>
      </c>
      <c r="E658" t="inlineStr">
        <is>
          <t>SOLLEFTEÅ</t>
        </is>
      </c>
      <c r="F658" t="inlineStr">
        <is>
          <t>SCA</t>
        </is>
      </c>
      <c r="G658" t="n">
        <v>13.6</v>
      </c>
      <c r="H658" t="n">
        <v>0</v>
      </c>
      <c r="I658" t="n">
        <v>0</v>
      </c>
      <c r="J658" t="n">
        <v>0</v>
      </c>
      <c r="K658" t="n">
        <v>0</v>
      </c>
      <c r="L658" t="n">
        <v>0</v>
      </c>
      <c r="M658" t="n">
        <v>0</v>
      </c>
      <c r="N658" t="n">
        <v>0</v>
      </c>
      <c r="O658" t="n">
        <v>0</v>
      </c>
      <c r="P658" t="n">
        <v>0</v>
      </c>
      <c r="Q658" t="n">
        <v>0</v>
      </c>
      <c r="R658" s="2" t="inlineStr"/>
    </row>
    <row r="659" ht="15" customHeight="1">
      <c r="A659" t="inlineStr">
        <is>
          <t>A 36789-2020</t>
        </is>
      </c>
      <c r="B659" s="1" t="n">
        <v>44048</v>
      </c>
      <c r="C659" s="1" t="n">
        <v>45353</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36660-2020</t>
        </is>
      </c>
      <c r="B660" s="1" t="n">
        <v>44050</v>
      </c>
      <c r="C660" s="1" t="n">
        <v>45353</v>
      </c>
      <c r="D660" t="inlineStr">
        <is>
          <t>VÄSTERNORRLANDS LÄN</t>
        </is>
      </c>
      <c r="E660" t="inlineStr">
        <is>
          <t>SOLLEFTEÅ</t>
        </is>
      </c>
      <c r="G660" t="n">
        <v>18.2</v>
      </c>
      <c r="H660" t="n">
        <v>0</v>
      </c>
      <c r="I660" t="n">
        <v>0</v>
      </c>
      <c r="J660" t="n">
        <v>0</v>
      </c>
      <c r="K660" t="n">
        <v>0</v>
      </c>
      <c r="L660" t="n">
        <v>0</v>
      </c>
      <c r="M660" t="n">
        <v>0</v>
      </c>
      <c r="N660" t="n">
        <v>0</v>
      </c>
      <c r="O660" t="n">
        <v>0</v>
      </c>
      <c r="P660" t="n">
        <v>0</v>
      </c>
      <c r="Q660" t="n">
        <v>0</v>
      </c>
      <c r="R660" s="2" t="inlineStr"/>
    </row>
    <row r="661" ht="15" customHeight="1">
      <c r="A661" t="inlineStr">
        <is>
          <t>A 36811-2020</t>
        </is>
      </c>
      <c r="B661" s="1" t="n">
        <v>44053</v>
      </c>
      <c r="C661" s="1" t="n">
        <v>45353</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37710-2020</t>
        </is>
      </c>
      <c r="B662" s="1" t="n">
        <v>44056</v>
      </c>
      <c r="C662" s="1" t="n">
        <v>45353</v>
      </c>
      <c r="D662" t="inlineStr">
        <is>
          <t>VÄSTERNORRLANDS LÄN</t>
        </is>
      </c>
      <c r="E662" t="inlineStr">
        <is>
          <t>SOLLEFTEÅ</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38482-2020</t>
        </is>
      </c>
      <c r="B663" s="1" t="n">
        <v>44060</v>
      </c>
      <c r="C663" s="1" t="n">
        <v>45353</v>
      </c>
      <c r="D663" t="inlineStr">
        <is>
          <t>VÄSTERNORRLANDS LÄN</t>
        </is>
      </c>
      <c r="E663" t="inlineStr">
        <is>
          <t>SOLLEFTEÅ</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38517-2020</t>
        </is>
      </c>
      <c r="B664" s="1" t="n">
        <v>44060</v>
      </c>
      <c r="C664" s="1" t="n">
        <v>45353</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39007-2020</t>
        </is>
      </c>
      <c r="B665" s="1" t="n">
        <v>44062</v>
      </c>
      <c r="C665" s="1" t="n">
        <v>45353</v>
      </c>
      <c r="D665" t="inlineStr">
        <is>
          <t>VÄSTERNORRLANDS LÄN</t>
        </is>
      </c>
      <c r="E665" t="inlineStr">
        <is>
          <t>SOLLEFTEÅ</t>
        </is>
      </c>
      <c r="F665" t="inlineStr">
        <is>
          <t>Kyrkan</t>
        </is>
      </c>
      <c r="G665" t="n">
        <v>5</v>
      </c>
      <c r="H665" t="n">
        <v>0</v>
      </c>
      <c r="I665" t="n">
        <v>0</v>
      </c>
      <c r="J665" t="n">
        <v>0</v>
      </c>
      <c r="K665" t="n">
        <v>0</v>
      </c>
      <c r="L665" t="n">
        <v>0</v>
      </c>
      <c r="M665" t="n">
        <v>0</v>
      </c>
      <c r="N665" t="n">
        <v>0</v>
      </c>
      <c r="O665" t="n">
        <v>0</v>
      </c>
      <c r="P665" t="n">
        <v>0</v>
      </c>
      <c r="Q665" t="n">
        <v>0</v>
      </c>
      <c r="R665" s="2" t="inlineStr"/>
    </row>
    <row r="666" ht="15" customHeight="1">
      <c r="A666" t="inlineStr">
        <is>
          <t>A 39077-2020</t>
        </is>
      </c>
      <c r="B666" s="1" t="n">
        <v>44062</v>
      </c>
      <c r="C666" s="1" t="n">
        <v>45353</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39016-2020</t>
        </is>
      </c>
      <c r="B667" s="1" t="n">
        <v>44062</v>
      </c>
      <c r="C667" s="1" t="n">
        <v>45353</v>
      </c>
      <c r="D667" t="inlineStr">
        <is>
          <t>VÄSTERNORRLANDS LÄN</t>
        </is>
      </c>
      <c r="E667" t="inlineStr">
        <is>
          <t>SOLLEFTEÅ</t>
        </is>
      </c>
      <c r="F667" t="inlineStr">
        <is>
          <t>Kyrkan</t>
        </is>
      </c>
      <c r="G667" t="n">
        <v>2.4</v>
      </c>
      <c r="H667" t="n">
        <v>0</v>
      </c>
      <c r="I667" t="n">
        <v>0</v>
      </c>
      <c r="J667" t="n">
        <v>0</v>
      </c>
      <c r="K667" t="n">
        <v>0</v>
      </c>
      <c r="L667" t="n">
        <v>0</v>
      </c>
      <c r="M667" t="n">
        <v>0</v>
      </c>
      <c r="N667" t="n">
        <v>0</v>
      </c>
      <c r="O667" t="n">
        <v>0</v>
      </c>
      <c r="P667" t="n">
        <v>0</v>
      </c>
      <c r="Q667" t="n">
        <v>0</v>
      </c>
      <c r="R667" s="2" t="inlineStr"/>
    </row>
    <row r="668" ht="15" customHeight="1">
      <c r="A668" t="inlineStr">
        <is>
          <t>A 39148-2020</t>
        </is>
      </c>
      <c r="B668" s="1" t="n">
        <v>44063</v>
      </c>
      <c r="C668" s="1" t="n">
        <v>45353</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39409-2020</t>
        </is>
      </c>
      <c r="B669" s="1" t="n">
        <v>44064</v>
      </c>
      <c r="C669" s="1" t="n">
        <v>45353</v>
      </c>
      <c r="D669" t="inlineStr">
        <is>
          <t>VÄSTERNORRLANDS LÄN</t>
        </is>
      </c>
      <c r="E669" t="inlineStr">
        <is>
          <t>SOLLEFTEÅ</t>
        </is>
      </c>
      <c r="F669" t="inlineStr">
        <is>
          <t>Holmen skog AB</t>
        </is>
      </c>
      <c r="G669" t="n">
        <v>7.8</v>
      </c>
      <c r="H669" t="n">
        <v>0</v>
      </c>
      <c r="I669" t="n">
        <v>0</v>
      </c>
      <c r="J669" t="n">
        <v>0</v>
      </c>
      <c r="K669" t="n">
        <v>0</v>
      </c>
      <c r="L669" t="n">
        <v>0</v>
      </c>
      <c r="M669" t="n">
        <v>0</v>
      </c>
      <c r="N669" t="n">
        <v>0</v>
      </c>
      <c r="O669" t="n">
        <v>0</v>
      </c>
      <c r="P669" t="n">
        <v>0</v>
      </c>
      <c r="Q669" t="n">
        <v>0</v>
      </c>
      <c r="R669" s="2" t="inlineStr"/>
    </row>
    <row r="670" ht="15" customHeight="1">
      <c r="A670" t="inlineStr">
        <is>
          <t>A 39479-2020</t>
        </is>
      </c>
      <c r="B670" s="1" t="n">
        <v>44064</v>
      </c>
      <c r="C670" s="1" t="n">
        <v>45353</v>
      </c>
      <c r="D670" t="inlineStr">
        <is>
          <t>VÄSTERNORRLANDS LÄN</t>
        </is>
      </c>
      <c r="E670" t="inlineStr">
        <is>
          <t>SOLLEFTEÅ</t>
        </is>
      </c>
      <c r="G670" t="n">
        <v>17.8</v>
      </c>
      <c r="H670" t="n">
        <v>0</v>
      </c>
      <c r="I670" t="n">
        <v>0</v>
      </c>
      <c r="J670" t="n">
        <v>0</v>
      </c>
      <c r="K670" t="n">
        <v>0</v>
      </c>
      <c r="L670" t="n">
        <v>0</v>
      </c>
      <c r="M670" t="n">
        <v>0</v>
      </c>
      <c r="N670" t="n">
        <v>0</v>
      </c>
      <c r="O670" t="n">
        <v>0</v>
      </c>
      <c r="P670" t="n">
        <v>0</v>
      </c>
      <c r="Q670" t="n">
        <v>0</v>
      </c>
      <c r="R670" s="2" t="inlineStr"/>
    </row>
    <row r="671" ht="15" customHeight="1">
      <c r="A671" t="inlineStr">
        <is>
          <t>A 40180-2020</t>
        </is>
      </c>
      <c r="B671" s="1" t="n">
        <v>44064</v>
      </c>
      <c r="C671" s="1" t="n">
        <v>45353</v>
      </c>
      <c r="D671" t="inlineStr">
        <is>
          <t>VÄSTERNORRLANDS LÄN</t>
        </is>
      </c>
      <c r="E671" t="inlineStr">
        <is>
          <t>SOLLEFTEÅ</t>
        </is>
      </c>
      <c r="G671" t="n">
        <v>3.8</v>
      </c>
      <c r="H671" t="n">
        <v>0</v>
      </c>
      <c r="I671" t="n">
        <v>0</v>
      </c>
      <c r="J671" t="n">
        <v>0</v>
      </c>
      <c r="K671" t="n">
        <v>0</v>
      </c>
      <c r="L671" t="n">
        <v>0</v>
      </c>
      <c r="M671" t="n">
        <v>0</v>
      </c>
      <c r="N671" t="n">
        <v>0</v>
      </c>
      <c r="O671" t="n">
        <v>0</v>
      </c>
      <c r="P671" t="n">
        <v>0</v>
      </c>
      <c r="Q671" t="n">
        <v>0</v>
      </c>
      <c r="R671" s="2" t="inlineStr"/>
    </row>
    <row r="672" ht="15" customHeight="1">
      <c r="A672" t="inlineStr">
        <is>
          <t>A 39681-2020</t>
        </is>
      </c>
      <c r="B672" s="1" t="n">
        <v>44065</v>
      </c>
      <c r="C672" s="1" t="n">
        <v>45353</v>
      </c>
      <c r="D672" t="inlineStr">
        <is>
          <t>VÄSTERNORRLANDS LÄN</t>
        </is>
      </c>
      <c r="E672" t="inlineStr">
        <is>
          <t>SOLLEFTEÅ</t>
        </is>
      </c>
      <c r="F672" t="inlineStr">
        <is>
          <t>SCA</t>
        </is>
      </c>
      <c r="G672" t="n">
        <v>19.7</v>
      </c>
      <c r="H672" t="n">
        <v>0</v>
      </c>
      <c r="I672" t="n">
        <v>0</v>
      </c>
      <c r="J672" t="n">
        <v>0</v>
      </c>
      <c r="K672" t="n">
        <v>0</v>
      </c>
      <c r="L672" t="n">
        <v>0</v>
      </c>
      <c r="M672" t="n">
        <v>0</v>
      </c>
      <c r="N672" t="n">
        <v>0</v>
      </c>
      <c r="O672" t="n">
        <v>0</v>
      </c>
      <c r="P672" t="n">
        <v>0</v>
      </c>
      <c r="Q672" t="n">
        <v>0</v>
      </c>
      <c r="R672" s="2" t="inlineStr"/>
    </row>
    <row r="673" ht="15" customHeight="1">
      <c r="A673" t="inlineStr">
        <is>
          <t>A 40476-2020</t>
        </is>
      </c>
      <c r="B673" s="1" t="n">
        <v>44067</v>
      </c>
      <c r="C673" s="1" t="n">
        <v>45353</v>
      </c>
      <c r="D673" t="inlineStr">
        <is>
          <t>VÄSTERNORRLANDS LÄN</t>
        </is>
      </c>
      <c r="E673" t="inlineStr">
        <is>
          <t>SOLLEFTEÅ</t>
        </is>
      </c>
      <c r="G673" t="n">
        <v>8</v>
      </c>
      <c r="H673" t="n">
        <v>0</v>
      </c>
      <c r="I673" t="n">
        <v>0</v>
      </c>
      <c r="J673" t="n">
        <v>0</v>
      </c>
      <c r="K673" t="n">
        <v>0</v>
      </c>
      <c r="L673" t="n">
        <v>0</v>
      </c>
      <c r="M673" t="n">
        <v>0</v>
      </c>
      <c r="N673" t="n">
        <v>0</v>
      </c>
      <c r="O673" t="n">
        <v>0</v>
      </c>
      <c r="P673" t="n">
        <v>0</v>
      </c>
      <c r="Q673" t="n">
        <v>0</v>
      </c>
      <c r="R673" s="2" t="inlineStr"/>
    </row>
    <row r="674" ht="15" customHeight="1">
      <c r="A674" t="inlineStr">
        <is>
          <t>A 40697-2020</t>
        </is>
      </c>
      <c r="B674" s="1" t="n">
        <v>44067</v>
      </c>
      <c r="C674" s="1" t="n">
        <v>45353</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40682-2020</t>
        </is>
      </c>
      <c r="B675" s="1" t="n">
        <v>44067</v>
      </c>
      <c r="C675" s="1" t="n">
        <v>45353</v>
      </c>
      <c r="D675" t="inlineStr">
        <is>
          <t>VÄSTERNORRLANDS LÄN</t>
        </is>
      </c>
      <c r="E675" t="inlineStr">
        <is>
          <t>SOLLEFTEÅ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40735-2020</t>
        </is>
      </c>
      <c r="B676" s="1" t="n">
        <v>44069</v>
      </c>
      <c r="C676" s="1" t="n">
        <v>45353</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40747-2020</t>
        </is>
      </c>
      <c r="B677" s="1" t="n">
        <v>44069</v>
      </c>
      <c r="C677" s="1" t="n">
        <v>45353</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42196-2020</t>
        </is>
      </c>
      <c r="B678" s="1" t="n">
        <v>44076</v>
      </c>
      <c r="C678" s="1" t="n">
        <v>45353</v>
      </c>
      <c r="D678" t="inlineStr">
        <is>
          <t>VÄSTERNORRLANDS LÄN</t>
        </is>
      </c>
      <c r="E678" t="inlineStr">
        <is>
          <t>SOLLEFTEÅ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43300-2020</t>
        </is>
      </c>
      <c r="B679" s="1" t="n">
        <v>44076</v>
      </c>
      <c r="C679" s="1" t="n">
        <v>45353</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43160-2020</t>
        </is>
      </c>
      <c r="B680" s="1" t="n">
        <v>44076</v>
      </c>
      <c r="C680" s="1" t="n">
        <v>45353</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42846-2020</t>
        </is>
      </c>
      <c r="B681" s="1" t="n">
        <v>44078</v>
      </c>
      <c r="C681" s="1" t="n">
        <v>45353</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43107-2020</t>
        </is>
      </c>
      <c r="B682" s="1" t="n">
        <v>44078</v>
      </c>
      <c r="C682" s="1" t="n">
        <v>45353</v>
      </c>
      <c r="D682" t="inlineStr">
        <is>
          <t>VÄSTERNORRLANDS LÄN</t>
        </is>
      </c>
      <c r="E682" t="inlineStr">
        <is>
          <t>SOLLEFTEÅ</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43438-2020</t>
        </is>
      </c>
      <c r="B683" s="1" t="n">
        <v>44081</v>
      </c>
      <c r="C683" s="1" t="n">
        <v>45353</v>
      </c>
      <c r="D683" t="inlineStr">
        <is>
          <t>VÄSTERNORRLANDS LÄN</t>
        </is>
      </c>
      <c r="E683" t="inlineStr">
        <is>
          <t>SOLLEFTEÅ</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43820-2020</t>
        </is>
      </c>
      <c r="B684" s="1" t="n">
        <v>44082</v>
      </c>
      <c r="C684" s="1" t="n">
        <v>45353</v>
      </c>
      <c r="D684" t="inlineStr">
        <is>
          <t>VÄSTERNORRLANDS LÄN</t>
        </is>
      </c>
      <c r="E684" t="inlineStr">
        <is>
          <t>SOLLEFTEÅ</t>
        </is>
      </c>
      <c r="F684" t="inlineStr">
        <is>
          <t>SCA</t>
        </is>
      </c>
      <c r="G684" t="n">
        <v>8.1</v>
      </c>
      <c r="H684" t="n">
        <v>0</v>
      </c>
      <c r="I684" t="n">
        <v>0</v>
      </c>
      <c r="J684" t="n">
        <v>0</v>
      </c>
      <c r="K684" t="n">
        <v>0</v>
      </c>
      <c r="L684" t="n">
        <v>0</v>
      </c>
      <c r="M684" t="n">
        <v>0</v>
      </c>
      <c r="N684" t="n">
        <v>0</v>
      </c>
      <c r="O684" t="n">
        <v>0</v>
      </c>
      <c r="P684" t="n">
        <v>0</v>
      </c>
      <c r="Q684" t="n">
        <v>0</v>
      </c>
      <c r="R684" s="2" t="inlineStr"/>
    </row>
    <row r="685" ht="15" customHeight="1">
      <c r="A685" t="inlineStr">
        <is>
          <t>A 45147-2020</t>
        </is>
      </c>
      <c r="B685" s="1" t="n">
        <v>44084</v>
      </c>
      <c r="C685" s="1" t="n">
        <v>45353</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44681-2020</t>
        </is>
      </c>
      <c r="B686" s="1" t="n">
        <v>44085</v>
      </c>
      <c r="C686" s="1" t="n">
        <v>45353</v>
      </c>
      <c r="D686" t="inlineStr">
        <is>
          <t>VÄSTERNORRLANDS LÄN</t>
        </is>
      </c>
      <c r="E686" t="inlineStr">
        <is>
          <t>SOLLEFTEÅ</t>
        </is>
      </c>
      <c r="G686" t="n">
        <v>7.8</v>
      </c>
      <c r="H686" t="n">
        <v>0</v>
      </c>
      <c r="I686" t="n">
        <v>0</v>
      </c>
      <c r="J686" t="n">
        <v>0</v>
      </c>
      <c r="K686" t="n">
        <v>0</v>
      </c>
      <c r="L686" t="n">
        <v>0</v>
      </c>
      <c r="M686" t="n">
        <v>0</v>
      </c>
      <c r="N686" t="n">
        <v>0</v>
      </c>
      <c r="O686" t="n">
        <v>0</v>
      </c>
      <c r="P686" t="n">
        <v>0</v>
      </c>
      <c r="Q686" t="n">
        <v>0</v>
      </c>
      <c r="R686" s="2" t="inlineStr"/>
    </row>
    <row r="687" ht="15" customHeight="1">
      <c r="A687" t="inlineStr">
        <is>
          <t>A 45250-2020</t>
        </is>
      </c>
      <c r="B687" s="1" t="n">
        <v>44088</v>
      </c>
      <c r="C687" s="1" t="n">
        <v>45353</v>
      </c>
      <c r="D687" t="inlineStr">
        <is>
          <t>VÄSTERNORRLANDS LÄN</t>
        </is>
      </c>
      <c r="E687" t="inlineStr">
        <is>
          <t>SOLLEFTEÅ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45251-2020</t>
        </is>
      </c>
      <c r="B688" s="1" t="n">
        <v>44088</v>
      </c>
      <c r="C688" s="1" t="n">
        <v>45353</v>
      </c>
      <c r="D688" t="inlineStr">
        <is>
          <t>VÄSTERNORRLANDS LÄN</t>
        </is>
      </c>
      <c r="E688" t="inlineStr">
        <is>
          <t>SOLLEFTEÅ</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45549-2020</t>
        </is>
      </c>
      <c r="B689" s="1" t="n">
        <v>44090</v>
      </c>
      <c r="C689" s="1" t="n">
        <v>45353</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45542-2020</t>
        </is>
      </c>
      <c r="B690" s="1" t="n">
        <v>44089</v>
      </c>
      <c r="C690" s="1" t="n">
        <v>45353</v>
      </c>
      <c r="D690" t="inlineStr">
        <is>
          <t>VÄSTERNORRLANDS LÄN</t>
        </is>
      </c>
      <c r="E690" t="inlineStr">
        <is>
          <t>SOLLEFTEÅ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45551-2020</t>
        </is>
      </c>
      <c r="B691" s="1" t="n">
        <v>44089</v>
      </c>
      <c r="C691" s="1" t="n">
        <v>45353</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46715-2020</t>
        </is>
      </c>
      <c r="B692" s="1" t="n">
        <v>44095</v>
      </c>
      <c r="C692" s="1" t="n">
        <v>45353</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47827-2020</t>
        </is>
      </c>
      <c r="B693" s="1" t="n">
        <v>44098</v>
      </c>
      <c r="C693" s="1" t="n">
        <v>45353</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47859-2020</t>
        </is>
      </c>
      <c r="B694" s="1" t="n">
        <v>44099</v>
      </c>
      <c r="C694" s="1" t="n">
        <v>45353</v>
      </c>
      <c r="D694" t="inlineStr">
        <is>
          <t>VÄSTERNORRLANDS LÄN</t>
        </is>
      </c>
      <c r="E694" t="inlineStr">
        <is>
          <t>SOLLEFTEÅ</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48052-2020</t>
        </is>
      </c>
      <c r="B695" s="1" t="n">
        <v>44100</v>
      </c>
      <c r="C695" s="1" t="n">
        <v>45353</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48240-2020</t>
        </is>
      </c>
      <c r="B696" s="1" t="n">
        <v>44102</v>
      </c>
      <c r="C696" s="1" t="n">
        <v>45353</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48477-2020</t>
        </is>
      </c>
      <c r="B697" s="1" t="n">
        <v>44102</v>
      </c>
      <c r="C697" s="1" t="n">
        <v>45353</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48468-2020</t>
        </is>
      </c>
      <c r="B698" s="1" t="n">
        <v>44102</v>
      </c>
      <c r="C698" s="1" t="n">
        <v>45353</v>
      </c>
      <c r="D698" t="inlineStr">
        <is>
          <t>VÄSTERNORRLANDS LÄN</t>
        </is>
      </c>
      <c r="E698" t="inlineStr">
        <is>
          <t>SOLLEFTEÅ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48470-2020</t>
        </is>
      </c>
      <c r="B699" s="1" t="n">
        <v>44102</v>
      </c>
      <c r="C699" s="1" t="n">
        <v>45353</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48475-2020</t>
        </is>
      </c>
      <c r="B700" s="1" t="n">
        <v>44103</v>
      </c>
      <c r="C700" s="1" t="n">
        <v>45353</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48802-2020</t>
        </is>
      </c>
      <c r="B701" s="1" t="n">
        <v>44103</v>
      </c>
      <c r="C701" s="1" t="n">
        <v>45353</v>
      </c>
      <c r="D701" t="inlineStr">
        <is>
          <t>VÄSTERNORRLANDS LÄN</t>
        </is>
      </c>
      <c r="E701" t="inlineStr">
        <is>
          <t>SOLLEFTEÅ</t>
        </is>
      </c>
      <c r="F701" t="inlineStr">
        <is>
          <t>SCA</t>
        </is>
      </c>
      <c r="G701" t="n">
        <v>10.9</v>
      </c>
      <c r="H701" t="n">
        <v>0</v>
      </c>
      <c r="I701" t="n">
        <v>0</v>
      </c>
      <c r="J701" t="n">
        <v>0</v>
      </c>
      <c r="K701" t="n">
        <v>0</v>
      </c>
      <c r="L701" t="n">
        <v>0</v>
      </c>
      <c r="M701" t="n">
        <v>0</v>
      </c>
      <c r="N701" t="n">
        <v>0</v>
      </c>
      <c r="O701" t="n">
        <v>0</v>
      </c>
      <c r="P701" t="n">
        <v>0</v>
      </c>
      <c r="Q701" t="n">
        <v>0</v>
      </c>
      <c r="R701" s="2" t="inlineStr"/>
    </row>
    <row r="702" ht="15" customHeight="1">
      <c r="A702" t="inlineStr">
        <is>
          <t>A 49629-2020</t>
        </is>
      </c>
      <c r="B702" s="1" t="n">
        <v>44103</v>
      </c>
      <c r="C702" s="1" t="n">
        <v>45353</v>
      </c>
      <c r="D702" t="inlineStr">
        <is>
          <t>VÄSTERNORRLANDS LÄN</t>
        </is>
      </c>
      <c r="E702" t="inlineStr">
        <is>
          <t>SOLLEFTEÅ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49165-2020</t>
        </is>
      </c>
      <c r="B703" s="1" t="n">
        <v>44105</v>
      </c>
      <c r="C703" s="1" t="n">
        <v>45353</v>
      </c>
      <c r="D703" t="inlineStr">
        <is>
          <t>VÄSTERNORRLANDS LÄN</t>
        </is>
      </c>
      <c r="E703" t="inlineStr">
        <is>
          <t>SOLLEFTEÅ</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49507-2020</t>
        </is>
      </c>
      <c r="B704" s="1" t="n">
        <v>44105</v>
      </c>
      <c r="C704" s="1" t="n">
        <v>45353</v>
      </c>
      <c r="D704" t="inlineStr">
        <is>
          <t>VÄSTERNORRLANDS LÄN</t>
        </is>
      </c>
      <c r="E704" t="inlineStr">
        <is>
          <t>SOLLEFTEÅ</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49508-2020</t>
        </is>
      </c>
      <c r="B705" s="1" t="n">
        <v>44105</v>
      </c>
      <c r="C705" s="1" t="n">
        <v>45353</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49837-2020</t>
        </is>
      </c>
      <c r="B706" s="1" t="n">
        <v>44106</v>
      </c>
      <c r="C706" s="1" t="n">
        <v>45353</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50647-2020</t>
        </is>
      </c>
      <c r="B707" s="1" t="n">
        <v>44111</v>
      </c>
      <c r="C707" s="1" t="n">
        <v>45353</v>
      </c>
      <c r="D707" t="inlineStr">
        <is>
          <t>VÄSTERNORRLANDS LÄN</t>
        </is>
      </c>
      <c r="E707" t="inlineStr">
        <is>
          <t>SOLLEFTEÅ</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51018-2020</t>
        </is>
      </c>
      <c r="B708" s="1" t="n">
        <v>44111</v>
      </c>
      <c r="C708" s="1" t="n">
        <v>45353</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51011-2020</t>
        </is>
      </c>
      <c r="B709" s="1" t="n">
        <v>44111</v>
      </c>
      <c r="C709" s="1" t="n">
        <v>45353</v>
      </c>
      <c r="D709" t="inlineStr">
        <is>
          <t>VÄSTERNORRLANDS LÄN</t>
        </is>
      </c>
      <c r="E709" t="inlineStr">
        <is>
          <t>SOLLEFTEÅ</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51534-2020</t>
        </is>
      </c>
      <c r="B710" s="1" t="n">
        <v>44113</v>
      </c>
      <c r="C710" s="1" t="n">
        <v>45353</v>
      </c>
      <c r="D710" t="inlineStr">
        <is>
          <t>VÄSTERNORRLANDS LÄN</t>
        </is>
      </c>
      <c r="E710" t="inlineStr">
        <is>
          <t>SOLLEFTEÅ</t>
        </is>
      </c>
      <c r="G710" t="n">
        <v>2.7</v>
      </c>
      <c r="H710" t="n">
        <v>0</v>
      </c>
      <c r="I710" t="n">
        <v>0</v>
      </c>
      <c r="J710" t="n">
        <v>0</v>
      </c>
      <c r="K710" t="n">
        <v>0</v>
      </c>
      <c r="L710" t="n">
        <v>0</v>
      </c>
      <c r="M710" t="n">
        <v>0</v>
      </c>
      <c r="N710" t="n">
        <v>0</v>
      </c>
      <c r="O710" t="n">
        <v>0</v>
      </c>
      <c r="P710" t="n">
        <v>0</v>
      </c>
      <c r="Q710" t="n">
        <v>0</v>
      </c>
      <c r="R710" s="2" t="inlineStr"/>
    </row>
    <row r="711" ht="15" customHeight="1">
      <c r="A711" t="inlineStr">
        <is>
          <t>A 52035-2020</t>
        </is>
      </c>
      <c r="B711" s="1" t="n">
        <v>44117</v>
      </c>
      <c r="C711" s="1" t="n">
        <v>45353</v>
      </c>
      <c r="D711" t="inlineStr">
        <is>
          <t>VÄSTERNORRLANDS LÄN</t>
        </is>
      </c>
      <c r="E711" t="inlineStr">
        <is>
          <t>SOLLEFTEÅ</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52189-2020</t>
        </is>
      </c>
      <c r="B712" s="1" t="n">
        <v>44117</v>
      </c>
      <c r="C712" s="1" t="n">
        <v>45353</v>
      </c>
      <c r="D712" t="inlineStr">
        <is>
          <t>VÄSTERNORRLANDS LÄN</t>
        </is>
      </c>
      <c r="E712" t="inlineStr">
        <is>
          <t>SOLLEFTEÅ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52199-2020</t>
        </is>
      </c>
      <c r="B713" s="1" t="n">
        <v>44117</v>
      </c>
      <c r="C713" s="1" t="n">
        <v>45353</v>
      </c>
      <c r="D713" t="inlineStr">
        <is>
          <t>VÄSTERNORRLANDS LÄN</t>
        </is>
      </c>
      <c r="E713" t="inlineStr">
        <is>
          <t>SOLLEFTEÅ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52406-2020</t>
        </is>
      </c>
      <c r="B714" s="1" t="n">
        <v>44118</v>
      </c>
      <c r="C714" s="1" t="n">
        <v>45353</v>
      </c>
      <c r="D714" t="inlineStr">
        <is>
          <t>VÄSTERNORRLANDS LÄN</t>
        </is>
      </c>
      <c r="E714" t="inlineStr">
        <is>
          <t>SOLLEFTEÅ</t>
        </is>
      </c>
      <c r="G714" t="n">
        <v>2.8</v>
      </c>
      <c r="H714" t="n">
        <v>0</v>
      </c>
      <c r="I714" t="n">
        <v>0</v>
      </c>
      <c r="J714" t="n">
        <v>0</v>
      </c>
      <c r="K714" t="n">
        <v>0</v>
      </c>
      <c r="L714" t="n">
        <v>0</v>
      </c>
      <c r="M714" t="n">
        <v>0</v>
      </c>
      <c r="N714" t="n">
        <v>0</v>
      </c>
      <c r="O714" t="n">
        <v>0</v>
      </c>
      <c r="P714" t="n">
        <v>0</v>
      </c>
      <c r="Q714" t="n">
        <v>0</v>
      </c>
      <c r="R714" s="2" t="inlineStr"/>
    </row>
    <row r="715" ht="15" customHeight="1">
      <c r="A715" t="inlineStr">
        <is>
          <t>A 52983-2020</t>
        </is>
      </c>
      <c r="B715" s="1" t="n">
        <v>44119</v>
      </c>
      <c r="C715" s="1" t="n">
        <v>45353</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row>
    <row r="716" ht="15" customHeight="1">
      <c r="A716" t="inlineStr">
        <is>
          <t>A 52936-2020</t>
        </is>
      </c>
      <c r="B716" s="1" t="n">
        <v>44120</v>
      </c>
      <c r="C716" s="1" t="n">
        <v>45353</v>
      </c>
      <c r="D716" t="inlineStr">
        <is>
          <t>VÄSTERNORRLANDS LÄN</t>
        </is>
      </c>
      <c r="E716" t="inlineStr">
        <is>
          <t>SOLLEFTEÅ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53828-2020</t>
        </is>
      </c>
      <c r="B717" s="1" t="n">
        <v>44124</v>
      </c>
      <c r="C717" s="1" t="n">
        <v>45353</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54463-2020</t>
        </is>
      </c>
      <c r="B718" s="1" t="n">
        <v>44125</v>
      </c>
      <c r="C718" s="1" t="n">
        <v>45353</v>
      </c>
      <c r="D718" t="inlineStr">
        <is>
          <t>VÄSTERNORRLANDS LÄN</t>
        </is>
      </c>
      <c r="E718" t="inlineStr">
        <is>
          <t>SOLLEFTEÅ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53866-2020</t>
        </is>
      </c>
      <c r="B719" s="1" t="n">
        <v>44125</v>
      </c>
      <c r="C719" s="1" t="n">
        <v>45353</v>
      </c>
      <c r="D719" t="inlineStr">
        <is>
          <t>VÄSTERNORRLANDS LÄN</t>
        </is>
      </c>
      <c r="E719" t="inlineStr">
        <is>
          <t>SOLLEFTEÅ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54567-2020</t>
        </is>
      </c>
      <c r="B720" s="1" t="n">
        <v>44126</v>
      </c>
      <c r="C720" s="1" t="n">
        <v>45353</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54568-2020</t>
        </is>
      </c>
      <c r="B721" s="1" t="n">
        <v>44126</v>
      </c>
      <c r="C721" s="1" t="n">
        <v>45353</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54572-2020</t>
        </is>
      </c>
      <c r="B722" s="1" t="n">
        <v>44126</v>
      </c>
      <c r="C722" s="1" t="n">
        <v>45353</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54576-2020</t>
        </is>
      </c>
      <c r="B723" s="1" t="n">
        <v>44126</v>
      </c>
      <c r="C723" s="1" t="n">
        <v>45353</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54571-2020</t>
        </is>
      </c>
      <c r="B724" s="1" t="n">
        <v>44126</v>
      </c>
      <c r="C724" s="1" t="n">
        <v>45353</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54569-2020</t>
        </is>
      </c>
      <c r="B725" s="1" t="n">
        <v>44126</v>
      </c>
      <c r="C725" s="1" t="n">
        <v>45353</v>
      </c>
      <c r="D725" t="inlineStr">
        <is>
          <t>VÄSTERNORRLANDS LÄN</t>
        </is>
      </c>
      <c r="E725" t="inlineStr">
        <is>
          <t>SOLLEFTEÅ</t>
        </is>
      </c>
      <c r="G725" t="n">
        <v>0.5</v>
      </c>
      <c r="H725" t="n">
        <v>0</v>
      </c>
      <c r="I725" t="n">
        <v>0</v>
      </c>
      <c r="J725" t="n">
        <v>0</v>
      </c>
      <c r="K725" t="n">
        <v>0</v>
      </c>
      <c r="L725" t="n">
        <v>0</v>
      </c>
      <c r="M725" t="n">
        <v>0</v>
      </c>
      <c r="N725" t="n">
        <v>0</v>
      </c>
      <c r="O725" t="n">
        <v>0</v>
      </c>
      <c r="P725" t="n">
        <v>0</v>
      </c>
      <c r="Q725" t="n">
        <v>0</v>
      </c>
      <c r="R725" s="2" t="inlineStr"/>
    </row>
    <row r="726" ht="15" customHeight="1">
      <c r="A726" t="inlineStr">
        <is>
          <t>A 54566-2020</t>
        </is>
      </c>
      <c r="B726" s="1" t="n">
        <v>44126</v>
      </c>
      <c r="C726" s="1" t="n">
        <v>45353</v>
      </c>
      <c r="D726" t="inlineStr">
        <is>
          <t>VÄSTERNORRLANDS LÄN</t>
        </is>
      </c>
      <c r="E726" t="inlineStr">
        <is>
          <t>SOLLEFTEÅ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54570-2020</t>
        </is>
      </c>
      <c r="B727" s="1" t="n">
        <v>44126</v>
      </c>
      <c r="C727" s="1" t="n">
        <v>45353</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54573-2020</t>
        </is>
      </c>
      <c r="B728" s="1" t="n">
        <v>44126</v>
      </c>
      <c r="C728" s="1" t="n">
        <v>45353</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55337-2020</t>
        </is>
      </c>
      <c r="B729" s="1" t="n">
        <v>44130</v>
      </c>
      <c r="C729" s="1" t="n">
        <v>45353</v>
      </c>
      <c r="D729" t="inlineStr">
        <is>
          <t>VÄSTERNORRLANDS LÄN</t>
        </is>
      </c>
      <c r="E729" t="inlineStr">
        <is>
          <t>SOLLEFTEÅ</t>
        </is>
      </c>
      <c r="G729" t="n">
        <v>21.1</v>
      </c>
      <c r="H729" t="n">
        <v>0</v>
      </c>
      <c r="I729" t="n">
        <v>0</v>
      </c>
      <c r="J729" t="n">
        <v>0</v>
      </c>
      <c r="K729" t="n">
        <v>0</v>
      </c>
      <c r="L729" t="n">
        <v>0</v>
      </c>
      <c r="M729" t="n">
        <v>0</v>
      </c>
      <c r="N729" t="n">
        <v>0</v>
      </c>
      <c r="O729" t="n">
        <v>0</v>
      </c>
      <c r="P729" t="n">
        <v>0</v>
      </c>
      <c r="Q729" t="n">
        <v>0</v>
      </c>
      <c r="R729" s="2" t="inlineStr"/>
    </row>
    <row r="730" ht="15" customHeight="1">
      <c r="A730" t="inlineStr">
        <is>
          <t>A 55489-2020</t>
        </is>
      </c>
      <c r="B730" s="1" t="n">
        <v>44131</v>
      </c>
      <c r="C730" s="1" t="n">
        <v>45353</v>
      </c>
      <c r="D730" t="inlineStr">
        <is>
          <t>VÄSTERNORRLANDS LÄN</t>
        </is>
      </c>
      <c r="E730" t="inlineStr">
        <is>
          <t>SOLLEFTEÅ</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58380-2020</t>
        </is>
      </c>
      <c r="B731" s="1" t="n">
        <v>44145</v>
      </c>
      <c r="C731" s="1" t="n">
        <v>45353</v>
      </c>
      <c r="D731" t="inlineStr">
        <is>
          <t>VÄSTERNORRLANDS LÄN</t>
        </is>
      </c>
      <c r="E731" t="inlineStr">
        <is>
          <t>SOLLEFTEÅ</t>
        </is>
      </c>
      <c r="G731" t="n">
        <v>2.4</v>
      </c>
      <c r="H731" t="n">
        <v>0</v>
      </c>
      <c r="I731" t="n">
        <v>0</v>
      </c>
      <c r="J731" t="n">
        <v>0</v>
      </c>
      <c r="K731" t="n">
        <v>0</v>
      </c>
      <c r="L731" t="n">
        <v>0</v>
      </c>
      <c r="M731" t="n">
        <v>0</v>
      </c>
      <c r="N731" t="n">
        <v>0</v>
      </c>
      <c r="O731" t="n">
        <v>0</v>
      </c>
      <c r="P731" t="n">
        <v>0</v>
      </c>
      <c r="Q731" t="n">
        <v>0</v>
      </c>
      <c r="R731" s="2" t="inlineStr"/>
    </row>
    <row r="732" ht="15" customHeight="1">
      <c r="A732" t="inlineStr">
        <is>
          <t>A 58381-2020</t>
        </is>
      </c>
      <c r="B732" s="1" t="n">
        <v>44145</v>
      </c>
      <c r="C732" s="1" t="n">
        <v>45353</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59334-2020</t>
        </is>
      </c>
      <c r="B733" s="1" t="n">
        <v>44147</v>
      </c>
      <c r="C733" s="1" t="n">
        <v>45353</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59950-2020</t>
        </is>
      </c>
      <c r="B734" s="1" t="n">
        <v>44151</v>
      </c>
      <c r="C734" s="1" t="n">
        <v>45353</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59953-2020</t>
        </is>
      </c>
      <c r="B735" s="1" t="n">
        <v>44151</v>
      </c>
      <c r="C735" s="1" t="n">
        <v>45353</v>
      </c>
      <c r="D735" t="inlineStr">
        <is>
          <t>VÄSTERNORRLANDS LÄN</t>
        </is>
      </c>
      <c r="E735" t="inlineStr">
        <is>
          <t>SOLLEFTEÅ</t>
        </is>
      </c>
      <c r="G735" t="n">
        <v>3.6</v>
      </c>
      <c r="H735" t="n">
        <v>0</v>
      </c>
      <c r="I735" t="n">
        <v>0</v>
      </c>
      <c r="J735" t="n">
        <v>0</v>
      </c>
      <c r="K735" t="n">
        <v>0</v>
      </c>
      <c r="L735" t="n">
        <v>0</v>
      </c>
      <c r="M735" t="n">
        <v>0</v>
      </c>
      <c r="N735" t="n">
        <v>0</v>
      </c>
      <c r="O735" t="n">
        <v>0</v>
      </c>
      <c r="P735" t="n">
        <v>0</v>
      </c>
      <c r="Q735" t="n">
        <v>0</v>
      </c>
      <c r="R735" s="2" t="inlineStr"/>
    </row>
    <row r="736" ht="15" customHeight="1">
      <c r="A736" t="inlineStr">
        <is>
          <t>A 60091-2020</t>
        </is>
      </c>
      <c r="B736" s="1" t="n">
        <v>44151</v>
      </c>
      <c r="C736" s="1" t="n">
        <v>45353</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61127-2020</t>
        </is>
      </c>
      <c r="B737" s="1" t="n">
        <v>44154</v>
      </c>
      <c r="C737" s="1" t="n">
        <v>45353</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61130-2020</t>
        </is>
      </c>
      <c r="B738" s="1" t="n">
        <v>44154</v>
      </c>
      <c r="C738" s="1" t="n">
        <v>45353</v>
      </c>
      <c r="D738" t="inlineStr">
        <is>
          <t>VÄSTERNORRLANDS LÄN</t>
        </is>
      </c>
      <c r="E738" t="inlineStr">
        <is>
          <t>SOLLEFTEÅ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61894-2020</t>
        </is>
      </c>
      <c r="B739" s="1" t="n">
        <v>44155</v>
      </c>
      <c r="C739" s="1" t="n">
        <v>45353</v>
      </c>
      <c r="D739" t="inlineStr">
        <is>
          <t>VÄSTERNORRLANDS LÄN</t>
        </is>
      </c>
      <c r="E739" t="inlineStr">
        <is>
          <t>SOLLEFTEÅ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61943-2020</t>
        </is>
      </c>
      <c r="B740" s="1" t="n">
        <v>44155</v>
      </c>
      <c r="C740" s="1" t="n">
        <v>45353</v>
      </c>
      <c r="D740" t="inlineStr">
        <is>
          <t>VÄSTERNORRLANDS LÄN</t>
        </is>
      </c>
      <c r="E740" t="inlineStr">
        <is>
          <t>SOLLEFTEÅ</t>
        </is>
      </c>
      <c r="G740" t="n">
        <v>1.7</v>
      </c>
      <c r="H740" t="n">
        <v>0</v>
      </c>
      <c r="I740" t="n">
        <v>0</v>
      </c>
      <c r="J740" t="n">
        <v>0</v>
      </c>
      <c r="K740" t="n">
        <v>0</v>
      </c>
      <c r="L740" t="n">
        <v>0</v>
      </c>
      <c r="M740" t="n">
        <v>0</v>
      </c>
      <c r="N740" t="n">
        <v>0</v>
      </c>
      <c r="O740" t="n">
        <v>0</v>
      </c>
      <c r="P740" t="n">
        <v>0</v>
      </c>
      <c r="Q740" t="n">
        <v>0</v>
      </c>
      <c r="R740" s="2" t="inlineStr"/>
    </row>
    <row r="741" ht="15" customHeight="1">
      <c r="A741" t="inlineStr">
        <is>
          <t>A 62666-2020</t>
        </is>
      </c>
      <c r="B741" s="1" t="n">
        <v>44161</v>
      </c>
      <c r="C741" s="1" t="n">
        <v>45353</v>
      </c>
      <c r="D741" t="inlineStr">
        <is>
          <t>VÄSTERNORRLANDS LÄN</t>
        </is>
      </c>
      <c r="E741" t="inlineStr">
        <is>
          <t>SOLLEFTEÅ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62881-2020</t>
        </is>
      </c>
      <c r="B742" s="1" t="n">
        <v>44161</v>
      </c>
      <c r="C742" s="1" t="n">
        <v>45353</v>
      </c>
      <c r="D742" t="inlineStr">
        <is>
          <t>VÄSTERNORRLANDS LÄN</t>
        </is>
      </c>
      <c r="E742" t="inlineStr">
        <is>
          <t>SOLLEFTEÅ</t>
        </is>
      </c>
      <c r="F742" t="inlineStr">
        <is>
          <t>SCA</t>
        </is>
      </c>
      <c r="G742" t="n">
        <v>0.4</v>
      </c>
      <c r="H742" t="n">
        <v>0</v>
      </c>
      <c r="I742" t="n">
        <v>0</v>
      </c>
      <c r="J742" t="n">
        <v>0</v>
      </c>
      <c r="K742" t="n">
        <v>0</v>
      </c>
      <c r="L742" t="n">
        <v>0</v>
      </c>
      <c r="M742" t="n">
        <v>0</v>
      </c>
      <c r="N742" t="n">
        <v>0</v>
      </c>
      <c r="O742" t="n">
        <v>0</v>
      </c>
      <c r="P742" t="n">
        <v>0</v>
      </c>
      <c r="Q742" t="n">
        <v>0</v>
      </c>
      <c r="R742" s="2" t="inlineStr"/>
    </row>
    <row r="743" ht="15" customHeight="1">
      <c r="A743" t="inlineStr">
        <is>
          <t>A 62883-2020</t>
        </is>
      </c>
      <c r="B743" s="1" t="n">
        <v>44161</v>
      </c>
      <c r="C743" s="1" t="n">
        <v>45353</v>
      </c>
      <c r="D743" t="inlineStr">
        <is>
          <t>VÄSTERNORRLANDS LÄN</t>
        </is>
      </c>
      <c r="E743" t="inlineStr">
        <is>
          <t>SOLLEFTEÅ</t>
        </is>
      </c>
      <c r="F743" t="inlineStr">
        <is>
          <t>SCA</t>
        </is>
      </c>
      <c r="G743" t="n">
        <v>8.5</v>
      </c>
      <c r="H743" t="n">
        <v>0</v>
      </c>
      <c r="I743" t="n">
        <v>0</v>
      </c>
      <c r="J743" t="n">
        <v>0</v>
      </c>
      <c r="K743" t="n">
        <v>0</v>
      </c>
      <c r="L743" t="n">
        <v>0</v>
      </c>
      <c r="M743" t="n">
        <v>0</v>
      </c>
      <c r="N743" t="n">
        <v>0</v>
      </c>
      <c r="O743" t="n">
        <v>0</v>
      </c>
      <c r="P743" t="n">
        <v>0</v>
      </c>
      <c r="Q743" t="n">
        <v>0</v>
      </c>
      <c r="R743" s="2" t="inlineStr"/>
    </row>
    <row r="744" ht="15" customHeight="1">
      <c r="A744" t="inlineStr">
        <is>
          <t>A 63190-2020</t>
        </is>
      </c>
      <c r="B744" s="1" t="n">
        <v>44162</v>
      </c>
      <c r="C744" s="1" t="n">
        <v>45353</v>
      </c>
      <c r="D744" t="inlineStr">
        <is>
          <t>VÄSTERNORRLANDS LÄN</t>
        </is>
      </c>
      <c r="E744" t="inlineStr">
        <is>
          <t>SOLLEFTEÅ</t>
        </is>
      </c>
      <c r="G744" t="n">
        <v>0.2</v>
      </c>
      <c r="H744" t="n">
        <v>0</v>
      </c>
      <c r="I744" t="n">
        <v>0</v>
      </c>
      <c r="J744" t="n">
        <v>0</v>
      </c>
      <c r="K744" t="n">
        <v>0</v>
      </c>
      <c r="L744" t="n">
        <v>0</v>
      </c>
      <c r="M744" t="n">
        <v>0</v>
      </c>
      <c r="N744" t="n">
        <v>0</v>
      </c>
      <c r="O744" t="n">
        <v>0</v>
      </c>
      <c r="P744" t="n">
        <v>0</v>
      </c>
      <c r="Q744" t="n">
        <v>0</v>
      </c>
      <c r="R744" s="2" t="inlineStr"/>
    </row>
    <row r="745" ht="15" customHeight="1">
      <c r="A745" t="inlineStr">
        <is>
          <t>A 63210-2020</t>
        </is>
      </c>
      <c r="B745" s="1" t="n">
        <v>44163</v>
      </c>
      <c r="C745" s="1" t="n">
        <v>45353</v>
      </c>
      <c r="D745" t="inlineStr">
        <is>
          <t>VÄSTERNORRLANDS LÄN</t>
        </is>
      </c>
      <c r="E745" t="inlineStr">
        <is>
          <t>SOLLEFTEÅ</t>
        </is>
      </c>
      <c r="G745" t="n">
        <v>1.8</v>
      </c>
      <c r="H745" t="n">
        <v>0</v>
      </c>
      <c r="I745" t="n">
        <v>0</v>
      </c>
      <c r="J745" t="n">
        <v>0</v>
      </c>
      <c r="K745" t="n">
        <v>0</v>
      </c>
      <c r="L745" t="n">
        <v>0</v>
      </c>
      <c r="M745" t="n">
        <v>0</v>
      </c>
      <c r="N745" t="n">
        <v>0</v>
      </c>
      <c r="O745" t="n">
        <v>0</v>
      </c>
      <c r="P745" t="n">
        <v>0</v>
      </c>
      <c r="Q745" t="n">
        <v>0</v>
      </c>
      <c r="R745" s="2" t="inlineStr"/>
    </row>
    <row r="746" ht="15" customHeight="1">
      <c r="A746" t="inlineStr">
        <is>
          <t>A 65401-2020</t>
        </is>
      </c>
      <c r="B746" s="1" t="n">
        <v>44169</v>
      </c>
      <c r="C746" s="1" t="n">
        <v>45353</v>
      </c>
      <c r="D746" t="inlineStr">
        <is>
          <t>VÄSTERNORRLANDS LÄN</t>
        </is>
      </c>
      <c r="E746" t="inlineStr">
        <is>
          <t>SOLLEFTEÅ</t>
        </is>
      </c>
      <c r="G746" t="n">
        <v>2.3</v>
      </c>
      <c r="H746" t="n">
        <v>0</v>
      </c>
      <c r="I746" t="n">
        <v>0</v>
      </c>
      <c r="J746" t="n">
        <v>0</v>
      </c>
      <c r="K746" t="n">
        <v>0</v>
      </c>
      <c r="L746" t="n">
        <v>0</v>
      </c>
      <c r="M746" t="n">
        <v>0</v>
      </c>
      <c r="N746" t="n">
        <v>0</v>
      </c>
      <c r="O746" t="n">
        <v>0</v>
      </c>
      <c r="P746" t="n">
        <v>0</v>
      </c>
      <c r="Q746" t="n">
        <v>0</v>
      </c>
      <c r="R746" s="2" t="inlineStr"/>
    </row>
    <row r="747" ht="15" customHeight="1">
      <c r="A747" t="inlineStr">
        <is>
          <t>A 65407-2020</t>
        </is>
      </c>
      <c r="B747" s="1" t="n">
        <v>44169</v>
      </c>
      <c r="C747" s="1" t="n">
        <v>45353</v>
      </c>
      <c r="D747" t="inlineStr">
        <is>
          <t>VÄSTERNORRLANDS LÄN</t>
        </is>
      </c>
      <c r="E747" t="inlineStr">
        <is>
          <t>SOLLEFTEÅ</t>
        </is>
      </c>
      <c r="G747" t="n">
        <v>2.8</v>
      </c>
      <c r="H747" t="n">
        <v>0</v>
      </c>
      <c r="I747" t="n">
        <v>0</v>
      </c>
      <c r="J747" t="n">
        <v>0</v>
      </c>
      <c r="K747" t="n">
        <v>0</v>
      </c>
      <c r="L747" t="n">
        <v>0</v>
      </c>
      <c r="M747" t="n">
        <v>0</v>
      </c>
      <c r="N747" t="n">
        <v>0</v>
      </c>
      <c r="O747" t="n">
        <v>0</v>
      </c>
      <c r="P747" t="n">
        <v>0</v>
      </c>
      <c r="Q747" t="n">
        <v>0</v>
      </c>
      <c r="R747" s="2" t="inlineStr"/>
    </row>
    <row r="748" ht="15" customHeight="1">
      <c r="A748" t="inlineStr">
        <is>
          <t>A 65403-2020</t>
        </is>
      </c>
      <c r="B748" s="1" t="n">
        <v>44169</v>
      </c>
      <c r="C748" s="1" t="n">
        <v>45353</v>
      </c>
      <c r="D748" t="inlineStr">
        <is>
          <t>VÄSTERNORRLANDS LÄN</t>
        </is>
      </c>
      <c r="E748" t="inlineStr">
        <is>
          <t>SOLLEFTEÅ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67063-2020</t>
        </is>
      </c>
      <c r="B749" s="1" t="n">
        <v>44176</v>
      </c>
      <c r="C749" s="1" t="n">
        <v>45353</v>
      </c>
      <c r="D749" t="inlineStr">
        <is>
          <t>VÄSTERNORRLANDS LÄN</t>
        </is>
      </c>
      <c r="E749" t="inlineStr">
        <is>
          <t>SOLLEFTEÅ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66845-2020</t>
        </is>
      </c>
      <c r="B750" s="1" t="n">
        <v>44179</v>
      </c>
      <c r="C750" s="1" t="n">
        <v>45353</v>
      </c>
      <c r="D750" t="inlineStr">
        <is>
          <t>VÄSTERNORRLANDS LÄN</t>
        </is>
      </c>
      <c r="E750" t="inlineStr">
        <is>
          <t>SOLLEFTEÅ</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66844-2020</t>
        </is>
      </c>
      <c r="B751" s="1" t="n">
        <v>44179</v>
      </c>
      <c r="C751" s="1" t="n">
        <v>45353</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66850-2020</t>
        </is>
      </c>
      <c r="B752" s="1" t="n">
        <v>44179</v>
      </c>
      <c r="C752" s="1" t="n">
        <v>45353</v>
      </c>
      <c r="D752" t="inlineStr">
        <is>
          <t>VÄSTERNORRLANDS LÄN</t>
        </is>
      </c>
      <c r="E752" t="inlineStr">
        <is>
          <t>SOLLEFTEÅ</t>
        </is>
      </c>
      <c r="G752" t="n">
        <v>3</v>
      </c>
      <c r="H752" t="n">
        <v>0</v>
      </c>
      <c r="I752" t="n">
        <v>0</v>
      </c>
      <c r="J752" t="n">
        <v>0</v>
      </c>
      <c r="K752" t="n">
        <v>0</v>
      </c>
      <c r="L752" t="n">
        <v>0</v>
      </c>
      <c r="M752" t="n">
        <v>0</v>
      </c>
      <c r="N752" t="n">
        <v>0</v>
      </c>
      <c r="O752" t="n">
        <v>0</v>
      </c>
      <c r="P752" t="n">
        <v>0</v>
      </c>
      <c r="Q752" t="n">
        <v>0</v>
      </c>
      <c r="R752" s="2" t="inlineStr"/>
    </row>
    <row r="753" ht="15" customHeight="1">
      <c r="A753" t="inlineStr">
        <is>
          <t>A 66851-2020</t>
        </is>
      </c>
      <c r="B753" s="1" t="n">
        <v>44179</v>
      </c>
      <c r="C753" s="1" t="n">
        <v>45353</v>
      </c>
      <c r="D753" t="inlineStr">
        <is>
          <t>VÄSTERNORRLANDS LÄN</t>
        </is>
      </c>
      <c r="E753" t="inlineStr">
        <is>
          <t>SOLLEFTEÅ</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66853-2020</t>
        </is>
      </c>
      <c r="B754" s="1" t="n">
        <v>44179</v>
      </c>
      <c r="C754" s="1" t="n">
        <v>45353</v>
      </c>
      <c r="D754" t="inlineStr">
        <is>
          <t>VÄSTERNORRLANDS LÄN</t>
        </is>
      </c>
      <c r="E754" t="inlineStr">
        <is>
          <t>SOLLEFTEÅ</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67602-2020</t>
        </is>
      </c>
      <c r="B755" s="1" t="n">
        <v>44181</v>
      </c>
      <c r="C755" s="1" t="n">
        <v>45353</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68016-2020</t>
        </is>
      </c>
      <c r="B756" s="1" t="n">
        <v>44182</v>
      </c>
      <c r="C756" s="1" t="n">
        <v>45353</v>
      </c>
      <c r="D756" t="inlineStr">
        <is>
          <t>VÄSTERNORRLANDS LÄN</t>
        </is>
      </c>
      <c r="E756" t="inlineStr">
        <is>
          <t>SOLLEFTEÅ</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68026-2020</t>
        </is>
      </c>
      <c r="B757" s="1" t="n">
        <v>44182</v>
      </c>
      <c r="C757" s="1" t="n">
        <v>45353</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68022-2020</t>
        </is>
      </c>
      <c r="B758" s="1" t="n">
        <v>44182</v>
      </c>
      <c r="C758" s="1" t="n">
        <v>45353</v>
      </c>
      <c r="D758" t="inlineStr">
        <is>
          <t>VÄSTERNORRLANDS LÄN</t>
        </is>
      </c>
      <c r="E758" t="inlineStr">
        <is>
          <t>SOLLEFTEÅ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68031-2020</t>
        </is>
      </c>
      <c r="B759" s="1" t="n">
        <v>44182</v>
      </c>
      <c r="C759" s="1" t="n">
        <v>45353</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68036-2020</t>
        </is>
      </c>
      <c r="B760" s="1" t="n">
        <v>44182</v>
      </c>
      <c r="C760" s="1" t="n">
        <v>45353</v>
      </c>
      <c r="D760" t="inlineStr">
        <is>
          <t>VÄSTERNORRLANDS LÄN</t>
        </is>
      </c>
      <c r="E760" t="inlineStr">
        <is>
          <t>SOLLEFTEÅ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68020-2020</t>
        </is>
      </c>
      <c r="B761" s="1" t="n">
        <v>44182</v>
      </c>
      <c r="C761" s="1" t="n">
        <v>45353</v>
      </c>
      <c r="D761" t="inlineStr">
        <is>
          <t>VÄSTERNORRLANDS LÄN</t>
        </is>
      </c>
      <c r="E761" t="inlineStr">
        <is>
          <t>SOLLEFTEÅ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68030-2020</t>
        </is>
      </c>
      <c r="B762" s="1" t="n">
        <v>44182</v>
      </c>
      <c r="C762" s="1" t="n">
        <v>45353</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68034-2020</t>
        </is>
      </c>
      <c r="B763" s="1" t="n">
        <v>44182</v>
      </c>
      <c r="C763" s="1" t="n">
        <v>45353</v>
      </c>
      <c r="D763" t="inlineStr">
        <is>
          <t>VÄSTERNORRLANDS LÄN</t>
        </is>
      </c>
      <c r="E763" t="inlineStr">
        <is>
          <t>SOLLEFTEÅ</t>
        </is>
      </c>
      <c r="F763" t="inlineStr">
        <is>
          <t>SCA</t>
        </is>
      </c>
      <c r="G763" t="n">
        <v>17.1</v>
      </c>
      <c r="H763" t="n">
        <v>0</v>
      </c>
      <c r="I763" t="n">
        <v>0</v>
      </c>
      <c r="J763" t="n">
        <v>0</v>
      </c>
      <c r="K763" t="n">
        <v>0</v>
      </c>
      <c r="L763" t="n">
        <v>0</v>
      </c>
      <c r="M763" t="n">
        <v>0</v>
      </c>
      <c r="N763" t="n">
        <v>0</v>
      </c>
      <c r="O763" t="n">
        <v>0</v>
      </c>
      <c r="P763" t="n">
        <v>0</v>
      </c>
      <c r="Q763" t="n">
        <v>0</v>
      </c>
      <c r="R763" s="2" t="inlineStr"/>
    </row>
    <row r="764" ht="15" customHeight="1">
      <c r="A764" t="inlineStr">
        <is>
          <t>A 68033-2020</t>
        </is>
      </c>
      <c r="B764" s="1" t="n">
        <v>44182</v>
      </c>
      <c r="C764" s="1" t="n">
        <v>45353</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68015-2020</t>
        </is>
      </c>
      <c r="B765" s="1" t="n">
        <v>44182</v>
      </c>
      <c r="C765" s="1" t="n">
        <v>45353</v>
      </c>
      <c r="D765" t="inlineStr">
        <is>
          <t>VÄSTERNORRLANDS LÄN</t>
        </is>
      </c>
      <c r="E765" t="inlineStr">
        <is>
          <t>SOLLEFTEÅ</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68025-2020</t>
        </is>
      </c>
      <c r="B766" s="1" t="n">
        <v>44182</v>
      </c>
      <c r="C766" s="1" t="n">
        <v>45353</v>
      </c>
      <c r="D766" t="inlineStr">
        <is>
          <t>VÄSTERNORRLANDS LÄN</t>
        </is>
      </c>
      <c r="E766" t="inlineStr">
        <is>
          <t>SOLLEFTEÅ</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68032-2020</t>
        </is>
      </c>
      <c r="B767" s="1" t="n">
        <v>44182</v>
      </c>
      <c r="C767" s="1" t="n">
        <v>45353</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68037-2020</t>
        </is>
      </c>
      <c r="B768" s="1" t="n">
        <v>44182</v>
      </c>
      <c r="C768" s="1" t="n">
        <v>45353</v>
      </c>
      <c r="D768" t="inlineStr">
        <is>
          <t>VÄSTERNORRLANDS LÄN</t>
        </is>
      </c>
      <c r="E768" t="inlineStr">
        <is>
          <t>SOLLEFTEÅ</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68292-2020</t>
        </is>
      </c>
      <c r="B769" s="1" t="n">
        <v>44183</v>
      </c>
      <c r="C769" s="1" t="n">
        <v>45353</v>
      </c>
      <c r="D769" t="inlineStr">
        <is>
          <t>VÄSTERNORRLANDS LÄN</t>
        </is>
      </c>
      <c r="E769" t="inlineStr">
        <is>
          <t>SOLLEFTEÅ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68570-2020</t>
        </is>
      </c>
      <c r="B770" s="1" t="n">
        <v>44186</v>
      </c>
      <c r="C770" s="1" t="n">
        <v>45353</v>
      </c>
      <c r="D770" t="inlineStr">
        <is>
          <t>VÄSTERNORRLANDS LÄN</t>
        </is>
      </c>
      <c r="E770" t="inlineStr">
        <is>
          <t>SOLLEFTEÅ</t>
        </is>
      </c>
      <c r="G770" t="n">
        <v>5.5</v>
      </c>
      <c r="H770" t="n">
        <v>0</v>
      </c>
      <c r="I770" t="n">
        <v>0</v>
      </c>
      <c r="J770" t="n">
        <v>0</v>
      </c>
      <c r="K770" t="n">
        <v>0</v>
      </c>
      <c r="L770" t="n">
        <v>0</v>
      </c>
      <c r="M770" t="n">
        <v>0</v>
      </c>
      <c r="N770" t="n">
        <v>0</v>
      </c>
      <c r="O770" t="n">
        <v>0</v>
      </c>
      <c r="P770" t="n">
        <v>0</v>
      </c>
      <c r="Q770" t="n">
        <v>0</v>
      </c>
      <c r="R770" s="2" t="inlineStr"/>
    </row>
    <row r="771" ht="15" customHeight="1">
      <c r="A771" t="inlineStr">
        <is>
          <t>A 68652-2020</t>
        </is>
      </c>
      <c r="B771" s="1" t="n">
        <v>44186</v>
      </c>
      <c r="C771" s="1" t="n">
        <v>45353</v>
      </c>
      <c r="D771" t="inlineStr">
        <is>
          <t>VÄSTERNORRLANDS LÄN</t>
        </is>
      </c>
      <c r="E771" t="inlineStr">
        <is>
          <t>SOLLEFTEÅ</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68647-2020</t>
        </is>
      </c>
      <c r="B772" s="1" t="n">
        <v>44186</v>
      </c>
      <c r="C772" s="1" t="n">
        <v>45353</v>
      </c>
      <c r="D772" t="inlineStr">
        <is>
          <t>VÄSTERNORRLANDS LÄN</t>
        </is>
      </c>
      <c r="E772" t="inlineStr">
        <is>
          <t>SOLLEFTEÅ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68648-2020</t>
        </is>
      </c>
      <c r="B773" s="1" t="n">
        <v>44186</v>
      </c>
      <c r="C773" s="1" t="n">
        <v>45353</v>
      </c>
      <c r="D773" t="inlineStr">
        <is>
          <t>VÄSTERNORRLANDS LÄN</t>
        </is>
      </c>
      <c r="E773" t="inlineStr">
        <is>
          <t>SOLLEFTEÅ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68656-2020</t>
        </is>
      </c>
      <c r="B774" s="1" t="n">
        <v>44186</v>
      </c>
      <c r="C774" s="1" t="n">
        <v>45353</v>
      </c>
      <c r="D774" t="inlineStr">
        <is>
          <t>VÄSTERNORRLANDS LÄN</t>
        </is>
      </c>
      <c r="E774" t="inlineStr">
        <is>
          <t>SOLLEFTEÅ</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69436-2020</t>
        </is>
      </c>
      <c r="B775" s="1" t="n">
        <v>44193</v>
      </c>
      <c r="C775" s="1" t="n">
        <v>45353</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272-2021</t>
        </is>
      </c>
      <c r="B776" s="1" t="n">
        <v>44200</v>
      </c>
      <c r="C776" s="1" t="n">
        <v>45353</v>
      </c>
      <c r="D776" t="inlineStr">
        <is>
          <t>VÄSTERNORRLANDS LÄN</t>
        </is>
      </c>
      <c r="E776" t="inlineStr">
        <is>
          <t>SOLLEFTEÅ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691-2021</t>
        </is>
      </c>
      <c r="B777" s="1" t="n">
        <v>44203</v>
      </c>
      <c r="C777" s="1" t="n">
        <v>45353</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1858-2021</t>
        </is>
      </c>
      <c r="B778" s="1" t="n">
        <v>44210</v>
      </c>
      <c r="C778" s="1" t="n">
        <v>45353</v>
      </c>
      <c r="D778" t="inlineStr">
        <is>
          <t>VÄSTERNORRLANDS LÄN</t>
        </is>
      </c>
      <c r="E778" t="inlineStr">
        <is>
          <t>SOLLEFTEÅ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2077-2021</t>
        </is>
      </c>
      <c r="B779" s="1" t="n">
        <v>44210</v>
      </c>
      <c r="C779" s="1" t="n">
        <v>45353</v>
      </c>
      <c r="D779" t="inlineStr">
        <is>
          <t>VÄSTERNORRLANDS LÄN</t>
        </is>
      </c>
      <c r="E779" t="inlineStr">
        <is>
          <t>SOLLEFTEÅ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2487-2021</t>
        </is>
      </c>
      <c r="B780" s="1" t="n">
        <v>44211</v>
      </c>
      <c r="C780" s="1" t="n">
        <v>45353</v>
      </c>
      <c r="D780" t="inlineStr">
        <is>
          <t>VÄSTERNORRLANDS LÄN</t>
        </is>
      </c>
      <c r="E780" t="inlineStr">
        <is>
          <t>SOLLEFTEÅ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3441-2021</t>
        </is>
      </c>
      <c r="B781" s="1" t="n">
        <v>44218</v>
      </c>
      <c r="C781" s="1" t="n">
        <v>45353</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4127-2021</t>
        </is>
      </c>
      <c r="B782" s="1" t="n">
        <v>44222</v>
      </c>
      <c r="C782" s="1" t="n">
        <v>45353</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5989-2021</t>
        </is>
      </c>
      <c r="B783" s="1" t="n">
        <v>44231</v>
      </c>
      <c r="C783" s="1" t="n">
        <v>45353</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7658-2021</t>
        </is>
      </c>
      <c r="B784" s="1" t="n">
        <v>44242</v>
      </c>
      <c r="C784" s="1" t="n">
        <v>45353</v>
      </c>
      <c r="D784" t="inlineStr">
        <is>
          <t>VÄSTERNORRLANDS LÄN</t>
        </is>
      </c>
      <c r="E784" t="inlineStr">
        <is>
          <t>SOLLEFTEÅ</t>
        </is>
      </c>
      <c r="G784" t="n">
        <v>4.9</v>
      </c>
      <c r="H784" t="n">
        <v>0</v>
      </c>
      <c r="I784" t="n">
        <v>0</v>
      </c>
      <c r="J784" t="n">
        <v>0</v>
      </c>
      <c r="K784" t="n">
        <v>0</v>
      </c>
      <c r="L784" t="n">
        <v>0</v>
      </c>
      <c r="M784" t="n">
        <v>0</v>
      </c>
      <c r="N784" t="n">
        <v>0</v>
      </c>
      <c r="O784" t="n">
        <v>0</v>
      </c>
      <c r="P784" t="n">
        <v>0</v>
      </c>
      <c r="Q784" t="n">
        <v>0</v>
      </c>
      <c r="R784" s="2" t="inlineStr"/>
    </row>
    <row r="785" ht="15" customHeight="1">
      <c r="A785" t="inlineStr">
        <is>
          <t>A 7659-2021</t>
        </is>
      </c>
      <c r="B785" s="1" t="n">
        <v>44242</v>
      </c>
      <c r="C785" s="1" t="n">
        <v>45353</v>
      </c>
      <c r="D785" t="inlineStr">
        <is>
          <t>VÄSTERNORRLANDS LÄN</t>
        </is>
      </c>
      <c r="E785" t="inlineStr">
        <is>
          <t>SOLLEFTEÅ</t>
        </is>
      </c>
      <c r="G785" t="n">
        <v>8.1</v>
      </c>
      <c r="H785" t="n">
        <v>0</v>
      </c>
      <c r="I785" t="n">
        <v>0</v>
      </c>
      <c r="J785" t="n">
        <v>0</v>
      </c>
      <c r="K785" t="n">
        <v>0</v>
      </c>
      <c r="L785" t="n">
        <v>0</v>
      </c>
      <c r="M785" t="n">
        <v>0</v>
      </c>
      <c r="N785" t="n">
        <v>0</v>
      </c>
      <c r="O785" t="n">
        <v>0</v>
      </c>
      <c r="P785" t="n">
        <v>0</v>
      </c>
      <c r="Q785" t="n">
        <v>0</v>
      </c>
      <c r="R785" s="2" t="inlineStr"/>
    </row>
    <row r="786" ht="15" customHeight="1">
      <c r="A786" t="inlineStr">
        <is>
          <t>A 7889-2021</t>
        </is>
      </c>
      <c r="B786" s="1" t="n">
        <v>44242</v>
      </c>
      <c r="C786" s="1" t="n">
        <v>45353</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8631-2021</t>
        </is>
      </c>
      <c r="B787" s="1" t="n">
        <v>44245</v>
      </c>
      <c r="C787" s="1" t="n">
        <v>45353</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8692-2021</t>
        </is>
      </c>
      <c r="B788" s="1" t="n">
        <v>44246</v>
      </c>
      <c r="C788" s="1" t="n">
        <v>45353</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9461-2021</t>
        </is>
      </c>
      <c r="B789" s="1" t="n">
        <v>44251</v>
      </c>
      <c r="C789" s="1" t="n">
        <v>45353</v>
      </c>
      <c r="D789" t="inlineStr">
        <is>
          <t>VÄSTERNORRLANDS LÄN</t>
        </is>
      </c>
      <c r="E789" t="inlineStr">
        <is>
          <t>SOLLEFTEÅ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9626-2021</t>
        </is>
      </c>
      <c r="B790" s="1" t="n">
        <v>44251</v>
      </c>
      <c r="C790" s="1" t="n">
        <v>45353</v>
      </c>
      <c r="D790" t="inlineStr">
        <is>
          <t>VÄSTERNORRLANDS LÄN</t>
        </is>
      </c>
      <c r="E790" t="inlineStr">
        <is>
          <t>SOLLEFTEÅ</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11270-2021</t>
        </is>
      </c>
      <c r="B791" s="1" t="n">
        <v>44263</v>
      </c>
      <c r="C791" s="1" t="n">
        <v>45353</v>
      </c>
      <c r="D791" t="inlineStr">
        <is>
          <t>VÄSTERNORRLANDS LÄN</t>
        </is>
      </c>
      <c r="E791" t="inlineStr">
        <is>
          <t>SOLLEFTEÅ</t>
        </is>
      </c>
      <c r="F791" t="inlineStr">
        <is>
          <t>Kommuner</t>
        </is>
      </c>
      <c r="G791" t="n">
        <v>10.9</v>
      </c>
      <c r="H791" t="n">
        <v>0</v>
      </c>
      <c r="I791" t="n">
        <v>0</v>
      </c>
      <c r="J791" t="n">
        <v>0</v>
      </c>
      <c r="K791" t="n">
        <v>0</v>
      </c>
      <c r="L791" t="n">
        <v>0</v>
      </c>
      <c r="M791" t="n">
        <v>0</v>
      </c>
      <c r="N791" t="n">
        <v>0</v>
      </c>
      <c r="O791" t="n">
        <v>0</v>
      </c>
      <c r="P791" t="n">
        <v>0</v>
      </c>
      <c r="Q791" t="n">
        <v>0</v>
      </c>
      <c r="R791" s="2" t="inlineStr"/>
    </row>
    <row r="792" ht="15" customHeight="1">
      <c r="A792" t="inlineStr">
        <is>
          <t>A 11710-2021</t>
        </is>
      </c>
      <c r="B792" s="1" t="n">
        <v>44264</v>
      </c>
      <c r="C792" s="1" t="n">
        <v>45353</v>
      </c>
      <c r="D792" t="inlineStr">
        <is>
          <t>VÄSTERNORRLANDS LÄN</t>
        </is>
      </c>
      <c r="E792" t="inlineStr">
        <is>
          <t>SOLLEFTEÅ</t>
        </is>
      </c>
      <c r="G792" t="n">
        <v>1.2</v>
      </c>
      <c r="H792" t="n">
        <v>0</v>
      </c>
      <c r="I792" t="n">
        <v>0</v>
      </c>
      <c r="J792" t="n">
        <v>0</v>
      </c>
      <c r="K792" t="n">
        <v>0</v>
      </c>
      <c r="L792" t="n">
        <v>0</v>
      </c>
      <c r="M792" t="n">
        <v>0</v>
      </c>
      <c r="N792" t="n">
        <v>0</v>
      </c>
      <c r="O792" t="n">
        <v>0</v>
      </c>
      <c r="P792" t="n">
        <v>0</v>
      </c>
      <c r="Q792" t="n">
        <v>0</v>
      </c>
      <c r="R792" s="2" t="inlineStr"/>
    </row>
    <row r="793" ht="15" customHeight="1">
      <c r="A793" t="inlineStr">
        <is>
          <t>A 12278-2021</t>
        </is>
      </c>
      <c r="B793" s="1" t="n">
        <v>44266</v>
      </c>
      <c r="C793" s="1" t="n">
        <v>45353</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12277-2021</t>
        </is>
      </c>
      <c r="B794" s="1" t="n">
        <v>44266</v>
      </c>
      <c r="C794" s="1" t="n">
        <v>45353</v>
      </c>
      <c r="D794" t="inlineStr">
        <is>
          <t>VÄSTERNORRLANDS LÄN</t>
        </is>
      </c>
      <c r="E794" t="inlineStr">
        <is>
          <t>SOLLEFTEÅ</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12279-2021</t>
        </is>
      </c>
      <c r="B795" s="1" t="n">
        <v>44266</v>
      </c>
      <c r="C795" s="1" t="n">
        <v>45353</v>
      </c>
      <c r="D795" t="inlineStr">
        <is>
          <t>VÄSTERNORRLANDS LÄN</t>
        </is>
      </c>
      <c r="E795" t="inlineStr">
        <is>
          <t>SOLLEFTEÅ</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14733-2021</t>
        </is>
      </c>
      <c r="B796" s="1" t="n">
        <v>44280</v>
      </c>
      <c r="C796" s="1" t="n">
        <v>45353</v>
      </c>
      <c r="D796" t="inlineStr">
        <is>
          <t>VÄSTERNORRLANDS LÄN</t>
        </is>
      </c>
      <c r="E796" t="inlineStr">
        <is>
          <t>SOLLEFTEÅ</t>
        </is>
      </c>
      <c r="G796" t="n">
        <v>5.3</v>
      </c>
      <c r="H796" t="n">
        <v>0</v>
      </c>
      <c r="I796" t="n">
        <v>0</v>
      </c>
      <c r="J796" t="n">
        <v>0</v>
      </c>
      <c r="K796" t="n">
        <v>0</v>
      </c>
      <c r="L796" t="n">
        <v>0</v>
      </c>
      <c r="M796" t="n">
        <v>0</v>
      </c>
      <c r="N796" t="n">
        <v>0</v>
      </c>
      <c r="O796" t="n">
        <v>0</v>
      </c>
      <c r="P796" t="n">
        <v>0</v>
      </c>
      <c r="Q796" t="n">
        <v>0</v>
      </c>
      <c r="R796" s="2" t="inlineStr"/>
    </row>
    <row r="797" ht="15" customHeight="1">
      <c r="A797" t="inlineStr">
        <is>
          <t>A 15101-2021</t>
        </is>
      </c>
      <c r="B797" s="1" t="n">
        <v>44281</v>
      </c>
      <c r="C797" s="1" t="n">
        <v>45353</v>
      </c>
      <c r="D797" t="inlineStr">
        <is>
          <t>VÄSTERNORRLANDS LÄN</t>
        </is>
      </c>
      <c r="E797" t="inlineStr">
        <is>
          <t>SOLLEFTEÅ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15098-2021</t>
        </is>
      </c>
      <c r="B798" s="1" t="n">
        <v>44281</v>
      </c>
      <c r="C798" s="1" t="n">
        <v>45353</v>
      </c>
      <c r="D798" t="inlineStr">
        <is>
          <t>VÄSTERNORRLANDS LÄN</t>
        </is>
      </c>
      <c r="E798" t="inlineStr">
        <is>
          <t>SOLLEFTEÅ</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15461-2021</t>
        </is>
      </c>
      <c r="B799" s="1" t="n">
        <v>44285</v>
      </c>
      <c r="C799" s="1" t="n">
        <v>45353</v>
      </c>
      <c r="D799" t="inlineStr">
        <is>
          <t>VÄSTERNORRLANDS LÄN</t>
        </is>
      </c>
      <c r="E799" t="inlineStr">
        <is>
          <t>SOLLEFTEÅ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15894-2021</t>
        </is>
      </c>
      <c r="B800" s="1" t="n">
        <v>44286</v>
      </c>
      <c r="C800" s="1" t="n">
        <v>45353</v>
      </c>
      <c r="D800" t="inlineStr">
        <is>
          <t>VÄSTERNORRLANDS LÄN</t>
        </is>
      </c>
      <c r="E800" t="inlineStr">
        <is>
          <t>SOLLEFTEÅ</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16700-2021</t>
        </is>
      </c>
      <c r="B801" s="1" t="n">
        <v>44293</v>
      </c>
      <c r="C801" s="1" t="n">
        <v>45353</v>
      </c>
      <c r="D801" t="inlineStr">
        <is>
          <t>VÄSTERNORRLANDS LÄN</t>
        </is>
      </c>
      <c r="E801" t="inlineStr">
        <is>
          <t>SOLLEFTEÅ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16799-2021</t>
        </is>
      </c>
      <c r="B802" s="1" t="n">
        <v>44293</v>
      </c>
      <c r="C802" s="1" t="n">
        <v>45353</v>
      </c>
      <c r="D802" t="inlineStr">
        <is>
          <t>VÄSTERNORRLANDS LÄN</t>
        </is>
      </c>
      <c r="E802" t="inlineStr">
        <is>
          <t>SOLLEFTEÅ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16905-2021</t>
        </is>
      </c>
      <c r="B803" s="1" t="n">
        <v>44294</v>
      </c>
      <c r="C803" s="1" t="n">
        <v>45353</v>
      </c>
      <c r="D803" t="inlineStr">
        <is>
          <t>VÄSTERNORRLANDS LÄN</t>
        </is>
      </c>
      <c r="E803" t="inlineStr">
        <is>
          <t>SOLLEFTEÅ</t>
        </is>
      </c>
      <c r="G803" t="n">
        <v>5</v>
      </c>
      <c r="H803" t="n">
        <v>0</v>
      </c>
      <c r="I803" t="n">
        <v>0</v>
      </c>
      <c r="J803" t="n">
        <v>0</v>
      </c>
      <c r="K803" t="n">
        <v>0</v>
      </c>
      <c r="L803" t="n">
        <v>0</v>
      </c>
      <c r="M803" t="n">
        <v>0</v>
      </c>
      <c r="N803" t="n">
        <v>0</v>
      </c>
      <c r="O803" t="n">
        <v>0</v>
      </c>
      <c r="P803" t="n">
        <v>0</v>
      </c>
      <c r="Q803" t="n">
        <v>0</v>
      </c>
      <c r="R803" s="2" t="inlineStr"/>
    </row>
    <row r="804" ht="15" customHeight="1">
      <c r="A804" t="inlineStr">
        <is>
          <t>A 17604-2021</t>
        </is>
      </c>
      <c r="B804" s="1" t="n">
        <v>44299</v>
      </c>
      <c r="C804" s="1" t="n">
        <v>45353</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18459-2021</t>
        </is>
      </c>
      <c r="B805" s="1" t="n">
        <v>44306</v>
      </c>
      <c r="C805" s="1" t="n">
        <v>45353</v>
      </c>
      <c r="D805" t="inlineStr">
        <is>
          <t>VÄSTERNORRLANDS LÄN</t>
        </is>
      </c>
      <c r="E805" t="inlineStr">
        <is>
          <t>SOLLEFTEÅ</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18668-2021</t>
        </is>
      </c>
      <c r="B806" s="1" t="n">
        <v>44306</v>
      </c>
      <c r="C806" s="1" t="n">
        <v>45353</v>
      </c>
      <c r="D806" t="inlineStr">
        <is>
          <t>VÄSTERNORRLANDS LÄN</t>
        </is>
      </c>
      <c r="E806" t="inlineStr">
        <is>
          <t>SOLLEFTEÅ</t>
        </is>
      </c>
      <c r="G806" t="n">
        <v>12.7</v>
      </c>
      <c r="H806" t="n">
        <v>0</v>
      </c>
      <c r="I806" t="n">
        <v>0</v>
      </c>
      <c r="J806" t="n">
        <v>0</v>
      </c>
      <c r="K806" t="n">
        <v>0</v>
      </c>
      <c r="L806" t="n">
        <v>0</v>
      </c>
      <c r="M806" t="n">
        <v>0</v>
      </c>
      <c r="N806" t="n">
        <v>0</v>
      </c>
      <c r="O806" t="n">
        <v>0</v>
      </c>
      <c r="P806" t="n">
        <v>0</v>
      </c>
      <c r="Q806" t="n">
        <v>0</v>
      </c>
      <c r="R806" s="2" t="inlineStr"/>
    </row>
    <row r="807" ht="15" customHeight="1">
      <c r="A807" t="inlineStr">
        <is>
          <t>A 18741-2021</t>
        </is>
      </c>
      <c r="B807" s="1" t="n">
        <v>44306</v>
      </c>
      <c r="C807" s="1" t="n">
        <v>45353</v>
      </c>
      <c r="D807" t="inlineStr">
        <is>
          <t>VÄSTERNORRLANDS LÄN</t>
        </is>
      </c>
      <c r="E807" t="inlineStr">
        <is>
          <t>SOLLEFTEÅ</t>
        </is>
      </c>
      <c r="F807" t="inlineStr">
        <is>
          <t>Kyrkan</t>
        </is>
      </c>
      <c r="G807" t="n">
        <v>4.8</v>
      </c>
      <c r="H807" t="n">
        <v>0</v>
      </c>
      <c r="I807" t="n">
        <v>0</v>
      </c>
      <c r="J807" t="n">
        <v>0</v>
      </c>
      <c r="K807" t="n">
        <v>0</v>
      </c>
      <c r="L807" t="n">
        <v>0</v>
      </c>
      <c r="M807" t="n">
        <v>0</v>
      </c>
      <c r="N807" t="n">
        <v>0</v>
      </c>
      <c r="O807" t="n">
        <v>0</v>
      </c>
      <c r="P807" t="n">
        <v>0</v>
      </c>
      <c r="Q807" t="n">
        <v>0</v>
      </c>
      <c r="R807" s="2" t="inlineStr"/>
    </row>
    <row r="808" ht="15" customHeight="1">
      <c r="A808" t="inlineStr">
        <is>
          <t>A 18662-2021</t>
        </is>
      </c>
      <c r="B808" s="1" t="n">
        <v>44306</v>
      </c>
      <c r="C808" s="1" t="n">
        <v>45353</v>
      </c>
      <c r="D808" t="inlineStr">
        <is>
          <t>VÄSTERNORRLANDS LÄN</t>
        </is>
      </c>
      <c r="E808" t="inlineStr">
        <is>
          <t>SOLLEFTEÅ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18766-2021</t>
        </is>
      </c>
      <c r="B809" s="1" t="n">
        <v>44307</v>
      </c>
      <c r="C809" s="1" t="n">
        <v>45353</v>
      </c>
      <c r="D809" t="inlineStr">
        <is>
          <t>VÄSTERNORRLANDS LÄN</t>
        </is>
      </c>
      <c r="E809" t="inlineStr">
        <is>
          <t>SOLLEFTEÅ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18761-2021</t>
        </is>
      </c>
      <c r="B810" s="1" t="n">
        <v>44307</v>
      </c>
      <c r="C810" s="1" t="n">
        <v>45353</v>
      </c>
      <c r="D810" t="inlineStr">
        <is>
          <t>VÄSTERNORRLANDS LÄN</t>
        </is>
      </c>
      <c r="E810" t="inlineStr">
        <is>
          <t>SOLLEFTEÅ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18873-2021</t>
        </is>
      </c>
      <c r="B811" s="1" t="n">
        <v>44308</v>
      </c>
      <c r="C811" s="1" t="n">
        <v>45353</v>
      </c>
      <c r="D811" t="inlineStr">
        <is>
          <t>VÄSTERNORRLANDS LÄN</t>
        </is>
      </c>
      <c r="E811" t="inlineStr">
        <is>
          <t>SOLLEFTEÅ</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18878-2021</t>
        </is>
      </c>
      <c r="B812" s="1" t="n">
        <v>44307</v>
      </c>
      <c r="C812" s="1" t="n">
        <v>45353</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18867-2021</t>
        </is>
      </c>
      <c r="B813" s="1" t="n">
        <v>44307</v>
      </c>
      <c r="C813" s="1" t="n">
        <v>45353</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18882-2021</t>
        </is>
      </c>
      <c r="B814" s="1" t="n">
        <v>44308</v>
      </c>
      <c r="C814" s="1" t="n">
        <v>45353</v>
      </c>
      <c r="D814" t="inlineStr">
        <is>
          <t>VÄSTERNORRLANDS LÄN</t>
        </is>
      </c>
      <c r="E814" t="inlineStr">
        <is>
          <t>SOLLEFTEÅ</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18875-2021</t>
        </is>
      </c>
      <c r="B815" s="1" t="n">
        <v>44307</v>
      </c>
      <c r="C815" s="1" t="n">
        <v>45353</v>
      </c>
      <c r="D815" t="inlineStr">
        <is>
          <t>VÄSTERNORRLANDS LÄN</t>
        </is>
      </c>
      <c r="E815" t="inlineStr">
        <is>
          <t>SOLLEFTEÅ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18866-2021</t>
        </is>
      </c>
      <c r="B816" s="1" t="n">
        <v>44308</v>
      </c>
      <c r="C816" s="1" t="n">
        <v>45353</v>
      </c>
      <c r="D816" t="inlineStr">
        <is>
          <t>VÄSTERNORRLANDS LÄN</t>
        </is>
      </c>
      <c r="E816" t="inlineStr">
        <is>
          <t>SOLLEFTEÅ</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18874-2021</t>
        </is>
      </c>
      <c r="B817" s="1" t="n">
        <v>44308</v>
      </c>
      <c r="C817" s="1" t="n">
        <v>45353</v>
      </c>
      <c r="D817" t="inlineStr">
        <is>
          <t>VÄSTERNORRLANDS LÄN</t>
        </is>
      </c>
      <c r="E817" t="inlineStr">
        <is>
          <t>SOLLEFTEÅ</t>
        </is>
      </c>
      <c r="F817" t="inlineStr">
        <is>
          <t>SCA</t>
        </is>
      </c>
      <c r="G817" t="n">
        <v>10.7</v>
      </c>
      <c r="H817" t="n">
        <v>0</v>
      </c>
      <c r="I817" t="n">
        <v>0</v>
      </c>
      <c r="J817" t="n">
        <v>0</v>
      </c>
      <c r="K817" t="n">
        <v>0</v>
      </c>
      <c r="L817" t="n">
        <v>0</v>
      </c>
      <c r="M817" t="n">
        <v>0</v>
      </c>
      <c r="N817" t="n">
        <v>0</v>
      </c>
      <c r="O817" t="n">
        <v>0</v>
      </c>
      <c r="P817" t="n">
        <v>0</v>
      </c>
      <c r="Q817" t="n">
        <v>0</v>
      </c>
      <c r="R817" s="2" t="inlineStr"/>
    </row>
    <row r="818" ht="15" customHeight="1">
      <c r="A818" t="inlineStr">
        <is>
          <t>A 18879-2021</t>
        </is>
      </c>
      <c r="B818" s="1" t="n">
        <v>44307</v>
      </c>
      <c r="C818" s="1" t="n">
        <v>45353</v>
      </c>
      <c r="D818" t="inlineStr">
        <is>
          <t>VÄSTERNORRLANDS LÄN</t>
        </is>
      </c>
      <c r="E818" t="inlineStr">
        <is>
          <t>SOLLEFTEÅ</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18868-2021</t>
        </is>
      </c>
      <c r="B819" s="1" t="n">
        <v>44307</v>
      </c>
      <c r="C819" s="1" t="n">
        <v>45353</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18877-2021</t>
        </is>
      </c>
      <c r="B820" s="1" t="n">
        <v>44308</v>
      </c>
      <c r="C820" s="1" t="n">
        <v>45353</v>
      </c>
      <c r="D820" t="inlineStr">
        <is>
          <t>VÄSTERNORRLANDS LÄN</t>
        </is>
      </c>
      <c r="E820" t="inlineStr">
        <is>
          <t>SOLLEFTEÅ</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18889-2021</t>
        </is>
      </c>
      <c r="B821" s="1" t="n">
        <v>44308</v>
      </c>
      <c r="C821" s="1" t="n">
        <v>45353</v>
      </c>
      <c r="D821" t="inlineStr">
        <is>
          <t>VÄSTERNORRLANDS LÄN</t>
        </is>
      </c>
      <c r="E821" t="inlineStr">
        <is>
          <t>SOLLEFTEÅ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19200-2021</t>
        </is>
      </c>
      <c r="B822" s="1" t="n">
        <v>44309</v>
      </c>
      <c r="C822" s="1" t="n">
        <v>45353</v>
      </c>
      <c r="D822" t="inlineStr">
        <is>
          <t>VÄSTERNORRLANDS LÄN</t>
        </is>
      </c>
      <c r="E822" t="inlineStr">
        <is>
          <t>SOLLEFTEÅ</t>
        </is>
      </c>
      <c r="G822" t="n">
        <v>12.7</v>
      </c>
      <c r="H822" t="n">
        <v>0</v>
      </c>
      <c r="I822" t="n">
        <v>0</v>
      </c>
      <c r="J822" t="n">
        <v>0</v>
      </c>
      <c r="K822" t="n">
        <v>0</v>
      </c>
      <c r="L822" t="n">
        <v>0</v>
      </c>
      <c r="M822" t="n">
        <v>0</v>
      </c>
      <c r="N822" t="n">
        <v>0</v>
      </c>
      <c r="O822" t="n">
        <v>0</v>
      </c>
      <c r="P822" t="n">
        <v>0</v>
      </c>
      <c r="Q822" t="n">
        <v>0</v>
      </c>
      <c r="R822" s="2" t="inlineStr"/>
    </row>
    <row r="823" ht="15" customHeight="1">
      <c r="A823" t="inlineStr">
        <is>
          <t>A 19510-2021</t>
        </is>
      </c>
      <c r="B823" s="1" t="n">
        <v>44308</v>
      </c>
      <c r="C823" s="1" t="n">
        <v>45353</v>
      </c>
      <c r="D823" t="inlineStr">
        <is>
          <t>VÄSTERNORRLANDS LÄN</t>
        </is>
      </c>
      <c r="E823" t="inlineStr">
        <is>
          <t>SOLLEFTEÅ</t>
        </is>
      </c>
      <c r="F823" t="inlineStr">
        <is>
          <t>Kyrkan</t>
        </is>
      </c>
      <c r="G823" t="n">
        <v>19.6</v>
      </c>
      <c r="H823" t="n">
        <v>0</v>
      </c>
      <c r="I823" t="n">
        <v>0</v>
      </c>
      <c r="J823" t="n">
        <v>0</v>
      </c>
      <c r="K823" t="n">
        <v>0</v>
      </c>
      <c r="L823" t="n">
        <v>0</v>
      </c>
      <c r="M823" t="n">
        <v>0</v>
      </c>
      <c r="N823" t="n">
        <v>0</v>
      </c>
      <c r="O823" t="n">
        <v>0</v>
      </c>
      <c r="P823" t="n">
        <v>0</v>
      </c>
      <c r="Q823" t="n">
        <v>0</v>
      </c>
      <c r="R823" s="2" t="inlineStr"/>
    </row>
    <row r="824" ht="15" customHeight="1">
      <c r="A824" t="inlineStr">
        <is>
          <t>A 19220-2021</t>
        </is>
      </c>
      <c r="B824" s="1" t="n">
        <v>44309</v>
      </c>
      <c r="C824" s="1" t="n">
        <v>45353</v>
      </c>
      <c r="D824" t="inlineStr">
        <is>
          <t>VÄSTERNORRLANDS LÄN</t>
        </is>
      </c>
      <c r="E824" t="inlineStr">
        <is>
          <t>SOLLEFTEÅ</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19433-2021</t>
        </is>
      </c>
      <c r="B825" s="1" t="n">
        <v>44310</v>
      </c>
      <c r="C825" s="1" t="n">
        <v>45353</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19412-2021</t>
        </is>
      </c>
      <c r="B826" s="1" t="n">
        <v>44310</v>
      </c>
      <c r="C826" s="1" t="n">
        <v>45353</v>
      </c>
      <c r="D826" t="inlineStr">
        <is>
          <t>VÄSTERNORRLANDS LÄN</t>
        </is>
      </c>
      <c r="E826" t="inlineStr">
        <is>
          <t>SOLLEFTEÅ</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19435-2021</t>
        </is>
      </c>
      <c r="B827" s="1" t="n">
        <v>44310</v>
      </c>
      <c r="C827" s="1" t="n">
        <v>45353</v>
      </c>
      <c r="D827" t="inlineStr">
        <is>
          <t>VÄSTERNORRLANDS LÄN</t>
        </is>
      </c>
      <c r="E827" t="inlineStr">
        <is>
          <t>SOLLEFTEÅ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19516-2021</t>
        </is>
      </c>
      <c r="B828" s="1" t="n">
        <v>44309</v>
      </c>
      <c r="C828" s="1" t="n">
        <v>45353</v>
      </c>
      <c r="D828" t="inlineStr">
        <is>
          <t>VÄSTERNORRLANDS LÄN</t>
        </is>
      </c>
      <c r="E828" t="inlineStr">
        <is>
          <t>SOLLEFTEÅ</t>
        </is>
      </c>
      <c r="G828" t="n">
        <v>15.6</v>
      </c>
      <c r="H828" t="n">
        <v>0</v>
      </c>
      <c r="I828" t="n">
        <v>0</v>
      </c>
      <c r="J828" t="n">
        <v>0</v>
      </c>
      <c r="K828" t="n">
        <v>0</v>
      </c>
      <c r="L828" t="n">
        <v>0</v>
      </c>
      <c r="M828" t="n">
        <v>0</v>
      </c>
      <c r="N828" t="n">
        <v>0</v>
      </c>
      <c r="O828" t="n">
        <v>0</v>
      </c>
      <c r="P828" t="n">
        <v>0</v>
      </c>
      <c r="Q828" t="n">
        <v>0</v>
      </c>
      <c r="R828" s="2" t="inlineStr"/>
    </row>
    <row r="829" ht="15" customHeight="1">
      <c r="A829" t="inlineStr">
        <is>
          <t>A 19830-2021</t>
        </is>
      </c>
      <c r="B829" s="1" t="n">
        <v>44312</v>
      </c>
      <c r="C829" s="1" t="n">
        <v>45353</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19637-2021</t>
        </is>
      </c>
      <c r="B830" s="1" t="n">
        <v>44312</v>
      </c>
      <c r="C830" s="1" t="n">
        <v>45353</v>
      </c>
      <c r="D830" t="inlineStr">
        <is>
          <t>VÄSTERNORRLANDS LÄN</t>
        </is>
      </c>
      <c r="E830" t="inlineStr">
        <is>
          <t>SOLLEFTEÅ</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21341-2021</t>
        </is>
      </c>
      <c r="B831" s="1" t="n">
        <v>44321</v>
      </c>
      <c r="C831" s="1" t="n">
        <v>45353</v>
      </c>
      <c r="D831" t="inlineStr">
        <is>
          <t>VÄSTERNORRLANDS LÄN</t>
        </is>
      </c>
      <c r="E831" t="inlineStr">
        <is>
          <t>SOLLEFTEÅ</t>
        </is>
      </c>
      <c r="G831" t="n">
        <v>4.1</v>
      </c>
      <c r="H831" t="n">
        <v>0</v>
      </c>
      <c r="I831" t="n">
        <v>0</v>
      </c>
      <c r="J831" t="n">
        <v>0</v>
      </c>
      <c r="K831" t="n">
        <v>0</v>
      </c>
      <c r="L831" t="n">
        <v>0</v>
      </c>
      <c r="M831" t="n">
        <v>0</v>
      </c>
      <c r="N831" t="n">
        <v>0</v>
      </c>
      <c r="O831" t="n">
        <v>0</v>
      </c>
      <c r="P831" t="n">
        <v>0</v>
      </c>
      <c r="Q831" t="n">
        <v>0</v>
      </c>
      <c r="R831" s="2" t="inlineStr"/>
    </row>
    <row r="832" ht="15" customHeight="1">
      <c r="A832" t="inlineStr">
        <is>
          <t>A 21360-2021</t>
        </is>
      </c>
      <c r="B832" s="1" t="n">
        <v>44320</v>
      </c>
      <c r="C832" s="1" t="n">
        <v>45353</v>
      </c>
      <c r="D832" t="inlineStr">
        <is>
          <t>VÄSTERNORRLANDS LÄN</t>
        </is>
      </c>
      <c r="E832" t="inlineStr">
        <is>
          <t>SOLLEFTEÅ</t>
        </is>
      </c>
      <c r="G832" t="n">
        <v>6.8</v>
      </c>
      <c r="H832" t="n">
        <v>0</v>
      </c>
      <c r="I832" t="n">
        <v>0</v>
      </c>
      <c r="J832" t="n">
        <v>0</v>
      </c>
      <c r="K832" t="n">
        <v>0</v>
      </c>
      <c r="L832" t="n">
        <v>0</v>
      </c>
      <c r="M832" t="n">
        <v>0</v>
      </c>
      <c r="N832" t="n">
        <v>0</v>
      </c>
      <c r="O832" t="n">
        <v>0</v>
      </c>
      <c r="P832" t="n">
        <v>0</v>
      </c>
      <c r="Q832" t="n">
        <v>0</v>
      </c>
      <c r="R832" s="2" t="inlineStr"/>
    </row>
    <row r="833" ht="15" customHeight="1">
      <c r="A833" t="inlineStr">
        <is>
          <t>A 21350-2021</t>
        </is>
      </c>
      <c r="B833" s="1" t="n">
        <v>44321</v>
      </c>
      <c r="C833" s="1" t="n">
        <v>45353</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21358-2021</t>
        </is>
      </c>
      <c r="B834" s="1" t="n">
        <v>44320</v>
      </c>
      <c r="C834" s="1" t="n">
        <v>45353</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21362-2021</t>
        </is>
      </c>
      <c r="B835" s="1" t="n">
        <v>44321</v>
      </c>
      <c r="C835" s="1" t="n">
        <v>45353</v>
      </c>
      <c r="D835" t="inlineStr">
        <is>
          <t>VÄSTERNORRLANDS LÄN</t>
        </is>
      </c>
      <c r="E835" t="inlineStr">
        <is>
          <t>SOLLEFTEÅ</t>
        </is>
      </c>
      <c r="G835" t="n">
        <v>1</v>
      </c>
      <c r="H835" t="n">
        <v>0</v>
      </c>
      <c r="I835" t="n">
        <v>0</v>
      </c>
      <c r="J835" t="n">
        <v>0</v>
      </c>
      <c r="K835" t="n">
        <v>0</v>
      </c>
      <c r="L835" t="n">
        <v>0</v>
      </c>
      <c r="M835" t="n">
        <v>0</v>
      </c>
      <c r="N835" t="n">
        <v>0</v>
      </c>
      <c r="O835" t="n">
        <v>0</v>
      </c>
      <c r="P835" t="n">
        <v>0</v>
      </c>
      <c r="Q835" t="n">
        <v>0</v>
      </c>
      <c r="R835" s="2" t="inlineStr"/>
    </row>
    <row r="836" ht="15" customHeight="1">
      <c r="A836" t="inlineStr">
        <is>
          <t>A 21532-2021</t>
        </is>
      </c>
      <c r="B836" s="1" t="n">
        <v>44321</v>
      </c>
      <c r="C836" s="1" t="n">
        <v>45353</v>
      </c>
      <c r="D836" t="inlineStr">
        <is>
          <t>VÄSTERNORRLANDS LÄN</t>
        </is>
      </c>
      <c r="E836" t="inlineStr">
        <is>
          <t>SOLLEFTEÅ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21589-2021</t>
        </is>
      </c>
      <c r="B837" s="1" t="n">
        <v>44321</v>
      </c>
      <c r="C837" s="1" t="n">
        <v>45353</v>
      </c>
      <c r="D837" t="inlineStr">
        <is>
          <t>VÄSTERNORRLANDS LÄN</t>
        </is>
      </c>
      <c r="E837" t="inlineStr">
        <is>
          <t>SOLLEFTEÅ</t>
        </is>
      </c>
      <c r="G837" t="n">
        <v>7</v>
      </c>
      <c r="H837" t="n">
        <v>0</v>
      </c>
      <c r="I837" t="n">
        <v>0</v>
      </c>
      <c r="J837" t="n">
        <v>0</v>
      </c>
      <c r="K837" t="n">
        <v>0</v>
      </c>
      <c r="L837" t="n">
        <v>0</v>
      </c>
      <c r="M837" t="n">
        <v>0</v>
      </c>
      <c r="N837" t="n">
        <v>0</v>
      </c>
      <c r="O837" t="n">
        <v>0</v>
      </c>
      <c r="P837" t="n">
        <v>0</v>
      </c>
      <c r="Q837" t="n">
        <v>0</v>
      </c>
      <c r="R837" s="2" t="inlineStr"/>
    </row>
    <row r="838" ht="15" customHeight="1">
      <c r="A838" t="inlineStr">
        <is>
          <t>A 21711-2021</t>
        </is>
      </c>
      <c r="B838" s="1" t="n">
        <v>44322</v>
      </c>
      <c r="C838" s="1" t="n">
        <v>45353</v>
      </c>
      <c r="D838" t="inlineStr">
        <is>
          <t>VÄSTERNORRLANDS LÄN</t>
        </is>
      </c>
      <c r="E838" t="inlineStr">
        <is>
          <t>SOLLEFTEÅ</t>
        </is>
      </c>
      <c r="F838" t="inlineStr">
        <is>
          <t>Kyrkan</t>
        </is>
      </c>
      <c r="G838" t="n">
        <v>22.2</v>
      </c>
      <c r="H838" t="n">
        <v>0</v>
      </c>
      <c r="I838" t="n">
        <v>0</v>
      </c>
      <c r="J838" t="n">
        <v>0</v>
      </c>
      <c r="K838" t="n">
        <v>0</v>
      </c>
      <c r="L838" t="n">
        <v>0</v>
      </c>
      <c r="M838" t="n">
        <v>0</v>
      </c>
      <c r="N838" t="n">
        <v>0</v>
      </c>
      <c r="O838" t="n">
        <v>0</v>
      </c>
      <c r="P838" t="n">
        <v>0</v>
      </c>
      <c r="Q838" t="n">
        <v>0</v>
      </c>
      <c r="R838" s="2" t="inlineStr"/>
    </row>
    <row r="839" ht="15" customHeight="1">
      <c r="A839" t="inlineStr">
        <is>
          <t>A 21924-2021</t>
        </is>
      </c>
      <c r="B839" s="1" t="n">
        <v>44323</v>
      </c>
      <c r="C839" s="1" t="n">
        <v>45353</v>
      </c>
      <c r="D839" t="inlineStr">
        <is>
          <t>VÄSTERNORRLANDS LÄN</t>
        </is>
      </c>
      <c r="E839" t="inlineStr">
        <is>
          <t>SOLLEFTEÅ</t>
        </is>
      </c>
      <c r="G839" t="n">
        <v>3.6</v>
      </c>
      <c r="H839" t="n">
        <v>0</v>
      </c>
      <c r="I839" t="n">
        <v>0</v>
      </c>
      <c r="J839" t="n">
        <v>0</v>
      </c>
      <c r="K839" t="n">
        <v>0</v>
      </c>
      <c r="L839" t="n">
        <v>0</v>
      </c>
      <c r="M839" t="n">
        <v>0</v>
      </c>
      <c r="N839" t="n">
        <v>0</v>
      </c>
      <c r="O839" t="n">
        <v>0</v>
      </c>
      <c r="P839" t="n">
        <v>0</v>
      </c>
      <c r="Q839" t="n">
        <v>0</v>
      </c>
      <c r="R839" s="2" t="inlineStr"/>
    </row>
    <row r="840" ht="15" customHeight="1">
      <c r="A840" t="inlineStr">
        <is>
          <t>A 22447-2021</t>
        </is>
      </c>
      <c r="B840" s="1" t="n">
        <v>44323</v>
      </c>
      <c r="C840" s="1" t="n">
        <v>45353</v>
      </c>
      <c r="D840" t="inlineStr">
        <is>
          <t>VÄSTERNORRLANDS LÄN</t>
        </is>
      </c>
      <c r="E840" t="inlineStr">
        <is>
          <t>SOLLEFTEÅ</t>
        </is>
      </c>
      <c r="G840" t="n">
        <v>1.4</v>
      </c>
      <c r="H840" t="n">
        <v>0</v>
      </c>
      <c r="I840" t="n">
        <v>0</v>
      </c>
      <c r="J840" t="n">
        <v>0</v>
      </c>
      <c r="K840" t="n">
        <v>0</v>
      </c>
      <c r="L840" t="n">
        <v>0</v>
      </c>
      <c r="M840" t="n">
        <v>0</v>
      </c>
      <c r="N840" t="n">
        <v>0</v>
      </c>
      <c r="O840" t="n">
        <v>0</v>
      </c>
      <c r="P840" t="n">
        <v>0</v>
      </c>
      <c r="Q840" t="n">
        <v>0</v>
      </c>
      <c r="R840" s="2" t="inlineStr"/>
    </row>
    <row r="841" ht="15" customHeight="1">
      <c r="A841" t="inlineStr">
        <is>
          <t>A 22441-2021</t>
        </is>
      </c>
      <c r="B841" s="1" t="n">
        <v>44323</v>
      </c>
      <c r="C841" s="1" t="n">
        <v>45353</v>
      </c>
      <c r="D841" t="inlineStr">
        <is>
          <t>VÄSTERNORRLANDS LÄN</t>
        </is>
      </c>
      <c r="E841" t="inlineStr">
        <is>
          <t>SOLLEFTEÅ</t>
        </is>
      </c>
      <c r="G841" t="n">
        <v>2.2</v>
      </c>
      <c r="H841" t="n">
        <v>0</v>
      </c>
      <c r="I841" t="n">
        <v>0</v>
      </c>
      <c r="J841" t="n">
        <v>0</v>
      </c>
      <c r="K841" t="n">
        <v>0</v>
      </c>
      <c r="L841" t="n">
        <v>0</v>
      </c>
      <c r="M841" t="n">
        <v>0</v>
      </c>
      <c r="N841" t="n">
        <v>0</v>
      </c>
      <c r="O841" t="n">
        <v>0</v>
      </c>
      <c r="P841" t="n">
        <v>0</v>
      </c>
      <c r="Q841" t="n">
        <v>0</v>
      </c>
      <c r="R841" s="2" t="inlineStr"/>
    </row>
    <row r="842" ht="15" customHeight="1">
      <c r="A842" t="inlineStr">
        <is>
          <t>A 22224-2021</t>
        </is>
      </c>
      <c r="B842" s="1" t="n">
        <v>44326</v>
      </c>
      <c r="C842" s="1" t="n">
        <v>45353</v>
      </c>
      <c r="D842" t="inlineStr">
        <is>
          <t>VÄSTERNORRLANDS LÄN</t>
        </is>
      </c>
      <c r="E842" t="inlineStr">
        <is>
          <t>SOLLEFTEÅ</t>
        </is>
      </c>
      <c r="F842" t="inlineStr">
        <is>
          <t>Kommuner</t>
        </is>
      </c>
      <c r="G842" t="n">
        <v>2.3</v>
      </c>
      <c r="H842" t="n">
        <v>0</v>
      </c>
      <c r="I842" t="n">
        <v>0</v>
      </c>
      <c r="J842" t="n">
        <v>0</v>
      </c>
      <c r="K842" t="n">
        <v>0</v>
      </c>
      <c r="L842" t="n">
        <v>0</v>
      </c>
      <c r="M842" t="n">
        <v>0</v>
      </c>
      <c r="N842" t="n">
        <v>0</v>
      </c>
      <c r="O842" t="n">
        <v>0</v>
      </c>
      <c r="P842" t="n">
        <v>0</v>
      </c>
      <c r="Q842" t="n">
        <v>0</v>
      </c>
      <c r="R842" s="2" t="inlineStr"/>
    </row>
    <row r="843" ht="15" customHeight="1">
      <c r="A843" t="inlineStr">
        <is>
          <t>A 22934-2021</t>
        </is>
      </c>
      <c r="B843" s="1" t="n">
        <v>44328</v>
      </c>
      <c r="C843" s="1" t="n">
        <v>45353</v>
      </c>
      <c r="D843" t="inlineStr">
        <is>
          <t>VÄSTERNORRLANDS LÄN</t>
        </is>
      </c>
      <c r="E843" t="inlineStr">
        <is>
          <t>SOLLEFTEÅ</t>
        </is>
      </c>
      <c r="G843" t="n">
        <v>10</v>
      </c>
      <c r="H843" t="n">
        <v>0</v>
      </c>
      <c r="I843" t="n">
        <v>0</v>
      </c>
      <c r="J843" t="n">
        <v>0</v>
      </c>
      <c r="K843" t="n">
        <v>0</v>
      </c>
      <c r="L843" t="n">
        <v>0</v>
      </c>
      <c r="M843" t="n">
        <v>0</v>
      </c>
      <c r="N843" t="n">
        <v>0</v>
      </c>
      <c r="O843" t="n">
        <v>0</v>
      </c>
      <c r="P843" t="n">
        <v>0</v>
      </c>
      <c r="Q843" t="n">
        <v>0</v>
      </c>
      <c r="R843" s="2" t="inlineStr"/>
    </row>
    <row r="844" ht="15" customHeight="1">
      <c r="A844" t="inlineStr">
        <is>
          <t>A 23033-2021</t>
        </is>
      </c>
      <c r="B844" s="1" t="n">
        <v>44329</v>
      </c>
      <c r="C844" s="1" t="n">
        <v>45353</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23032-2021</t>
        </is>
      </c>
      <c r="B845" s="1" t="n">
        <v>44329</v>
      </c>
      <c r="C845" s="1" t="n">
        <v>45353</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23034-2021</t>
        </is>
      </c>
      <c r="B846" s="1" t="n">
        <v>44329</v>
      </c>
      <c r="C846" s="1" t="n">
        <v>45353</v>
      </c>
      <c r="D846" t="inlineStr">
        <is>
          <t>VÄSTERNORRLANDS LÄN</t>
        </is>
      </c>
      <c r="E846" t="inlineStr">
        <is>
          <t>SOLLEFTEÅ</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23030-2021</t>
        </is>
      </c>
      <c r="B847" s="1" t="n">
        <v>44329</v>
      </c>
      <c r="C847" s="1" t="n">
        <v>45353</v>
      </c>
      <c r="D847" t="inlineStr">
        <is>
          <t>VÄSTERNORRLANDS LÄN</t>
        </is>
      </c>
      <c r="E847" t="inlineStr">
        <is>
          <t>SOLLEFTEÅ</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23069-2021</t>
        </is>
      </c>
      <c r="B848" s="1" t="n">
        <v>44330</v>
      </c>
      <c r="C848" s="1" t="n">
        <v>45353</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23394-2021</t>
        </is>
      </c>
      <c r="B849" s="1" t="n">
        <v>44333</v>
      </c>
      <c r="C849" s="1" t="n">
        <v>45353</v>
      </c>
      <c r="D849" t="inlineStr">
        <is>
          <t>VÄSTERNORRLANDS LÄN</t>
        </is>
      </c>
      <c r="E849" t="inlineStr">
        <is>
          <t>SOLLEFTEÅ</t>
        </is>
      </c>
      <c r="G849" t="n">
        <v>2.1</v>
      </c>
      <c r="H849" t="n">
        <v>0</v>
      </c>
      <c r="I849" t="n">
        <v>0</v>
      </c>
      <c r="J849" t="n">
        <v>0</v>
      </c>
      <c r="K849" t="n">
        <v>0</v>
      </c>
      <c r="L849" t="n">
        <v>0</v>
      </c>
      <c r="M849" t="n">
        <v>0</v>
      </c>
      <c r="N849" t="n">
        <v>0</v>
      </c>
      <c r="O849" t="n">
        <v>0</v>
      </c>
      <c r="P849" t="n">
        <v>0</v>
      </c>
      <c r="Q849" t="n">
        <v>0</v>
      </c>
      <c r="R849" s="2" t="inlineStr"/>
    </row>
    <row r="850" ht="15" customHeight="1">
      <c r="A850" t="inlineStr">
        <is>
          <t>A 23639-2021</t>
        </is>
      </c>
      <c r="B850" s="1" t="n">
        <v>44334</v>
      </c>
      <c r="C850" s="1" t="n">
        <v>45353</v>
      </c>
      <c r="D850" t="inlineStr">
        <is>
          <t>VÄSTERNORRLANDS LÄN</t>
        </is>
      </c>
      <c r="E850" t="inlineStr">
        <is>
          <t>SOLLEFTEÅ</t>
        </is>
      </c>
      <c r="F850" t="inlineStr">
        <is>
          <t>Kyrkan</t>
        </is>
      </c>
      <c r="G850" t="n">
        <v>5.4</v>
      </c>
      <c r="H850" t="n">
        <v>0</v>
      </c>
      <c r="I850" t="n">
        <v>0</v>
      </c>
      <c r="J850" t="n">
        <v>0</v>
      </c>
      <c r="K850" t="n">
        <v>0</v>
      </c>
      <c r="L850" t="n">
        <v>0</v>
      </c>
      <c r="M850" t="n">
        <v>0</v>
      </c>
      <c r="N850" t="n">
        <v>0</v>
      </c>
      <c r="O850" t="n">
        <v>0</v>
      </c>
      <c r="P850" t="n">
        <v>0</v>
      </c>
      <c r="Q850" t="n">
        <v>0</v>
      </c>
      <c r="R850" s="2" t="inlineStr"/>
    </row>
    <row r="851" ht="15" customHeight="1">
      <c r="A851" t="inlineStr">
        <is>
          <t>A 23689-2021</t>
        </is>
      </c>
      <c r="B851" s="1" t="n">
        <v>44334</v>
      </c>
      <c r="C851" s="1" t="n">
        <v>45353</v>
      </c>
      <c r="D851" t="inlineStr">
        <is>
          <t>VÄSTERNORRLANDS LÄN</t>
        </is>
      </c>
      <c r="E851" t="inlineStr">
        <is>
          <t>SOLLEFTEÅ</t>
        </is>
      </c>
      <c r="G851" t="n">
        <v>14.9</v>
      </c>
      <c r="H851" t="n">
        <v>0</v>
      </c>
      <c r="I851" t="n">
        <v>0</v>
      </c>
      <c r="J851" t="n">
        <v>0</v>
      </c>
      <c r="K851" t="n">
        <v>0</v>
      </c>
      <c r="L851" t="n">
        <v>0</v>
      </c>
      <c r="M851" t="n">
        <v>0</v>
      </c>
      <c r="N851" t="n">
        <v>0</v>
      </c>
      <c r="O851" t="n">
        <v>0</v>
      </c>
      <c r="P851" t="n">
        <v>0</v>
      </c>
      <c r="Q851" t="n">
        <v>0</v>
      </c>
      <c r="R851" s="2" t="inlineStr"/>
    </row>
    <row r="852" ht="15" customHeight="1">
      <c r="A852" t="inlineStr">
        <is>
          <t>A 23770-2021</t>
        </is>
      </c>
      <c r="B852" s="1" t="n">
        <v>44335</v>
      </c>
      <c r="C852" s="1" t="n">
        <v>45353</v>
      </c>
      <c r="D852" t="inlineStr">
        <is>
          <t>VÄSTERNORRLANDS LÄN</t>
        </is>
      </c>
      <c r="E852" t="inlineStr">
        <is>
          <t>SOLLEFTEÅ</t>
        </is>
      </c>
      <c r="G852" t="n">
        <v>1.4</v>
      </c>
      <c r="H852" t="n">
        <v>0</v>
      </c>
      <c r="I852" t="n">
        <v>0</v>
      </c>
      <c r="J852" t="n">
        <v>0</v>
      </c>
      <c r="K852" t="n">
        <v>0</v>
      </c>
      <c r="L852" t="n">
        <v>0</v>
      </c>
      <c r="M852" t="n">
        <v>0</v>
      </c>
      <c r="N852" t="n">
        <v>0</v>
      </c>
      <c r="O852" t="n">
        <v>0</v>
      </c>
      <c r="P852" t="n">
        <v>0</v>
      </c>
      <c r="Q852" t="n">
        <v>0</v>
      </c>
      <c r="R852" s="2" t="inlineStr"/>
    </row>
    <row r="853" ht="15" customHeight="1">
      <c r="A853" t="inlineStr">
        <is>
          <t>A 23753-2021</t>
        </is>
      </c>
      <c r="B853" s="1" t="n">
        <v>44334</v>
      </c>
      <c r="C853" s="1" t="n">
        <v>45353</v>
      </c>
      <c r="D853" t="inlineStr">
        <is>
          <t>VÄSTERNORRLANDS LÄN</t>
        </is>
      </c>
      <c r="E853" t="inlineStr">
        <is>
          <t>SOLLEFTEÅ</t>
        </is>
      </c>
      <c r="G853" t="n">
        <v>14.8</v>
      </c>
      <c r="H853" t="n">
        <v>0</v>
      </c>
      <c r="I853" t="n">
        <v>0</v>
      </c>
      <c r="J853" t="n">
        <v>0</v>
      </c>
      <c r="K853" t="n">
        <v>0</v>
      </c>
      <c r="L853" t="n">
        <v>0</v>
      </c>
      <c r="M853" t="n">
        <v>0</v>
      </c>
      <c r="N853" t="n">
        <v>0</v>
      </c>
      <c r="O853" t="n">
        <v>0</v>
      </c>
      <c r="P853" t="n">
        <v>0</v>
      </c>
      <c r="Q853" t="n">
        <v>0</v>
      </c>
      <c r="R853" s="2" t="inlineStr"/>
    </row>
    <row r="854" ht="15" customHeight="1">
      <c r="A854" t="inlineStr">
        <is>
          <t>A 23814-2021</t>
        </is>
      </c>
      <c r="B854" s="1" t="n">
        <v>44335</v>
      </c>
      <c r="C854" s="1" t="n">
        <v>45353</v>
      </c>
      <c r="D854" t="inlineStr">
        <is>
          <t>VÄSTERNORRLANDS LÄN</t>
        </is>
      </c>
      <c r="E854" t="inlineStr">
        <is>
          <t>SOLLEFTEÅ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24243-2021</t>
        </is>
      </c>
      <c r="B855" s="1" t="n">
        <v>44336</v>
      </c>
      <c r="C855" s="1" t="n">
        <v>45353</v>
      </c>
      <c r="D855" t="inlineStr">
        <is>
          <t>VÄSTERNORRLANDS LÄN</t>
        </is>
      </c>
      <c r="E855" t="inlineStr">
        <is>
          <t>SOLLEFTEÅ</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24244-2021</t>
        </is>
      </c>
      <c r="B856" s="1" t="n">
        <v>44337</v>
      </c>
      <c r="C856" s="1" t="n">
        <v>45353</v>
      </c>
      <c r="D856" t="inlineStr">
        <is>
          <t>VÄSTERNORRLANDS LÄN</t>
        </is>
      </c>
      <c r="E856" t="inlineStr">
        <is>
          <t>SOLLEFTEÅ</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24720-2021</t>
        </is>
      </c>
      <c r="B857" s="1" t="n">
        <v>44340</v>
      </c>
      <c r="C857" s="1" t="n">
        <v>45353</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24731-2021</t>
        </is>
      </c>
      <c r="B858" s="1" t="n">
        <v>44340</v>
      </c>
      <c r="C858" s="1" t="n">
        <v>45353</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25183-2021</t>
        </is>
      </c>
      <c r="B859" s="1" t="n">
        <v>44341</v>
      </c>
      <c r="C859" s="1" t="n">
        <v>45353</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25156-2021</t>
        </is>
      </c>
      <c r="B860" s="1" t="n">
        <v>44341</v>
      </c>
      <c r="C860" s="1" t="n">
        <v>45353</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25152-2021</t>
        </is>
      </c>
      <c r="B861" s="1" t="n">
        <v>44341</v>
      </c>
      <c r="C861" s="1" t="n">
        <v>45353</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25329-2021</t>
        </is>
      </c>
      <c r="B862" s="1" t="n">
        <v>44342</v>
      </c>
      <c r="C862" s="1" t="n">
        <v>45353</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25345-2021</t>
        </is>
      </c>
      <c r="B863" s="1" t="n">
        <v>44342</v>
      </c>
      <c r="C863" s="1" t="n">
        <v>45353</v>
      </c>
      <c r="D863" t="inlineStr">
        <is>
          <t>VÄSTERNORRLANDS LÄN</t>
        </is>
      </c>
      <c r="E863" t="inlineStr">
        <is>
          <t>SOLLEFTEÅ</t>
        </is>
      </c>
      <c r="G863" t="n">
        <v>0.2</v>
      </c>
      <c r="H863" t="n">
        <v>0</v>
      </c>
      <c r="I863" t="n">
        <v>0</v>
      </c>
      <c r="J863" t="n">
        <v>0</v>
      </c>
      <c r="K863" t="n">
        <v>0</v>
      </c>
      <c r="L863" t="n">
        <v>0</v>
      </c>
      <c r="M863" t="n">
        <v>0</v>
      </c>
      <c r="N863" t="n">
        <v>0</v>
      </c>
      <c r="O863" t="n">
        <v>0</v>
      </c>
      <c r="P863" t="n">
        <v>0</v>
      </c>
      <c r="Q863" t="n">
        <v>0</v>
      </c>
      <c r="R863" s="2" t="inlineStr"/>
    </row>
    <row r="864" ht="15" customHeight="1">
      <c r="A864" t="inlineStr">
        <is>
          <t>A 25522-2021</t>
        </is>
      </c>
      <c r="B864" s="1" t="n">
        <v>44342</v>
      </c>
      <c r="C864" s="1" t="n">
        <v>45353</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25999-2021</t>
        </is>
      </c>
      <c r="B865" s="1" t="n">
        <v>44344</v>
      </c>
      <c r="C865" s="1" t="n">
        <v>45353</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25877-2021</t>
        </is>
      </c>
      <c r="B866" s="1" t="n">
        <v>44344</v>
      </c>
      <c r="C866" s="1" t="n">
        <v>45353</v>
      </c>
      <c r="D866" t="inlineStr">
        <is>
          <t>VÄSTERNORRLANDS LÄN</t>
        </is>
      </c>
      <c r="E866" t="inlineStr">
        <is>
          <t>SOLLEFTEÅ</t>
        </is>
      </c>
      <c r="G866" t="n">
        <v>4.2</v>
      </c>
      <c r="H866" t="n">
        <v>0</v>
      </c>
      <c r="I866" t="n">
        <v>0</v>
      </c>
      <c r="J866" t="n">
        <v>0</v>
      </c>
      <c r="K866" t="n">
        <v>0</v>
      </c>
      <c r="L866" t="n">
        <v>0</v>
      </c>
      <c r="M866" t="n">
        <v>0</v>
      </c>
      <c r="N866" t="n">
        <v>0</v>
      </c>
      <c r="O866" t="n">
        <v>0</v>
      </c>
      <c r="P866" t="n">
        <v>0</v>
      </c>
      <c r="Q866" t="n">
        <v>0</v>
      </c>
      <c r="R866" s="2" t="inlineStr"/>
    </row>
    <row r="867" ht="15" customHeight="1">
      <c r="A867" t="inlineStr">
        <is>
          <t>A 25989-2021</t>
        </is>
      </c>
      <c r="B867" s="1" t="n">
        <v>44344</v>
      </c>
      <c r="C867" s="1" t="n">
        <v>45353</v>
      </c>
      <c r="D867" t="inlineStr">
        <is>
          <t>VÄSTERNORRLANDS LÄN</t>
        </is>
      </c>
      <c r="E867" t="inlineStr">
        <is>
          <t>SOLLEFTEÅ</t>
        </is>
      </c>
      <c r="G867" t="n">
        <v>1.5</v>
      </c>
      <c r="H867" t="n">
        <v>0</v>
      </c>
      <c r="I867" t="n">
        <v>0</v>
      </c>
      <c r="J867" t="n">
        <v>0</v>
      </c>
      <c r="K867" t="n">
        <v>0</v>
      </c>
      <c r="L867" t="n">
        <v>0</v>
      </c>
      <c r="M867" t="n">
        <v>0</v>
      </c>
      <c r="N867" t="n">
        <v>0</v>
      </c>
      <c r="O867" t="n">
        <v>0</v>
      </c>
      <c r="P867" t="n">
        <v>0</v>
      </c>
      <c r="Q867" t="n">
        <v>0</v>
      </c>
      <c r="R867" s="2" t="inlineStr"/>
    </row>
    <row r="868" ht="15" customHeight="1">
      <c r="A868" t="inlineStr">
        <is>
          <t>A 26406-2021</t>
        </is>
      </c>
      <c r="B868" s="1" t="n">
        <v>44347</v>
      </c>
      <c r="C868" s="1" t="n">
        <v>45353</v>
      </c>
      <c r="D868" t="inlineStr">
        <is>
          <t>VÄSTERNORRLANDS LÄN</t>
        </is>
      </c>
      <c r="E868" t="inlineStr">
        <is>
          <t>SOLLEFTEÅ</t>
        </is>
      </c>
      <c r="F868" t="inlineStr">
        <is>
          <t>SCA</t>
        </is>
      </c>
      <c r="G868" t="n">
        <v>12.2</v>
      </c>
      <c r="H868" t="n">
        <v>0</v>
      </c>
      <c r="I868" t="n">
        <v>0</v>
      </c>
      <c r="J868" t="n">
        <v>0</v>
      </c>
      <c r="K868" t="n">
        <v>0</v>
      </c>
      <c r="L868" t="n">
        <v>0</v>
      </c>
      <c r="M868" t="n">
        <v>0</v>
      </c>
      <c r="N868" t="n">
        <v>0</v>
      </c>
      <c r="O868" t="n">
        <v>0</v>
      </c>
      <c r="P868" t="n">
        <v>0</v>
      </c>
      <c r="Q868" t="n">
        <v>0</v>
      </c>
      <c r="R868" s="2" t="inlineStr"/>
    </row>
    <row r="869" ht="15" customHeight="1">
      <c r="A869" t="inlineStr">
        <is>
          <t>A 26401-2021</t>
        </is>
      </c>
      <c r="B869" s="1" t="n">
        <v>44348</v>
      </c>
      <c r="C869" s="1" t="n">
        <v>45353</v>
      </c>
      <c r="D869" t="inlineStr">
        <is>
          <t>VÄSTERNORRLANDS LÄN</t>
        </is>
      </c>
      <c r="E869" t="inlineStr">
        <is>
          <t>SOLLEFTEÅ</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26498-2021</t>
        </is>
      </c>
      <c r="B870" s="1" t="n">
        <v>44348</v>
      </c>
      <c r="C870" s="1" t="n">
        <v>45353</v>
      </c>
      <c r="D870" t="inlineStr">
        <is>
          <t>VÄSTERNORRLANDS LÄN</t>
        </is>
      </c>
      <c r="E870" t="inlineStr">
        <is>
          <t>SOLLEFTEÅ</t>
        </is>
      </c>
      <c r="G870" t="n">
        <v>7.8</v>
      </c>
      <c r="H870" t="n">
        <v>0</v>
      </c>
      <c r="I870" t="n">
        <v>0</v>
      </c>
      <c r="J870" t="n">
        <v>0</v>
      </c>
      <c r="K870" t="n">
        <v>0</v>
      </c>
      <c r="L870" t="n">
        <v>0</v>
      </c>
      <c r="M870" t="n">
        <v>0</v>
      </c>
      <c r="N870" t="n">
        <v>0</v>
      </c>
      <c r="O870" t="n">
        <v>0</v>
      </c>
      <c r="P870" t="n">
        <v>0</v>
      </c>
      <c r="Q870" t="n">
        <v>0</v>
      </c>
      <c r="R870" s="2" t="inlineStr"/>
    </row>
    <row r="871" ht="15" customHeight="1">
      <c r="A871" t="inlineStr">
        <is>
          <t>A 26559-2021</t>
        </is>
      </c>
      <c r="B871" s="1" t="n">
        <v>44348</v>
      </c>
      <c r="C871" s="1" t="n">
        <v>45353</v>
      </c>
      <c r="D871" t="inlineStr">
        <is>
          <t>VÄSTERNORRLANDS LÄN</t>
        </is>
      </c>
      <c r="E871" t="inlineStr">
        <is>
          <t>SOLLEFTEÅ</t>
        </is>
      </c>
      <c r="G871" t="n">
        <v>9</v>
      </c>
      <c r="H871" t="n">
        <v>0</v>
      </c>
      <c r="I871" t="n">
        <v>0</v>
      </c>
      <c r="J871" t="n">
        <v>0</v>
      </c>
      <c r="K871" t="n">
        <v>0</v>
      </c>
      <c r="L871" t="n">
        <v>0</v>
      </c>
      <c r="M871" t="n">
        <v>0</v>
      </c>
      <c r="N871" t="n">
        <v>0</v>
      </c>
      <c r="O871" t="n">
        <v>0</v>
      </c>
      <c r="P871" t="n">
        <v>0</v>
      </c>
      <c r="Q871" t="n">
        <v>0</v>
      </c>
      <c r="R871" s="2" t="inlineStr"/>
    </row>
    <row r="872" ht="15" customHeight="1">
      <c r="A872" t="inlineStr">
        <is>
          <t>A 26669-2021</t>
        </is>
      </c>
      <c r="B872" s="1" t="n">
        <v>44349</v>
      </c>
      <c r="C872" s="1" t="n">
        <v>45353</v>
      </c>
      <c r="D872" t="inlineStr">
        <is>
          <t>VÄSTERNORRLANDS LÄN</t>
        </is>
      </c>
      <c r="E872" t="inlineStr">
        <is>
          <t>SOLLEFTEÅ</t>
        </is>
      </c>
      <c r="F872" t="inlineStr">
        <is>
          <t>SCA</t>
        </is>
      </c>
      <c r="G872" t="n">
        <v>0.4</v>
      </c>
      <c r="H872" t="n">
        <v>0</v>
      </c>
      <c r="I872" t="n">
        <v>0</v>
      </c>
      <c r="J872" t="n">
        <v>0</v>
      </c>
      <c r="K872" t="n">
        <v>0</v>
      </c>
      <c r="L872" t="n">
        <v>0</v>
      </c>
      <c r="M872" t="n">
        <v>0</v>
      </c>
      <c r="N872" t="n">
        <v>0</v>
      </c>
      <c r="O872" t="n">
        <v>0</v>
      </c>
      <c r="P872" t="n">
        <v>0</v>
      </c>
      <c r="Q872" t="n">
        <v>0</v>
      </c>
      <c r="R872" s="2" t="inlineStr"/>
    </row>
    <row r="873" ht="15" customHeight="1">
      <c r="A873" t="inlineStr">
        <is>
          <t>A 27809-2021</t>
        </is>
      </c>
      <c r="B873" s="1" t="n">
        <v>44354</v>
      </c>
      <c r="C873" s="1" t="n">
        <v>45353</v>
      </c>
      <c r="D873" t="inlineStr">
        <is>
          <t>VÄSTERNORRLANDS LÄN</t>
        </is>
      </c>
      <c r="E873" t="inlineStr">
        <is>
          <t>SOLLEFTEÅ</t>
        </is>
      </c>
      <c r="F873" t="inlineStr">
        <is>
          <t>Holmen skog AB</t>
        </is>
      </c>
      <c r="G873" t="n">
        <v>1.9</v>
      </c>
      <c r="H873" t="n">
        <v>0</v>
      </c>
      <c r="I873" t="n">
        <v>0</v>
      </c>
      <c r="J873" t="n">
        <v>0</v>
      </c>
      <c r="K873" t="n">
        <v>0</v>
      </c>
      <c r="L873" t="n">
        <v>0</v>
      </c>
      <c r="M873" t="n">
        <v>0</v>
      </c>
      <c r="N873" t="n">
        <v>0</v>
      </c>
      <c r="O873" t="n">
        <v>0</v>
      </c>
      <c r="P873" t="n">
        <v>0</v>
      </c>
      <c r="Q873" t="n">
        <v>0</v>
      </c>
      <c r="R873" s="2" t="inlineStr"/>
    </row>
    <row r="874" ht="15" customHeight="1">
      <c r="A874" t="inlineStr">
        <is>
          <t>A 27972-2021</t>
        </is>
      </c>
      <c r="B874" s="1" t="n">
        <v>44355</v>
      </c>
      <c r="C874" s="1" t="n">
        <v>45353</v>
      </c>
      <c r="D874" t="inlineStr">
        <is>
          <t>VÄSTERNORRLANDS LÄN</t>
        </is>
      </c>
      <c r="E874" t="inlineStr">
        <is>
          <t>SOLLEFTEÅ</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28288-2021</t>
        </is>
      </c>
      <c r="B875" s="1" t="n">
        <v>44355</v>
      </c>
      <c r="C875" s="1" t="n">
        <v>45353</v>
      </c>
      <c r="D875" t="inlineStr">
        <is>
          <t>VÄSTERNORRLANDS LÄN</t>
        </is>
      </c>
      <c r="E875" t="inlineStr">
        <is>
          <t>SOLLEFTEÅ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28615-2021</t>
        </is>
      </c>
      <c r="B876" s="1" t="n">
        <v>44357</v>
      </c>
      <c r="C876" s="1" t="n">
        <v>45353</v>
      </c>
      <c r="D876" t="inlineStr">
        <is>
          <t>VÄSTERNORRLANDS LÄN</t>
        </is>
      </c>
      <c r="E876" t="inlineStr">
        <is>
          <t>SOLLEFTEÅ</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28939-2021</t>
        </is>
      </c>
      <c r="B877" s="1" t="n">
        <v>44358</v>
      </c>
      <c r="C877" s="1" t="n">
        <v>45353</v>
      </c>
      <c r="D877" t="inlineStr">
        <is>
          <t>VÄSTERNORRLANDS LÄN</t>
        </is>
      </c>
      <c r="E877" t="inlineStr">
        <is>
          <t>SOLLEFTEÅ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29623-2021</t>
        </is>
      </c>
      <c r="B878" s="1" t="n">
        <v>44361</v>
      </c>
      <c r="C878" s="1" t="n">
        <v>45353</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29602-2021</t>
        </is>
      </c>
      <c r="B879" s="1" t="n">
        <v>44362</v>
      </c>
      <c r="C879" s="1" t="n">
        <v>45353</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29829-2021</t>
        </is>
      </c>
      <c r="B880" s="1" t="n">
        <v>44362</v>
      </c>
      <c r="C880" s="1" t="n">
        <v>45353</v>
      </c>
      <c r="D880" t="inlineStr">
        <is>
          <t>VÄSTERNORRLANDS LÄN</t>
        </is>
      </c>
      <c r="E880" t="inlineStr">
        <is>
          <t>SOLLEFTEÅ</t>
        </is>
      </c>
      <c r="G880" t="n">
        <v>4</v>
      </c>
      <c r="H880" t="n">
        <v>0</v>
      </c>
      <c r="I880" t="n">
        <v>0</v>
      </c>
      <c r="J880" t="n">
        <v>0</v>
      </c>
      <c r="K880" t="n">
        <v>0</v>
      </c>
      <c r="L880" t="n">
        <v>0</v>
      </c>
      <c r="M880" t="n">
        <v>0</v>
      </c>
      <c r="N880" t="n">
        <v>0</v>
      </c>
      <c r="O880" t="n">
        <v>0</v>
      </c>
      <c r="P880" t="n">
        <v>0</v>
      </c>
      <c r="Q880" t="n">
        <v>0</v>
      </c>
      <c r="R880" s="2" t="inlineStr"/>
    </row>
    <row r="881" ht="15" customHeight="1">
      <c r="A881" t="inlineStr">
        <is>
          <t>A 30692-2021</t>
        </is>
      </c>
      <c r="B881" s="1" t="n">
        <v>44365</v>
      </c>
      <c r="C881" s="1" t="n">
        <v>45353</v>
      </c>
      <c r="D881" t="inlineStr">
        <is>
          <t>VÄSTERNORRLANDS LÄN</t>
        </is>
      </c>
      <c r="E881" t="inlineStr">
        <is>
          <t>SOLLEFTEÅ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31354-2021</t>
        </is>
      </c>
      <c r="B882" s="1" t="n">
        <v>44369</v>
      </c>
      <c r="C882" s="1" t="n">
        <v>45353</v>
      </c>
      <c r="D882" t="inlineStr">
        <is>
          <t>VÄSTERNORRLANDS LÄN</t>
        </is>
      </c>
      <c r="E882" t="inlineStr">
        <is>
          <t>SOLLEFTEÅ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31600-2021</t>
        </is>
      </c>
      <c r="B883" s="1" t="n">
        <v>44369</v>
      </c>
      <c r="C883" s="1" t="n">
        <v>45353</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31737-2021</t>
        </is>
      </c>
      <c r="B884" s="1" t="n">
        <v>44370</v>
      </c>
      <c r="C884" s="1" t="n">
        <v>45353</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32091-2021</t>
        </is>
      </c>
      <c r="B885" s="1" t="n">
        <v>44370</v>
      </c>
      <c r="C885" s="1" t="n">
        <v>45353</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33207-2021</t>
        </is>
      </c>
      <c r="B886" s="1" t="n">
        <v>44376</v>
      </c>
      <c r="C886" s="1" t="n">
        <v>45353</v>
      </c>
      <c r="D886" t="inlineStr">
        <is>
          <t>VÄSTERNORRLANDS LÄN</t>
        </is>
      </c>
      <c r="E886" t="inlineStr">
        <is>
          <t>SOLLEFTEÅ</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33214-2021</t>
        </is>
      </c>
      <c r="B887" s="1" t="n">
        <v>44377</v>
      </c>
      <c r="C887" s="1" t="n">
        <v>45353</v>
      </c>
      <c r="D887" t="inlineStr">
        <is>
          <t>VÄSTERNORRLANDS LÄN</t>
        </is>
      </c>
      <c r="E887" t="inlineStr">
        <is>
          <t>SOLLEFTEÅ</t>
        </is>
      </c>
      <c r="F887" t="inlineStr">
        <is>
          <t>SCA</t>
        </is>
      </c>
      <c r="G887" t="n">
        <v>13.9</v>
      </c>
      <c r="H887" t="n">
        <v>0</v>
      </c>
      <c r="I887" t="n">
        <v>0</v>
      </c>
      <c r="J887" t="n">
        <v>0</v>
      </c>
      <c r="K887" t="n">
        <v>0</v>
      </c>
      <c r="L887" t="n">
        <v>0</v>
      </c>
      <c r="M887" t="n">
        <v>0</v>
      </c>
      <c r="N887" t="n">
        <v>0</v>
      </c>
      <c r="O887" t="n">
        <v>0</v>
      </c>
      <c r="P887" t="n">
        <v>0</v>
      </c>
      <c r="Q887" t="n">
        <v>0</v>
      </c>
      <c r="R887" s="2" t="inlineStr"/>
    </row>
    <row r="888" ht="15" customHeight="1">
      <c r="A888" t="inlineStr">
        <is>
          <t>A 33895-2021</t>
        </is>
      </c>
      <c r="B888" s="1" t="n">
        <v>44378</v>
      </c>
      <c r="C888" s="1" t="n">
        <v>45353</v>
      </c>
      <c r="D888" t="inlineStr">
        <is>
          <t>VÄSTERNORRLANDS LÄN</t>
        </is>
      </c>
      <c r="E888" t="inlineStr">
        <is>
          <t>SOLLEFTEÅ</t>
        </is>
      </c>
      <c r="F888" t="inlineStr">
        <is>
          <t>Kyrkan</t>
        </is>
      </c>
      <c r="G888" t="n">
        <v>3.6</v>
      </c>
      <c r="H888" t="n">
        <v>0</v>
      </c>
      <c r="I888" t="n">
        <v>0</v>
      </c>
      <c r="J888" t="n">
        <v>0</v>
      </c>
      <c r="K888" t="n">
        <v>0</v>
      </c>
      <c r="L888" t="n">
        <v>0</v>
      </c>
      <c r="M888" t="n">
        <v>0</v>
      </c>
      <c r="N888" t="n">
        <v>0</v>
      </c>
      <c r="O888" t="n">
        <v>0</v>
      </c>
      <c r="P888" t="n">
        <v>0</v>
      </c>
      <c r="Q888" t="n">
        <v>0</v>
      </c>
      <c r="R888" s="2" t="inlineStr"/>
    </row>
    <row r="889" ht="15" customHeight="1">
      <c r="A889" t="inlineStr">
        <is>
          <t>A 34396-2021</t>
        </is>
      </c>
      <c r="B889" s="1" t="n">
        <v>44379</v>
      </c>
      <c r="C889" s="1" t="n">
        <v>45353</v>
      </c>
      <c r="D889" t="inlineStr">
        <is>
          <t>VÄSTERNORRLANDS LÄN</t>
        </is>
      </c>
      <c r="E889" t="inlineStr">
        <is>
          <t>SOLLEFTEÅ</t>
        </is>
      </c>
      <c r="F889" t="inlineStr">
        <is>
          <t>SCA</t>
        </is>
      </c>
      <c r="G889" t="n">
        <v>7.2</v>
      </c>
      <c r="H889" t="n">
        <v>0</v>
      </c>
      <c r="I889" t="n">
        <v>0</v>
      </c>
      <c r="J889" t="n">
        <v>0</v>
      </c>
      <c r="K889" t="n">
        <v>0</v>
      </c>
      <c r="L889" t="n">
        <v>0</v>
      </c>
      <c r="M889" t="n">
        <v>0</v>
      </c>
      <c r="N889" t="n">
        <v>0</v>
      </c>
      <c r="O889" t="n">
        <v>0</v>
      </c>
      <c r="P889" t="n">
        <v>0</v>
      </c>
      <c r="Q889" t="n">
        <v>0</v>
      </c>
      <c r="R889" s="2" t="inlineStr"/>
    </row>
    <row r="890" ht="15" customHeight="1">
      <c r="A890" t="inlineStr">
        <is>
          <t>A 34395-2021</t>
        </is>
      </c>
      <c r="B890" s="1" t="n">
        <v>44379</v>
      </c>
      <c r="C890" s="1" t="n">
        <v>45353</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34397-2021</t>
        </is>
      </c>
      <c r="B891" s="1" t="n">
        <v>44379</v>
      </c>
      <c r="C891" s="1" t="n">
        <v>45353</v>
      </c>
      <c r="D891" t="inlineStr">
        <is>
          <t>VÄSTERNORRLANDS LÄN</t>
        </is>
      </c>
      <c r="E891" t="inlineStr">
        <is>
          <t>SOLLEFTEÅ</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34475-2021</t>
        </is>
      </c>
      <c r="B892" s="1" t="n">
        <v>44381</v>
      </c>
      <c r="C892" s="1" t="n">
        <v>45353</v>
      </c>
      <c r="D892" t="inlineStr">
        <is>
          <t>VÄSTERNORRLANDS LÄN</t>
        </is>
      </c>
      <c r="E892" t="inlineStr">
        <is>
          <t>SOLLEFTEÅ</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34473-2021</t>
        </is>
      </c>
      <c r="B893" s="1" t="n">
        <v>44382</v>
      </c>
      <c r="C893" s="1" t="n">
        <v>45353</v>
      </c>
      <c r="D893" t="inlineStr">
        <is>
          <t>VÄSTERNORRLANDS LÄN</t>
        </is>
      </c>
      <c r="E893" t="inlineStr">
        <is>
          <t>SOLLEFTEÅ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35071-2021</t>
        </is>
      </c>
      <c r="B894" s="1" t="n">
        <v>44383</v>
      </c>
      <c r="C894" s="1" t="n">
        <v>45353</v>
      </c>
      <c r="D894" t="inlineStr">
        <is>
          <t>VÄSTERNORRLANDS LÄN</t>
        </is>
      </c>
      <c r="E894" t="inlineStr">
        <is>
          <t>SOLLEFTEÅ</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35333-2021</t>
        </is>
      </c>
      <c r="B895" s="1" t="n">
        <v>44384</v>
      </c>
      <c r="C895" s="1" t="n">
        <v>45353</v>
      </c>
      <c r="D895" t="inlineStr">
        <is>
          <t>VÄSTERNORRLANDS LÄN</t>
        </is>
      </c>
      <c r="E895" t="inlineStr">
        <is>
          <t>SOLLEFTEÅ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35358-2021</t>
        </is>
      </c>
      <c r="B896" s="1" t="n">
        <v>44385</v>
      </c>
      <c r="C896" s="1" t="n">
        <v>45353</v>
      </c>
      <c r="D896" t="inlineStr">
        <is>
          <t>VÄSTERNORRLANDS LÄN</t>
        </is>
      </c>
      <c r="E896" t="inlineStr">
        <is>
          <t>SOLLEFTEÅ</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35574-2021</t>
        </is>
      </c>
      <c r="B897" s="1" t="n">
        <v>44386</v>
      </c>
      <c r="C897" s="1" t="n">
        <v>45353</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35862-2021</t>
        </is>
      </c>
      <c r="B898" s="1" t="n">
        <v>44386</v>
      </c>
      <c r="C898" s="1" t="n">
        <v>45353</v>
      </c>
      <c r="D898" t="inlineStr">
        <is>
          <t>VÄSTERNORRLANDS LÄN</t>
        </is>
      </c>
      <c r="E898" t="inlineStr">
        <is>
          <t>SOLLEFTEÅ</t>
        </is>
      </c>
      <c r="G898" t="n">
        <v>5.5</v>
      </c>
      <c r="H898" t="n">
        <v>0</v>
      </c>
      <c r="I898" t="n">
        <v>0</v>
      </c>
      <c r="J898" t="n">
        <v>0</v>
      </c>
      <c r="K898" t="n">
        <v>0</v>
      </c>
      <c r="L898" t="n">
        <v>0</v>
      </c>
      <c r="M898" t="n">
        <v>0</v>
      </c>
      <c r="N898" t="n">
        <v>0</v>
      </c>
      <c r="O898" t="n">
        <v>0</v>
      </c>
      <c r="P898" t="n">
        <v>0</v>
      </c>
      <c r="Q898" t="n">
        <v>0</v>
      </c>
      <c r="R898" s="2" t="inlineStr"/>
    </row>
    <row r="899" ht="15" customHeight="1">
      <c r="A899" t="inlineStr">
        <is>
          <t>A 36447-2021</t>
        </is>
      </c>
      <c r="B899" s="1" t="n">
        <v>44390</v>
      </c>
      <c r="C899" s="1" t="n">
        <v>45353</v>
      </c>
      <c r="D899" t="inlineStr">
        <is>
          <t>VÄSTERNORRLANDS LÄN</t>
        </is>
      </c>
      <c r="E899" t="inlineStr">
        <is>
          <t>SOLLEFTEÅ</t>
        </is>
      </c>
      <c r="F899" t="inlineStr">
        <is>
          <t>SCA</t>
        </is>
      </c>
      <c r="G899" t="n">
        <v>10.2</v>
      </c>
      <c r="H899" t="n">
        <v>0</v>
      </c>
      <c r="I899" t="n">
        <v>0</v>
      </c>
      <c r="J899" t="n">
        <v>0</v>
      </c>
      <c r="K899" t="n">
        <v>0</v>
      </c>
      <c r="L899" t="n">
        <v>0</v>
      </c>
      <c r="M899" t="n">
        <v>0</v>
      </c>
      <c r="N899" t="n">
        <v>0</v>
      </c>
      <c r="O899" t="n">
        <v>0</v>
      </c>
      <c r="P899" t="n">
        <v>0</v>
      </c>
      <c r="Q899" t="n">
        <v>0</v>
      </c>
      <c r="R899" s="2" t="inlineStr"/>
    </row>
    <row r="900" ht="15" customHeight="1">
      <c r="A900" t="inlineStr">
        <is>
          <t>A 36448-2021</t>
        </is>
      </c>
      <c r="B900" s="1" t="n">
        <v>44390</v>
      </c>
      <c r="C900" s="1" t="n">
        <v>45353</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36579-2021</t>
        </is>
      </c>
      <c r="B901" s="1" t="n">
        <v>44391</v>
      </c>
      <c r="C901" s="1" t="n">
        <v>45353</v>
      </c>
      <c r="D901" t="inlineStr">
        <is>
          <t>VÄSTERNORRLANDS LÄN</t>
        </is>
      </c>
      <c r="E901" t="inlineStr">
        <is>
          <t>SOLLEFTEÅ</t>
        </is>
      </c>
      <c r="G901" t="n">
        <v>6.9</v>
      </c>
      <c r="H901" t="n">
        <v>0</v>
      </c>
      <c r="I901" t="n">
        <v>0</v>
      </c>
      <c r="J901" t="n">
        <v>0</v>
      </c>
      <c r="K901" t="n">
        <v>0</v>
      </c>
      <c r="L901" t="n">
        <v>0</v>
      </c>
      <c r="M901" t="n">
        <v>0</v>
      </c>
      <c r="N901" t="n">
        <v>0</v>
      </c>
      <c r="O901" t="n">
        <v>0</v>
      </c>
      <c r="P901" t="n">
        <v>0</v>
      </c>
      <c r="Q901" t="n">
        <v>0</v>
      </c>
      <c r="R901" s="2" t="inlineStr"/>
    </row>
    <row r="902" ht="15" customHeight="1">
      <c r="A902" t="inlineStr">
        <is>
          <t>A 36816-2021</t>
        </is>
      </c>
      <c r="B902" s="1" t="n">
        <v>44393</v>
      </c>
      <c r="C902" s="1" t="n">
        <v>45353</v>
      </c>
      <c r="D902" t="inlineStr">
        <is>
          <t>VÄSTERNORRLANDS LÄN</t>
        </is>
      </c>
      <c r="E902" t="inlineStr">
        <is>
          <t>SOLLEFTEÅ</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36815-2021</t>
        </is>
      </c>
      <c r="B903" s="1" t="n">
        <v>44393</v>
      </c>
      <c r="C903" s="1" t="n">
        <v>45353</v>
      </c>
      <c r="D903" t="inlineStr">
        <is>
          <t>VÄSTERNORRLANDS LÄN</t>
        </is>
      </c>
      <c r="E903" t="inlineStr">
        <is>
          <t>SOLLEFTEÅ</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37043-2021</t>
        </is>
      </c>
      <c r="B904" s="1" t="n">
        <v>44393</v>
      </c>
      <c r="C904" s="1" t="n">
        <v>45353</v>
      </c>
      <c r="D904" t="inlineStr">
        <is>
          <t>VÄSTERNORRLANDS LÄN</t>
        </is>
      </c>
      <c r="E904" t="inlineStr">
        <is>
          <t>SOLLEFTEÅ</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37041-2021</t>
        </is>
      </c>
      <c r="B905" s="1" t="n">
        <v>44394</v>
      </c>
      <c r="C905" s="1" t="n">
        <v>45353</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37042-2021</t>
        </is>
      </c>
      <c r="B906" s="1" t="n">
        <v>44394</v>
      </c>
      <c r="C906" s="1" t="n">
        <v>45353</v>
      </c>
      <c r="D906" t="inlineStr">
        <is>
          <t>VÄSTERNORRLANDS LÄN</t>
        </is>
      </c>
      <c r="E906" t="inlineStr">
        <is>
          <t>SOLLEFTEÅ</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37369-2021</t>
        </is>
      </c>
      <c r="B907" s="1" t="n">
        <v>44397</v>
      </c>
      <c r="C907" s="1" t="n">
        <v>45353</v>
      </c>
      <c r="D907" t="inlineStr">
        <is>
          <t>VÄSTERNORRLANDS LÄN</t>
        </is>
      </c>
      <c r="E907" t="inlineStr">
        <is>
          <t>SOLLEFTEÅ</t>
        </is>
      </c>
      <c r="F907" t="inlineStr">
        <is>
          <t>SCA</t>
        </is>
      </c>
      <c r="G907" t="n">
        <v>20.3</v>
      </c>
      <c r="H907" t="n">
        <v>0</v>
      </c>
      <c r="I907" t="n">
        <v>0</v>
      </c>
      <c r="J907" t="n">
        <v>0</v>
      </c>
      <c r="K907" t="n">
        <v>0</v>
      </c>
      <c r="L907" t="n">
        <v>0</v>
      </c>
      <c r="M907" t="n">
        <v>0</v>
      </c>
      <c r="N907" t="n">
        <v>0</v>
      </c>
      <c r="O907" t="n">
        <v>0</v>
      </c>
      <c r="P907" t="n">
        <v>0</v>
      </c>
      <c r="Q907" t="n">
        <v>0</v>
      </c>
      <c r="R907" s="2" t="inlineStr"/>
    </row>
    <row r="908" ht="15" customHeight="1">
      <c r="A908" t="inlineStr">
        <is>
          <t>A 37639-2021</t>
        </is>
      </c>
      <c r="B908" s="1" t="n">
        <v>44400</v>
      </c>
      <c r="C908" s="1" t="n">
        <v>45353</v>
      </c>
      <c r="D908" t="inlineStr">
        <is>
          <t>VÄSTERNORRLANDS LÄN</t>
        </is>
      </c>
      <c r="E908" t="inlineStr">
        <is>
          <t>SOLLEFTEÅ</t>
        </is>
      </c>
      <c r="G908" t="n">
        <v>10.7</v>
      </c>
      <c r="H908" t="n">
        <v>0</v>
      </c>
      <c r="I908" t="n">
        <v>0</v>
      </c>
      <c r="J908" t="n">
        <v>0</v>
      </c>
      <c r="K908" t="n">
        <v>0</v>
      </c>
      <c r="L908" t="n">
        <v>0</v>
      </c>
      <c r="M908" t="n">
        <v>0</v>
      </c>
      <c r="N908" t="n">
        <v>0</v>
      </c>
      <c r="O908" t="n">
        <v>0</v>
      </c>
      <c r="P908" t="n">
        <v>0</v>
      </c>
      <c r="Q908" t="n">
        <v>0</v>
      </c>
      <c r="R908" s="2" t="inlineStr"/>
    </row>
    <row r="909" ht="15" customHeight="1">
      <c r="A909" t="inlineStr">
        <is>
          <t>A 37648-2021</t>
        </is>
      </c>
      <c r="B909" s="1" t="n">
        <v>44400</v>
      </c>
      <c r="C909" s="1" t="n">
        <v>45353</v>
      </c>
      <c r="D909" t="inlineStr">
        <is>
          <t>VÄSTERNORRLANDS LÄN</t>
        </is>
      </c>
      <c r="E909" t="inlineStr">
        <is>
          <t>SOLLEFTEÅ</t>
        </is>
      </c>
      <c r="G909" t="n">
        <v>33.6</v>
      </c>
      <c r="H909" t="n">
        <v>0</v>
      </c>
      <c r="I909" t="n">
        <v>0</v>
      </c>
      <c r="J909" t="n">
        <v>0</v>
      </c>
      <c r="K909" t="n">
        <v>0</v>
      </c>
      <c r="L909" t="n">
        <v>0</v>
      </c>
      <c r="M909" t="n">
        <v>0</v>
      </c>
      <c r="N909" t="n">
        <v>0</v>
      </c>
      <c r="O909" t="n">
        <v>0</v>
      </c>
      <c r="P909" t="n">
        <v>0</v>
      </c>
      <c r="Q909" t="n">
        <v>0</v>
      </c>
      <c r="R909" s="2" t="inlineStr"/>
    </row>
    <row r="910" ht="15" customHeight="1">
      <c r="A910" t="inlineStr">
        <is>
          <t>A 37634-2021</t>
        </is>
      </c>
      <c r="B910" s="1" t="n">
        <v>44400</v>
      </c>
      <c r="C910" s="1" t="n">
        <v>45353</v>
      </c>
      <c r="D910" t="inlineStr">
        <is>
          <t>VÄSTERNORRLANDS LÄN</t>
        </is>
      </c>
      <c r="E910" t="inlineStr">
        <is>
          <t>SOLLEFTEÅ</t>
        </is>
      </c>
      <c r="G910" t="n">
        <v>5.1</v>
      </c>
      <c r="H910" t="n">
        <v>0</v>
      </c>
      <c r="I910" t="n">
        <v>0</v>
      </c>
      <c r="J910" t="n">
        <v>0</v>
      </c>
      <c r="K910" t="n">
        <v>0</v>
      </c>
      <c r="L910" t="n">
        <v>0</v>
      </c>
      <c r="M910" t="n">
        <v>0</v>
      </c>
      <c r="N910" t="n">
        <v>0</v>
      </c>
      <c r="O910" t="n">
        <v>0</v>
      </c>
      <c r="P910" t="n">
        <v>0</v>
      </c>
      <c r="Q910" t="n">
        <v>0</v>
      </c>
      <c r="R910" s="2" t="inlineStr"/>
    </row>
    <row r="911" ht="15" customHeight="1">
      <c r="A911" t="inlineStr">
        <is>
          <t>A 38283-2021</t>
        </is>
      </c>
      <c r="B911" s="1" t="n">
        <v>44405</v>
      </c>
      <c r="C911" s="1" t="n">
        <v>45353</v>
      </c>
      <c r="D911" t="inlineStr">
        <is>
          <t>VÄSTERNORRLANDS LÄN</t>
        </is>
      </c>
      <c r="E911" t="inlineStr">
        <is>
          <t>SOLLEFTEÅ</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39334-2021</t>
        </is>
      </c>
      <c r="B912" s="1" t="n">
        <v>44414</v>
      </c>
      <c r="C912" s="1" t="n">
        <v>45353</v>
      </c>
      <c r="D912" t="inlineStr">
        <is>
          <t>VÄSTERNORRLANDS LÄN</t>
        </is>
      </c>
      <c r="E912" t="inlineStr">
        <is>
          <t>SOLLEFTEÅ</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39594-2021</t>
        </is>
      </c>
      <c r="B913" s="1" t="n">
        <v>44413</v>
      </c>
      <c r="C913" s="1" t="n">
        <v>45353</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39230-2021</t>
        </is>
      </c>
      <c r="B914" s="1" t="n">
        <v>44413</v>
      </c>
      <c r="C914" s="1" t="n">
        <v>45353</v>
      </c>
      <c r="D914" t="inlineStr">
        <is>
          <t>VÄSTERNORRLANDS LÄN</t>
        </is>
      </c>
      <c r="E914" t="inlineStr">
        <is>
          <t>SOLLEFTEÅ</t>
        </is>
      </c>
      <c r="G914" t="n">
        <v>13.6</v>
      </c>
      <c r="H914" t="n">
        <v>0</v>
      </c>
      <c r="I914" t="n">
        <v>0</v>
      </c>
      <c r="J914" t="n">
        <v>0</v>
      </c>
      <c r="K914" t="n">
        <v>0</v>
      </c>
      <c r="L914" t="n">
        <v>0</v>
      </c>
      <c r="M914" t="n">
        <v>0</v>
      </c>
      <c r="N914" t="n">
        <v>0</v>
      </c>
      <c r="O914" t="n">
        <v>0</v>
      </c>
      <c r="P914" t="n">
        <v>0</v>
      </c>
      <c r="Q914" t="n">
        <v>0</v>
      </c>
      <c r="R914" s="2" t="inlineStr"/>
    </row>
    <row r="915" ht="15" customHeight="1">
      <c r="A915" t="inlineStr">
        <is>
          <t>A 39504-2021</t>
        </is>
      </c>
      <c r="B915" s="1" t="n">
        <v>44415</v>
      </c>
      <c r="C915" s="1" t="n">
        <v>45353</v>
      </c>
      <c r="D915" t="inlineStr">
        <is>
          <t>VÄSTERNORRLANDS LÄN</t>
        </is>
      </c>
      <c r="E915" t="inlineStr">
        <is>
          <t>SOLLEFTEÅ</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40539-2021</t>
        </is>
      </c>
      <c r="B916" s="1" t="n">
        <v>44420</v>
      </c>
      <c r="C916" s="1" t="n">
        <v>45353</v>
      </c>
      <c r="D916" t="inlineStr">
        <is>
          <t>VÄSTERNORRLANDS LÄN</t>
        </is>
      </c>
      <c r="E916" t="inlineStr">
        <is>
          <t>SOLLEFTEÅ</t>
        </is>
      </c>
      <c r="G916" t="n">
        <v>1.9</v>
      </c>
      <c r="H916" t="n">
        <v>0</v>
      </c>
      <c r="I916" t="n">
        <v>0</v>
      </c>
      <c r="J916" t="n">
        <v>0</v>
      </c>
      <c r="K916" t="n">
        <v>0</v>
      </c>
      <c r="L916" t="n">
        <v>0</v>
      </c>
      <c r="M916" t="n">
        <v>0</v>
      </c>
      <c r="N916" t="n">
        <v>0</v>
      </c>
      <c r="O916" t="n">
        <v>0</v>
      </c>
      <c r="P916" t="n">
        <v>0</v>
      </c>
      <c r="Q916" t="n">
        <v>0</v>
      </c>
      <c r="R916" s="2" t="inlineStr"/>
    </row>
    <row r="917" ht="15" customHeight="1">
      <c r="A917" t="inlineStr">
        <is>
          <t>A 41334-2021</t>
        </is>
      </c>
      <c r="B917" s="1" t="n">
        <v>44424</v>
      </c>
      <c r="C917" s="1" t="n">
        <v>45353</v>
      </c>
      <c r="D917" t="inlineStr">
        <is>
          <t>VÄSTERNORRLANDS LÄN</t>
        </is>
      </c>
      <c r="E917" t="inlineStr">
        <is>
          <t>SOLLEFTEÅ</t>
        </is>
      </c>
      <c r="G917" t="n">
        <v>1</v>
      </c>
      <c r="H917" t="n">
        <v>0</v>
      </c>
      <c r="I917" t="n">
        <v>0</v>
      </c>
      <c r="J917" t="n">
        <v>0</v>
      </c>
      <c r="K917" t="n">
        <v>0</v>
      </c>
      <c r="L917" t="n">
        <v>0</v>
      </c>
      <c r="M917" t="n">
        <v>0</v>
      </c>
      <c r="N917" t="n">
        <v>0</v>
      </c>
      <c r="O917" t="n">
        <v>0</v>
      </c>
      <c r="P917" t="n">
        <v>0</v>
      </c>
      <c r="Q917" t="n">
        <v>0</v>
      </c>
      <c r="R917" s="2" t="inlineStr"/>
    </row>
    <row r="918" ht="15" customHeight="1">
      <c r="A918" t="inlineStr">
        <is>
          <t>A 42219-2021</t>
        </is>
      </c>
      <c r="B918" s="1" t="n">
        <v>44426</v>
      </c>
      <c r="C918" s="1" t="n">
        <v>45353</v>
      </c>
      <c r="D918" t="inlineStr">
        <is>
          <t>VÄSTERNORRLANDS LÄN</t>
        </is>
      </c>
      <c r="E918" t="inlineStr">
        <is>
          <t>SOLLEFTEÅ</t>
        </is>
      </c>
      <c r="G918" t="n">
        <v>0.6</v>
      </c>
      <c r="H918" t="n">
        <v>0</v>
      </c>
      <c r="I918" t="n">
        <v>0</v>
      </c>
      <c r="J918" t="n">
        <v>0</v>
      </c>
      <c r="K918" t="n">
        <v>0</v>
      </c>
      <c r="L918" t="n">
        <v>0</v>
      </c>
      <c r="M918" t="n">
        <v>0</v>
      </c>
      <c r="N918" t="n">
        <v>0</v>
      </c>
      <c r="O918" t="n">
        <v>0</v>
      </c>
      <c r="P918" t="n">
        <v>0</v>
      </c>
      <c r="Q918" t="n">
        <v>0</v>
      </c>
      <c r="R918" s="2" t="inlineStr"/>
    </row>
    <row r="919" ht="15" customHeight="1">
      <c r="A919" t="inlineStr">
        <is>
          <t>A 42231-2021</t>
        </is>
      </c>
      <c r="B919" s="1" t="n">
        <v>44426</v>
      </c>
      <c r="C919" s="1" t="n">
        <v>45353</v>
      </c>
      <c r="D919" t="inlineStr">
        <is>
          <t>VÄSTERNORRLANDS LÄN</t>
        </is>
      </c>
      <c r="E919" t="inlineStr">
        <is>
          <t>SOLLEFTEÅ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42228-2021</t>
        </is>
      </c>
      <c r="B920" s="1" t="n">
        <v>44426</v>
      </c>
      <c r="C920" s="1" t="n">
        <v>45353</v>
      </c>
      <c r="D920" t="inlineStr">
        <is>
          <t>VÄSTERNORRLANDS LÄN</t>
        </is>
      </c>
      <c r="E920" t="inlineStr">
        <is>
          <t>SOLLEFTEÅ</t>
        </is>
      </c>
      <c r="G920" t="n">
        <v>0.5</v>
      </c>
      <c r="H920" t="n">
        <v>0</v>
      </c>
      <c r="I920" t="n">
        <v>0</v>
      </c>
      <c r="J920" t="n">
        <v>0</v>
      </c>
      <c r="K920" t="n">
        <v>0</v>
      </c>
      <c r="L920" t="n">
        <v>0</v>
      </c>
      <c r="M920" t="n">
        <v>0</v>
      </c>
      <c r="N920" t="n">
        <v>0</v>
      </c>
      <c r="O920" t="n">
        <v>0</v>
      </c>
      <c r="P920" t="n">
        <v>0</v>
      </c>
      <c r="Q920" t="n">
        <v>0</v>
      </c>
      <c r="R920" s="2" t="inlineStr"/>
    </row>
    <row r="921" ht="15" customHeight="1">
      <c r="A921" t="inlineStr">
        <is>
          <t>A 42229-2021</t>
        </is>
      </c>
      <c r="B921" s="1" t="n">
        <v>44427</v>
      </c>
      <c r="C921" s="1" t="n">
        <v>45353</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42531-2021</t>
        </is>
      </c>
      <c r="B922" s="1" t="n">
        <v>44428</v>
      </c>
      <c r="C922" s="1" t="n">
        <v>45353</v>
      </c>
      <c r="D922" t="inlineStr">
        <is>
          <t>VÄSTERNORRLANDS LÄN</t>
        </is>
      </c>
      <c r="E922" t="inlineStr">
        <is>
          <t>SOLLEFTEÅ</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45213-2021</t>
        </is>
      </c>
      <c r="B923" s="1" t="n">
        <v>44431</v>
      </c>
      <c r="C923" s="1" t="n">
        <v>45353</v>
      </c>
      <c r="D923" t="inlineStr">
        <is>
          <t>VÄSTERNORRLANDS LÄN</t>
        </is>
      </c>
      <c r="E923" t="inlineStr">
        <is>
          <t>SOLLEFTEÅ</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43220-2021</t>
        </is>
      </c>
      <c r="B924" s="1" t="n">
        <v>44432</v>
      </c>
      <c r="C924" s="1" t="n">
        <v>45353</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43525-2021</t>
        </is>
      </c>
      <c r="B925" s="1" t="n">
        <v>44433</v>
      </c>
      <c r="C925" s="1" t="n">
        <v>45353</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44592-2021</t>
        </is>
      </c>
      <c r="B926" s="1" t="n">
        <v>44435</v>
      </c>
      <c r="C926" s="1" t="n">
        <v>45353</v>
      </c>
      <c r="D926" t="inlineStr">
        <is>
          <t>VÄSTERNORRLANDS LÄN</t>
        </is>
      </c>
      <c r="E926" t="inlineStr">
        <is>
          <t>SOLLEFTEÅ</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44587-2021</t>
        </is>
      </c>
      <c r="B927" s="1" t="n">
        <v>44435</v>
      </c>
      <c r="C927" s="1" t="n">
        <v>45353</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45187-2021</t>
        </is>
      </c>
      <c r="B928" s="1" t="n">
        <v>44439</v>
      </c>
      <c r="C928" s="1" t="n">
        <v>45353</v>
      </c>
      <c r="D928" t="inlineStr">
        <is>
          <t>VÄSTERNORRLANDS LÄN</t>
        </is>
      </c>
      <c r="E928" t="inlineStr">
        <is>
          <t>SOLLEFTEÅ</t>
        </is>
      </c>
      <c r="G928" t="n">
        <v>3.2</v>
      </c>
      <c r="H928" t="n">
        <v>0</v>
      </c>
      <c r="I928" t="n">
        <v>0</v>
      </c>
      <c r="J928" t="n">
        <v>0</v>
      </c>
      <c r="K928" t="n">
        <v>0</v>
      </c>
      <c r="L928" t="n">
        <v>0</v>
      </c>
      <c r="M928" t="n">
        <v>0</v>
      </c>
      <c r="N928" t="n">
        <v>0</v>
      </c>
      <c r="O928" t="n">
        <v>0</v>
      </c>
      <c r="P928" t="n">
        <v>0</v>
      </c>
      <c r="Q928" t="n">
        <v>0</v>
      </c>
      <c r="R928" s="2" t="inlineStr"/>
    </row>
    <row r="929" ht="15" customHeight="1">
      <c r="A929" t="inlineStr">
        <is>
          <t>A 45105-2021</t>
        </is>
      </c>
      <c r="B929" s="1" t="n">
        <v>44439</v>
      </c>
      <c r="C929" s="1" t="n">
        <v>45353</v>
      </c>
      <c r="D929" t="inlineStr">
        <is>
          <t>VÄSTERNORRLANDS LÄN</t>
        </is>
      </c>
      <c r="E929" t="inlineStr">
        <is>
          <t>SOLLEFTEÅ</t>
        </is>
      </c>
      <c r="F929" t="inlineStr">
        <is>
          <t>Kommuner</t>
        </is>
      </c>
      <c r="G929" t="n">
        <v>1.2</v>
      </c>
      <c r="H929" t="n">
        <v>0</v>
      </c>
      <c r="I929" t="n">
        <v>0</v>
      </c>
      <c r="J929" t="n">
        <v>0</v>
      </c>
      <c r="K929" t="n">
        <v>0</v>
      </c>
      <c r="L929" t="n">
        <v>0</v>
      </c>
      <c r="M929" t="n">
        <v>0</v>
      </c>
      <c r="N929" t="n">
        <v>0</v>
      </c>
      <c r="O929" t="n">
        <v>0</v>
      </c>
      <c r="P929" t="n">
        <v>0</v>
      </c>
      <c r="Q929" t="n">
        <v>0</v>
      </c>
      <c r="R929" s="2" t="inlineStr"/>
    </row>
    <row r="930" ht="15" customHeight="1">
      <c r="A930" t="inlineStr">
        <is>
          <t>A 46049-2021</t>
        </is>
      </c>
      <c r="B930" s="1" t="n">
        <v>44442</v>
      </c>
      <c r="C930" s="1" t="n">
        <v>45353</v>
      </c>
      <c r="D930" t="inlineStr">
        <is>
          <t>VÄSTERNORRLANDS LÄN</t>
        </is>
      </c>
      <c r="E930" t="inlineStr">
        <is>
          <t>SOLLEFTEÅ</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46058-2021</t>
        </is>
      </c>
      <c r="B931" s="1" t="n">
        <v>44442</v>
      </c>
      <c r="C931" s="1" t="n">
        <v>45353</v>
      </c>
      <c r="D931" t="inlineStr">
        <is>
          <t>VÄSTERNORRLANDS LÄN</t>
        </is>
      </c>
      <c r="E931" t="inlineStr">
        <is>
          <t>SOLLEFTEÅ</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47643-2021</t>
        </is>
      </c>
      <c r="B932" s="1" t="n">
        <v>44448</v>
      </c>
      <c r="C932" s="1" t="n">
        <v>45353</v>
      </c>
      <c r="D932" t="inlineStr">
        <is>
          <t>VÄSTERNORRLANDS LÄN</t>
        </is>
      </c>
      <c r="E932" t="inlineStr">
        <is>
          <t>SOLLEFTEÅ</t>
        </is>
      </c>
      <c r="G932" t="n">
        <v>1.8</v>
      </c>
      <c r="H932" t="n">
        <v>0</v>
      </c>
      <c r="I932" t="n">
        <v>0</v>
      </c>
      <c r="J932" t="n">
        <v>0</v>
      </c>
      <c r="K932" t="n">
        <v>0</v>
      </c>
      <c r="L932" t="n">
        <v>0</v>
      </c>
      <c r="M932" t="n">
        <v>0</v>
      </c>
      <c r="N932" t="n">
        <v>0</v>
      </c>
      <c r="O932" t="n">
        <v>0</v>
      </c>
      <c r="P932" t="n">
        <v>0</v>
      </c>
      <c r="Q932" t="n">
        <v>0</v>
      </c>
      <c r="R932" s="2" t="inlineStr"/>
    </row>
    <row r="933" ht="15" customHeight="1">
      <c r="A933" t="inlineStr">
        <is>
          <t>A 47675-2021</t>
        </is>
      </c>
      <c r="B933" s="1" t="n">
        <v>44448</v>
      </c>
      <c r="C933" s="1" t="n">
        <v>45353</v>
      </c>
      <c r="D933" t="inlineStr">
        <is>
          <t>VÄSTERNORRLANDS LÄN</t>
        </is>
      </c>
      <c r="E933" t="inlineStr">
        <is>
          <t>SOLLEFTEÅ</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47626-2021</t>
        </is>
      </c>
      <c r="B934" s="1" t="n">
        <v>44448</v>
      </c>
      <c r="C934" s="1" t="n">
        <v>45353</v>
      </c>
      <c r="D934" t="inlineStr">
        <is>
          <t>VÄSTERNORRLANDS LÄN</t>
        </is>
      </c>
      <c r="E934" t="inlineStr">
        <is>
          <t>SOLLEFTEÅ</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47696-2021</t>
        </is>
      </c>
      <c r="B935" s="1" t="n">
        <v>44448</v>
      </c>
      <c r="C935" s="1" t="n">
        <v>45353</v>
      </c>
      <c r="D935" t="inlineStr">
        <is>
          <t>VÄSTERNORRLANDS LÄN</t>
        </is>
      </c>
      <c r="E935" t="inlineStr">
        <is>
          <t>SOLLEFTEÅ</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47681-2021</t>
        </is>
      </c>
      <c r="B936" s="1" t="n">
        <v>44448</v>
      </c>
      <c r="C936" s="1" t="n">
        <v>45353</v>
      </c>
      <c r="D936" t="inlineStr">
        <is>
          <t>VÄSTERNORRLANDS LÄN</t>
        </is>
      </c>
      <c r="E936" t="inlineStr">
        <is>
          <t>SOLLEFTEÅ</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48555-2021</t>
        </is>
      </c>
      <c r="B937" s="1" t="n">
        <v>44452</v>
      </c>
      <c r="C937" s="1" t="n">
        <v>45353</v>
      </c>
      <c r="D937" t="inlineStr">
        <is>
          <t>VÄSTERNORRLANDS LÄN</t>
        </is>
      </c>
      <c r="E937" t="inlineStr">
        <is>
          <t>SOLLEFTEÅ</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48578-2021</t>
        </is>
      </c>
      <c r="B938" s="1" t="n">
        <v>44452</v>
      </c>
      <c r="C938" s="1" t="n">
        <v>45353</v>
      </c>
      <c r="D938" t="inlineStr">
        <is>
          <t>VÄSTERNORRLANDS LÄN</t>
        </is>
      </c>
      <c r="E938" t="inlineStr">
        <is>
          <t>SOLLEFTEÅ</t>
        </is>
      </c>
      <c r="G938" t="n">
        <v>26</v>
      </c>
      <c r="H938" t="n">
        <v>0</v>
      </c>
      <c r="I938" t="n">
        <v>0</v>
      </c>
      <c r="J938" t="n">
        <v>0</v>
      </c>
      <c r="K938" t="n">
        <v>0</v>
      </c>
      <c r="L938" t="n">
        <v>0</v>
      </c>
      <c r="M938" t="n">
        <v>0</v>
      </c>
      <c r="N938" t="n">
        <v>0</v>
      </c>
      <c r="O938" t="n">
        <v>0</v>
      </c>
      <c r="P938" t="n">
        <v>0</v>
      </c>
      <c r="Q938" t="n">
        <v>0</v>
      </c>
      <c r="R938" s="2" t="inlineStr"/>
    </row>
    <row r="939" ht="15" customHeight="1">
      <c r="A939" t="inlineStr">
        <is>
          <t>A 49160-2021</t>
        </is>
      </c>
      <c r="B939" s="1" t="n">
        <v>44454</v>
      </c>
      <c r="C939" s="1" t="n">
        <v>45353</v>
      </c>
      <c r="D939" t="inlineStr">
        <is>
          <t>VÄSTERNORRLANDS LÄN</t>
        </is>
      </c>
      <c r="E939" t="inlineStr">
        <is>
          <t>SOLLEFTEÅ</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49492-2021</t>
        </is>
      </c>
      <c r="B940" s="1" t="n">
        <v>44455</v>
      </c>
      <c r="C940" s="1" t="n">
        <v>45353</v>
      </c>
      <c r="D940" t="inlineStr">
        <is>
          <t>VÄSTERNORRLANDS LÄN</t>
        </is>
      </c>
      <c r="E940" t="inlineStr">
        <is>
          <t>SOLLEFTEÅ</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49518-2021</t>
        </is>
      </c>
      <c r="B941" s="1" t="n">
        <v>44455</v>
      </c>
      <c r="C941" s="1" t="n">
        <v>45353</v>
      </c>
      <c r="D941" t="inlineStr">
        <is>
          <t>VÄSTERNORRLANDS LÄN</t>
        </is>
      </c>
      <c r="E941" t="inlineStr">
        <is>
          <t>SOLLEFTEÅ</t>
        </is>
      </c>
      <c r="G941" t="n">
        <v>12.9</v>
      </c>
      <c r="H941" t="n">
        <v>0</v>
      </c>
      <c r="I941" t="n">
        <v>0</v>
      </c>
      <c r="J941" t="n">
        <v>0</v>
      </c>
      <c r="K941" t="n">
        <v>0</v>
      </c>
      <c r="L941" t="n">
        <v>0</v>
      </c>
      <c r="M941" t="n">
        <v>0</v>
      </c>
      <c r="N941" t="n">
        <v>0</v>
      </c>
      <c r="O941" t="n">
        <v>0</v>
      </c>
      <c r="P941" t="n">
        <v>0</v>
      </c>
      <c r="Q941" t="n">
        <v>0</v>
      </c>
      <c r="R941" s="2" t="inlineStr"/>
    </row>
    <row r="942" ht="15" customHeight="1">
      <c r="A942" t="inlineStr">
        <is>
          <t>A 49711-2021</t>
        </is>
      </c>
      <c r="B942" s="1" t="n">
        <v>44455</v>
      </c>
      <c r="C942" s="1" t="n">
        <v>45353</v>
      </c>
      <c r="D942" t="inlineStr">
        <is>
          <t>VÄSTERNORRLANDS LÄN</t>
        </is>
      </c>
      <c r="E942" t="inlineStr">
        <is>
          <t>SOLLEFTEÅ</t>
        </is>
      </c>
      <c r="G942" t="n">
        <v>3.7</v>
      </c>
      <c r="H942" t="n">
        <v>0</v>
      </c>
      <c r="I942" t="n">
        <v>0</v>
      </c>
      <c r="J942" t="n">
        <v>0</v>
      </c>
      <c r="K942" t="n">
        <v>0</v>
      </c>
      <c r="L942" t="n">
        <v>0</v>
      </c>
      <c r="M942" t="n">
        <v>0</v>
      </c>
      <c r="N942" t="n">
        <v>0</v>
      </c>
      <c r="O942" t="n">
        <v>0</v>
      </c>
      <c r="P942" t="n">
        <v>0</v>
      </c>
      <c r="Q942" t="n">
        <v>0</v>
      </c>
      <c r="R942" s="2" t="inlineStr"/>
    </row>
    <row r="943" ht="15" customHeight="1">
      <c r="A943" t="inlineStr">
        <is>
          <t>A 50360-2021</t>
        </is>
      </c>
      <c r="B943" s="1" t="n">
        <v>44459</v>
      </c>
      <c r="C943" s="1" t="n">
        <v>45353</v>
      </c>
      <c r="D943" t="inlineStr">
        <is>
          <t>VÄSTERNORRLANDS LÄN</t>
        </is>
      </c>
      <c r="E943" t="inlineStr">
        <is>
          <t>SOLLEFTEÅ</t>
        </is>
      </c>
      <c r="G943" t="n">
        <v>4.4</v>
      </c>
      <c r="H943" t="n">
        <v>0</v>
      </c>
      <c r="I943" t="n">
        <v>0</v>
      </c>
      <c r="J943" t="n">
        <v>0</v>
      </c>
      <c r="K943" t="n">
        <v>0</v>
      </c>
      <c r="L943" t="n">
        <v>0</v>
      </c>
      <c r="M943" t="n">
        <v>0</v>
      </c>
      <c r="N943" t="n">
        <v>0</v>
      </c>
      <c r="O943" t="n">
        <v>0</v>
      </c>
      <c r="P943" t="n">
        <v>0</v>
      </c>
      <c r="Q943" t="n">
        <v>0</v>
      </c>
      <c r="R943" s="2" t="inlineStr"/>
    </row>
    <row r="944" ht="15" customHeight="1">
      <c r="A944" t="inlineStr">
        <is>
          <t>A 51104-2021</t>
        </is>
      </c>
      <c r="B944" s="1" t="n">
        <v>44459</v>
      </c>
      <c r="C944" s="1" t="n">
        <v>45353</v>
      </c>
      <c r="D944" t="inlineStr">
        <is>
          <t>VÄSTERNORRLANDS LÄN</t>
        </is>
      </c>
      <c r="E944" t="inlineStr">
        <is>
          <t>SOLLEFTEÅ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51020-2021</t>
        </is>
      </c>
      <c r="B945" s="1" t="n">
        <v>44460</v>
      </c>
      <c r="C945" s="1" t="n">
        <v>45353</v>
      </c>
      <c r="D945" t="inlineStr">
        <is>
          <t>VÄSTERNORRLANDS LÄN</t>
        </is>
      </c>
      <c r="E945" t="inlineStr">
        <is>
          <t>SOLLEFTEÅ</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51029-2021</t>
        </is>
      </c>
      <c r="B946" s="1" t="n">
        <v>44461</v>
      </c>
      <c r="C946" s="1" t="n">
        <v>45353</v>
      </c>
      <c r="D946" t="inlineStr">
        <is>
          <t>VÄSTERNORRLANDS LÄN</t>
        </is>
      </c>
      <c r="E946" t="inlineStr">
        <is>
          <t>SOLLEFTEÅ</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51440-2021</t>
        </is>
      </c>
      <c r="B947" s="1" t="n">
        <v>44461</v>
      </c>
      <c r="C947" s="1" t="n">
        <v>45353</v>
      </c>
      <c r="D947" t="inlineStr">
        <is>
          <t>VÄSTERNORRLANDS LÄN</t>
        </is>
      </c>
      <c r="E947" t="inlineStr">
        <is>
          <t>SOLLEFTEÅ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51443-2021</t>
        </is>
      </c>
      <c r="B948" s="1" t="n">
        <v>44461</v>
      </c>
      <c r="C948" s="1" t="n">
        <v>45353</v>
      </c>
      <c r="D948" t="inlineStr">
        <is>
          <t>VÄSTERNORRLANDS LÄN</t>
        </is>
      </c>
      <c r="E948" t="inlineStr">
        <is>
          <t>SOLLEFTEÅ</t>
        </is>
      </c>
      <c r="F948" t="inlineStr">
        <is>
          <t>SCA</t>
        </is>
      </c>
      <c r="G948" t="n">
        <v>6.7</v>
      </c>
      <c r="H948" t="n">
        <v>0</v>
      </c>
      <c r="I948" t="n">
        <v>0</v>
      </c>
      <c r="J948" t="n">
        <v>0</v>
      </c>
      <c r="K948" t="n">
        <v>0</v>
      </c>
      <c r="L948" t="n">
        <v>0</v>
      </c>
      <c r="M948" t="n">
        <v>0</v>
      </c>
      <c r="N948" t="n">
        <v>0</v>
      </c>
      <c r="O948" t="n">
        <v>0</v>
      </c>
      <c r="P948" t="n">
        <v>0</v>
      </c>
      <c r="Q948" t="n">
        <v>0</v>
      </c>
      <c r="R948" s="2" t="inlineStr"/>
    </row>
    <row r="949" ht="15" customHeight="1">
      <c r="A949" t="inlineStr">
        <is>
          <t>A 51442-2021</t>
        </is>
      </c>
      <c r="B949" s="1" t="n">
        <v>44462</v>
      </c>
      <c r="C949" s="1" t="n">
        <v>45353</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51491-2021</t>
        </is>
      </c>
      <c r="B950" s="1" t="n">
        <v>44462</v>
      </c>
      <c r="C950" s="1" t="n">
        <v>45353</v>
      </c>
      <c r="D950" t="inlineStr">
        <is>
          <t>VÄSTERNORRLANDS LÄN</t>
        </is>
      </c>
      <c r="E950" t="inlineStr">
        <is>
          <t>SOLLEFTEÅ</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51847-2021</t>
        </is>
      </c>
      <c r="B951" s="1" t="n">
        <v>44462</v>
      </c>
      <c r="C951" s="1" t="n">
        <v>45353</v>
      </c>
      <c r="D951" t="inlineStr">
        <is>
          <t>VÄSTERNORRLANDS LÄN</t>
        </is>
      </c>
      <c r="E951" t="inlineStr">
        <is>
          <t>SOLLEFTEÅ</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51952-2021</t>
        </is>
      </c>
      <c r="B952" s="1" t="n">
        <v>44463</v>
      </c>
      <c r="C952" s="1" t="n">
        <v>45353</v>
      </c>
      <c r="D952" t="inlineStr">
        <is>
          <t>VÄSTERNORRLANDS LÄN</t>
        </is>
      </c>
      <c r="E952" t="inlineStr">
        <is>
          <t>SOLLEFTEÅ</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52447-2021</t>
        </is>
      </c>
      <c r="B953" s="1" t="n">
        <v>44466</v>
      </c>
      <c r="C953" s="1" t="n">
        <v>45353</v>
      </c>
      <c r="D953" t="inlineStr">
        <is>
          <t>VÄSTERNORRLANDS LÄN</t>
        </is>
      </c>
      <c r="E953" t="inlineStr">
        <is>
          <t>SOLLEFTEÅ</t>
        </is>
      </c>
      <c r="F953" t="inlineStr">
        <is>
          <t>Holmen skog AB</t>
        </is>
      </c>
      <c r="G953" t="n">
        <v>8.9</v>
      </c>
      <c r="H953" t="n">
        <v>0</v>
      </c>
      <c r="I953" t="n">
        <v>0</v>
      </c>
      <c r="J953" t="n">
        <v>0</v>
      </c>
      <c r="K953" t="n">
        <v>0</v>
      </c>
      <c r="L953" t="n">
        <v>0</v>
      </c>
      <c r="M953" t="n">
        <v>0</v>
      </c>
      <c r="N953" t="n">
        <v>0</v>
      </c>
      <c r="O953" t="n">
        <v>0</v>
      </c>
      <c r="P953" t="n">
        <v>0</v>
      </c>
      <c r="Q953" t="n">
        <v>0</v>
      </c>
      <c r="R953" s="2" t="inlineStr"/>
    </row>
    <row r="954" ht="15" customHeight="1">
      <c r="A954" t="inlineStr">
        <is>
          <t>A 53289-2021</t>
        </is>
      </c>
      <c r="B954" s="1" t="n">
        <v>44467</v>
      </c>
      <c r="C954" s="1" t="n">
        <v>45353</v>
      </c>
      <c r="D954" t="inlineStr">
        <is>
          <t>VÄSTERNORRLANDS LÄN</t>
        </is>
      </c>
      <c r="E954" t="inlineStr">
        <is>
          <t>SOLLEFTEÅ</t>
        </is>
      </c>
      <c r="G954" t="n">
        <v>6.5</v>
      </c>
      <c r="H954" t="n">
        <v>0</v>
      </c>
      <c r="I954" t="n">
        <v>0</v>
      </c>
      <c r="J954" t="n">
        <v>0</v>
      </c>
      <c r="K954" t="n">
        <v>0</v>
      </c>
      <c r="L954" t="n">
        <v>0</v>
      </c>
      <c r="M954" t="n">
        <v>0</v>
      </c>
      <c r="N954" t="n">
        <v>0</v>
      </c>
      <c r="O954" t="n">
        <v>0</v>
      </c>
      <c r="P954" t="n">
        <v>0</v>
      </c>
      <c r="Q954" t="n">
        <v>0</v>
      </c>
      <c r="R954" s="2" t="inlineStr"/>
    </row>
    <row r="955" ht="15" customHeight="1">
      <c r="A955" t="inlineStr">
        <is>
          <t>A 53278-2021</t>
        </is>
      </c>
      <c r="B955" s="1" t="n">
        <v>44467</v>
      </c>
      <c r="C955" s="1" t="n">
        <v>45353</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53524-2021</t>
        </is>
      </c>
      <c r="B956" s="1" t="n">
        <v>44468</v>
      </c>
      <c r="C956" s="1" t="n">
        <v>45353</v>
      </c>
      <c r="D956" t="inlineStr">
        <is>
          <t>VÄSTERNORRLANDS LÄN</t>
        </is>
      </c>
      <c r="E956" t="inlineStr">
        <is>
          <t>SOLLEFTEÅ</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53955-2021</t>
        </is>
      </c>
      <c r="B957" s="1" t="n">
        <v>44469</v>
      </c>
      <c r="C957" s="1" t="n">
        <v>45353</v>
      </c>
      <c r="D957" t="inlineStr">
        <is>
          <t>VÄSTERNORRLANDS LÄN</t>
        </is>
      </c>
      <c r="E957" t="inlineStr">
        <is>
          <t>SOLLEFTEÅ</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54146-2021</t>
        </is>
      </c>
      <c r="B958" s="1" t="n">
        <v>44469</v>
      </c>
      <c r="C958" s="1" t="n">
        <v>45353</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54728-2021</t>
        </is>
      </c>
      <c r="B959" s="1" t="n">
        <v>44473</v>
      </c>
      <c r="C959" s="1" t="n">
        <v>45353</v>
      </c>
      <c r="D959" t="inlineStr">
        <is>
          <t>VÄSTERNORRLANDS LÄN</t>
        </is>
      </c>
      <c r="E959" t="inlineStr">
        <is>
          <t>SOLLEFTEÅ</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55016-2021</t>
        </is>
      </c>
      <c r="B960" s="1" t="n">
        <v>44474</v>
      </c>
      <c r="C960" s="1" t="n">
        <v>45353</v>
      </c>
      <c r="D960" t="inlineStr">
        <is>
          <t>VÄSTERNORRLANDS LÄN</t>
        </is>
      </c>
      <c r="E960" t="inlineStr">
        <is>
          <t>SOLLEFTEÅ</t>
        </is>
      </c>
      <c r="F960" t="inlineStr">
        <is>
          <t>Övriga Aktiebolag</t>
        </is>
      </c>
      <c r="G960" t="n">
        <v>12.7</v>
      </c>
      <c r="H960" t="n">
        <v>0</v>
      </c>
      <c r="I960" t="n">
        <v>0</v>
      </c>
      <c r="J960" t="n">
        <v>0</v>
      </c>
      <c r="K960" t="n">
        <v>0</v>
      </c>
      <c r="L960" t="n">
        <v>0</v>
      </c>
      <c r="M960" t="n">
        <v>0</v>
      </c>
      <c r="N960" t="n">
        <v>0</v>
      </c>
      <c r="O960" t="n">
        <v>0</v>
      </c>
      <c r="P960" t="n">
        <v>0</v>
      </c>
      <c r="Q960" t="n">
        <v>0</v>
      </c>
      <c r="R960" s="2" t="inlineStr"/>
    </row>
    <row r="961" ht="15" customHeight="1">
      <c r="A961" t="inlineStr">
        <is>
          <t>A 55018-2021</t>
        </is>
      </c>
      <c r="B961" s="1" t="n">
        <v>44474</v>
      </c>
      <c r="C961" s="1" t="n">
        <v>45353</v>
      </c>
      <c r="D961" t="inlineStr">
        <is>
          <t>VÄSTERNORRLANDS LÄN</t>
        </is>
      </c>
      <c r="E961" t="inlineStr">
        <is>
          <t>SOLLEFTEÅ</t>
        </is>
      </c>
      <c r="F961" t="inlineStr">
        <is>
          <t>Övriga Aktiebolag</t>
        </is>
      </c>
      <c r="G961" t="n">
        <v>11.2</v>
      </c>
      <c r="H961" t="n">
        <v>0</v>
      </c>
      <c r="I961" t="n">
        <v>0</v>
      </c>
      <c r="J961" t="n">
        <v>0</v>
      </c>
      <c r="K961" t="n">
        <v>0</v>
      </c>
      <c r="L961" t="n">
        <v>0</v>
      </c>
      <c r="M961" t="n">
        <v>0</v>
      </c>
      <c r="N961" t="n">
        <v>0</v>
      </c>
      <c r="O961" t="n">
        <v>0</v>
      </c>
      <c r="P961" t="n">
        <v>0</v>
      </c>
      <c r="Q961" t="n">
        <v>0</v>
      </c>
      <c r="R961" s="2" t="inlineStr"/>
    </row>
    <row r="962" ht="15" customHeight="1">
      <c r="A962" t="inlineStr">
        <is>
          <t>A 55610-2021</t>
        </is>
      </c>
      <c r="B962" s="1" t="n">
        <v>44476</v>
      </c>
      <c r="C962" s="1" t="n">
        <v>45353</v>
      </c>
      <c r="D962" t="inlineStr">
        <is>
          <t>VÄSTERNORRLANDS LÄN</t>
        </is>
      </c>
      <c r="E962" t="inlineStr">
        <is>
          <t>SOLLEFTEÅ</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55643-2021</t>
        </is>
      </c>
      <c r="B963" s="1" t="n">
        <v>44475</v>
      </c>
      <c r="C963" s="1" t="n">
        <v>45353</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55904-2021</t>
        </is>
      </c>
      <c r="B964" s="1" t="n">
        <v>44476</v>
      </c>
      <c r="C964" s="1" t="n">
        <v>45353</v>
      </c>
      <c r="D964" t="inlineStr">
        <is>
          <t>VÄSTERNORRLANDS LÄN</t>
        </is>
      </c>
      <c r="E964" t="inlineStr">
        <is>
          <t>SOLLEFTEÅ</t>
        </is>
      </c>
      <c r="G964" t="n">
        <v>3.1</v>
      </c>
      <c r="H964" t="n">
        <v>0</v>
      </c>
      <c r="I964" t="n">
        <v>0</v>
      </c>
      <c r="J964" t="n">
        <v>0</v>
      </c>
      <c r="K964" t="n">
        <v>0</v>
      </c>
      <c r="L964" t="n">
        <v>0</v>
      </c>
      <c r="M964" t="n">
        <v>0</v>
      </c>
      <c r="N964" t="n">
        <v>0</v>
      </c>
      <c r="O964" t="n">
        <v>0</v>
      </c>
      <c r="P964" t="n">
        <v>0</v>
      </c>
      <c r="Q964" t="n">
        <v>0</v>
      </c>
      <c r="R964" s="2" t="inlineStr"/>
    </row>
    <row r="965" ht="15" customHeight="1">
      <c r="A965" t="inlineStr">
        <is>
          <t>A 56211-2021</t>
        </is>
      </c>
      <c r="B965" s="1" t="n">
        <v>44478</v>
      </c>
      <c r="C965" s="1" t="n">
        <v>45353</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56918-2021</t>
        </is>
      </c>
      <c r="B966" s="1" t="n">
        <v>44482</v>
      </c>
      <c r="C966" s="1" t="n">
        <v>45353</v>
      </c>
      <c r="D966" t="inlineStr">
        <is>
          <t>VÄSTERNORRLANDS LÄN</t>
        </is>
      </c>
      <c r="E966" t="inlineStr">
        <is>
          <t>SOLLEFTEÅ</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57007-2021</t>
        </is>
      </c>
      <c r="B967" s="1" t="n">
        <v>44482</v>
      </c>
      <c r="C967" s="1" t="n">
        <v>45353</v>
      </c>
      <c r="D967" t="inlineStr">
        <is>
          <t>VÄSTERNORRLANDS LÄN</t>
        </is>
      </c>
      <c r="E967" t="inlineStr">
        <is>
          <t>SOLLEFTEÅ</t>
        </is>
      </c>
      <c r="G967" t="n">
        <v>7.4</v>
      </c>
      <c r="H967" t="n">
        <v>0</v>
      </c>
      <c r="I967" t="n">
        <v>0</v>
      </c>
      <c r="J967" t="n">
        <v>0</v>
      </c>
      <c r="K967" t="n">
        <v>0</v>
      </c>
      <c r="L967" t="n">
        <v>0</v>
      </c>
      <c r="M967" t="n">
        <v>0</v>
      </c>
      <c r="N967" t="n">
        <v>0</v>
      </c>
      <c r="O967" t="n">
        <v>0</v>
      </c>
      <c r="P967" t="n">
        <v>0</v>
      </c>
      <c r="Q967" t="n">
        <v>0</v>
      </c>
      <c r="R967" s="2" t="inlineStr"/>
    </row>
    <row r="968" ht="15" customHeight="1">
      <c r="A968" t="inlineStr">
        <is>
          <t>A 57550-2021</t>
        </is>
      </c>
      <c r="B968" s="1" t="n">
        <v>44484</v>
      </c>
      <c r="C968" s="1" t="n">
        <v>45353</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57552-2021</t>
        </is>
      </c>
      <c r="B969" s="1" t="n">
        <v>44483</v>
      </c>
      <c r="C969" s="1" t="n">
        <v>45353</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57856-2021</t>
        </is>
      </c>
      <c r="B970" s="1" t="n">
        <v>44485</v>
      </c>
      <c r="C970" s="1" t="n">
        <v>45353</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57911-2021</t>
        </is>
      </c>
      <c r="B971" s="1" t="n">
        <v>44486</v>
      </c>
      <c r="C971" s="1" t="n">
        <v>45353</v>
      </c>
      <c r="D971" t="inlineStr">
        <is>
          <t>VÄSTERNORRLANDS LÄN</t>
        </is>
      </c>
      <c r="E971" t="inlineStr">
        <is>
          <t>SOLLEFTEÅ</t>
        </is>
      </c>
      <c r="G971" t="n">
        <v>3.1</v>
      </c>
      <c r="H971" t="n">
        <v>0</v>
      </c>
      <c r="I971" t="n">
        <v>0</v>
      </c>
      <c r="J971" t="n">
        <v>0</v>
      </c>
      <c r="K971" t="n">
        <v>0</v>
      </c>
      <c r="L971" t="n">
        <v>0</v>
      </c>
      <c r="M971" t="n">
        <v>0</v>
      </c>
      <c r="N971" t="n">
        <v>0</v>
      </c>
      <c r="O971" t="n">
        <v>0</v>
      </c>
      <c r="P971" t="n">
        <v>0</v>
      </c>
      <c r="Q971" t="n">
        <v>0</v>
      </c>
      <c r="R971" s="2" t="inlineStr"/>
    </row>
    <row r="972" ht="15" customHeight="1">
      <c r="A972" t="inlineStr">
        <is>
          <t>A 58268-2021</t>
        </is>
      </c>
      <c r="B972" s="1" t="n">
        <v>44487</v>
      </c>
      <c r="C972" s="1" t="n">
        <v>45353</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58276-2021</t>
        </is>
      </c>
      <c r="B973" s="1" t="n">
        <v>44488</v>
      </c>
      <c r="C973" s="1" t="n">
        <v>45353</v>
      </c>
      <c r="D973" t="inlineStr">
        <is>
          <t>VÄSTERNORRLANDS LÄN</t>
        </is>
      </c>
      <c r="E973" t="inlineStr">
        <is>
          <t>SOLLEFTEÅ</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58179-2021</t>
        </is>
      </c>
      <c r="B974" s="1" t="n">
        <v>44487</v>
      </c>
      <c r="C974" s="1" t="n">
        <v>45353</v>
      </c>
      <c r="D974" t="inlineStr">
        <is>
          <t>VÄSTERNORRLANDS LÄN</t>
        </is>
      </c>
      <c r="E974" t="inlineStr">
        <is>
          <t>SOLLEFTEÅ</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58478-2021</t>
        </is>
      </c>
      <c r="B975" s="1" t="n">
        <v>44488</v>
      </c>
      <c r="C975" s="1" t="n">
        <v>45353</v>
      </c>
      <c r="D975" t="inlineStr">
        <is>
          <t>VÄSTERNORRLANDS LÄN</t>
        </is>
      </c>
      <c r="E975" t="inlineStr">
        <is>
          <t>SOLLEFTEÅ</t>
        </is>
      </c>
      <c r="G975" t="n">
        <v>9.5</v>
      </c>
      <c r="H975" t="n">
        <v>0</v>
      </c>
      <c r="I975" t="n">
        <v>0</v>
      </c>
      <c r="J975" t="n">
        <v>0</v>
      </c>
      <c r="K975" t="n">
        <v>0</v>
      </c>
      <c r="L975" t="n">
        <v>0</v>
      </c>
      <c r="M975" t="n">
        <v>0</v>
      </c>
      <c r="N975" t="n">
        <v>0</v>
      </c>
      <c r="O975" t="n">
        <v>0</v>
      </c>
      <c r="P975" t="n">
        <v>0</v>
      </c>
      <c r="Q975" t="n">
        <v>0</v>
      </c>
      <c r="R975" s="2" t="inlineStr"/>
    </row>
    <row r="976" ht="15" customHeight="1">
      <c r="A976" t="inlineStr">
        <is>
          <t>A 58486-2021</t>
        </is>
      </c>
      <c r="B976" s="1" t="n">
        <v>44488</v>
      </c>
      <c r="C976" s="1" t="n">
        <v>45353</v>
      </c>
      <c r="D976" t="inlineStr">
        <is>
          <t>VÄSTERNORRLANDS LÄN</t>
        </is>
      </c>
      <c r="E976" t="inlineStr">
        <is>
          <t>SOLLEFTEÅ</t>
        </is>
      </c>
      <c r="G976" t="n">
        <v>2.4</v>
      </c>
      <c r="H976" t="n">
        <v>0</v>
      </c>
      <c r="I976" t="n">
        <v>0</v>
      </c>
      <c r="J976" t="n">
        <v>0</v>
      </c>
      <c r="K976" t="n">
        <v>0</v>
      </c>
      <c r="L976" t="n">
        <v>0</v>
      </c>
      <c r="M976" t="n">
        <v>0</v>
      </c>
      <c r="N976" t="n">
        <v>0</v>
      </c>
      <c r="O976" t="n">
        <v>0</v>
      </c>
      <c r="P976" t="n">
        <v>0</v>
      </c>
      <c r="Q976" t="n">
        <v>0</v>
      </c>
      <c r="R976" s="2" t="inlineStr"/>
    </row>
    <row r="977" ht="15" customHeight="1">
      <c r="A977" t="inlineStr">
        <is>
          <t>A 58572-2021</t>
        </is>
      </c>
      <c r="B977" s="1" t="n">
        <v>44488</v>
      </c>
      <c r="C977" s="1" t="n">
        <v>45353</v>
      </c>
      <c r="D977" t="inlineStr">
        <is>
          <t>VÄSTERNORRLANDS LÄN</t>
        </is>
      </c>
      <c r="E977" t="inlineStr">
        <is>
          <t>SOLLEFTEÅ</t>
        </is>
      </c>
      <c r="G977" t="n">
        <v>0.1</v>
      </c>
      <c r="H977" t="n">
        <v>0</v>
      </c>
      <c r="I977" t="n">
        <v>0</v>
      </c>
      <c r="J977" t="n">
        <v>0</v>
      </c>
      <c r="K977" t="n">
        <v>0</v>
      </c>
      <c r="L977" t="n">
        <v>0</v>
      </c>
      <c r="M977" t="n">
        <v>0</v>
      </c>
      <c r="N977" t="n">
        <v>0</v>
      </c>
      <c r="O977" t="n">
        <v>0</v>
      </c>
      <c r="P977" t="n">
        <v>0</v>
      </c>
      <c r="Q977" t="n">
        <v>0</v>
      </c>
      <c r="R977" s="2" t="inlineStr"/>
    </row>
    <row r="978" ht="15" customHeight="1">
      <c r="A978" t="inlineStr">
        <is>
          <t>A 58571-2021</t>
        </is>
      </c>
      <c r="B978" s="1" t="n">
        <v>44488</v>
      </c>
      <c r="C978" s="1" t="n">
        <v>45353</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58573-2021</t>
        </is>
      </c>
      <c r="B979" s="1" t="n">
        <v>44488</v>
      </c>
      <c r="C979" s="1" t="n">
        <v>45353</v>
      </c>
      <c r="D979" t="inlineStr">
        <is>
          <t>VÄSTERNORRLANDS LÄN</t>
        </is>
      </c>
      <c r="E979" t="inlineStr">
        <is>
          <t>SOLLEFTEÅ</t>
        </is>
      </c>
      <c r="G979" t="n">
        <v>0.3</v>
      </c>
      <c r="H979" t="n">
        <v>0</v>
      </c>
      <c r="I979" t="n">
        <v>0</v>
      </c>
      <c r="J979" t="n">
        <v>0</v>
      </c>
      <c r="K979" t="n">
        <v>0</v>
      </c>
      <c r="L979" t="n">
        <v>0</v>
      </c>
      <c r="M979" t="n">
        <v>0</v>
      </c>
      <c r="N979" t="n">
        <v>0</v>
      </c>
      <c r="O979" t="n">
        <v>0</v>
      </c>
      <c r="P979" t="n">
        <v>0</v>
      </c>
      <c r="Q979" t="n">
        <v>0</v>
      </c>
      <c r="R979" s="2" t="inlineStr"/>
    </row>
    <row r="980" ht="15" customHeight="1">
      <c r="A980" t="inlineStr">
        <is>
          <t>A 58726-2021</t>
        </is>
      </c>
      <c r="B980" s="1" t="n">
        <v>44489</v>
      </c>
      <c r="C980" s="1" t="n">
        <v>45353</v>
      </c>
      <c r="D980" t="inlineStr">
        <is>
          <t>VÄSTERNORRLANDS LÄN</t>
        </is>
      </c>
      <c r="E980" t="inlineStr">
        <is>
          <t>SOLLEFTEÅ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58742-2021</t>
        </is>
      </c>
      <c r="B981" s="1" t="n">
        <v>44489</v>
      </c>
      <c r="C981" s="1" t="n">
        <v>45353</v>
      </c>
      <c r="D981" t="inlineStr">
        <is>
          <t>VÄSTERNORRLANDS LÄN</t>
        </is>
      </c>
      <c r="E981" t="inlineStr">
        <is>
          <t>SOLLEFTEÅ</t>
        </is>
      </c>
      <c r="G981" t="n">
        <v>7</v>
      </c>
      <c r="H981" t="n">
        <v>0</v>
      </c>
      <c r="I981" t="n">
        <v>0</v>
      </c>
      <c r="J981" t="n">
        <v>0</v>
      </c>
      <c r="K981" t="n">
        <v>0</v>
      </c>
      <c r="L981" t="n">
        <v>0</v>
      </c>
      <c r="M981" t="n">
        <v>0</v>
      </c>
      <c r="N981" t="n">
        <v>0</v>
      </c>
      <c r="O981" t="n">
        <v>0</v>
      </c>
      <c r="P981" t="n">
        <v>0</v>
      </c>
      <c r="Q981" t="n">
        <v>0</v>
      </c>
      <c r="R981" s="2" t="inlineStr"/>
    </row>
    <row r="982" ht="15" customHeight="1">
      <c r="A982" t="inlineStr">
        <is>
          <t>A 58755-2021</t>
        </is>
      </c>
      <c r="B982" s="1" t="n">
        <v>44489</v>
      </c>
      <c r="C982" s="1" t="n">
        <v>45353</v>
      </c>
      <c r="D982" t="inlineStr">
        <is>
          <t>VÄSTERNORRLANDS LÄN</t>
        </is>
      </c>
      <c r="E982" t="inlineStr">
        <is>
          <t>SOLLEFTEÅ</t>
        </is>
      </c>
      <c r="G982" t="n">
        <v>12.2</v>
      </c>
      <c r="H982" t="n">
        <v>0</v>
      </c>
      <c r="I982" t="n">
        <v>0</v>
      </c>
      <c r="J982" t="n">
        <v>0</v>
      </c>
      <c r="K982" t="n">
        <v>0</v>
      </c>
      <c r="L982" t="n">
        <v>0</v>
      </c>
      <c r="M982" t="n">
        <v>0</v>
      </c>
      <c r="N982" t="n">
        <v>0</v>
      </c>
      <c r="O982" t="n">
        <v>0</v>
      </c>
      <c r="P982" t="n">
        <v>0</v>
      </c>
      <c r="Q982" t="n">
        <v>0</v>
      </c>
      <c r="R982" s="2" t="inlineStr"/>
    </row>
    <row r="983" ht="15" customHeight="1">
      <c r="A983" t="inlineStr">
        <is>
          <t>A 58688-2021</t>
        </is>
      </c>
      <c r="B983" s="1" t="n">
        <v>44489</v>
      </c>
      <c r="C983" s="1" t="n">
        <v>45353</v>
      </c>
      <c r="D983" t="inlineStr">
        <is>
          <t>VÄSTERNORRLANDS LÄN</t>
        </is>
      </c>
      <c r="E983" t="inlineStr">
        <is>
          <t>SOLLEFTEÅ</t>
        </is>
      </c>
      <c r="G983" t="n">
        <v>2.3</v>
      </c>
      <c r="H983" t="n">
        <v>0</v>
      </c>
      <c r="I983" t="n">
        <v>0</v>
      </c>
      <c r="J983" t="n">
        <v>0</v>
      </c>
      <c r="K983" t="n">
        <v>0</v>
      </c>
      <c r="L983" t="n">
        <v>0</v>
      </c>
      <c r="M983" t="n">
        <v>0</v>
      </c>
      <c r="N983" t="n">
        <v>0</v>
      </c>
      <c r="O983" t="n">
        <v>0</v>
      </c>
      <c r="P983" t="n">
        <v>0</v>
      </c>
      <c r="Q983" t="n">
        <v>0</v>
      </c>
      <c r="R983" s="2" t="inlineStr"/>
    </row>
    <row r="984" ht="15" customHeight="1">
      <c r="A984" t="inlineStr">
        <is>
          <t>A 58715-2021</t>
        </is>
      </c>
      <c r="B984" s="1" t="n">
        <v>44489</v>
      </c>
      <c r="C984" s="1" t="n">
        <v>45353</v>
      </c>
      <c r="D984" t="inlineStr">
        <is>
          <t>VÄSTERNORRLANDS LÄN</t>
        </is>
      </c>
      <c r="E984" t="inlineStr">
        <is>
          <t>SOLLEFTEÅ</t>
        </is>
      </c>
      <c r="G984" t="n">
        <v>4.7</v>
      </c>
      <c r="H984" t="n">
        <v>0</v>
      </c>
      <c r="I984" t="n">
        <v>0</v>
      </c>
      <c r="J984" t="n">
        <v>0</v>
      </c>
      <c r="K984" t="n">
        <v>0</v>
      </c>
      <c r="L984" t="n">
        <v>0</v>
      </c>
      <c r="M984" t="n">
        <v>0</v>
      </c>
      <c r="N984" t="n">
        <v>0</v>
      </c>
      <c r="O984" t="n">
        <v>0</v>
      </c>
      <c r="P984" t="n">
        <v>0</v>
      </c>
      <c r="Q984" t="n">
        <v>0</v>
      </c>
      <c r="R984" s="2" t="inlineStr"/>
    </row>
    <row r="985" ht="15" customHeight="1">
      <c r="A985" t="inlineStr">
        <is>
          <t>A 59344-2021</t>
        </is>
      </c>
      <c r="B985" s="1" t="n">
        <v>44490</v>
      </c>
      <c r="C985" s="1" t="n">
        <v>45353</v>
      </c>
      <c r="D985" t="inlineStr">
        <is>
          <t>VÄSTERNORRLANDS LÄN</t>
        </is>
      </c>
      <c r="E985" t="inlineStr">
        <is>
          <t>SOLLEFTEÅ</t>
        </is>
      </c>
      <c r="G985" t="n">
        <v>6.9</v>
      </c>
      <c r="H985" t="n">
        <v>0</v>
      </c>
      <c r="I985" t="n">
        <v>0</v>
      </c>
      <c r="J985" t="n">
        <v>0</v>
      </c>
      <c r="K985" t="n">
        <v>0</v>
      </c>
      <c r="L985" t="n">
        <v>0</v>
      </c>
      <c r="M985" t="n">
        <v>0</v>
      </c>
      <c r="N985" t="n">
        <v>0</v>
      </c>
      <c r="O985" t="n">
        <v>0</v>
      </c>
      <c r="P985" t="n">
        <v>0</v>
      </c>
      <c r="Q985" t="n">
        <v>0</v>
      </c>
      <c r="R985" s="2" t="inlineStr"/>
    </row>
    <row r="986" ht="15" customHeight="1">
      <c r="A986" t="inlineStr">
        <is>
          <t>A 59309-2021</t>
        </is>
      </c>
      <c r="B986" s="1" t="n">
        <v>44491</v>
      </c>
      <c r="C986" s="1" t="n">
        <v>45353</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59343-2021</t>
        </is>
      </c>
      <c r="B987" s="1" t="n">
        <v>44490</v>
      </c>
      <c r="C987" s="1" t="n">
        <v>45353</v>
      </c>
      <c r="D987" t="inlineStr">
        <is>
          <t>VÄSTERNORRLANDS LÄN</t>
        </is>
      </c>
      <c r="E987" t="inlineStr">
        <is>
          <t>SOLLEFTEÅ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60324-2021</t>
        </is>
      </c>
      <c r="B988" s="1" t="n">
        <v>44496</v>
      </c>
      <c r="C988" s="1" t="n">
        <v>45353</v>
      </c>
      <c r="D988" t="inlineStr">
        <is>
          <t>VÄSTERNORRLANDS LÄN</t>
        </is>
      </c>
      <c r="E988" t="inlineStr">
        <is>
          <t>SOLLEFTEÅ</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60757-2021</t>
        </is>
      </c>
      <c r="B989" s="1" t="n">
        <v>44497</v>
      </c>
      <c r="C989" s="1" t="n">
        <v>45353</v>
      </c>
      <c r="D989" t="inlineStr">
        <is>
          <t>VÄSTERNORRLANDS LÄN</t>
        </is>
      </c>
      <c r="E989" t="inlineStr">
        <is>
          <t>SOLLEFTEÅ</t>
        </is>
      </c>
      <c r="G989" t="n">
        <v>4.4</v>
      </c>
      <c r="H989" t="n">
        <v>0</v>
      </c>
      <c r="I989" t="n">
        <v>0</v>
      </c>
      <c r="J989" t="n">
        <v>0</v>
      </c>
      <c r="K989" t="n">
        <v>0</v>
      </c>
      <c r="L989" t="n">
        <v>0</v>
      </c>
      <c r="M989" t="n">
        <v>0</v>
      </c>
      <c r="N989" t="n">
        <v>0</v>
      </c>
      <c r="O989" t="n">
        <v>0</v>
      </c>
      <c r="P989" t="n">
        <v>0</v>
      </c>
      <c r="Q989" t="n">
        <v>0</v>
      </c>
      <c r="R989" s="2" t="inlineStr"/>
    </row>
    <row r="990" ht="15" customHeight="1">
      <c r="A990" t="inlineStr">
        <is>
          <t>A 60756-2021</t>
        </is>
      </c>
      <c r="B990" s="1" t="n">
        <v>44496</v>
      </c>
      <c r="C990" s="1" t="n">
        <v>45353</v>
      </c>
      <c r="D990" t="inlineStr">
        <is>
          <t>VÄSTERNORRLANDS LÄN</t>
        </is>
      </c>
      <c r="E990" t="inlineStr">
        <is>
          <t>SOLLEFTEÅ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61739-2021</t>
        </is>
      </c>
      <c r="B991" s="1" t="n">
        <v>44498</v>
      </c>
      <c r="C991" s="1" t="n">
        <v>45353</v>
      </c>
      <c r="D991" t="inlineStr">
        <is>
          <t>VÄSTERNORRLANDS LÄN</t>
        </is>
      </c>
      <c r="E991" t="inlineStr">
        <is>
          <t>SOLLEFTEÅ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61424-2021</t>
        </is>
      </c>
      <c r="B992" s="1" t="n">
        <v>44500</v>
      </c>
      <c r="C992" s="1" t="n">
        <v>45353</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61470-2021</t>
        </is>
      </c>
      <c r="B993" s="1" t="n">
        <v>44500</v>
      </c>
      <c r="C993" s="1" t="n">
        <v>45353</v>
      </c>
      <c r="D993" t="inlineStr">
        <is>
          <t>VÄSTERNORRLANDS LÄN</t>
        </is>
      </c>
      <c r="E993" t="inlineStr">
        <is>
          <t>SOLLEFTEÅ</t>
        </is>
      </c>
      <c r="F993" t="inlineStr">
        <is>
          <t>SCA</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61480-2021</t>
        </is>
      </c>
      <c r="B994" s="1" t="n">
        <v>44500</v>
      </c>
      <c r="C994" s="1" t="n">
        <v>45353</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61426-2021</t>
        </is>
      </c>
      <c r="B995" s="1" t="n">
        <v>44500</v>
      </c>
      <c r="C995" s="1" t="n">
        <v>45353</v>
      </c>
      <c r="D995" t="inlineStr">
        <is>
          <t>VÄSTERNORRLANDS LÄN</t>
        </is>
      </c>
      <c r="E995" t="inlineStr">
        <is>
          <t>SOLLEFTEÅ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61469-2021</t>
        </is>
      </c>
      <c r="B996" s="1" t="n">
        <v>44500</v>
      </c>
      <c r="C996" s="1" t="n">
        <v>45353</v>
      </c>
      <c r="D996" t="inlineStr">
        <is>
          <t>VÄSTERNORRLANDS LÄN</t>
        </is>
      </c>
      <c r="E996" t="inlineStr">
        <is>
          <t>SOLLEFTEÅ</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61496-2021</t>
        </is>
      </c>
      <c r="B997" s="1" t="n">
        <v>44501</v>
      </c>
      <c r="C997" s="1" t="n">
        <v>45353</v>
      </c>
      <c r="D997" t="inlineStr">
        <is>
          <t>VÄSTERNORRLANDS LÄN</t>
        </is>
      </c>
      <c r="E997" t="inlineStr">
        <is>
          <t>SOLLEFTEÅ</t>
        </is>
      </c>
      <c r="F997" t="inlineStr">
        <is>
          <t>Holmen skog AB</t>
        </is>
      </c>
      <c r="G997" t="n">
        <v>2</v>
      </c>
      <c r="H997" t="n">
        <v>0</v>
      </c>
      <c r="I997" t="n">
        <v>0</v>
      </c>
      <c r="J997" t="n">
        <v>0</v>
      </c>
      <c r="K997" t="n">
        <v>0</v>
      </c>
      <c r="L997" t="n">
        <v>0</v>
      </c>
      <c r="M997" t="n">
        <v>0</v>
      </c>
      <c r="N997" t="n">
        <v>0</v>
      </c>
      <c r="O997" t="n">
        <v>0</v>
      </c>
      <c r="P997" t="n">
        <v>0</v>
      </c>
      <c r="Q997" t="n">
        <v>0</v>
      </c>
      <c r="R997" s="2" t="inlineStr"/>
    </row>
    <row r="998" ht="15" customHeight="1">
      <c r="A998" t="inlineStr">
        <is>
          <t>A 62214-2021</t>
        </is>
      </c>
      <c r="B998" s="1" t="n">
        <v>44502</v>
      </c>
      <c r="C998" s="1" t="n">
        <v>45353</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62210-2021</t>
        </is>
      </c>
      <c r="B999" s="1" t="n">
        <v>44502</v>
      </c>
      <c r="C999" s="1" t="n">
        <v>45353</v>
      </c>
      <c r="D999" t="inlineStr">
        <is>
          <t>VÄSTERNORRLANDS LÄN</t>
        </is>
      </c>
      <c r="E999" t="inlineStr">
        <is>
          <t>SOLLEFTEÅ</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62418-2021</t>
        </is>
      </c>
      <c r="B1000" s="1" t="n">
        <v>44503</v>
      </c>
      <c r="C1000" s="1" t="n">
        <v>45353</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62790-2021</t>
        </is>
      </c>
      <c r="B1001" s="1" t="n">
        <v>44503</v>
      </c>
      <c r="C1001" s="1" t="n">
        <v>45353</v>
      </c>
      <c r="D1001" t="inlineStr">
        <is>
          <t>VÄSTERNORRLANDS LÄN</t>
        </is>
      </c>
      <c r="E1001" t="inlineStr">
        <is>
          <t>SOLLEFTEÅ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62697-2021</t>
        </is>
      </c>
      <c r="B1002" s="1" t="n">
        <v>44504</v>
      </c>
      <c r="C1002" s="1" t="n">
        <v>45353</v>
      </c>
      <c r="D1002" t="inlineStr">
        <is>
          <t>VÄSTERNORRLANDS LÄN</t>
        </is>
      </c>
      <c r="E1002" t="inlineStr">
        <is>
          <t>SOLLEFTEÅ</t>
        </is>
      </c>
      <c r="F1002" t="inlineStr">
        <is>
          <t>Holmen skog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62692-2021</t>
        </is>
      </c>
      <c r="B1003" s="1" t="n">
        <v>44504</v>
      </c>
      <c r="C1003" s="1" t="n">
        <v>45353</v>
      </c>
      <c r="D1003" t="inlineStr">
        <is>
          <t>VÄSTERNORRLANDS LÄN</t>
        </is>
      </c>
      <c r="E1003" t="inlineStr">
        <is>
          <t>SOLLEFTEÅ</t>
        </is>
      </c>
      <c r="F1003" t="inlineStr">
        <is>
          <t>Holmen skog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63710-2021</t>
        </is>
      </c>
      <c r="B1004" s="1" t="n">
        <v>44504</v>
      </c>
      <c r="C1004" s="1" t="n">
        <v>45353</v>
      </c>
      <c r="D1004" t="inlineStr">
        <is>
          <t>VÄSTERNORRLANDS LÄN</t>
        </is>
      </c>
      <c r="E1004" t="inlineStr">
        <is>
          <t>SOLLEFTEÅ</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64638-2021</t>
        </is>
      </c>
      <c r="B1005" s="1" t="n">
        <v>44511</v>
      </c>
      <c r="C1005" s="1" t="n">
        <v>45353</v>
      </c>
      <c r="D1005" t="inlineStr">
        <is>
          <t>VÄSTERNORRLANDS LÄN</t>
        </is>
      </c>
      <c r="E1005" t="inlineStr">
        <is>
          <t>SOLLEFTEÅ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64651-2021</t>
        </is>
      </c>
      <c r="B1006" s="1" t="n">
        <v>44511</v>
      </c>
      <c r="C1006" s="1" t="n">
        <v>45353</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64653-2021</t>
        </is>
      </c>
      <c r="B1007" s="1" t="n">
        <v>44511</v>
      </c>
      <c r="C1007" s="1" t="n">
        <v>45353</v>
      </c>
      <c r="D1007" t="inlineStr">
        <is>
          <t>VÄSTERNORRLANDS LÄN</t>
        </is>
      </c>
      <c r="E1007" t="inlineStr">
        <is>
          <t>SOLLEFTEÅ</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64939-2021</t>
        </is>
      </c>
      <c r="B1008" s="1" t="n">
        <v>44512</v>
      </c>
      <c r="C1008" s="1" t="n">
        <v>45353</v>
      </c>
      <c r="D1008" t="inlineStr">
        <is>
          <t>VÄSTERNORRLANDS LÄN</t>
        </is>
      </c>
      <c r="E1008" t="inlineStr">
        <is>
          <t>SOLLEFTEÅ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64947-2021</t>
        </is>
      </c>
      <c r="B1009" s="1" t="n">
        <v>44512</v>
      </c>
      <c r="C1009" s="1" t="n">
        <v>45353</v>
      </c>
      <c r="D1009" t="inlineStr">
        <is>
          <t>VÄSTERNORRLANDS LÄN</t>
        </is>
      </c>
      <c r="E1009" t="inlineStr">
        <is>
          <t>SOLLEFTEÅ</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64944-2021</t>
        </is>
      </c>
      <c r="B1010" s="1" t="n">
        <v>44512</v>
      </c>
      <c r="C1010" s="1" t="n">
        <v>45353</v>
      </c>
      <c r="D1010" t="inlineStr">
        <is>
          <t>VÄSTERNORRLANDS LÄN</t>
        </is>
      </c>
      <c r="E1010" t="inlineStr">
        <is>
          <t>SOLLEFTEÅ</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65009-2021</t>
        </is>
      </c>
      <c r="B1011" s="1" t="n">
        <v>44514</v>
      </c>
      <c r="C1011" s="1" t="n">
        <v>45353</v>
      </c>
      <c r="D1011" t="inlineStr">
        <is>
          <t>VÄSTERNORRLANDS LÄN</t>
        </is>
      </c>
      <c r="E1011" t="inlineStr">
        <is>
          <t>SOLLEFTEÅ</t>
        </is>
      </c>
      <c r="G1011" t="n">
        <v>17.3</v>
      </c>
      <c r="H1011" t="n">
        <v>0</v>
      </c>
      <c r="I1011" t="n">
        <v>0</v>
      </c>
      <c r="J1011" t="n">
        <v>0</v>
      </c>
      <c r="K1011" t="n">
        <v>0</v>
      </c>
      <c r="L1011" t="n">
        <v>0</v>
      </c>
      <c r="M1011" t="n">
        <v>0</v>
      </c>
      <c r="N1011" t="n">
        <v>0</v>
      </c>
      <c r="O1011" t="n">
        <v>0</v>
      </c>
      <c r="P1011" t="n">
        <v>0</v>
      </c>
      <c r="Q1011" t="n">
        <v>0</v>
      </c>
      <c r="R1011" s="2" t="inlineStr"/>
    </row>
    <row r="1012" ht="15" customHeight="1">
      <c r="A1012" t="inlineStr">
        <is>
          <t>A 65419-2021</t>
        </is>
      </c>
      <c r="B1012" s="1" t="n">
        <v>44515</v>
      </c>
      <c r="C1012" s="1" t="n">
        <v>45353</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66178-2021</t>
        </is>
      </c>
      <c r="B1013" s="1" t="n">
        <v>44517</v>
      </c>
      <c r="C1013" s="1" t="n">
        <v>45353</v>
      </c>
      <c r="D1013" t="inlineStr">
        <is>
          <t>VÄSTERNORRLANDS LÄN</t>
        </is>
      </c>
      <c r="E1013" t="inlineStr">
        <is>
          <t>SOLLEFTEÅ</t>
        </is>
      </c>
      <c r="F1013" t="inlineStr">
        <is>
          <t>SCA</t>
        </is>
      </c>
      <c r="G1013" t="n">
        <v>31.7</v>
      </c>
      <c r="H1013" t="n">
        <v>0</v>
      </c>
      <c r="I1013" t="n">
        <v>0</v>
      </c>
      <c r="J1013" t="n">
        <v>0</v>
      </c>
      <c r="K1013" t="n">
        <v>0</v>
      </c>
      <c r="L1013" t="n">
        <v>0</v>
      </c>
      <c r="M1013" t="n">
        <v>0</v>
      </c>
      <c r="N1013" t="n">
        <v>0</v>
      </c>
      <c r="O1013" t="n">
        <v>0</v>
      </c>
      <c r="P1013" t="n">
        <v>0</v>
      </c>
      <c r="Q1013" t="n">
        <v>0</v>
      </c>
      <c r="R1013" s="2" t="inlineStr"/>
    </row>
    <row r="1014" ht="15" customHeight="1">
      <c r="A1014" t="inlineStr">
        <is>
          <t>A 66856-2021</t>
        </is>
      </c>
      <c r="B1014" s="1" t="n">
        <v>44522</v>
      </c>
      <c r="C1014" s="1" t="n">
        <v>45353</v>
      </c>
      <c r="D1014" t="inlineStr">
        <is>
          <t>VÄSTERNORRLANDS LÄN</t>
        </is>
      </c>
      <c r="E1014" t="inlineStr">
        <is>
          <t>SOLLEFTEÅ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67085-2021</t>
        </is>
      </c>
      <c r="B1015" s="1" t="n">
        <v>44522</v>
      </c>
      <c r="C1015" s="1" t="n">
        <v>45353</v>
      </c>
      <c r="D1015" t="inlineStr">
        <is>
          <t>VÄSTERNORRLANDS LÄN</t>
        </is>
      </c>
      <c r="E1015" t="inlineStr">
        <is>
          <t>SOLLEFTEÅ</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67143-2021</t>
        </is>
      </c>
      <c r="B1016" s="1" t="n">
        <v>44523</v>
      </c>
      <c r="C1016" s="1" t="n">
        <v>45353</v>
      </c>
      <c r="D1016" t="inlineStr">
        <is>
          <t>VÄSTERNORRLANDS LÄN</t>
        </is>
      </c>
      <c r="E1016" t="inlineStr">
        <is>
          <t>SOLLEFTEÅ</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67136-2021</t>
        </is>
      </c>
      <c r="B1017" s="1" t="n">
        <v>44523</v>
      </c>
      <c r="C1017" s="1" t="n">
        <v>45353</v>
      </c>
      <c r="D1017" t="inlineStr">
        <is>
          <t>VÄSTERNORRLANDS LÄN</t>
        </is>
      </c>
      <c r="E1017" t="inlineStr">
        <is>
          <t>SOLLEFTEÅ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67390-2021</t>
        </is>
      </c>
      <c r="B1018" s="1" t="n">
        <v>44523</v>
      </c>
      <c r="C1018" s="1" t="n">
        <v>45353</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67401-2021</t>
        </is>
      </c>
      <c r="B1019" s="1" t="n">
        <v>44523</v>
      </c>
      <c r="C1019" s="1" t="n">
        <v>45353</v>
      </c>
      <c r="D1019" t="inlineStr">
        <is>
          <t>VÄSTERNORRLANDS LÄN</t>
        </is>
      </c>
      <c r="E1019" t="inlineStr">
        <is>
          <t>SOLLEFTEÅ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67689-2021</t>
        </is>
      </c>
      <c r="B1020" s="1" t="n">
        <v>44524</v>
      </c>
      <c r="C1020" s="1" t="n">
        <v>45353</v>
      </c>
      <c r="D1020" t="inlineStr">
        <is>
          <t>VÄSTERNORRLANDS LÄN</t>
        </is>
      </c>
      <c r="E1020" t="inlineStr">
        <is>
          <t>SOLLEFTEÅ</t>
        </is>
      </c>
      <c r="F1020" t="inlineStr">
        <is>
          <t>SCA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67702-2021</t>
        </is>
      </c>
      <c r="B1021" s="1" t="n">
        <v>44524</v>
      </c>
      <c r="C1021" s="1" t="n">
        <v>45353</v>
      </c>
      <c r="D1021" t="inlineStr">
        <is>
          <t>VÄSTERNORRLANDS LÄN</t>
        </is>
      </c>
      <c r="E1021" t="inlineStr">
        <is>
          <t>SOLLEFTEÅ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67822-2021</t>
        </is>
      </c>
      <c r="B1022" s="1" t="n">
        <v>44525</v>
      </c>
      <c r="C1022" s="1" t="n">
        <v>45353</v>
      </c>
      <c r="D1022" t="inlineStr">
        <is>
          <t>VÄSTERNORRLANDS LÄN</t>
        </is>
      </c>
      <c r="E1022" t="inlineStr">
        <is>
          <t>SOLLEFTEÅ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68317-2021</t>
        </is>
      </c>
      <c r="B1023" s="1" t="n">
        <v>44526</v>
      </c>
      <c r="C1023" s="1" t="n">
        <v>45353</v>
      </c>
      <c r="D1023" t="inlineStr">
        <is>
          <t>VÄSTERNORRLANDS LÄN</t>
        </is>
      </c>
      <c r="E1023" t="inlineStr">
        <is>
          <t>SOLLEFTEÅ</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68792-2021</t>
        </is>
      </c>
      <c r="B1024" s="1" t="n">
        <v>44529</v>
      </c>
      <c r="C1024" s="1" t="n">
        <v>45353</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68843-2021</t>
        </is>
      </c>
      <c r="B1025" s="1" t="n">
        <v>44530</v>
      </c>
      <c r="C1025" s="1" t="n">
        <v>45353</v>
      </c>
      <c r="D1025" t="inlineStr">
        <is>
          <t>VÄSTERNORRLANDS LÄN</t>
        </is>
      </c>
      <c r="E1025" t="inlineStr">
        <is>
          <t>SOLLEFTEÅ</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68863-2021</t>
        </is>
      </c>
      <c r="B1026" s="1" t="n">
        <v>44530</v>
      </c>
      <c r="C1026" s="1" t="n">
        <v>45353</v>
      </c>
      <c r="D1026" t="inlineStr">
        <is>
          <t>VÄSTERNORRLANDS LÄN</t>
        </is>
      </c>
      <c r="E1026" t="inlineStr">
        <is>
          <t>SOLLEFTEÅ</t>
        </is>
      </c>
      <c r="F1026" t="inlineStr">
        <is>
          <t>Holmen skog AB</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69121-2021</t>
        </is>
      </c>
      <c r="B1027" s="1" t="n">
        <v>44530</v>
      </c>
      <c r="C1027" s="1" t="n">
        <v>45353</v>
      </c>
      <c r="D1027" t="inlineStr">
        <is>
          <t>VÄSTERNORRLANDS LÄN</t>
        </is>
      </c>
      <c r="E1027" t="inlineStr">
        <is>
          <t>SOLLEFTEÅ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69543-2021</t>
        </is>
      </c>
      <c r="B1028" s="1" t="n">
        <v>44531</v>
      </c>
      <c r="C1028" s="1" t="n">
        <v>45353</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69542-2021</t>
        </is>
      </c>
      <c r="B1029" s="1" t="n">
        <v>44531</v>
      </c>
      <c r="C1029" s="1" t="n">
        <v>45353</v>
      </c>
      <c r="D1029" t="inlineStr">
        <is>
          <t>VÄSTERNORRLANDS LÄN</t>
        </is>
      </c>
      <c r="E1029" t="inlineStr">
        <is>
          <t>SOLLEFTEÅ</t>
        </is>
      </c>
      <c r="F1029" t="inlineStr">
        <is>
          <t>SCA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69919-2021</t>
        </is>
      </c>
      <c r="B1030" s="1" t="n">
        <v>44532</v>
      </c>
      <c r="C1030" s="1" t="n">
        <v>45353</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69916-2021</t>
        </is>
      </c>
      <c r="B1031" s="1" t="n">
        <v>44532</v>
      </c>
      <c r="C1031" s="1" t="n">
        <v>45353</v>
      </c>
      <c r="D1031" t="inlineStr">
        <is>
          <t>VÄSTERNORRLANDS LÄN</t>
        </is>
      </c>
      <c r="E1031" t="inlineStr">
        <is>
          <t>SOLLEFTEÅ</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70180-2021</t>
        </is>
      </c>
      <c r="B1032" s="1" t="n">
        <v>44533</v>
      </c>
      <c r="C1032" s="1" t="n">
        <v>45353</v>
      </c>
      <c r="D1032" t="inlineStr">
        <is>
          <t>VÄSTERNORRLANDS LÄN</t>
        </is>
      </c>
      <c r="E1032" t="inlineStr">
        <is>
          <t>SOLLEFTEÅ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70821-2021</t>
        </is>
      </c>
      <c r="B1033" s="1" t="n">
        <v>44537</v>
      </c>
      <c r="C1033" s="1" t="n">
        <v>45353</v>
      </c>
      <c r="D1033" t="inlineStr">
        <is>
          <t>VÄSTERNORRLANDS LÄN</t>
        </is>
      </c>
      <c r="E1033" t="inlineStr">
        <is>
          <t>SOLLEFTEÅ</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71080-2021</t>
        </is>
      </c>
      <c r="B1034" s="1" t="n">
        <v>44538</v>
      </c>
      <c r="C1034" s="1" t="n">
        <v>45353</v>
      </c>
      <c r="D1034" t="inlineStr">
        <is>
          <t>VÄSTERNORRLANDS LÄN</t>
        </is>
      </c>
      <c r="E1034" t="inlineStr">
        <is>
          <t>SOLLEFTEÅ</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71079-2021</t>
        </is>
      </c>
      <c r="B1035" s="1" t="n">
        <v>44538</v>
      </c>
      <c r="C1035" s="1" t="n">
        <v>45353</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71348-2021</t>
        </is>
      </c>
      <c r="B1036" s="1" t="n">
        <v>44539</v>
      </c>
      <c r="C1036" s="1" t="n">
        <v>45353</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71351-2021</t>
        </is>
      </c>
      <c r="B1037" s="1" t="n">
        <v>44539</v>
      </c>
      <c r="C1037" s="1" t="n">
        <v>45353</v>
      </c>
      <c r="D1037" t="inlineStr">
        <is>
          <t>VÄSTERNORRLANDS LÄN</t>
        </is>
      </c>
      <c r="E1037" t="inlineStr">
        <is>
          <t>SOLLEFTEÅ</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71350-2021</t>
        </is>
      </c>
      <c r="B1038" s="1" t="n">
        <v>44539</v>
      </c>
      <c r="C1038" s="1" t="n">
        <v>45353</v>
      </c>
      <c r="D1038" t="inlineStr">
        <is>
          <t>VÄSTERNORRLANDS LÄN</t>
        </is>
      </c>
      <c r="E1038" t="inlineStr">
        <is>
          <t>SOLLEFTEÅ</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71580-2021</t>
        </is>
      </c>
      <c r="B1039" s="1" t="n">
        <v>44540</v>
      </c>
      <c r="C1039" s="1" t="n">
        <v>45353</v>
      </c>
      <c r="D1039" t="inlineStr">
        <is>
          <t>VÄSTERNORRLANDS LÄN</t>
        </is>
      </c>
      <c r="E1039" t="inlineStr">
        <is>
          <t>SOLLEFTEÅ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72244-2021</t>
        </is>
      </c>
      <c r="B1040" s="1" t="n">
        <v>44544</v>
      </c>
      <c r="C1040" s="1" t="n">
        <v>45353</v>
      </c>
      <c r="D1040" t="inlineStr">
        <is>
          <t>VÄSTERNORRLANDS LÄN</t>
        </is>
      </c>
      <c r="E1040" t="inlineStr">
        <is>
          <t>SOLLEFTEÅ</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72249-2021</t>
        </is>
      </c>
      <c r="B1041" s="1" t="n">
        <v>44544</v>
      </c>
      <c r="C1041" s="1" t="n">
        <v>45353</v>
      </c>
      <c r="D1041" t="inlineStr">
        <is>
          <t>VÄSTERNORRLANDS LÄN</t>
        </is>
      </c>
      <c r="E1041" t="inlineStr">
        <is>
          <t>SOLLEFTEÅ</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72315-2021</t>
        </is>
      </c>
      <c r="B1042" s="1" t="n">
        <v>44545</v>
      </c>
      <c r="C1042" s="1" t="n">
        <v>45353</v>
      </c>
      <c r="D1042" t="inlineStr">
        <is>
          <t>VÄSTERNORRLANDS LÄN</t>
        </is>
      </c>
      <c r="E1042" t="inlineStr">
        <is>
          <t>SOLLEFTEÅ</t>
        </is>
      </c>
      <c r="F1042" t="inlineStr">
        <is>
          <t>SCA</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72485-2021</t>
        </is>
      </c>
      <c r="B1043" s="1" t="n">
        <v>44545</v>
      </c>
      <c r="C1043" s="1" t="n">
        <v>45353</v>
      </c>
      <c r="D1043" t="inlineStr">
        <is>
          <t>VÄSTERNORRLANDS LÄN</t>
        </is>
      </c>
      <c r="E1043" t="inlineStr">
        <is>
          <t>SOLLEFTEÅ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72496-2021</t>
        </is>
      </c>
      <c r="B1044" s="1" t="n">
        <v>44545</v>
      </c>
      <c r="C1044" s="1" t="n">
        <v>45353</v>
      </c>
      <c r="D1044" t="inlineStr">
        <is>
          <t>VÄSTERNORRLANDS LÄN</t>
        </is>
      </c>
      <c r="E1044" t="inlineStr">
        <is>
          <t>SOLLEFTEÅ</t>
        </is>
      </c>
      <c r="G1044" t="n">
        <v>20</v>
      </c>
      <c r="H1044" t="n">
        <v>0</v>
      </c>
      <c r="I1044" t="n">
        <v>0</v>
      </c>
      <c r="J1044" t="n">
        <v>0</v>
      </c>
      <c r="K1044" t="n">
        <v>0</v>
      </c>
      <c r="L1044" t="n">
        <v>0</v>
      </c>
      <c r="M1044" t="n">
        <v>0</v>
      </c>
      <c r="N1044" t="n">
        <v>0</v>
      </c>
      <c r="O1044" t="n">
        <v>0</v>
      </c>
      <c r="P1044" t="n">
        <v>0</v>
      </c>
      <c r="Q1044" t="n">
        <v>0</v>
      </c>
      <c r="R1044" s="2" t="inlineStr"/>
    </row>
    <row r="1045" ht="15" customHeight="1">
      <c r="A1045" t="inlineStr">
        <is>
          <t>A 72949-2021</t>
        </is>
      </c>
      <c r="B1045" s="1" t="n">
        <v>44547</v>
      </c>
      <c r="C1045" s="1" t="n">
        <v>45353</v>
      </c>
      <c r="D1045" t="inlineStr">
        <is>
          <t>VÄSTERNORRLANDS LÄN</t>
        </is>
      </c>
      <c r="E1045" t="inlineStr">
        <is>
          <t>SOLLEFTEÅ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72958-2021</t>
        </is>
      </c>
      <c r="B1046" s="1" t="n">
        <v>44547</v>
      </c>
      <c r="C1046" s="1" t="n">
        <v>45353</v>
      </c>
      <c r="D1046" t="inlineStr">
        <is>
          <t>VÄSTERNORRLANDS LÄN</t>
        </is>
      </c>
      <c r="E1046" t="inlineStr">
        <is>
          <t>SOLLEFTEÅ</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72977-2021</t>
        </is>
      </c>
      <c r="B1047" s="1" t="n">
        <v>44548</v>
      </c>
      <c r="C1047" s="1" t="n">
        <v>45353</v>
      </c>
      <c r="D1047" t="inlineStr">
        <is>
          <t>VÄSTERNORRLANDS LÄN</t>
        </is>
      </c>
      <c r="E1047" t="inlineStr">
        <is>
          <t>SOLLEFTEÅ</t>
        </is>
      </c>
      <c r="F1047" t="inlineStr">
        <is>
          <t>SCA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73285-2021</t>
        </is>
      </c>
      <c r="B1048" s="1" t="n">
        <v>44550</v>
      </c>
      <c r="C1048" s="1" t="n">
        <v>45353</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73367-2021</t>
        </is>
      </c>
      <c r="B1049" s="1" t="n">
        <v>44550</v>
      </c>
      <c r="C1049" s="1" t="n">
        <v>45353</v>
      </c>
      <c r="D1049" t="inlineStr">
        <is>
          <t>VÄSTERNORRLANDS LÄN</t>
        </is>
      </c>
      <c r="E1049" t="inlineStr">
        <is>
          <t>SOLLEFTEÅ</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73566-2021</t>
        </is>
      </c>
      <c r="B1050" s="1" t="n">
        <v>44551</v>
      </c>
      <c r="C1050" s="1" t="n">
        <v>45353</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73564-2021</t>
        </is>
      </c>
      <c r="B1051" s="1" t="n">
        <v>44551</v>
      </c>
      <c r="C1051" s="1" t="n">
        <v>45353</v>
      </c>
      <c r="D1051" t="inlineStr">
        <is>
          <t>VÄSTERNORRLANDS LÄN</t>
        </is>
      </c>
      <c r="E1051" t="inlineStr">
        <is>
          <t>SOLLEFTEÅ</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73567-2021</t>
        </is>
      </c>
      <c r="B1052" s="1" t="n">
        <v>44551</v>
      </c>
      <c r="C1052" s="1" t="n">
        <v>45353</v>
      </c>
      <c r="D1052" t="inlineStr">
        <is>
          <t>VÄSTERNORRLANDS LÄN</t>
        </is>
      </c>
      <c r="E1052" t="inlineStr">
        <is>
          <t>SOLLEFTEÅ</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73886-2021</t>
        </is>
      </c>
      <c r="B1053" s="1" t="n">
        <v>44553</v>
      </c>
      <c r="C1053" s="1" t="n">
        <v>45353</v>
      </c>
      <c r="D1053" t="inlineStr">
        <is>
          <t>VÄSTERNORRLANDS LÄN</t>
        </is>
      </c>
      <c r="E1053" t="inlineStr">
        <is>
          <t>SOLLEFTEÅ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73847-2021</t>
        </is>
      </c>
      <c r="B1054" s="1" t="n">
        <v>44553</v>
      </c>
      <c r="C1054" s="1" t="n">
        <v>45353</v>
      </c>
      <c r="D1054" t="inlineStr">
        <is>
          <t>VÄSTERNORRLANDS LÄN</t>
        </is>
      </c>
      <c r="E1054" t="inlineStr">
        <is>
          <t>SOLLEFTEÅ</t>
        </is>
      </c>
      <c r="F1054" t="inlineStr">
        <is>
          <t>Övriga Aktiebolag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2-2022</t>
        </is>
      </c>
      <c r="B1055" s="1" t="n">
        <v>44562</v>
      </c>
      <c r="C1055" s="1" t="n">
        <v>45353</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19-2022</t>
        </is>
      </c>
      <c r="B1056" s="1" t="n">
        <v>44564</v>
      </c>
      <c r="C1056" s="1" t="n">
        <v>45353</v>
      </c>
      <c r="D1056" t="inlineStr">
        <is>
          <t>VÄSTERNORRLANDS LÄN</t>
        </is>
      </c>
      <c r="E1056" t="inlineStr">
        <is>
          <t>SOLLEFTEÅ</t>
        </is>
      </c>
      <c r="G1056" t="n">
        <v>14.9</v>
      </c>
      <c r="H1056" t="n">
        <v>0</v>
      </c>
      <c r="I1056" t="n">
        <v>0</v>
      </c>
      <c r="J1056" t="n">
        <v>0</v>
      </c>
      <c r="K1056" t="n">
        <v>0</v>
      </c>
      <c r="L1056" t="n">
        <v>0</v>
      </c>
      <c r="M1056" t="n">
        <v>0</v>
      </c>
      <c r="N1056" t="n">
        <v>0</v>
      </c>
      <c r="O1056" t="n">
        <v>0</v>
      </c>
      <c r="P1056" t="n">
        <v>0</v>
      </c>
      <c r="Q1056" t="n">
        <v>0</v>
      </c>
      <c r="R1056" s="2" t="inlineStr"/>
    </row>
    <row r="1057" ht="15" customHeight="1">
      <c r="A1057" t="inlineStr">
        <is>
          <t>A 576-2022</t>
        </is>
      </c>
      <c r="B1057" s="1" t="n">
        <v>44566</v>
      </c>
      <c r="C1057" s="1" t="n">
        <v>45353</v>
      </c>
      <c r="D1057" t="inlineStr">
        <is>
          <t>VÄSTERNORRLANDS LÄN</t>
        </is>
      </c>
      <c r="E1057" t="inlineStr">
        <is>
          <t>SOLLEFTEÅ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1095-2022</t>
        </is>
      </c>
      <c r="B1058" s="1" t="n">
        <v>44571</v>
      </c>
      <c r="C1058" s="1" t="n">
        <v>45353</v>
      </c>
      <c r="D1058" t="inlineStr">
        <is>
          <t>VÄSTERNORRLANDS LÄN</t>
        </is>
      </c>
      <c r="E1058" t="inlineStr">
        <is>
          <t>SOLLEFTEÅ</t>
        </is>
      </c>
      <c r="F1058" t="inlineStr">
        <is>
          <t>SCA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1094-2022</t>
        </is>
      </c>
      <c r="B1059" s="1" t="n">
        <v>44571</v>
      </c>
      <c r="C1059" s="1" t="n">
        <v>45353</v>
      </c>
      <c r="D1059" t="inlineStr">
        <is>
          <t>VÄSTERNORRLANDS LÄN</t>
        </is>
      </c>
      <c r="E1059" t="inlineStr">
        <is>
          <t>SOLLEFTEÅ</t>
        </is>
      </c>
      <c r="F1059" t="inlineStr">
        <is>
          <t>SCA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1402-2022</t>
        </is>
      </c>
      <c r="B1060" s="1" t="n">
        <v>44573</v>
      </c>
      <c r="C1060" s="1" t="n">
        <v>45353</v>
      </c>
      <c r="D1060" t="inlineStr">
        <is>
          <t>VÄSTERNORRLANDS LÄN</t>
        </is>
      </c>
      <c r="E1060" t="inlineStr">
        <is>
          <t>SOLLEFTEÅ</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1987-2022</t>
        </is>
      </c>
      <c r="B1061" s="1" t="n">
        <v>44575</v>
      </c>
      <c r="C1061" s="1" t="n">
        <v>45353</v>
      </c>
      <c r="D1061" t="inlineStr">
        <is>
          <t>VÄSTERNORRLANDS LÄN</t>
        </is>
      </c>
      <c r="E1061" t="inlineStr">
        <is>
          <t>SOLLEFTEÅ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1997-2022</t>
        </is>
      </c>
      <c r="B1062" s="1" t="n">
        <v>44575</v>
      </c>
      <c r="C1062" s="1" t="n">
        <v>45353</v>
      </c>
      <c r="D1062" t="inlineStr">
        <is>
          <t>VÄSTERNORRLANDS LÄN</t>
        </is>
      </c>
      <c r="E1062" t="inlineStr">
        <is>
          <t>SOLLEFTEÅ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2536-2022</t>
        </is>
      </c>
      <c r="B1063" s="1" t="n">
        <v>44579</v>
      </c>
      <c r="C1063" s="1" t="n">
        <v>45353</v>
      </c>
      <c r="D1063" t="inlineStr">
        <is>
          <t>VÄSTERNORRLANDS LÄN</t>
        </is>
      </c>
      <c r="E1063" t="inlineStr">
        <is>
          <t>SOLLEFTEÅ</t>
        </is>
      </c>
      <c r="F1063" t="inlineStr">
        <is>
          <t>Övriga Aktiebolag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2543-2022</t>
        </is>
      </c>
      <c r="B1064" s="1" t="n">
        <v>44580</v>
      </c>
      <c r="C1064" s="1" t="n">
        <v>45353</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2542-2022</t>
        </is>
      </c>
      <c r="B1065" s="1" t="n">
        <v>44580</v>
      </c>
      <c r="C1065" s="1" t="n">
        <v>45353</v>
      </c>
      <c r="D1065" t="inlineStr">
        <is>
          <t>VÄSTERNORRLANDS LÄN</t>
        </is>
      </c>
      <c r="E1065" t="inlineStr">
        <is>
          <t>SOLLEFTEÅ</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2541-2022</t>
        </is>
      </c>
      <c r="B1066" s="1" t="n">
        <v>44580</v>
      </c>
      <c r="C1066" s="1" t="n">
        <v>45353</v>
      </c>
      <c r="D1066" t="inlineStr">
        <is>
          <t>VÄSTERNORRLANDS LÄN</t>
        </is>
      </c>
      <c r="E1066" t="inlineStr">
        <is>
          <t>SOLLEFTEÅ</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2747-2022</t>
        </is>
      </c>
      <c r="B1067" s="1" t="n">
        <v>44580</v>
      </c>
      <c r="C1067" s="1" t="n">
        <v>45353</v>
      </c>
      <c r="D1067" t="inlineStr">
        <is>
          <t>VÄSTERNORRLANDS LÄN</t>
        </is>
      </c>
      <c r="E1067" t="inlineStr">
        <is>
          <t>SOLLEFTEÅ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3001-2022</t>
        </is>
      </c>
      <c r="B1068" s="1" t="n">
        <v>44581</v>
      </c>
      <c r="C1068" s="1" t="n">
        <v>45353</v>
      </c>
      <c r="D1068" t="inlineStr">
        <is>
          <t>VÄSTERNORRLANDS LÄN</t>
        </is>
      </c>
      <c r="E1068" t="inlineStr">
        <is>
          <t>SOLLEFTEÅ</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3541-2022</t>
        </is>
      </c>
      <c r="B1069" s="1" t="n">
        <v>44585</v>
      </c>
      <c r="C1069" s="1" t="n">
        <v>45353</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3548-2022</t>
        </is>
      </c>
      <c r="B1070" s="1" t="n">
        <v>44585</v>
      </c>
      <c r="C1070" s="1" t="n">
        <v>45353</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3554-2022</t>
        </is>
      </c>
      <c r="B1071" s="1" t="n">
        <v>44585</v>
      </c>
      <c r="C1071" s="1" t="n">
        <v>45353</v>
      </c>
      <c r="D1071" t="inlineStr">
        <is>
          <t>VÄSTERNORRLANDS LÄN</t>
        </is>
      </c>
      <c r="E1071" t="inlineStr">
        <is>
          <t>SOLLEFTEÅ</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3560-2022</t>
        </is>
      </c>
      <c r="B1072" s="1" t="n">
        <v>44585</v>
      </c>
      <c r="C1072" s="1" t="n">
        <v>45353</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3549-2022</t>
        </is>
      </c>
      <c r="B1073" s="1" t="n">
        <v>44585</v>
      </c>
      <c r="C1073" s="1" t="n">
        <v>45353</v>
      </c>
      <c r="D1073" t="inlineStr">
        <is>
          <t>VÄSTERNORRLANDS LÄN</t>
        </is>
      </c>
      <c r="E1073" t="inlineStr">
        <is>
          <t>SOLLEFTEÅ</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3551-2022</t>
        </is>
      </c>
      <c r="B1074" s="1" t="n">
        <v>44585</v>
      </c>
      <c r="C1074" s="1" t="n">
        <v>45353</v>
      </c>
      <c r="D1074" t="inlineStr">
        <is>
          <t>VÄSTERNORRLANDS LÄN</t>
        </is>
      </c>
      <c r="E1074" t="inlineStr">
        <is>
          <t>SOLLEFTEÅ</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3556-2022</t>
        </is>
      </c>
      <c r="B1075" s="1" t="n">
        <v>44585</v>
      </c>
      <c r="C1075" s="1" t="n">
        <v>45353</v>
      </c>
      <c r="D1075" t="inlineStr">
        <is>
          <t>VÄSTERNORRLANDS LÄN</t>
        </is>
      </c>
      <c r="E1075" t="inlineStr">
        <is>
          <t>SOLLEFTEÅ</t>
        </is>
      </c>
      <c r="F1075" t="inlineStr">
        <is>
          <t>SCA</t>
        </is>
      </c>
      <c r="G1075" t="n">
        <v>18.2</v>
      </c>
      <c r="H1075" t="n">
        <v>0</v>
      </c>
      <c r="I1075" t="n">
        <v>0</v>
      </c>
      <c r="J1075" t="n">
        <v>0</v>
      </c>
      <c r="K1075" t="n">
        <v>0</v>
      </c>
      <c r="L1075" t="n">
        <v>0</v>
      </c>
      <c r="M1075" t="n">
        <v>0</v>
      </c>
      <c r="N1075" t="n">
        <v>0</v>
      </c>
      <c r="O1075" t="n">
        <v>0</v>
      </c>
      <c r="P1075" t="n">
        <v>0</v>
      </c>
      <c r="Q1075" t="n">
        <v>0</v>
      </c>
      <c r="R1075" s="2" t="inlineStr"/>
    </row>
    <row r="1076" ht="15" customHeight="1">
      <c r="A1076" t="inlineStr">
        <is>
          <t>A 3555-2022</t>
        </is>
      </c>
      <c r="B1076" s="1" t="n">
        <v>44585</v>
      </c>
      <c r="C1076" s="1" t="n">
        <v>45353</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3552-2022</t>
        </is>
      </c>
      <c r="B1077" s="1" t="n">
        <v>44585</v>
      </c>
      <c r="C1077" s="1" t="n">
        <v>45353</v>
      </c>
      <c r="D1077" t="inlineStr">
        <is>
          <t>VÄSTERNORRLANDS LÄN</t>
        </is>
      </c>
      <c r="E1077" t="inlineStr">
        <is>
          <t>SOLLEFTEÅ</t>
        </is>
      </c>
      <c r="F1077" t="inlineStr">
        <is>
          <t>SCA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3557-2022</t>
        </is>
      </c>
      <c r="B1078" s="1" t="n">
        <v>44585</v>
      </c>
      <c r="C1078" s="1" t="n">
        <v>45353</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3699-2022</t>
        </is>
      </c>
      <c r="B1079" s="1" t="n">
        <v>44586</v>
      </c>
      <c r="C1079" s="1" t="n">
        <v>45353</v>
      </c>
      <c r="D1079" t="inlineStr">
        <is>
          <t>VÄSTERNORRLANDS LÄN</t>
        </is>
      </c>
      <c r="E1079" t="inlineStr">
        <is>
          <t>SOLLEFTEÅ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3793-2022</t>
        </is>
      </c>
      <c r="B1080" s="1" t="n">
        <v>44586</v>
      </c>
      <c r="C1080" s="1" t="n">
        <v>45353</v>
      </c>
      <c r="D1080" t="inlineStr">
        <is>
          <t>VÄSTERNORRLANDS LÄN</t>
        </is>
      </c>
      <c r="E1080" t="inlineStr">
        <is>
          <t>SOLLEFTEÅ</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3795-2022</t>
        </is>
      </c>
      <c r="B1081" s="1" t="n">
        <v>44586</v>
      </c>
      <c r="C1081" s="1" t="n">
        <v>45353</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4018-2022</t>
        </is>
      </c>
      <c r="B1082" s="1" t="n">
        <v>44587</v>
      </c>
      <c r="C1082" s="1" t="n">
        <v>45353</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4343-2022</t>
        </is>
      </c>
      <c r="B1083" s="1" t="n">
        <v>44588</v>
      </c>
      <c r="C1083" s="1" t="n">
        <v>45353</v>
      </c>
      <c r="D1083" t="inlineStr">
        <is>
          <t>VÄSTERNORRLANDS LÄN</t>
        </is>
      </c>
      <c r="E1083" t="inlineStr">
        <is>
          <t>SOLLEFTEÅ</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4555-2022</t>
        </is>
      </c>
      <c r="B1084" s="1" t="n">
        <v>44590</v>
      </c>
      <c r="C1084" s="1" t="n">
        <v>45353</v>
      </c>
      <c r="D1084" t="inlineStr">
        <is>
          <t>VÄSTERNORRLANDS LÄN</t>
        </is>
      </c>
      <c r="E1084" t="inlineStr">
        <is>
          <t>SOLLEFTEÅ</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5108-2022</t>
        </is>
      </c>
      <c r="B1085" s="1" t="n">
        <v>44593</v>
      </c>
      <c r="C1085" s="1" t="n">
        <v>45353</v>
      </c>
      <c r="D1085" t="inlineStr">
        <is>
          <t>VÄSTERNORRLANDS LÄN</t>
        </is>
      </c>
      <c r="E1085" t="inlineStr">
        <is>
          <t>SOLLEFTEÅ</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5110-2022</t>
        </is>
      </c>
      <c r="B1086" s="1" t="n">
        <v>44593</v>
      </c>
      <c r="C1086" s="1" t="n">
        <v>45353</v>
      </c>
      <c r="D1086" t="inlineStr">
        <is>
          <t>VÄSTERNORRLANDS LÄN</t>
        </is>
      </c>
      <c r="E1086" t="inlineStr">
        <is>
          <t>SOLLEFTEÅ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5111-2022</t>
        </is>
      </c>
      <c r="B1087" s="1" t="n">
        <v>44593</v>
      </c>
      <c r="C1087" s="1" t="n">
        <v>45353</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5134-2022</t>
        </is>
      </c>
      <c r="B1088" s="1" t="n">
        <v>44594</v>
      </c>
      <c r="C1088" s="1" t="n">
        <v>45353</v>
      </c>
      <c r="D1088" t="inlineStr">
        <is>
          <t>VÄSTERNORRLANDS LÄN</t>
        </is>
      </c>
      <c r="E1088" t="inlineStr">
        <is>
          <t>SOLLEFTEÅ</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5657-2022</t>
        </is>
      </c>
      <c r="B1089" s="1" t="n">
        <v>44595</v>
      </c>
      <c r="C1089" s="1" t="n">
        <v>45353</v>
      </c>
      <c r="D1089" t="inlineStr">
        <is>
          <t>VÄSTERNORRLANDS LÄN</t>
        </is>
      </c>
      <c r="E1089" t="inlineStr">
        <is>
          <t>SOLLEFTEÅ</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5909-2022</t>
        </is>
      </c>
      <c r="B1090" s="1" t="n">
        <v>44596</v>
      </c>
      <c r="C1090" s="1" t="n">
        <v>45353</v>
      </c>
      <c r="D1090" t="inlineStr">
        <is>
          <t>VÄSTERNORRLANDS LÄN</t>
        </is>
      </c>
      <c r="E1090" t="inlineStr">
        <is>
          <t>SOLLEFTEÅ</t>
        </is>
      </c>
      <c r="F1090" t="inlineStr">
        <is>
          <t>SCA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6121-2022</t>
        </is>
      </c>
      <c r="B1091" s="1" t="n">
        <v>44599</v>
      </c>
      <c r="C1091" s="1" t="n">
        <v>45353</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6172-2022</t>
        </is>
      </c>
      <c r="B1092" s="1" t="n">
        <v>44599</v>
      </c>
      <c r="C1092" s="1" t="n">
        <v>45353</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6170-2022</t>
        </is>
      </c>
      <c r="B1093" s="1" t="n">
        <v>44599</v>
      </c>
      <c r="C1093" s="1" t="n">
        <v>45353</v>
      </c>
      <c r="D1093" t="inlineStr">
        <is>
          <t>VÄSTERNORRLANDS LÄN</t>
        </is>
      </c>
      <c r="E1093" t="inlineStr">
        <is>
          <t>SOLLEFTEÅ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7667-2022</t>
        </is>
      </c>
      <c r="B1094" s="1" t="n">
        <v>44607</v>
      </c>
      <c r="C1094" s="1" t="n">
        <v>45353</v>
      </c>
      <c r="D1094" t="inlineStr">
        <is>
          <t>VÄSTERNORRLANDS LÄN</t>
        </is>
      </c>
      <c r="E1094" t="inlineStr">
        <is>
          <t>SOLLEFTEÅ</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7965-2022</t>
        </is>
      </c>
      <c r="B1095" s="1" t="n">
        <v>44608</v>
      </c>
      <c r="C1095" s="1" t="n">
        <v>45353</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7963-2022</t>
        </is>
      </c>
      <c r="B1096" s="1" t="n">
        <v>44608</v>
      </c>
      <c r="C1096" s="1" t="n">
        <v>45353</v>
      </c>
      <c r="D1096" t="inlineStr">
        <is>
          <t>VÄSTERNORRLANDS LÄN</t>
        </is>
      </c>
      <c r="E1096" t="inlineStr">
        <is>
          <t>SOLLEFTEÅ</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7935-2022</t>
        </is>
      </c>
      <c r="B1097" s="1" t="n">
        <v>44608</v>
      </c>
      <c r="C1097" s="1" t="n">
        <v>45353</v>
      </c>
      <c r="D1097" t="inlineStr">
        <is>
          <t>VÄSTERNORRLANDS LÄN</t>
        </is>
      </c>
      <c r="E1097" t="inlineStr">
        <is>
          <t>SOLLEFTEÅ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7964-2022</t>
        </is>
      </c>
      <c r="B1098" s="1" t="n">
        <v>44608</v>
      </c>
      <c r="C1098" s="1" t="n">
        <v>45353</v>
      </c>
      <c r="D1098" t="inlineStr">
        <is>
          <t>VÄSTERNORRLANDS LÄN</t>
        </is>
      </c>
      <c r="E1098" t="inlineStr">
        <is>
          <t>SOLLEFTEÅ</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8221-2022</t>
        </is>
      </c>
      <c r="B1099" s="1" t="n">
        <v>44609</v>
      </c>
      <c r="C1099" s="1" t="n">
        <v>45353</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8222-2022</t>
        </is>
      </c>
      <c r="B1100" s="1" t="n">
        <v>44609</v>
      </c>
      <c r="C1100" s="1" t="n">
        <v>45353</v>
      </c>
      <c r="D1100" t="inlineStr">
        <is>
          <t>VÄSTERNORRLANDS LÄN</t>
        </is>
      </c>
      <c r="E1100" t="inlineStr">
        <is>
          <t>SOLLEFTEÅ</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8728-2022</t>
        </is>
      </c>
      <c r="B1101" s="1" t="n">
        <v>44613</v>
      </c>
      <c r="C1101" s="1" t="n">
        <v>45353</v>
      </c>
      <c r="D1101" t="inlineStr">
        <is>
          <t>VÄSTERNORRLANDS LÄN</t>
        </is>
      </c>
      <c r="E1101" t="inlineStr">
        <is>
          <t>SOLLEFTEÅ</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8729-2022</t>
        </is>
      </c>
      <c r="B1102" s="1" t="n">
        <v>44613</v>
      </c>
      <c r="C1102" s="1" t="n">
        <v>45353</v>
      </c>
      <c r="D1102" t="inlineStr">
        <is>
          <t>VÄSTERNORRLANDS LÄN</t>
        </is>
      </c>
      <c r="E1102" t="inlineStr">
        <is>
          <t>SOLLEFTEÅ</t>
        </is>
      </c>
      <c r="F1102" t="inlineStr">
        <is>
          <t>SCA</t>
        </is>
      </c>
      <c r="G1102" t="n">
        <v>16.5</v>
      </c>
      <c r="H1102" t="n">
        <v>0</v>
      </c>
      <c r="I1102" t="n">
        <v>0</v>
      </c>
      <c r="J1102" t="n">
        <v>0</v>
      </c>
      <c r="K1102" t="n">
        <v>0</v>
      </c>
      <c r="L1102" t="n">
        <v>0</v>
      </c>
      <c r="M1102" t="n">
        <v>0</v>
      </c>
      <c r="N1102" t="n">
        <v>0</v>
      </c>
      <c r="O1102" t="n">
        <v>0</v>
      </c>
      <c r="P1102" t="n">
        <v>0</v>
      </c>
      <c r="Q1102" t="n">
        <v>0</v>
      </c>
      <c r="R1102" s="2" t="inlineStr"/>
    </row>
    <row r="1103" ht="15" customHeight="1">
      <c r="A1103" t="inlineStr">
        <is>
          <t>A 8734-2022</t>
        </is>
      </c>
      <c r="B1103" s="1" t="n">
        <v>44613</v>
      </c>
      <c r="C1103" s="1" t="n">
        <v>45353</v>
      </c>
      <c r="D1103" t="inlineStr">
        <is>
          <t>VÄSTERNORRLANDS LÄN</t>
        </is>
      </c>
      <c r="E1103" t="inlineStr">
        <is>
          <t>SOLLEFTEÅ</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9124-2022</t>
        </is>
      </c>
      <c r="B1104" s="1" t="n">
        <v>44615</v>
      </c>
      <c r="C1104" s="1" t="n">
        <v>45353</v>
      </c>
      <c r="D1104" t="inlineStr">
        <is>
          <t>VÄSTERNORRLANDS LÄN</t>
        </is>
      </c>
      <c r="E1104" t="inlineStr">
        <is>
          <t>SOLLEFTEÅ</t>
        </is>
      </c>
      <c r="G1104" t="n">
        <v>20.2</v>
      </c>
      <c r="H1104" t="n">
        <v>0</v>
      </c>
      <c r="I1104" t="n">
        <v>0</v>
      </c>
      <c r="J1104" t="n">
        <v>0</v>
      </c>
      <c r="K1104" t="n">
        <v>0</v>
      </c>
      <c r="L1104" t="n">
        <v>0</v>
      </c>
      <c r="M1104" t="n">
        <v>0</v>
      </c>
      <c r="N1104" t="n">
        <v>0</v>
      </c>
      <c r="O1104" t="n">
        <v>0</v>
      </c>
      <c r="P1104" t="n">
        <v>0</v>
      </c>
      <c r="Q1104" t="n">
        <v>0</v>
      </c>
      <c r="R1104" s="2" t="inlineStr"/>
    </row>
    <row r="1105" ht="15" customHeight="1">
      <c r="A1105" t="inlineStr">
        <is>
          <t>A 9487-2022</t>
        </is>
      </c>
      <c r="B1105" s="1" t="n">
        <v>44616</v>
      </c>
      <c r="C1105" s="1" t="n">
        <v>45353</v>
      </c>
      <c r="D1105" t="inlineStr">
        <is>
          <t>VÄSTERNORRLANDS LÄN</t>
        </is>
      </c>
      <c r="E1105" t="inlineStr">
        <is>
          <t>SOLLEFTEÅ</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9586-2022</t>
        </is>
      </c>
      <c r="B1106" s="1" t="n">
        <v>44617</v>
      </c>
      <c r="C1106" s="1" t="n">
        <v>45353</v>
      </c>
      <c r="D1106" t="inlineStr">
        <is>
          <t>VÄSTERNORRLANDS LÄN</t>
        </is>
      </c>
      <c r="E1106" t="inlineStr">
        <is>
          <t>SOLLEFTEÅ</t>
        </is>
      </c>
      <c r="F1106" t="inlineStr">
        <is>
          <t>Övriga Aktiebolag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10138-2022</t>
        </is>
      </c>
      <c r="B1107" s="1" t="n">
        <v>44621</v>
      </c>
      <c r="C1107" s="1" t="n">
        <v>45353</v>
      </c>
      <c r="D1107" t="inlineStr">
        <is>
          <t>VÄSTERNORRLANDS LÄN</t>
        </is>
      </c>
      <c r="E1107" t="inlineStr">
        <is>
          <t>SOLLEFTEÅ</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10139-2022</t>
        </is>
      </c>
      <c r="B1108" s="1" t="n">
        <v>44621</v>
      </c>
      <c r="C1108" s="1" t="n">
        <v>45353</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10140-2022</t>
        </is>
      </c>
      <c r="B1109" s="1" t="n">
        <v>44621</v>
      </c>
      <c r="C1109" s="1" t="n">
        <v>45353</v>
      </c>
      <c r="D1109" t="inlineStr">
        <is>
          <t>VÄSTERNORRLANDS LÄN</t>
        </is>
      </c>
      <c r="E1109" t="inlineStr">
        <is>
          <t>SOLLEFTEÅ</t>
        </is>
      </c>
      <c r="F1109" t="inlineStr">
        <is>
          <t>SCA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10141-2022</t>
        </is>
      </c>
      <c r="B1110" s="1" t="n">
        <v>44621</v>
      </c>
      <c r="C1110" s="1" t="n">
        <v>45353</v>
      </c>
      <c r="D1110" t="inlineStr">
        <is>
          <t>VÄSTERNORRLANDS LÄN</t>
        </is>
      </c>
      <c r="E1110" t="inlineStr">
        <is>
          <t>SOLLEFTEÅ</t>
        </is>
      </c>
      <c r="F1110" t="inlineStr">
        <is>
          <t>SCA</t>
        </is>
      </c>
      <c r="G1110" t="n">
        <v>15.5</v>
      </c>
      <c r="H1110" t="n">
        <v>0</v>
      </c>
      <c r="I1110" t="n">
        <v>0</v>
      </c>
      <c r="J1110" t="n">
        <v>0</v>
      </c>
      <c r="K1110" t="n">
        <v>0</v>
      </c>
      <c r="L1110" t="n">
        <v>0</v>
      </c>
      <c r="M1110" t="n">
        <v>0</v>
      </c>
      <c r="N1110" t="n">
        <v>0</v>
      </c>
      <c r="O1110" t="n">
        <v>0</v>
      </c>
      <c r="P1110" t="n">
        <v>0</v>
      </c>
      <c r="Q1110" t="n">
        <v>0</v>
      </c>
      <c r="R1110" s="2" t="inlineStr"/>
    </row>
    <row r="1111" ht="15" customHeight="1">
      <c r="A1111" t="inlineStr">
        <is>
          <t>A 10198-2022</t>
        </is>
      </c>
      <c r="B1111" s="1" t="n">
        <v>44622</v>
      </c>
      <c r="C1111" s="1" t="n">
        <v>45353</v>
      </c>
      <c r="D1111" t="inlineStr">
        <is>
          <t>VÄSTERNORRLANDS LÄN</t>
        </is>
      </c>
      <c r="E1111" t="inlineStr">
        <is>
          <t>SOLLEFTEÅ</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10242-2022</t>
        </is>
      </c>
      <c r="B1112" s="1" t="n">
        <v>44622</v>
      </c>
      <c r="C1112" s="1" t="n">
        <v>45353</v>
      </c>
      <c r="D1112" t="inlineStr">
        <is>
          <t>VÄSTERNORRLANDS LÄN</t>
        </is>
      </c>
      <c r="E1112" t="inlineStr">
        <is>
          <t>SOLLEFTEÅ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10308-2022</t>
        </is>
      </c>
      <c r="B1113" s="1" t="n">
        <v>44622</v>
      </c>
      <c r="C1113" s="1" t="n">
        <v>45353</v>
      </c>
      <c r="D1113" t="inlineStr">
        <is>
          <t>VÄSTERNORRLANDS LÄN</t>
        </is>
      </c>
      <c r="E1113" t="inlineStr">
        <is>
          <t>SOLLEFTEÅ</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10250-2022</t>
        </is>
      </c>
      <c r="B1114" s="1" t="n">
        <v>44622</v>
      </c>
      <c r="C1114" s="1" t="n">
        <v>45353</v>
      </c>
      <c r="D1114" t="inlineStr">
        <is>
          <t>VÄSTERNORRLANDS LÄN</t>
        </is>
      </c>
      <c r="E1114" t="inlineStr">
        <is>
          <t>SOLLEFTEÅ</t>
        </is>
      </c>
      <c r="G1114" t="n">
        <v>17.6</v>
      </c>
      <c r="H1114" t="n">
        <v>0</v>
      </c>
      <c r="I1114" t="n">
        <v>0</v>
      </c>
      <c r="J1114" t="n">
        <v>0</v>
      </c>
      <c r="K1114" t="n">
        <v>0</v>
      </c>
      <c r="L1114" t="n">
        <v>0</v>
      </c>
      <c r="M1114" t="n">
        <v>0</v>
      </c>
      <c r="N1114" t="n">
        <v>0</v>
      </c>
      <c r="O1114" t="n">
        <v>0</v>
      </c>
      <c r="P1114" t="n">
        <v>0</v>
      </c>
      <c r="Q1114" t="n">
        <v>0</v>
      </c>
      <c r="R1114" s="2" t="inlineStr"/>
    </row>
    <row r="1115" ht="15" customHeight="1">
      <c r="A1115" t="inlineStr">
        <is>
          <t>A 10310-2022</t>
        </is>
      </c>
      <c r="B1115" s="1" t="n">
        <v>44622</v>
      </c>
      <c r="C1115" s="1" t="n">
        <v>45353</v>
      </c>
      <c r="D1115" t="inlineStr">
        <is>
          <t>VÄSTERNORRLANDS LÄN</t>
        </is>
      </c>
      <c r="E1115" t="inlineStr">
        <is>
          <t>SOLLEFTEÅ</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10307-2022</t>
        </is>
      </c>
      <c r="B1116" s="1" t="n">
        <v>44622</v>
      </c>
      <c r="C1116" s="1" t="n">
        <v>45353</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10311-2022</t>
        </is>
      </c>
      <c r="B1117" s="1" t="n">
        <v>44622</v>
      </c>
      <c r="C1117" s="1" t="n">
        <v>45353</v>
      </c>
      <c r="D1117" t="inlineStr">
        <is>
          <t>VÄSTERNORRLANDS LÄN</t>
        </is>
      </c>
      <c r="E1117" t="inlineStr">
        <is>
          <t>SOLLEFTEÅ</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10309-2022</t>
        </is>
      </c>
      <c r="B1118" s="1" t="n">
        <v>44622</v>
      </c>
      <c r="C1118" s="1" t="n">
        <v>45353</v>
      </c>
      <c r="D1118" t="inlineStr">
        <is>
          <t>VÄSTERNORRLANDS LÄN</t>
        </is>
      </c>
      <c r="E1118" t="inlineStr">
        <is>
          <t>SOLLEFTEÅ</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10314-2022</t>
        </is>
      </c>
      <c r="B1119" s="1" t="n">
        <v>44622</v>
      </c>
      <c r="C1119" s="1" t="n">
        <v>45353</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10417-2022</t>
        </is>
      </c>
      <c r="B1120" s="1" t="n">
        <v>44623</v>
      </c>
      <c r="C1120" s="1" t="n">
        <v>45353</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10924-2022</t>
        </is>
      </c>
      <c r="B1121" s="1" t="n">
        <v>44627</v>
      </c>
      <c r="C1121" s="1" t="n">
        <v>45353</v>
      </c>
      <c r="D1121" t="inlineStr">
        <is>
          <t>VÄSTERNORRLANDS LÄN</t>
        </is>
      </c>
      <c r="E1121" t="inlineStr">
        <is>
          <t>SOLLEFTEÅ</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10926-2022</t>
        </is>
      </c>
      <c r="B1122" s="1" t="n">
        <v>44627</v>
      </c>
      <c r="C1122" s="1" t="n">
        <v>45353</v>
      </c>
      <c r="D1122" t="inlineStr">
        <is>
          <t>VÄSTERNORRLANDS LÄN</t>
        </is>
      </c>
      <c r="E1122" t="inlineStr">
        <is>
          <t>SOLLEFTEÅ</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10925-2022</t>
        </is>
      </c>
      <c r="B1123" s="1" t="n">
        <v>44627</v>
      </c>
      <c r="C1123" s="1" t="n">
        <v>45353</v>
      </c>
      <c r="D1123" t="inlineStr">
        <is>
          <t>VÄSTERNORRLANDS LÄN</t>
        </is>
      </c>
      <c r="E1123" t="inlineStr">
        <is>
          <t>SOLLEFTEÅ</t>
        </is>
      </c>
      <c r="F1123" t="inlineStr">
        <is>
          <t>SCA</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10927-2022</t>
        </is>
      </c>
      <c r="B1124" s="1" t="n">
        <v>44627</v>
      </c>
      <c r="C1124" s="1" t="n">
        <v>45353</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11117-2022</t>
        </is>
      </c>
      <c r="B1125" s="1" t="n">
        <v>44628</v>
      </c>
      <c r="C1125" s="1" t="n">
        <v>45353</v>
      </c>
      <c r="D1125" t="inlineStr">
        <is>
          <t>VÄSTERNORRLANDS LÄN</t>
        </is>
      </c>
      <c r="E1125" t="inlineStr">
        <is>
          <t>SOLLEFTEÅ</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11131-2022</t>
        </is>
      </c>
      <c r="B1126" s="1" t="n">
        <v>44628</v>
      </c>
      <c r="C1126" s="1" t="n">
        <v>45353</v>
      </c>
      <c r="D1126" t="inlineStr">
        <is>
          <t>VÄSTERNORRLANDS LÄN</t>
        </is>
      </c>
      <c r="E1126" t="inlineStr">
        <is>
          <t>SOLLEFTEÅ</t>
        </is>
      </c>
      <c r="F1126" t="inlineStr">
        <is>
          <t>SCA</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11133-2022</t>
        </is>
      </c>
      <c r="B1127" s="1" t="n">
        <v>44628</v>
      </c>
      <c r="C1127" s="1" t="n">
        <v>45353</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11125-2022</t>
        </is>
      </c>
      <c r="B1128" s="1" t="n">
        <v>44628</v>
      </c>
      <c r="C1128" s="1" t="n">
        <v>45353</v>
      </c>
      <c r="D1128" t="inlineStr">
        <is>
          <t>VÄSTERNORRLANDS LÄN</t>
        </is>
      </c>
      <c r="E1128" t="inlineStr">
        <is>
          <t>SOLLEFTEÅ</t>
        </is>
      </c>
      <c r="F1128" t="inlineStr">
        <is>
          <t>SCA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11241-2022</t>
        </is>
      </c>
      <c r="B1129" s="1" t="n">
        <v>44629</v>
      </c>
      <c r="C1129" s="1" t="n">
        <v>45353</v>
      </c>
      <c r="D1129" t="inlineStr">
        <is>
          <t>VÄSTERNORRLANDS LÄN</t>
        </is>
      </c>
      <c r="E1129" t="inlineStr">
        <is>
          <t>SOLLEFTEÅ</t>
        </is>
      </c>
      <c r="F1129" t="inlineStr">
        <is>
          <t>Kommuner</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11318-2022</t>
        </is>
      </c>
      <c r="B1130" s="1" t="n">
        <v>44629</v>
      </c>
      <c r="C1130" s="1" t="n">
        <v>45353</v>
      </c>
      <c r="D1130" t="inlineStr">
        <is>
          <t>VÄSTERNORRLANDS LÄN</t>
        </is>
      </c>
      <c r="E1130" t="inlineStr">
        <is>
          <t>SOLLEFTEÅ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11475-2022</t>
        </is>
      </c>
      <c r="B1131" s="1" t="n">
        <v>44630</v>
      </c>
      <c r="C1131" s="1" t="n">
        <v>45353</v>
      </c>
      <c r="D1131" t="inlineStr">
        <is>
          <t>VÄSTERNORRLANDS LÄN</t>
        </is>
      </c>
      <c r="E1131" t="inlineStr">
        <is>
          <t>SOLLEFTEÅ</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11484-2022</t>
        </is>
      </c>
      <c r="B1132" s="1" t="n">
        <v>44630</v>
      </c>
      <c r="C1132" s="1" t="n">
        <v>45353</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11474-2022</t>
        </is>
      </c>
      <c r="B1133" s="1" t="n">
        <v>44630</v>
      </c>
      <c r="C1133" s="1" t="n">
        <v>45353</v>
      </c>
      <c r="D1133" t="inlineStr">
        <is>
          <t>VÄSTERNORRLANDS LÄN</t>
        </is>
      </c>
      <c r="E1133" t="inlineStr">
        <is>
          <t>SOLLEFTEÅ</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11483-2022</t>
        </is>
      </c>
      <c r="B1134" s="1" t="n">
        <v>44630</v>
      </c>
      <c r="C1134" s="1" t="n">
        <v>45353</v>
      </c>
      <c r="D1134" t="inlineStr">
        <is>
          <t>VÄSTERNORRLANDS LÄN</t>
        </is>
      </c>
      <c r="E1134" t="inlineStr">
        <is>
          <t>SOLLEFTEÅ</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11652-2022</t>
        </is>
      </c>
      <c r="B1135" s="1" t="n">
        <v>44631</v>
      </c>
      <c r="C1135" s="1" t="n">
        <v>45353</v>
      </c>
      <c r="D1135" t="inlineStr">
        <is>
          <t>VÄSTERNORRLANDS LÄN</t>
        </is>
      </c>
      <c r="E1135" t="inlineStr">
        <is>
          <t>SOLLEFTEÅ</t>
        </is>
      </c>
      <c r="F1135" t="inlineStr">
        <is>
          <t>SCA</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11656-2022</t>
        </is>
      </c>
      <c r="B1136" s="1" t="n">
        <v>44631</v>
      </c>
      <c r="C1136" s="1" t="n">
        <v>45353</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11653-2022</t>
        </is>
      </c>
      <c r="B1137" s="1" t="n">
        <v>44631</v>
      </c>
      <c r="C1137" s="1" t="n">
        <v>45353</v>
      </c>
      <c r="D1137" t="inlineStr">
        <is>
          <t>VÄSTERNORRLANDS LÄN</t>
        </is>
      </c>
      <c r="E1137" t="inlineStr">
        <is>
          <t>SOLLEFTEÅ</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11677-2022</t>
        </is>
      </c>
      <c r="B1138" s="1" t="n">
        <v>44633</v>
      </c>
      <c r="C1138" s="1" t="n">
        <v>45353</v>
      </c>
      <c r="D1138" t="inlineStr">
        <is>
          <t>VÄSTERNORRLANDS LÄN</t>
        </is>
      </c>
      <c r="E1138" t="inlineStr">
        <is>
          <t>SOLLEFTEÅ</t>
        </is>
      </c>
      <c r="F1138" t="inlineStr">
        <is>
          <t>SCA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11842-2022</t>
        </is>
      </c>
      <c r="B1139" s="1" t="n">
        <v>44634</v>
      </c>
      <c r="C1139" s="1" t="n">
        <v>45353</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11845-2022</t>
        </is>
      </c>
      <c r="B1140" s="1" t="n">
        <v>44634</v>
      </c>
      <c r="C1140" s="1" t="n">
        <v>45353</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11846-2022</t>
        </is>
      </c>
      <c r="B1141" s="1" t="n">
        <v>44634</v>
      </c>
      <c r="C1141" s="1" t="n">
        <v>45353</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11870-2022</t>
        </is>
      </c>
      <c r="B1142" s="1" t="n">
        <v>44635</v>
      </c>
      <c r="C1142" s="1" t="n">
        <v>45353</v>
      </c>
      <c r="D1142" t="inlineStr">
        <is>
          <t>VÄSTERNORRLANDS LÄN</t>
        </is>
      </c>
      <c r="E1142" t="inlineStr">
        <is>
          <t>SOLLEFTEÅ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11874-2022</t>
        </is>
      </c>
      <c r="B1143" s="1" t="n">
        <v>44635</v>
      </c>
      <c r="C1143" s="1" t="n">
        <v>45353</v>
      </c>
      <c r="D1143" t="inlineStr">
        <is>
          <t>VÄSTERNORRLANDS LÄN</t>
        </is>
      </c>
      <c r="E1143" t="inlineStr">
        <is>
          <t>SOLLEFTEÅ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12007-2022</t>
        </is>
      </c>
      <c r="B1144" s="1" t="n">
        <v>44635</v>
      </c>
      <c r="C1144" s="1" t="n">
        <v>45353</v>
      </c>
      <c r="D1144" t="inlineStr">
        <is>
          <t>VÄSTERNORRLANDS LÄN</t>
        </is>
      </c>
      <c r="E1144" t="inlineStr">
        <is>
          <t>SOLLEFTEÅ</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12001-2022</t>
        </is>
      </c>
      <c r="B1145" s="1" t="n">
        <v>44635</v>
      </c>
      <c r="C1145" s="1" t="n">
        <v>45353</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12006-2022</t>
        </is>
      </c>
      <c r="B1146" s="1" t="n">
        <v>44635</v>
      </c>
      <c r="C1146" s="1" t="n">
        <v>45353</v>
      </c>
      <c r="D1146" t="inlineStr">
        <is>
          <t>VÄSTERNORRLANDS LÄN</t>
        </is>
      </c>
      <c r="E1146" t="inlineStr">
        <is>
          <t>SOLLEFTEÅ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12022-2022</t>
        </is>
      </c>
      <c r="B1147" s="1" t="n">
        <v>44635</v>
      </c>
      <c r="C1147" s="1" t="n">
        <v>45353</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12191-2022</t>
        </is>
      </c>
      <c r="B1148" s="1" t="n">
        <v>44636</v>
      </c>
      <c r="C1148" s="1" t="n">
        <v>45353</v>
      </c>
      <c r="D1148" t="inlineStr">
        <is>
          <t>VÄSTERNORRLANDS LÄN</t>
        </is>
      </c>
      <c r="E1148" t="inlineStr">
        <is>
          <t>SOLLEFTEÅ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12201-2022</t>
        </is>
      </c>
      <c r="B1149" s="1" t="n">
        <v>44636</v>
      </c>
      <c r="C1149" s="1" t="n">
        <v>45353</v>
      </c>
      <c r="D1149" t="inlineStr">
        <is>
          <t>VÄSTERNORRLANDS LÄN</t>
        </is>
      </c>
      <c r="E1149" t="inlineStr">
        <is>
          <t>SOLLEFTEÅ</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12395-2022</t>
        </is>
      </c>
      <c r="B1150" s="1" t="n">
        <v>44637</v>
      </c>
      <c r="C1150" s="1" t="n">
        <v>45353</v>
      </c>
      <c r="D1150" t="inlineStr">
        <is>
          <t>VÄSTERNORRLANDS LÄN</t>
        </is>
      </c>
      <c r="E1150" t="inlineStr">
        <is>
          <t>SOLLEFTEÅ</t>
        </is>
      </c>
      <c r="F1150" t="inlineStr">
        <is>
          <t>SCA</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12561-2022</t>
        </is>
      </c>
      <c r="B1151" s="1" t="n">
        <v>44638</v>
      </c>
      <c r="C1151" s="1" t="n">
        <v>45353</v>
      </c>
      <c r="D1151" t="inlineStr">
        <is>
          <t>VÄSTERNORRLANDS LÄN</t>
        </is>
      </c>
      <c r="E1151" t="inlineStr">
        <is>
          <t>SOLLEFTEÅ</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12565-2022</t>
        </is>
      </c>
      <c r="B1152" s="1" t="n">
        <v>44638</v>
      </c>
      <c r="C1152" s="1" t="n">
        <v>45353</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12572-2022</t>
        </is>
      </c>
      <c r="B1153" s="1" t="n">
        <v>44638</v>
      </c>
      <c r="C1153" s="1" t="n">
        <v>45353</v>
      </c>
      <c r="D1153" t="inlineStr">
        <is>
          <t>VÄSTERNORRLANDS LÄN</t>
        </is>
      </c>
      <c r="E1153" t="inlineStr">
        <is>
          <t>SOLLEFTEÅ</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12564-2022</t>
        </is>
      </c>
      <c r="B1154" s="1" t="n">
        <v>44638</v>
      </c>
      <c r="C1154" s="1" t="n">
        <v>45353</v>
      </c>
      <c r="D1154" t="inlineStr">
        <is>
          <t>VÄSTERNORRLANDS LÄN</t>
        </is>
      </c>
      <c r="E1154" t="inlineStr">
        <is>
          <t>SOLLEFTEÅ</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12568-2022</t>
        </is>
      </c>
      <c r="B1155" s="1" t="n">
        <v>44638</v>
      </c>
      <c r="C1155" s="1" t="n">
        <v>45353</v>
      </c>
      <c r="D1155" t="inlineStr">
        <is>
          <t>VÄSTERNORRLANDS LÄN</t>
        </is>
      </c>
      <c r="E1155" t="inlineStr">
        <is>
          <t>SOLLEFTEÅ</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12557-2022</t>
        </is>
      </c>
      <c r="B1156" s="1" t="n">
        <v>44638</v>
      </c>
      <c r="C1156" s="1" t="n">
        <v>45353</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12563-2022</t>
        </is>
      </c>
      <c r="B1157" s="1" t="n">
        <v>44638</v>
      </c>
      <c r="C1157" s="1" t="n">
        <v>45353</v>
      </c>
      <c r="D1157" t="inlineStr">
        <is>
          <t>VÄSTERNORRLANDS LÄN</t>
        </is>
      </c>
      <c r="E1157" t="inlineStr">
        <is>
          <t>SOLLEFTEÅ</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12567-2022</t>
        </is>
      </c>
      <c r="B1158" s="1" t="n">
        <v>44638</v>
      </c>
      <c r="C1158" s="1" t="n">
        <v>45353</v>
      </c>
      <c r="D1158" t="inlineStr">
        <is>
          <t>VÄSTERNORRLANDS LÄN</t>
        </is>
      </c>
      <c r="E1158" t="inlineStr">
        <is>
          <t>SOLLEFTEÅ</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12562-2022</t>
        </is>
      </c>
      <c r="B1159" s="1" t="n">
        <v>44638</v>
      </c>
      <c r="C1159" s="1" t="n">
        <v>45353</v>
      </c>
      <c r="D1159" t="inlineStr">
        <is>
          <t>VÄSTERNORRLANDS LÄN</t>
        </is>
      </c>
      <c r="E1159" t="inlineStr">
        <is>
          <t>SOLLEFTEÅ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12566-2022</t>
        </is>
      </c>
      <c r="B1160" s="1" t="n">
        <v>44638</v>
      </c>
      <c r="C1160" s="1" t="n">
        <v>45353</v>
      </c>
      <c r="D1160" t="inlineStr">
        <is>
          <t>VÄSTERNORRLANDS LÄN</t>
        </is>
      </c>
      <c r="E1160" t="inlineStr">
        <is>
          <t>SOLLEFTEÅ</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12758-2022</t>
        </is>
      </c>
      <c r="B1161" s="1" t="n">
        <v>44641</v>
      </c>
      <c r="C1161" s="1" t="n">
        <v>45353</v>
      </c>
      <c r="D1161" t="inlineStr">
        <is>
          <t>VÄSTERNORRLANDS LÄN</t>
        </is>
      </c>
      <c r="E1161" t="inlineStr">
        <is>
          <t>SOLLEFTEÅ</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12764-2022</t>
        </is>
      </c>
      <c r="B1162" s="1" t="n">
        <v>44641</v>
      </c>
      <c r="C1162" s="1" t="n">
        <v>45353</v>
      </c>
      <c r="D1162" t="inlineStr">
        <is>
          <t>VÄSTERNORRLANDS LÄN</t>
        </is>
      </c>
      <c r="E1162" t="inlineStr">
        <is>
          <t>SOLLEFTEÅ</t>
        </is>
      </c>
      <c r="F1162" t="inlineStr">
        <is>
          <t>SCA</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12774-2022</t>
        </is>
      </c>
      <c r="B1163" s="1" t="n">
        <v>44641</v>
      </c>
      <c r="C1163" s="1" t="n">
        <v>45353</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13300-2022</t>
        </is>
      </c>
      <c r="B1164" s="1" t="n">
        <v>44644</v>
      </c>
      <c r="C1164" s="1" t="n">
        <v>45353</v>
      </c>
      <c r="D1164" t="inlineStr">
        <is>
          <t>VÄSTERNORRLANDS LÄN</t>
        </is>
      </c>
      <c r="E1164" t="inlineStr">
        <is>
          <t>SOLLEFTEÅ</t>
        </is>
      </c>
      <c r="F1164" t="inlineStr">
        <is>
          <t>SCA</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13311-2022</t>
        </is>
      </c>
      <c r="B1165" s="1" t="n">
        <v>44644</v>
      </c>
      <c r="C1165" s="1" t="n">
        <v>45353</v>
      </c>
      <c r="D1165" t="inlineStr">
        <is>
          <t>VÄSTERNORRLANDS LÄN</t>
        </is>
      </c>
      <c r="E1165" t="inlineStr">
        <is>
          <t>SOLLEFTEÅ</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13309-2022</t>
        </is>
      </c>
      <c r="B1166" s="1" t="n">
        <v>44644</v>
      </c>
      <c r="C1166" s="1" t="n">
        <v>45353</v>
      </c>
      <c r="D1166" t="inlineStr">
        <is>
          <t>VÄSTERNORRLANDS LÄN</t>
        </is>
      </c>
      <c r="E1166" t="inlineStr">
        <is>
          <t>SOLLEFTEÅ</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13492-2022</t>
        </is>
      </c>
      <c r="B1167" s="1" t="n">
        <v>44646</v>
      </c>
      <c r="C1167" s="1" t="n">
        <v>45353</v>
      </c>
      <c r="D1167" t="inlineStr">
        <is>
          <t>VÄSTERNORRLANDS LÄN</t>
        </is>
      </c>
      <c r="E1167" t="inlineStr">
        <is>
          <t>SOLLEFTEÅ</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13598-2022</t>
        </is>
      </c>
      <c r="B1168" s="1" t="n">
        <v>44648</v>
      </c>
      <c r="C1168" s="1" t="n">
        <v>45353</v>
      </c>
      <c r="D1168" t="inlineStr">
        <is>
          <t>VÄSTERNORRLANDS LÄN</t>
        </is>
      </c>
      <c r="E1168" t="inlineStr">
        <is>
          <t>SOLLEFTEÅ</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13658-2022</t>
        </is>
      </c>
      <c r="B1169" s="1" t="n">
        <v>44648</v>
      </c>
      <c r="C1169" s="1" t="n">
        <v>45353</v>
      </c>
      <c r="D1169" t="inlineStr">
        <is>
          <t>VÄSTERNORRLANDS LÄN</t>
        </is>
      </c>
      <c r="E1169" t="inlineStr">
        <is>
          <t>SOLLEFTEÅ</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13710-2022</t>
        </is>
      </c>
      <c r="B1170" s="1" t="n">
        <v>44649</v>
      </c>
      <c r="C1170" s="1" t="n">
        <v>45353</v>
      </c>
      <c r="D1170" t="inlineStr">
        <is>
          <t>VÄSTERNORRLANDS LÄN</t>
        </is>
      </c>
      <c r="E1170" t="inlineStr">
        <is>
          <t>SOLLEFTEÅ</t>
        </is>
      </c>
      <c r="F1170" t="inlineStr">
        <is>
          <t>SCA</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14061-2022</t>
        </is>
      </c>
      <c r="B1171" s="1" t="n">
        <v>44651</v>
      </c>
      <c r="C1171" s="1" t="n">
        <v>45353</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14066-2022</t>
        </is>
      </c>
      <c r="B1172" s="1" t="n">
        <v>44650</v>
      </c>
      <c r="C1172" s="1" t="n">
        <v>45353</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14058-2022</t>
        </is>
      </c>
      <c r="B1173" s="1" t="n">
        <v>44651</v>
      </c>
      <c r="C1173" s="1" t="n">
        <v>45353</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14063-2022</t>
        </is>
      </c>
      <c r="B1174" s="1" t="n">
        <v>44651</v>
      </c>
      <c r="C1174" s="1" t="n">
        <v>45353</v>
      </c>
      <c r="D1174" t="inlineStr">
        <is>
          <t>VÄSTERNORRLANDS LÄN</t>
        </is>
      </c>
      <c r="E1174" t="inlineStr">
        <is>
          <t>SOLLEFTEÅ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14055-2022</t>
        </is>
      </c>
      <c r="B1175" s="1" t="n">
        <v>44651</v>
      </c>
      <c r="C1175" s="1" t="n">
        <v>45353</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14060-2022</t>
        </is>
      </c>
      <c r="B1176" s="1" t="n">
        <v>44651</v>
      </c>
      <c r="C1176" s="1" t="n">
        <v>45353</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14065-2022</t>
        </is>
      </c>
      <c r="B1177" s="1" t="n">
        <v>44650</v>
      </c>
      <c r="C1177" s="1" t="n">
        <v>45353</v>
      </c>
      <c r="D1177" t="inlineStr">
        <is>
          <t>VÄSTERNORRLANDS LÄN</t>
        </is>
      </c>
      <c r="E1177" t="inlineStr">
        <is>
          <t>SOLLEFTEÅ</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14059-2022</t>
        </is>
      </c>
      <c r="B1178" s="1" t="n">
        <v>44651</v>
      </c>
      <c r="C1178" s="1" t="n">
        <v>45353</v>
      </c>
      <c r="D1178" t="inlineStr">
        <is>
          <t>VÄSTERNORRLANDS LÄN</t>
        </is>
      </c>
      <c r="E1178" t="inlineStr">
        <is>
          <t>SOLLEFTEÅ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14064-2022</t>
        </is>
      </c>
      <c r="B1179" s="1" t="n">
        <v>44651</v>
      </c>
      <c r="C1179" s="1" t="n">
        <v>45353</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14276-2022</t>
        </is>
      </c>
      <c r="B1180" s="1" t="n">
        <v>44652</v>
      </c>
      <c r="C1180" s="1" t="n">
        <v>45353</v>
      </c>
      <c r="D1180" t="inlineStr">
        <is>
          <t>VÄSTERNORRLANDS LÄN</t>
        </is>
      </c>
      <c r="E1180" t="inlineStr">
        <is>
          <t>SOLLEFTEÅ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14297-2022</t>
        </is>
      </c>
      <c r="B1181" s="1" t="n">
        <v>44651</v>
      </c>
      <c r="C1181" s="1" t="n">
        <v>45353</v>
      </c>
      <c r="D1181" t="inlineStr">
        <is>
          <t>VÄSTERNORRLANDS LÄN</t>
        </is>
      </c>
      <c r="E1181" t="inlineStr">
        <is>
          <t>SOLLEFTEÅ</t>
        </is>
      </c>
      <c r="F1181" t="inlineStr">
        <is>
          <t>SCA</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14300-2022</t>
        </is>
      </c>
      <c r="B1182" s="1" t="n">
        <v>44652</v>
      </c>
      <c r="C1182" s="1" t="n">
        <v>45353</v>
      </c>
      <c r="D1182" t="inlineStr">
        <is>
          <t>VÄSTERNORRLANDS LÄN</t>
        </is>
      </c>
      <c r="E1182" t="inlineStr">
        <is>
          <t>SOLLEFTEÅ</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14308-2022</t>
        </is>
      </c>
      <c r="B1183" s="1" t="n">
        <v>44652</v>
      </c>
      <c r="C1183" s="1" t="n">
        <v>45353</v>
      </c>
      <c r="D1183" t="inlineStr">
        <is>
          <t>VÄSTERNORRLANDS LÄN</t>
        </is>
      </c>
      <c r="E1183" t="inlineStr">
        <is>
          <t>SOLLEFTEÅ</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14275-2022</t>
        </is>
      </c>
      <c r="B1184" s="1" t="n">
        <v>44651</v>
      </c>
      <c r="C1184" s="1" t="n">
        <v>45353</v>
      </c>
      <c r="D1184" t="inlineStr">
        <is>
          <t>VÄSTERNORRLANDS LÄN</t>
        </is>
      </c>
      <c r="E1184" t="inlineStr">
        <is>
          <t>SOLLEFTEÅ</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14299-2022</t>
        </is>
      </c>
      <c r="B1185" s="1" t="n">
        <v>44652</v>
      </c>
      <c r="C1185" s="1" t="n">
        <v>45353</v>
      </c>
      <c r="D1185" t="inlineStr">
        <is>
          <t>VÄSTERNORRLANDS LÄN</t>
        </is>
      </c>
      <c r="E1185" t="inlineStr">
        <is>
          <t>SOLLEFTEÅ</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14296-2022</t>
        </is>
      </c>
      <c r="B1186" s="1" t="n">
        <v>44652</v>
      </c>
      <c r="C1186" s="1" t="n">
        <v>45353</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14302-2022</t>
        </is>
      </c>
      <c r="B1187" s="1" t="n">
        <v>44651</v>
      </c>
      <c r="C1187" s="1" t="n">
        <v>45353</v>
      </c>
      <c r="D1187" t="inlineStr">
        <is>
          <t>VÄSTERNORRLANDS LÄN</t>
        </is>
      </c>
      <c r="E1187" t="inlineStr">
        <is>
          <t>SOLLEFTEÅ</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14448-2022</t>
        </is>
      </c>
      <c r="B1188" s="1" t="n">
        <v>44652</v>
      </c>
      <c r="C1188" s="1" t="n">
        <v>45353</v>
      </c>
      <c r="D1188" t="inlineStr">
        <is>
          <t>VÄSTERNORRLANDS LÄN</t>
        </is>
      </c>
      <c r="E1188" t="inlineStr">
        <is>
          <t>SOLLEFTEÅ</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14449-2022</t>
        </is>
      </c>
      <c r="B1189" s="1" t="n">
        <v>44652</v>
      </c>
      <c r="C1189" s="1" t="n">
        <v>45353</v>
      </c>
      <c r="D1189" t="inlineStr">
        <is>
          <t>VÄSTERNORRLANDS LÄN</t>
        </is>
      </c>
      <c r="E1189" t="inlineStr">
        <is>
          <t>SOLLEFTEÅ</t>
        </is>
      </c>
      <c r="F1189" t="inlineStr">
        <is>
          <t>SCA</t>
        </is>
      </c>
      <c r="G1189" t="n">
        <v>31.8</v>
      </c>
      <c r="H1189" t="n">
        <v>0</v>
      </c>
      <c r="I1189" t="n">
        <v>0</v>
      </c>
      <c r="J1189" t="n">
        <v>0</v>
      </c>
      <c r="K1189" t="n">
        <v>0</v>
      </c>
      <c r="L1189" t="n">
        <v>0</v>
      </c>
      <c r="M1189" t="n">
        <v>0</v>
      </c>
      <c r="N1189" t="n">
        <v>0</v>
      </c>
      <c r="O1189" t="n">
        <v>0</v>
      </c>
      <c r="P1189" t="n">
        <v>0</v>
      </c>
      <c r="Q1189" t="n">
        <v>0</v>
      </c>
      <c r="R1189" s="2" t="inlineStr"/>
    </row>
    <row r="1190" ht="15" customHeight="1">
      <c r="A1190" t="inlineStr">
        <is>
          <t>A 14450-2022</t>
        </is>
      </c>
      <c r="B1190" s="1" t="n">
        <v>44653</v>
      </c>
      <c r="C1190" s="1" t="n">
        <v>45353</v>
      </c>
      <c r="D1190" t="inlineStr">
        <is>
          <t>VÄSTERNORRLANDS LÄN</t>
        </is>
      </c>
      <c r="E1190" t="inlineStr">
        <is>
          <t>SOLLEFTEÅ</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14447-2022</t>
        </is>
      </c>
      <c r="B1191" s="1" t="n">
        <v>44653</v>
      </c>
      <c r="C1191" s="1" t="n">
        <v>45353</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14477-2022</t>
        </is>
      </c>
      <c r="B1192" s="1" t="n">
        <v>44655</v>
      </c>
      <c r="C1192" s="1" t="n">
        <v>45353</v>
      </c>
      <c r="D1192" t="inlineStr">
        <is>
          <t>VÄSTERNORRLANDS LÄN</t>
        </is>
      </c>
      <c r="E1192" t="inlineStr">
        <is>
          <t>SOLLEFTEÅ</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14910-2022</t>
        </is>
      </c>
      <c r="B1193" s="1" t="n">
        <v>44657</v>
      </c>
      <c r="C1193" s="1" t="n">
        <v>45353</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15090-2022</t>
        </is>
      </c>
      <c r="B1194" s="1" t="n">
        <v>44658</v>
      </c>
      <c r="C1194" s="1" t="n">
        <v>45353</v>
      </c>
      <c r="D1194" t="inlineStr">
        <is>
          <t>VÄSTERNORRLANDS LÄN</t>
        </is>
      </c>
      <c r="E1194" t="inlineStr">
        <is>
          <t>SOLLEFTEÅ</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15241-2022</t>
        </is>
      </c>
      <c r="B1195" s="1" t="n">
        <v>44659</v>
      </c>
      <c r="C1195" s="1" t="n">
        <v>45353</v>
      </c>
      <c r="D1195" t="inlineStr">
        <is>
          <t>VÄSTERNORRLANDS LÄN</t>
        </is>
      </c>
      <c r="E1195" t="inlineStr">
        <is>
          <t>SOLLEFTEÅ</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15234-2022</t>
        </is>
      </c>
      <c r="B1196" s="1" t="n">
        <v>44659</v>
      </c>
      <c r="C1196" s="1" t="n">
        <v>45353</v>
      </c>
      <c r="D1196" t="inlineStr">
        <is>
          <t>VÄSTERNORRLANDS LÄN</t>
        </is>
      </c>
      <c r="E1196" t="inlineStr">
        <is>
          <t>SOLLEFTEÅ</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15658-2022</t>
        </is>
      </c>
      <c r="B1197" s="1" t="n">
        <v>44663</v>
      </c>
      <c r="C1197" s="1" t="n">
        <v>45353</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15809-2022</t>
        </is>
      </c>
      <c r="B1198" s="1" t="n">
        <v>44663</v>
      </c>
      <c r="C1198" s="1" t="n">
        <v>45353</v>
      </c>
      <c r="D1198" t="inlineStr">
        <is>
          <t>VÄSTERNORRLANDS LÄN</t>
        </is>
      </c>
      <c r="E1198" t="inlineStr">
        <is>
          <t>SOLLEFTEÅ</t>
        </is>
      </c>
      <c r="F1198" t="inlineStr">
        <is>
          <t>SCA</t>
        </is>
      </c>
      <c r="G1198" t="n">
        <v>16.3</v>
      </c>
      <c r="H1198" t="n">
        <v>0</v>
      </c>
      <c r="I1198" t="n">
        <v>0</v>
      </c>
      <c r="J1198" t="n">
        <v>0</v>
      </c>
      <c r="K1198" t="n">
        <v>0</v>
      </c>
      <c r="L1198" t="n">
        <v>0</v>
      </c>
      <c r="M1198" t="n">
        <v>0</v>
      </c>
      <c r="N1198" t="n">
        <v>0</v>
      </c>
      <c r="O1198" t="n">
        <v>0</v>
      </c>
      <c r="P1198" t="n">
        <v>0</v>
      </c>
      <c r="Q1198" t="n">
        <v>0</v>
      </c>
      <c r="R1198" s="2" t="inlineStr"/>
    </row>
    <row r="1199" ht="15" customHeight="1">
      <c r="A1199" t="inlineStr">
        <is>
          <t>A 15964-2022</t>
        </is>
      </c>
      <c r="B1199" s="1" t="n">
        <v>44665</v>
      </c>
      <c r="C1199" s="1" t="n">
        <v>45353</v>
      </c>
      <c r="D1199" t="inlineStr">
        <is>
          <t>VÄSTERNORRLANDS LÄN</t>
        </is>
      </c>
      <c r="E1199" t="inlineStr">
        <is>
          <t>SOLLEFTEÅ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15974-2022</t>
        </is>
      </c>
      <c r="B1200" s="1" t="n">
        <v>44665</v>
      </c>
      <c r="C1200" s="1" t="n">
        <v>45353</v>
      </c>
      <c r="D1200" t="inlineStr">
        <is>
          <t>VÄSTERNORRLANDS LÄN</t>
        </is>
      </c>
      <c r="E1200" t="inlineStr">
        <is>
          <t>SOLLEFTEÅ</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16088-2022</t>
        </is>
      </c>
      <c r="B1201" s="1" t="n">
        <v>44665</v>
      </c>
      <c r="C1201" s="1" t="n">
        <v>45353</v>
      </c>
      <c r="D1201" t="inlineStr">
        <is>
          <t>VÄSTERNORRLANDS LÄN</t>
        </is>
      </c>
      <c r="E1201" t="inlineStr">
        <is>
          <t>SOLLEFTEÅ</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16000-2022</t>
        </is>
      </c>
      <c r="B1202" s="1" t="n">
        <v>44665</v>
      </c>
      <c r="C1202" s="1" t="n">
        <v>45353</v>
      </c>
      <c r="D1202" t="inlineStr">
        <is>
          <t>VÄSTERNORRLANDS LÄN</t>
        </is>
      </c>
      <c r="E1202" t="inlineStr">
        <is>
          <t>SOLLEFTEÅ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16083-2022</t>
        </is>
      </c>
      <c r="B1203" s="1" t="n">
        <v>44665</v>
      </c>
      <c r="C1203" s="1" t="n">
        <v>45353</v>
      </c>
      <c r="D1203" t="inlineStr">
        <is>
          <t>VÄSTERNORRLANDS LÄN</t>
        </is>
      </c>
      <c r="E1203" t="inlineStr">
        <is>
          <t>SOLLEFTEÅ</t>
        </is>
      </c>
      <c r="F1203" t="inlineStr">
        <is>
          <t>Holmen skog AB</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16093-2022</t>
        </is>
      </c>
      <c r="B1204" s="1" t="n">
        <v>44665</v>
      </c>
      <c r="C1204" s="1" t="n">
        <v>45353</v>
      </c>
      <c r="D1204" t="inlineStr">
        <is>
          <t>VÄSTERNORRLANDS LÄN</t>
        </is>
      </c>
      <c r="E1204" t="inlineStr">
        <is>
          <t>SOLLEFTEÅ</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16365-2022</t>
        </is>
      </c>
      <c r="B1205" s="1" t="n">
        <v>44671</v>
      </c>
      <c r="C1205" s="1" t="n">
        <v>45353</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16419-2022</t>
        </is>
      </c>
      <c r="B1206" s="1" t="n">
        <v>44671</v>
      </c>
      <c r="C1206" s="1" t="n">
        <v>45353</v>
      </c>
      <c r="D1206" t="inlineStr">
        <is>
          <t>VÄSTERNORRLANDS LÄN</t>
        </is>
      </c>
      <c r="E1206" t="inlineStr">
        <is>
          <t>SOLLEFTEÅ</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16521-2022</t>
        </is>
      </c>
      <c r="B1207" s="1" t="n">
        <v>44671</v>
      </c>
      <c r="C1207" s="1" t="n">
        <v>45353</v>
      </c>
      <c r="D1207" t="inlineStr">
        <is>
          <t>VÄSTERNORRLANDS LÄN</t>
        </is>
      </c>
      <c r="E1207" t="inlineStr">
        <is>
          <t>SOLLEFTEÅ</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16675-2022</t>
        </is>
      </c>
      <c r="B1208" s="1" t="n">
        <v>44672</v>
      </c>
      <c r="C1208" s="1" t="n">
        <v>45353</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16611-2022</t>
        </is>
      </c>
      <c r="B1209" s="1" t="n">
        <v>44672</v>
      </c>
      <c r="C1209" s="1" t="n">
        <v>45353</v>
      </c>
      <c r="D1209" t="inlineStr">
        <is>
          <t>VÄSTERNORRLANDS LÄN</t>
        </is>
      </c>
      <c r="E1209" t="inlineStr">
        <is>
          <t>SOLLEFTEÅ</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16670-2022</t>
        </is>
      </c>
      <c r="B1210" s="1" t="n">
        <v>44673</v>
      </c>
      <c r="C1210" s="1" t="n">
        <v>45353</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17045-2022</t>
        </is>
      </c>
      <c r="B1211" s="1" t="n">
        <v>44676</v>
      </c>
      <c r="C1211" s="1" t="n">
        <v>45353</v>
      </c>
      <c r="D1211" t="inlineStr">
        <is>
          <t>VÄSTERNORRLANDS LÄN</t>
        </is>
      </c>
      <c r="E1211" t="inlineStr">
        <is>
          <t>SOLLEFTEÅ</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17049-2022</t>
        </is>
      </c>
      <c r="B1212" s="1" t="n">
        <v>44676</v>
      </c>
      <c r="C1212" s="1" t="n">
        <v>45353</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c r="U1212">
        <f>HYPERLINK("https://klasma.github.io/Logging_2283/knärot/A 17049-2022 karta knärot.png", "A 17049-2022")</f>
        <v/>
      </c>
      <c r="V1212">
        <f>HYPERLINK("https://klasma.github.io/Logging_2283/klagomål/A 17049-2022 FSC-klagomål.docx", "A 17049-2022")</f>
        <v/>
      </c>
      <c r="W1212">
        <f>HYPERLINK("https://klasma.github.io/Logging_2283/klagomålsmail/A 17049-2022 FSC-klagomål mail.docx", "A 17049-2022")</f>
        <v/>
      </c>
      <c r="X1212">
        <f>HYPERLINK("https://klasma.github.io/Logging_2283/tillsyn/A 17049-2022 tillsynsbegäran.docx", "A 17049-2022")</f>
        <v/>
      </c>
      <c r="Y1212">
        <f>HYPERLINK("https://klasma.github.io/Logging_2283/tillsynsmail/A 17049-2022 tillsynsbegäran mail.docx", "A 17049-2022")</f>
        <v/>
      </c>
    </row>
    <row r="1213" ht="15" customHeight="1">
      <c r="A1213" t="inlineStr">
        <is>
          <t>A 17344-2022</t>
        </is>
      </c>
      <c r="B1213" s="1" t="n">
        <v>44678</v>
      </c>
      <c r="C1213" s="1" t="n">
        <v>45353</v>
      </c>
      <c r="D1213" t="inlineStr">
        <is>
          <t>VÄSTERNORRLANDS LÄN</t>
        </is>
      </c>
      <c r="E1213" t="inlineStr">
        <is>
          <t>SOLLEFTEÅ</t>
        </is>
      </c>
      <c r="G1213" t="n">
        <v>34.2</v>
      </c>
      <c r="H1213" t="n">
        <v>0</v>
      </c>
      <c r="I1213" t="n">
        <v>0</v>
      </c>
      <c r="J1213" t="n">
        <v>0</v>
      </c>
      <c r="K1213" t="n">
        <v>0</v>
      </c>
      <c r="L1213" t="n">
        <v>0</v>
      </c>
      <c r="M1213" t="n">
        <v>0</v>
      </c>
      <c r="N1213" t="n">
        <v>0</v>
      </c>
      <c r="O1213" t="n">
        <v>0</v>
      </c>
      <c r="P1213" t="n">
        <v>0</v>
      </c>
      <c r="Q1213" t="n">
        <v>0</v>
      </c>
      <c r="R1213" s="2" t="inlineStr"/>
    </row>
    <row r="1214" ht="15" customHeight="1">
      <c r="A1214" t="inlineStr">
        <is>
          <t>A 17995-2022</t>
        </is>
      </c>
      <c r="B1214" s="1" t="n">
        <v>44684</v>
      </c>
      <c r="C1214" s="1" t="n">
        <v>45353</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18000-2022</t>
        </is>
      </c>
      <c r="B1215" s="1" t="n">
        <v>44684</v>
      </c>
      <c r="C1215" s="1" t="n">
        <v>45353</v>
      </c>
      <c r="D1215" t="inlineStr">
        <is>
          <t>VÄSTERNORRLANDS LÄN</t>
        </is>
      </c>
      <c r="E1215" t="inlineStr">
        <is>
          <t>SOLLEFTEÅ</t>
        </is>
      </c>
      <c r="F1215" t="inlineStr">
        <is>
          <t>SCA</t>
        </is>
      </c>
      <c r="G1215" t="n">
        <v>14.4</v>
      </c>
      <c r="H1215" t="n">
        <v>0</v>
      </c>
      <c r="I1215" t="n">
        <v>0</v>
      </c>
      <c r="J1215" t="n">
        <v>0</v>
      </c>
      <c r="K1215" t="n">
        <v>0</v>
      </c>
      <c r="L1215" t="n">
        <v>0</v>
      </c>
      <c r="M1215" t="n">
        <v>0</v>
      </c>
      <c r="N1215" t="n">
        <v>0</v>
      </c>
      <c r="O1215" t="n">
        <v>0</v>
      </c>
      <c r="P1215" t="n">
        <v>0</v>
      </c>
      <c r="Q1215" t="n">
        <v>0</v>
      </c>
      <c r="R1215" s="2" t="inlineStr"/>
    </row>
    <row r="1216" ht="15" customHeight="1">
      <c r="A1216" t="inlineStr">
        <is>
          <t>A 18011-2022</t>
        </is>
      </c>
      <c r="B1216" s="1" t="n">
        <v>44683</v>
      </c>
      <c r="C1216" s="1" t="n">
        <v>45353</v>
      </c>
      <c r="D1216" t="inlineStr">
        <is>
          <t>VÄSTERNORRLANDS LÄN</t>
        </is>
      </c>
      <c r="E1216" t="inlineStr">
        <is>
          <t>SOLLEFTEÅ</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18015-2022</t>
        </is>
      </c>
      <c r="B1217" s="1" t="n">
        <v>44684</v>
      </c>
      <c r="C1217" s="1" t="n">
        <v>45353</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18016-2022</t>
        </is>
      </c>
      <c r="B1218" s="1" t="n">
        <v>44684</v>
      </c>
      <c r="C1218" s="1" t="n">
        <v>45353</v>
      </c>
      <c r="D1218" t="inlineStr">
        <is>
          <t>VÄSTERNORRLANDS LÄN</t>
        </is>
      </c>
      <c r="E1218" t="inlineStr">
        <is>
          <t>SOLLEFTEÅ</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17999-2022</t>
        </is>
      </c>
      <c r="B1219" s="1" t="n">
        <v>44683</v>
      </c>
      <c r="C1219" s="1" t="n">
        <v>45353</v>
      </c>
      <c r="D1219" t="inlineStr">
        <is>
          <t>VÄSTERNORRLANDS LÄN</t>
        </is>
      </c>
      <c r="E1219" t="inlineStr">
        <is>
          <t>SOLLEFTEÅ</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18013-2022</t>
        </is>
      </c>
      <c r="B1220" s="1" t="n">
        <v>44684</v>
      </c>
      <c r="C1220" s="1" t="n">
        <v>45353</v>
      </c>
      <c r="D1220" t="inlineStr">
        <is>
          <t>VÄSTERNORRLANDS LÄN</t>
        </is>
      </c>
      <c r="E1220" t="inlineStr">
        <is>
          <t>SOLLEFTEÅ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18017-2022</t>
        </is>
      </c>
      <c r="B1221" s="1" t="n">
        <v>44683</v>
      </c>
      <c r="C1221" s="1" t="n">
        <v>45353</v>
      </c>
      <c r="D1221" t="inlineStr">
        <is>
          <t>VÄSTERNORRLANDS LÄN</t>
        </is>
      </c>
      <c r="E1221" t="inlineStr">
        <is>
          <t>SOLLEFTEÅ</t>
        </is>
      </c>
      <c r="F1221" t="inlineStr">
        <is>
          <t>SCA</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18019-2022</t>
        </is>
      </c>
      <c r="B1222" s="1" t="n">
        <v>44684</v>
      </c>
      <c r="C1222" s="1" t="n">
        <v>45353</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18187-2022</t>
        </is>
      </c>
      <c r="B1223" s="1" t="n">
        <v>44684</v>
      </c>
      <c r="C1223" s="1" t="n">
        <v>45353</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18190-2022</t>
        </is>
      </c>
      <c r="B1224" s="1" t="n">
        <v>44685</v>
      </c>
      <c r="C1224" s="1" t="n">
        <v>45353</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18197-2022</t>
        </is>
      </c>
      <c r="B1225" s="1" t="n">
        <v>44684</v>
      </c>
      <c r="C1225" s="1" t="n">
        <v>45353</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18188-2022</t>
        </is>
      </c>
      <c r="B1226" s="1" t="n">
        <v>44685</v>
      </c>
      <c r="C1226" s="1" t="n">
        <v>45353</v>
      </c>
      <c r="D1226" t="inlineStr">
        <is>
          <t>VÄSTERNORRLANDS LÄN</t>
        </is>
      </c>
      <c r="E1226" t="inlineStr">
        <is>
          <t>SOLLEFTEÅ</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18196-2022</t>
        </is>
      </c>
      <c r="B1227" s="1" t="n">
        <v>44685</v>
      </c>
      <c r="C1227" s="1" t="n">
        <v>45353</v>
      </c>
      <c r="D1227" t="inlineStr">
        <is>
          <t>VÄSTERNORRLANDS LÄN</t>
        </is>
      </c>
      <c r="E1227" t="inlineStr">
        <is>
          <t>SOLLEFTEÅ</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18202-2022</t>
        </is>
      </c>
      <c r="B1228" s="1" t="n">
        <v>44684</v>
      </c>
      <c r="C1228" s="1" t="n">
        <v>45353</v>
      </c>
      <c r="D1228" t="inlineStr">
        <is>
          <t>VÄSTERNORRLANDS LÄN</t>
        </is>
      </c>
      <c r="E1228" t="inlineStr">
        <is>
          <t>SOLLEFTEÅ</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18304-2022</t>
        </is>
      </c>
      <c r="B1229" s="1" t="n">
        <v>44685</v>
      </c>
      <c r="C1229" s="1" t="n">
        <v>45353</v>
      </c>
      <c r="D1229" t="inlineStr">
        <is>
          <t>VÄSTERNORRLANDS LÄN</t>
        </is>
      </c>
      <c r="E1229" t="inlineStr">
        <is>
          <t>SOLLEFTEÅ</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18372-2022</t>
        </is>
      </c>
      <c r="B1230" s="1" t="n">
        <v>44685</v>
      </c>
      <c r="C1230" s="1" t="n">
        <v>45353</v>
      </c>
      <c r="D1230" t="inlineStr">
        <is>
          <t>VÄSTERNORRLANDS LÄN</t>
        </is>
      </c>
      <c r="E1230" t="inlineStr">
        <is>
          <t>SOLLEFTEÅ</t>
        </is>
      </c>
      <c r="F1230" t="inlineStr">
        <is>
          <t>SCA</t>
        </is>
      </c>
      <c r="G1230" t="n">
        <v>11.9</v>
      </c>
      <c r="H1230" t="n">
        <v>0</v>
      </c>
      <c r="I1230" t="n">
        <v>0</v>
      </c>
      <c r="J1230" t="n">
        <v>0</v>
      </c>
      <c r="K1230" t="n">
        <v>0</v>
      </c>
      <c r="L1230" t="n">
        <v>0</v>
      </c>
      <c r="M1230" t="n">
        <v>0</v>
      </c>
      <c r="N1230" t="n">
        <v>0</v>
      </c>
      <c r="O1230" t="n">
        <v>0</v>
      </c>
      <c r="P1230" t="n">
        <v>0</v>
      </c>
      <c r="Q1230" t="n">
        <v>0</v>
      </c>
      <c r="R1230" s="2" t="inlineStr"/>
    </row>
    <row r="1231" ht="15" customHeight="1">
      <c r="A1231" t="inlineStr">
        <is>
          <t>A 18570-2022</t>
        </is>
      </c>
      <c r="B1231" s="1" t="n">
        <v>44687</v>
      </c>
      <c r="C1231" s="1" t="n">
        <v>45353</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18852-2022</t>
        </is>
      </c>
      <c r="B1232" s="1" t="n">
        <v>44690</v>
      </c>
      <c r="C1232" s="1" t="n">
        <v>45353</v>
      </c>
      <c r="D1232" t="inlineStr">
        <is>
          <t>VÄSTERNORRLANDS LÄN</t>
        </is>
      </c>
      <c r="E1232" t="inlineStr">
        <is>
          <t>SOLLEFTEÅ</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19055-2022</t>
        </is>
      </c>
      <c r="B1233" s="1" t="n">
        <v>44691</v>
      </c>
      <c r="C1233" s="1" t="n">
        <v>45353</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19051-2022</t>
        </is>
      </c>
      <c r="B1234" s="1" t="n">
        <v>44691</v>
      </c>
      <c r="C1234" s="1" t="n">
        <v>45353</v>
      </c>
      <c r="D1234" t="inlineStr">
        <is>
          <t>VÄSTERNORRLANDS LÄN</t>
        </is>
      </c>
      <c r="E1234" t="inlineStr">
        <is>
          <t>SOLLEFTEÅ</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19053-2022</t>
        </is>
      </c>
      <c r="B1235" s="1" t="n">
        <v>44691</v>
      </c>
      <c r="C1235" s="1" t="n">
        <v>45353</v>
      </c>
      <c r="D1235" t="inlineStr">
        <is>
          <t>VÄSTERNORRLANDS LÄN</t>
        </is>
      </c>
      <c r="E1235" t="inlineStr">
        <is>
          <t>SOLLEFTEÅ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19203-2022</t>
        </is>
      </c>
      <c r="B1236" s="1" t="n">
        <v>44692</v>
      </c>
      <c r="C1236" s="1" t="n">
        <v>45353</v>
      </c>
      <c r="D1236" t="inlineStr">
        <is>
          <t>VÄSTERNORRLANDS LÄN</t>
        </is>
      </c>
      <c r="E1236" t="inlineStr">
        <is>
          <t>SOLLEFTEÅ</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19208-2022</t>
        </is>
      </c>
      <c r="B1237" s="1" t="n">
        <v>44691</v>
      </c>
      <c r="C1237" s="1" t="n">
        <v>45353</v>
      </c>
      <c r="D1237" t="inlineStr">
        <is>
          <t>VÄSTERNORRLANDS LÄN</t>
        </is>
      </c>
      <c r="E1237" t="inlineStr">
        <is>
          <t>SOLLEFTEÅ</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19295-2022</t>
        </is>
      </c>
      <c r="B1238" s="1" t="n">
        <v>44692</v>
      </c>
      <c r="C1238" s="1" t="n">
        <v>45353</v>
      </c>
      <c r="D1238" t="inlineStr">
        <is>
          <t>VÄSTERNORRLANDS LÄN</t>
        </is>
      </c>
      <c r="E1238" t="inlineStr">
        <is>
          <t>SOLLEFTEÅ</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19414-2022</t>
        </is>
      </c>
      <c r="B1239" s="1" t="n">
        <v>44693</v>
      </c>
      <c r="C1239" s="1" t="n">
        <v>45353</v>
      </c>
      <c r="D1239" t="inlineStr">
        <is>
          <t>VÄSTERNORRLANDS LÄN</t>
        </is>
      </c>
      <c r="E1239" t="inlineStr">
        <is>
          <t>SOLLEFTEÅ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19416-2022</t>
        </is>
      </c>
      <c r="B1240" s="1" t="n">
        <v>44693</v>
      </c>
      <c r="C1240" s="1" t="n">
        <v>45353</v>
      </c>
      <c r="D1240" t="inlineStr">
        <is>
          <t>VÄSTERNORRLANDS LÄN</t>
        </is>
      </c>
      <c r="E1240" t="inlineStr">
        <is>
          <t>SOLLEFTEÅ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19508-2022</t>
        </is>
      </c>
      <c r="B1241" s="1" t="n">
        <v>44693</v>
      </c>
      <c r="C1241" s="1" t="n">
        <v>45353</v>
      </c>
      <c r="D1241" t="inlineStr">
        <is>
          <t>VÄSTERNORRLANDS LÄN</t>
        </is>
      </c>
      <c r="E1241" t="inlineStr">
        <is>
          <t>SOLLEFTEÅ</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19585-2022</t>
        </is>
      </c>
      <c r="B1242" s="1" t="n">
        <v>44693</v>
      </c>
      <c r="C1242" s="1" t="n">
        <v>45353</v>
      </c>
      <c r="D1242" t="inlineStr">
        <is>
          <t>VÄSTERNORRLANDS LÄN</t>
        </is>
      </c>
      <c r="E1242" t="inlineStr">
        <is>
          <t>SOLLEFTEÅ</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19583-2022</t>
        </is>
      </c>
      <c r="B1243" s="1" t="n">
        <v>44693</v>
      </c>
      <c r="C1243" s="1" t="n">
        <v>45353</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19593-2022</t>
        </is>
      </c>
      <c r="B1244" s="1" t="n">
        <v>44694</v>
      </c>
      <c r="C1244" s="1" t="n">
        <v>45353</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19588-2022</t>
        </is>
      </c>
      <c r="B1245" s="1" t="n">
        <v>44694</v>
      </c>
      <c r="C1245" s="1" t="n">
        <v>45353</v>
      </c>
      <c r="D1245" t="inlineStr">
        <is>
          <t>VÄSTERNORRLANDS LÄN</t>
        </is>
      </c>
      <c r="E1245" t="inlineStr">
        <is>
          <t>SOLLEFTEÅ</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19595-2022</t>
        </is>
      </c>
      <c r="B1246" s="1" t="n">
        <v>44693</v>
      </c>
      <c r="C1246" s="1" t="n">
        <v>45353</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19594-2022</t>
        </is>
      </c>
      <c r="B1247" s="1" t="n">
        <v>44694</v>
      </c>
      <c r="C1247" s="1" t="n">
        <v>45353</v>
      </c>
      <c r="D1247" t="inlineStr">
        <is>
          <t>VÄSTERNORRLANDS LÄN</t>
        </is>
      </c>
      <c r="E1247" t="inlineStr">
        <is>
          <t>SOLLEFTEÅ</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19825-2022</t>
        </is>
      </c>
      <c r="B1248" s="1" t="n">
        <v>44695</v>
      </c>
      <c r="C1248" s="1" t="n">
        <v>45353</v>
      </c>
      <c r="D1248" t="inlineStr">
        <is>
          <t>VÄSTERNORRLANDS LÄN</t>
        </is>
      </c>
      <c r="E1248" t="inlineStr">
        <is>
          <t>SOLLEFTEÅ</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19813-2022</t>
        </is>
      </c>
      <c r="B1249" s="1" t="n">
        <v>44695</v>
      </c>
      <c r="C1249" s="1" t="n">
        <v>45353</v>
      </c>
      <c r="D1249" t="inlineStr">
        <is>
          <t>VÄSTERNORRLANDS LÄN</t>
        </is>
      </c>
      <c r="E1249" t="inlineStr">
        <is>
          <t>SOLLEFTEÅ</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19814-2022</t>
        </is>
      </c>
      <c r="B1250" s="1" t="n">
        <v>44695</v>
      </c>
      <c r="C1250" s="1" t="n">
        <v>45353</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20061-2022</t>
        </is>
      </c>
      <c r="B1251" s="1" t="n">
        <v>44698</v>
      </c>
      <c r="C1251" s="1" t="n">
        <v>45353</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20062-2022</t>
        </is>
      </c>
      <c r="B1252" s="1" t="n">
        <v>44697</v>
      </c>
      <c r="C1252" s="1" t="n">
        <v>45353</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20296-2022</t>
        </is>
      </c>
      <c r="B1253" s="1" t="n">
        <v>44698</v>
      </c>
      <c r="C1253" s="1" t="n">
        <v>45353</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20551-2022</t>
        </is>
      </c>
      <c r="B1254" s="1" t="n">
        <v>44699</v>
      </c>
      <c r="C1254" s="1" t="n">
        <v>45353</v>
      </c>
      <c r="D1254" t="inlineStr">
        <is>
          <t>VÄSTERNORRLANDS LÄN</t>
        </is>
      </c>
      <c r="E1254" t="inlineStr">
        <is>
          <t>SOLLEFTEÅ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20699-2022</t>
        </is>
      </c>
      <c r="B1255" s="1" t="n">
        <v>44701</v>
      </c>
      <c r="C1255" s="1" t="n">
        <v>45353</v>
      </c>
      <c r="D1255" t="inlineStr">
        <is>
          <t>VÄSTERNORRLANDS LÄN</t>
        </is>
      </c>
      <c r="E1255" t="inlineStr">
        <is>
          <t>SOLLEFTEÅ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20704-2022</t>
        </is>
      </c>
      <c r="B1256" s="1" t="n">
        <v>44700</v>
      </c>
      <c r="C1256" s="1" t="n">
        <v>45353</v>
      </c>
      <c r="D1256" t="inlineStr">
        <is>
          <t>VÄSTERNORRLANDS LÄN</t>
        </is>
      </c>
      <c r="E1256" t="inlineStr">
        <is>
          <t>SOLLEFTEÅ</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20702-2022</t>
        </is>
      </c>
      <c r="B1257" s="1" t="n">
        <v>44701</v>
      </c>
      <c r="C1257" s="1" t="n">
        <v>45353</v>
      </c>
      <c r="D1257" t="inlineStr">
        <is>
          <t>VÄSTERNORRLANDS LÄN</t>
        </is>
      </c>
      <c r="E1257" t="inlineStr">
        <is>
          <t>SOLLEFTEÅ</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20703-2022</t>
        </is>
      </c>
      <c r="B1258" s="1" t="n">
        <v>44701</v>
      </c>
      <c r="C1258" s="1" t="n">
        <v>45353</v>
      </c>
      <c r="D1258" t="inlineStr">
        <is>
          <t>VÄSTERNORRLANDS LÄN</t>
        </is>
      </c>
      <c r="E1258" t="inlineStr">
        <is>
          <t>SOLLEFTEÅ</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20724-2022</t>
        </is>
      </c>
      <c r="B1259" s="1" t="n">
        <v>44700</v>
      </c>
      <c r="C1259" s="1" t="n">
        <v>45353</v>
      </c>
      <c r="D1259" t="inlineStr">
        <is>
          <t>VÄSTERNORRLANDS LÄN</t>
        </is>
      </c>
      <c r="E1259" t="inlineStr">
        <is>
          <t>SOLLEFTEÅ</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20738-2022</t>
        </is>
      </c>
      <c r="B1260" s="1" t="n">
        <v>44700</v>
      </c>
      <c r="C1260" s="1" t="n">
        <v>45353</v>
      </c>
      <c r="D1260" t="inlineStr">
        <is>
          <t>VÄSTERNORRLANDS LÄN</t>
        </is>
      </c>
      <c r="E1260" t="inlineStr">
        <is>
          <t>SOLLEFTEÅ</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20955-2022</t>
        </is>
      </c>
      <c r="B1261" s="1" t="n">
        <v>44702</v>
      </c>
      <c r="C1261" s="1" t="n">
        <v>45353</v>
      </c>
      <c r="D1261" t="inlineStr">
        <is>
          <t>VÄSTERNORRLANDS LÄN</t>
        </is>
      </c>
      <c r="E1261" t="inlineStr">
        <is>
          <t>SOLLEFTEÅ</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20950-2022</t>
        </is>
      </c>
      <c r="B1262" s="1" t="n">
        <v>44701</v>
      </c>
      <c r="C1262" s="1" t="n">
        <v>45353</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20954-2022</t>
        </is>
      </c>
      <c r="B1263" s="1" t="n">
        <v>44702</v>
      </c>
      <c r="C1263" s="1" t="n">
        <v>45353</v>
      </c>
      <c r="D1263" t="inlineStr">
        <is>
          <t>VÄSTERNORRLANDS LÄN</t>
        </is>
      </c>
      <c r="E1263" t="inlineStr">
        <is>
          <t>SOLLEFTEÅ</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20951-2022</t>
        </is>
      </c>
      <c r="B1264" s="1" t="n">
        <v>44701</v>
      </c>
      <c r="C1264" s="1" t="n">
        <v>45353</v>
      </c>
      <c r="D1264" t="inlineStr">
        <is>
          <t>VÄSTERNORRLANDS LÄN</t>
        </is>
      </c>
      <c r="E1264" t="inlineStr">
        <is>
          <t>SOLLEFTEÅ</t>
        </is>
      </c>
      <c r="F1264" t="inlineStr">
        <is>
          <t>SCA</t>
        </is>
      </c>
      <c r="G1264" t="n">
        <v>11.2</v>
      </c>
      <c r="H1264" t="n">
        <v>0</v>
      </c>
      <c r="I1264" t="n">
        <v>0</v>
      </c>
      <c r="J1264" t="n">
        <v>0</v>
      </c>
      <c r="K1264" t="n">
        <v>0</v>
      </c>
      <c r="L1264" t="n">
        <v>0</v>
      </c>
      <c r="M1264" t="n">
        <v>0</v>
      </c>
      <c r="N1264" t="n">
        <v>0</v>
      </c>
      <c r="O1264" t="n">
        <v>0</v>
      </c>
      <c r="P1264" t="n">
        <v>0</v>
      </c>
      <c r="Q1264" t="n">
        <v>0</v>
      </c>
      <c r="R1264" s="2" t="inlineStr"/>
    </row>
    <row r="1265" ht="15" customHeight="1">
      <c r="A1265" t="inlineStr">
        <is>
          <t>A 20942-2022</t>
        </is>
      </c>
      <c r="B1265" s="1" t="n">
        <v>44701</v>
      </c>
      <c r="C1265" s="1" t="n">
        <v>45353</v>
      </c>
      <c r="D1265" t="inlineStr">
        <is>
          <t>VÄSTERNORRLANDS LÄN</t>
        </is>
      </c>
      <c r="E1265" t="inlineStr">
        <is>
          <t>SOLLEFTEÅ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20996-2022</t>
        </is>
      </c>
      <c r="B1266" s="1" t="n">
        <v>44703</v>
      </c>
      <c r="C1266" s="1" t="n">
        <v>45353</v>
      </c>
      <c r="D1266" t="inlineStr">
        <is>
          <t>VÄSTERNORRLANDS LÄN</t>
        </is>
      </c>
      <c r="E1266" t="inlineStr">
        <is>
          <t>SOLLEFTEÅ</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20994-2022</t>
        </is>
      </c>
      <c r="B1267" s="1" t="n">
        <v>44703</v>
      </c>
      <c r="C1267" s="1" t="n">
        <v>45353</v>
      </c>
      <c r="D1267" t="inlineStr">
        <is>
          <t>VÄSTERNORRLANDS LÄN</t>
        </is>
      </c>
      <c r="E1267" t="inlineStr">
        <is>
          <t>SOLLEFTEÅ</t>
        </is>
      </c>
      <c r="F1267" t="inlineStr">
        <is>
          <t>SCA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21050-2022</t>
        </is>
      </c>
      <c r="B1268" s="1" t="n">
        <v>44704</v>
      </c>
      <c r="C1268" s="1" t="n">
        <v>45353</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21191-2022</t>
        </is>
      </c>
      <c r="B1269" s="1" t="n">
        <v>44705</v>
      </c>
      <c r="C1269" s="1" t="n">
        <v>45353</v>
      </c>
      <c r="D1269" t="inlineStr">
        <is>
          <t>VÄSTERNORRLANDS LÄN</t>
        </is>
      </c>
      <c r="E1269" t="inlineStr">
        <is>
          <t>SOLLEFTEÅ</t>
        </is>
      </c>
      <c r="F1269" t="inlineStr">
        <is>
          <t>SCA</t>
        </is>
      </c>
      <c r="G1269" t="n">
        <v>26.5</v>
      </c>
      <c r="H1269" t="n">
        <v>0</v>
      </c>
      <c r="I1269" t="n">
        <v>0</v>
      </c>
      <c r="J1269" t="n">
        <v>0</v>
      </c>
      <c r="K1269" t="n">
        <v>0</v>
      </c>
      <c r="L1269" t="n">
        <v>0</v>
      </c>
      <c r="M1269" t="n">
        <v>0</v>
      </c>
      <c r="N1269" t="n">
        <v>0</v>
      </c>
      <c r="O1269" t="n">
        <v>0</v>
      </c>
      <c r="P1269" t="n">
        <v>0</v>
      </c>
      <c r="Q1269" t="n">
        <v>0</v>
      </c>
      <c r="R1269" s="2" t="inlineStr"/>
    </row>
    <row r="1270" ht="15" customHeight="1">
      <c r="A1270" t="inlineStr">
        <is>
          <t>A 21210-2022</t>
        </is>
      </c>
      <c r="B1270" s="1" t="n">
        <v>44705</v>
      </c>
      <c r="C1270" s="1" t="n">
        <v>45353</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21404-2022</t>
        </is>
      </c>
      <c r="B1271" s="1" t="n">
        <v>44706</v>
      </c>
      <c r="C1271" s="1" t="n">
        <v>45353</v>
      </c>
      <c r="D1271" t="inlineStr">
        <is>
          <t>VÄSTERNORRLANDS LÄN</t>
        </is>
      </c>
      <c r="E1271" t="inlineStr">
        <is>
          <t>SOLLEFTEÅ</t>
        </is>
      </c>
      <c r="F1271" t="inlineStr">
        <is>
          <t>SCA</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21582-2022</t>
        </is>
      </c>
      <c r="B1272" s="1" t="n">
        <v>44706</v>
      </c>
      <c r="C1272" s="1" t="n">
        <v>45353</v>
      </c>
      <c r="D1272" t="inlineStr">
        <is>
          <t>VÄSTERNORRLANDS LÄN</t>
        </is>
      </c>
      <c r="E1272" t="inlineStr">
        <is>
          <t>SOLLEFTEÅ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21637-2022</t>
        </is>
      </c>
      <c r="B1273" s="1" t="n">
        <v>44707</v>
      </c>
      <c r="C1273" s="1" t="n">
        <v>45353</v>
      </c>
      <c r="D1273" t="inlineStr">
        <is>
          <t>VÄSTERNORRLANDS LÄN</t>
        </is>
      </c>
      <c r="E1273" t="inlineStr">
        <is>
          <t>SOLLEFTEÅ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21636-2022</t>
        </is>
      </c>
      <c r="B1274" s="1" t="n">
        <v>44707</v>
      </c>
      <c r="C1274" s="1" t="n">
        <v>45353</v>
      </c>
      <c r="D1274" t="inlineStr">
        <is>
          <t>VÄSTERNORRLANDS LÄN</t>
        </is>
      </c>
      <c r="E1274" t="inlineStr">
        <is>
          <t>SOLLEFTEÅ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21635-2022</t>
        </is>
      </c>
      <c r="B1275" s="1" t="n">
        <v>44707</v>
      </c>
      <c r="C1275" s="1" t="n">
        <v>45353</v>
      </c>
      <c r="D1275" t="inlineStr">
        <is>
          <t>VÄSTERNORRLANDS LÄN</t>
        </is>
      </c>
      <c r="E1275" t="inlineStr">
        <is>
          <t>SOLLEFTEÅ</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21713-2022</t>
        </is>
      </c>
      <c r="B1276" s="1" t="n">
        <v>44708</v>
      </c>
      <c r="C1276" s="1" t="n">
        <v>45353</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21714-2022</t>
        </is>
      </c>
      <c r="B1277" s="1" t="n">
        <v>44708</v>
      </c>
      <c r="C1277" s="1" t="n">
        <v>45353</v>
      </c>
      <c r="D1277" t="inlineStr">
        <is>
          <t>VÄSTERNORRLANDS LÄN</t>
        </is>
      </c>
      <c r="E1277" t="inlineStr">
        <is>
          <t>SOLLEFTEÅ</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21715-2022</t>
        </is>
      </c>
      <c r="B1278" s="1" t="n">
        <v>44708</v>
      </c>
      <c r="C1278" s="1" t="n">
        <v>45353</v>
      </c>
      <c r="D1278" t="inlineStr">
        <is>
          <t>VÄSTERNORRLANDS LÄN</t>
        </is>
      </c>
      <c r="E1278" t="inlineStr">
        <is>
          <t>SOLLEFTEÅ</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21711-2022</t>
        </is>
      </c>
      <c r="B1279" s="1" t="n">
        <v>44707</v>
      </c>
      <c r="C1279" s="1" t="n">
        <v>45353</v>
      </c>
      <c r="D1279" t="inlineStr">
        <is>
          <t>VÄSTERNORRLANDS LÄN</t>
        </is>
      </c>
      <c r="E1279" t="inlineStr">
        <is>
          <t>SOLLEFTEÅ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21807-2022</t>
        </is>
      </c>
      <c r="B1280" s="1" t="n">
        <v>44708</v>
      </c>
      <c r="C1280" s="1" t="n">
        <v>45353</v>
      </c>
      <c r="D1280" t="inlineStr">
        <is>
          <t>VÄSTERNORRLANDS LÄN</t>
        </is>
      </c>
      <c r="E1280" t="inlineStr">
        <is>
          <t>SOLLEFTEÅ</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22101-2022</t>
        </is>
      </c>
      <c r="B1281" s="1" t="n">
        <v>44712</v>
      </c>
      <c r="C1281" s="1" t="n">
        <v>45353</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22087-2022</t>
        </is>
      </c>
      <c r="B1282" s="1" t="n">
        <v>44712</v>
      </c>
      <c r="C1282" s="1" t="n">
        <v>45353</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22103-2022</t>
        </is>
      </c>
      <c r="B1283" s="1" t="n">
        <v>44712</v>
      </c>
      <c r="C1283" s="1" t="n">
        <v>45353</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22323-2022</t>
        </is>
      </c>
      <c r="B1284" s="1" t="n">
        <v>44713</v>
      </c>
      <c r="C1284" s="1" t="n">
        <v>45353</v>
      </c>
      <c r="D1284" t="inlineStr">
        <is>
          <t>VÄSTERNORRLANDS LÄN</t>
        </is>
      </c>
      <c r="E1284" t="inlineStr">
        <is>
          <t>SOLLEFTEÅ</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22330-2022</t>
        </is>
      </c>
      <c r="B1285" s="1" t="n">
        <v>44712</v>
      </c>
      <c r="C1285" s="1" t="n">
        <v>45353</v>
      </c>
      <c r="D1285" t="inlineStr">
        <is>
          <t>VÄSTERNORRLANDS LÄN</t>
        </is>
      </c>
      <c r="E1285" t="inlineStr">
        <is>
          <t>SOLLEFTEÅ</t>
        </is>
      </c>
      <c r="F1285" t="inlineStr">
        <is>
          <t>SCA</t>
        </is>
      </c>
      <c r="G1285" t="n">
        <v>21.9</v>
      </c>
      <c r="H1285" t="n">
        <v>0</v>
      </c>
      <c r="I1285" t="n">
        <v>0</v>
      </c>
      <c r="J1285" t="n">
        <v>0</v>
      </c>
      <c r="K1285" t="n">
        <v>0</v>
      </c>
      <c r="L1285" t="n">
        <v>0</v>
      </c>
      <c r="M1285" t="n">
        <v>0</v>
      </c>
      <c r="N1285" t="n">
        <v>0</v>
      </c>
      <c r="O1285" t="n">
        <v>0</v>
      </c>
      <c r="P1285" t="n">
        <v>0</v>
      </c>
      <c r="Q1285" t="n">
        <v>0</v>
      </c>
      <c r="R1285" s="2" t="inlineStr"/>
    </row>
    <row r="1286" ht="15" customHeight="1">
      <c r="A1286" t="inlineStr">
        <is>
          <t>A 22341-2022</t>
        </is>
      </c>
      <c r="B1286" s="1" t="n">
        <v>44713</v>
      </c>
      <c r="C1286" s="1" t="n">
        <v>45353</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22342-2022</t>
        </is>
      </c>
      <c r="B1287" s="1" t="n">
        <v>44713</v>
      </c>
      <c r="C1287" s="1" t="n">
        <v>45353</v>
      </c>
      <c r="D1287" t="inlineStr">
        <is>
          <t>VÄSTERNORRLANDS LÄN</t>
        </is>
      </c>
      <c r="E1287" t="inlineStr">
        <is>
          <t>SOLLEFTEÅ</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22343-2022</t>
        </is>
      </c>
      <c r="B1288" s="1" t="n">
        <v>44713</v>
      </c>
      <c r="C1288" s="1" t="n">
        <v>45353</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22664-2022</t>
        </is>
      </c>
      <c r="B1289" s="1" t="n">
        <v>44714</v>
      </c>
      <c r="C1289" s="1" t="n">
        <v>45353</v>
      </c>
      <c r="D1289" t="inlineStr">
        <is>
          <t>VÄSTERNORRLANDS LÄN</t>
        </is>
      </c>
      <c r="E1289" t="inlineStr">
        <is>
          <t>SOLLEFTEÅ</t>
        </is>
      </c>
      <c r="G1289" t="n">
        <v>9.9</v>
      </c>
      <c r="H1289" t="n">
        <v>0</v>
      </c>
      <c r="I1289" t="n">
        <v>0</v>
      </c>
      <c r="J1289" t="n">
        <v>0</v>
      </c>
      <c r="K1289" t="n">
        <v>0</v>
      </c>
      <c r="L1289" t="n">
        <v>0</v>
      </c>
      <c r="M1289" t="n">
        <v>0</v>
      </c>
      <c r="N1289" t="n">
        <v>0</v>
      </c>
      <c r="O1289" t="n">
        <v>0</v>
      </c>
      <c r="P1289" t="n">
        <v>0</v>
      </c>
      <c r="Q1289" t="n">
        <v>0</v>
      </c>
      <c r="R1289" s="2" t="inlineStr"/>
    </row>
    <row r="1290" ht="15" customHeight="1">
      <c r="A1290" t="inlineStr">
        <is>
          <t>A 22762-2022</t>
        </is>
      </c>
      <c r="B1290" s="1" t="n">
        <v>44715</v>
      </c>
      <c r="C1290" s="1" t="n">
        <v>45353</v>
      </c>
      <c r="D1290" t="inlineStr">
        <is>
          <t>VÄSTERNORRLANDS LÄN</t>
        </is>
      </c>
      <c r="E1290" t="inlineStr">
        <is>
          <t>SOLLEFTEÅ</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22956-2022</t>
        </is>
      </c>
      <c r="B1291" s="1" t="n">
        <v>44716</v>
      </c>
      <c r="C1291" s="1" t="n">
        <v>45353</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22952-2022</t>
        </is>
      </c>
      <c r="B1292" s="1" t="n">
        <v>44716</v>
      </c>
      <c r="C1292" s="1" t="n">
        <v>45353</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22962-2022</t>
        </is>
      </c>
      <c r="B1293" s="1" t="n">
        <v>44715</v>
      </c>
      <c r="C1293" s="1" t="n">
        <v>45353</v>
      </c>
      <c r="D1293" t="inlineStr">
        <is>
          <t>VÄSTERNORRLANDS LÄN</t>
        </is>
      </c>
      <c r="E1293" t="inlineStr">
        <is>
          <t>SOLLEFTEÅ</t>
        </is>
      </c>
      <c r="F1293" t="inlineStr">
        <is>
          <t>SCA</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23111-2022</t>
        </is>
      </c>
      <c r="B1294" s="1" t="n">
        <v>44720</v>
      </c>
      <c r="C1294" s="1" t="n">
        <v>45353</v>
      </c>
      <c r="D1294" t="inlineStr">
        <is>
          <t>VÄSTERNORRLANDS LÄN</t>
        </is>
      </c>
      <c r="E1294" t="inlineStr">
        <is>
          <t>SOLLEFTEÅ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23230-2022</t>
        </is>
      </c>
      <c r="B1295" s="1" t="n">
        <v>44720</v>
      </c>
      <c r="C1295" s="1" t="n">
        <v>45353</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23282-2022</t>
        </is>
      </c>
      <c r="B1296" s="1" t="n">
        <v>44720</v>
      </c>
      <c r="C1296" s="1" t="n">
        <v>45353</v>
      </c>
      <c r="D1296" t="inlineStr">
        <is>
          <t>VÄSTERNORRLANDS LÄN</t>
        </is>
      </c>
      <c r="E1296" t="inlineStr">
        <is>
          <t>SOLLEFTEÅ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23436-2022</t>
        </is>
      </c>
      <c r="B1297" s="1" t="n">
        <v>44720</v>
      </c>
      <c r="C1297" s="1" t="n">
        <v>45353</v>
      </c>
      <c r="D1297" t="inlineStr">
        <is>
          <t>VÄSTERNORRLANDS LÄN</t>
        </is>
      </c>
      <c r="E1297" t="inlineStr">
        <is>
          <t>SOLLEFTEÅ</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23445-2022</t>
        </is>
      </c>
      <c r="B1298" s="1" t="n">
        <v>44721</v>
      </c>
      <c r="C1298" s="1" t="n">
        <v>45353</v>
      </c>
      <c r="D1298" t="inlineStr">
        <is>
          <t>VÄSTERNORRLANDS LÄN</t>
        </is>
      </c>
      <c r="E1298" t="inlineStr">
        <is>
          <t>SOLLEFTEÅ</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23447-2022</t>
        </is>
      </c>
      <c r="B1299" s="1" t="n">
        <v>44721</v>
      </c>
      <c r="C1299" s="1" t="n">
        <v>45353</v>
      </c>
      <c r="D1299" t="inlineStr">
        <is>
          <t>VÄSTERNORRLANDS LÄN</t>
        </is>
      </c>
      <c r="E1299" t="inlineStr">
        <is>
          <t>SOLLEFTEÅ</t>
        </is>
      </c>
      <c r="F1299" t="inlineStr">
        <is>
          <t>SCA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23450-2022</t>
        </is>
      </c>
      <c r="B1300" s="1" t="n">
        <v>44720</v>
      </c>
      <c r="C1300" s="1" t="n">
        <v>45353</v>
      </c>
      <c r="D1300" t="inlineStr">
        <is>
          <t>VÄSTERNORRLANDS LÄN</t>
        </is>
      </c>
      <c r="E1300" t="inlineStr">
        <is>
          <t>SOLLEFTEÅ</t>
        </is>
      </c>
      <c r="F1300" t="inlineStr">
        <is>
          <t>SCA</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24008-2022</t>
        </is>
      </c>
      <c r="B1301" s="1" t="n">
        <v>44723</v>
      </c>
      <c r="C1301" s="1" t="n">
        <v>45353</v>
      </c>
      <c r="D1301" t="inlineStr">
        <is>
          <t>VÄSTERNORRLANDS LÄN</t>
        </is>
      </c>
      <c r="E1301" t="inlineStr">
        <is>
          <t>SOLLEFTEÅ</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24024-2022</t>
        </is>
      </c>
      <c r="B1302" s="1" t="n">
        <v>44723</v>
      </c>
      <c r="C1302" s="1" t="n">
        <v>45353</v>
      </c>
      <c r="D1302" t="inlineStr">
        <is>
          <t>VÄSTERNORRLANDS LÄN</t>
        </is>
      </c>
      <c r="E1302" t="inlineStr">
        <is>
          <t>SOLLEFTEÅ</t>
        </is>
      </c>
      <c r="F1302" t="inlineStr">
        <is>
          <t>SCA</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24322-2022</t>
        </is>
      </c>
      <c r="B1303" s="1" t="n">
        <v>44726</v>
      </c>
      <c r="C1303" s="1" t="n">
        <v>45353</v>
      </c>
      <c r="D1303" t="inlineStr">
        <is>
          <t>VÄSTERNORRLANDS LÄN</t>
        </is>
      </c>
      <c r="E1303" t="inlineStr">
        <is>
          <t>SOLLEFTEÅ</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24723-2022</t>
        </is>
      </c>
      <c r="B1304" s="1" t="n">
        <v>44728</v>
      </c>
      <c r="C1304" s="1" t="n">
        <v>45353</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24739-2022</t>
        </is>
      </c>
      <c r="B1305" s="1" t="n">
        <v>44728</v>
      </c>
      <c r="C1305" s="1" t="n">
        <v>45353</v>
      </c>
      <c r="D1305" t="inlineStr">
        <is>
          <t>VÄSTERNORRLANDS LÄN</t>
        </is>
      </c>
      <c r="E1305" t="inlineStr">
        <is>
          <t>SOLLEFTEÅ</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24734-2022</t>
        </is>
      </c>
      <c r="B1306" s="1" t="n">
        <v>44728</v>
      </c>
      <c r="C1306" s="1" t="n">
        <v>45353</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24735-2022</t>
        </is>
      </c>
      <c r="B1307" s="1" t="n">
        <v>44728</v>
      </c>
      <c r="C1307" s="1" t="n">
        <v>45353</v>
      </c>
      <c r="D1307" t="inlineStr">
        <is>
          <t>VÄSTERNORRLANDS LÄN</t>
        </is>
      </c>
      <c r="E1307" t="inlineStr">
        <is>
          <t>SOLLEFTEÅ</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24721-2022</t>
        </is>
      </c>
      <c r="B1308" s="1" t="n">
        <v>44728</v>
      </c>
      <c r="C1308" s="1" t="n">
        <v>45353</v>
      </c>
      <c r="D1308" t="inlineStr">
        <is>
          <t>VÄSTERNORRLANDS LÄN</t>
        </is>
      </c>
      <c r="E1308" t="inlineStr">
        <is>
          <t>SOLLEFTEÅ</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24737-2022</t>
        </is>
      </c>
      <c r="B1309" s="1" t="n">
        <v>44728</v>
      </c>
      <c r="C1309" s="1" t="n">
        <v>45353</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25019-2022</t>
        </is>
      </c>
      <c r="B1310" s="1" t="n">
        <v>44728</v>
      </c>
      <c r="C1310" s="1" t="n">
        <v>45353</v>
      </c>
      <c r="D1310" t="inlineStr">
        <is>
          <t>VÄSTERNORRLANDS LÄN</t>
        </is>
      </c>
      <c r="E1310" t="inlineStr">
        <is>
          <t>SOLLEFTEÅ</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25024-2022</t>
        </is>
      </c>
      <c r="B1311" s="1" t="n">
        <v>44729</v>
      </c>
      <c r="C1311" s="1" t="n">
        <v>45353</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25026-2022</t>
        </is>
      </c>
      <c r="B1312" s="1" t="n">
        <v>44729</v>
      </c>
      <c r="C1312" s="1" t="n">
        <v>45353</v>
      </c>
      <c r="D1312" t="inlineStr">
        <is>
          <t>VÄSTERNORRLANDS LÄN</t>
        </is>
      </c>
      <c r="E1312" t="inlineStr">
        <is>
          <t>SOLLEFTEÅ</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25017-2022</t>
        </is>
      </c>
      <c r="B1313" s="1" t="n">
        <v>44729</v>
      </c>
      <c r="C1313" s="1" t="n">
        <v>45353</v>
      </c>
      <c r="D1313" t="inlineStr">
        <is>
          <t>VÄSTERNORRLANDS LÄN</t>
        </is>
      </c>
      <c r="E1313" t="inlineStr">
        <is>
          <t>SOLLEFTEÅ</t>
        </is>
      </c>
      <c r="F1313" t="inlineStr">
        <is>
          <t>SCA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25295-2022</t>
        </is>
      </c>
      <c r="B1314" s="1" t="n">
        <v>44731</v>
      </c>
      <c r="C1314" s="1" t="n">
        <v>45353</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25339-2022</t>
        </is>
      </c>
      <c r="B1315" s="1" t="n">
        <v>44732</v>
      </c>
      <c r="C1315" s="1" t="n">
        <v>45353</v>
      </c>
      <c r="D1315" t="inlineStr">
        <is>
          <t>VÄSTERNORRLANDS LÄN</t>
        </is>
      </c>
      <c r="E1315" t="inlineStr">
        <is>
          <t>SOLLEFTEÅ</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25338-2022</t>
        </is>
      </c>
      <c r="B1316" s="1" t="n">
        <v>44731</v>
      </c>
      <c r="C1316" s="1" t="n">
        <v>45353</v>
      </c>
      <c r="D1316" t="inlineStr">
        <is>
          <t>VÄSTERNORRLANDS LÄN</t>
        </is>
      </c>
      <c r="E1316" t="inlineStr">
        <is>
          <t>SOLLEFTEÅ</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25341-2022</t>
        </is>
      </c>
      <c r="B1317" s="1" t="n">
        <v>44731</v>
      </c>
      <c r="C1317" s="1" t="n">
        <v>45353</v>
      </c>
      <c r="D1317" t="inlineStr">
        <is>
          <t>VÄSTERNORRLANDS LÄN</t>
        </is>
      </c>
      <c r="E1317" t="inlineStr">
        <is>
          <t>SOLLEFTEÅ</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26407-2022</t>
        </is>
      </c>
      <c r="B1318" s="1" t="n">
        <v>44735</v>
      </c>
      <c r="C1318" s="1" t="n">
        <v>45353</v>
      </c>
      <c r="D1318" t="inlineStr">
        <is>
          <t>VÄSTERNORRLANDS LÄN</t>
        </is>
      </c>
      <c r="E1318" t="inlineStr">
        <is>
          <t>SOLLEFTEÅ</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26416-2022</t>
        </is>
      </c>
      <c r="B1319" s="1" t="n">
        <v>44736</v>
      </c>
      <c r="C1319" s="1" t="n">
        <v>45353</v>
      </c>
      <c r="D1319" t="inlineStr">
        <is>
          <t>VÄSTERNORRLANDS LÄN</t>
        </is>
      </c>
      <c r="E1319" t="inlineStr">
        <is>
          <t>SOLLEFTEÅ</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26415-2022</t>
        </is>
      </c>
      <c r="B1320" s="1" t="n">
        <v>44735</v>
      </c>
      <c r="C1320" s="1" t="n">
        <v>45353</v>
      </c>
      <c r="D1320" t="inlineStr">
        <is>
          <t>VÄSTERNORRLANDS LÄN</t>
        </is>
      </c>
      <c r="E1320" t="inlineStr">
        <is>
          <t>SOLLEFTEÅ</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26435-2022</t>
        </is>
      </c>
      <c r="B1321" s="1" t="n">
        <v>44737</v>
      </c>
      <c r="C1321" s="1" t="n">
        <v>45353</v>
      </c>
      <c r="D1321" t="inlineStr">
        <is>
          <t>VÄSTERNORRLANDS LÄN</t>
        </is>
      </c>
      <c r="E1321" t="inlineStr">
        <is>
          <t>SOLLEFTEÅ</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26594-2022</t>
        </is>
      </c>
      <c r="B1322" s="1" t="n">
        <v>44739</v>
      </c>
      <c r="C1322" s="1" t="n">
        <v>45353</v>
      </c>
      <c r="D1322" t="inlineStr">
        <is>
          <t>VÄSTERNORRLANDS LÄN</t>
        </is>
      </c>
      <c r="E1322" t="inlineStr">
        <is>
          <t>SOLLEFTEÅ</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26732-2022</t>
        </is>
      </c>
      <c r="B1323" s="1" t="n">
        <v>44740</v>
      </c>
      <c r="C1323" s="1" t="n">
        <v>45353</v>
      </c>
      <c r="D1323" t="inlineStr">
        <is>
          <t>VÄSTERNORRLANDS LÄN</t>
        </is>
      </c>
      <c r="E1323" t="inlineStr">
        <is>
          <t>SOLLEFTEÅ</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26744-2022</t>
        </is>
      </c>
      <c r="B1324" s="1" t="n">
        <v>44739</v>
      </c>
      <c r="C1324" s="1" t="n">
        <v>45353</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26736-2022</t>
        </is>
      </c>
      <c r="B1325" s="1" t="n">
        <v>44740</v>
      </c>
      <c r="C1325" s="1" t="n">
        <v>45353</v>
      </c>
      <c r="D1325" t="inlineStr">
        <is>
          <t>VÄSTERNORRLANDS LÄN</t>
        </is>
      </c>
      <c r="E1325" t="inlineStr">
        <is>
          <t>SOLLEFTEÅ</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27016-2022</t>
        </is>
      </c>
      <c r="B1326" s="1" t="n">
        <v>44741</v>
      </c>
      <c r="C1326" s="1" t="n">
        <v>45353</v>
      </c>
      <c r="D1326" t="inlineStr">
        <is>
          <t>VÄSTERNORRLANDS LÄN</t>
        </is>
      </c>
      <c r="E1326" t="inlineStr">
        <is>
          <t>SOLLEFTEÅ</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27019-2022</t>
        </is>
      </c>
      <c r="B1327" s="1" t="n">
        <v>44741</v>
      </c>
      <c r="C1327" s="1" t="n">
        <v>45353</v>
      </c>
      <c r="D1327" t="inlineStr">
        <is>
          <t>VÄSTERNORRLANDS LÄN</t>
        </is>
      </c>
      <c r="E1327" t="inlineStr">
        <is>
          <t>SOLLEFTEÅ</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27012-2022</t>
        </is>
      </c>
      <c r="B1328" s="1" t="n">
        <v>44740</v>
      </c>
      <c r="C1328" s="1" t="n">
        <v>45353</v>
      </c>
      <c r="D1328" t="inlineStr">
        <is>
          <t>VÄSTERNORRLANDS LÄN</t>
        </is>
      </c>
      <c r="E1328" t="inlineStr">
        <is>
          <t>SOLLEFTEÅ</t>
        </is>
      </c>
      <c r="F1328" t="inlineStr">
        <is>
          <t>SCA</t>
        </is>
      </c>
      <c r="G1328" t="n">
        <v>19.8</v>
      </c>
      <c r="H1328" t="n">
        <v>0</v>
      </c>
      <c r="I1328" t="n">
        <v>0</v>
      </c>
      <c r="J1328" t="n">
        <v>0</v>
      </c>
      <c r="K1328" t="n">
        <v>0</v>
      </c>
      <c r="L1328" t="n">
        <v>0</v>
      </c>
      <c r="M1328" t="n">
        <v>0</v>
      </c>
      <c r="N1328" t="n">
        <v>0</v>
      </c>
      <c r="O1328" t="n">
        <v>0</v>
      </c>
      <c r="P1328" t="n">
        <v>0</v>
      </c>
      <c r="Q1328" t="n">
        <v>0</v>
      </c>
      <c r="R1328" s="2" t="inlineStr"/>
    </row>
    <row r="1329" ht="15" customHeight="1">
      <c r="A1329" t="inlineStr">
        <is>
          <t>A 27020-2022</t>
        </is>
      </c>
      <c r="B1329" s="1" t="n">
        <v>44741</v>
      </c>
      <c r="C1329" s="1" t="n">
        <v>45353</v>
      </c>
      <c r="D1329" t="inlineStr">
        <is>
          <t>VÄSTERNORRLANDS LÄN</t>
        </is>
      </c>
      <c r="E1329" t="inlineStr">
        <is>
          <t>SOLLEFTEÅ</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27024-2022</t>
        </is>
      </c>
      <c r="B1330" s="1" t="n">
        <v>44741</v>
      </c>
      <c r="C1330" s="1" t="n">
        <v>45353</v>
      </c>
      <c r="D1330" t="inlineStr">
        <is>
          <t>VÄSTERNORRLANDS LÄN</t>
        </is>
      </c>
      <c r="E1330" t="inlineStr">
        <is>
          <t>SOLLEFTEÅ</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27023-2022</t>
        </is>
      </c>
      <c r="B1331" s="1" t="n">
        <v>44741</v>
      </c>
      <c r="C1331" s="1" t="n">
        <v>45353</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27018-2022</t>
        </is>
      </c>
      <c r="B1332" s="1" t="n">
        <v>44740</v>
      </c>
      <c r="C1332" s="1" t="n">
        <v>45353</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27022-2022</t>
        </is>
      </c>
      <c r="B1333" s="1" t="n">
        <v>44741</v>
      </c>
      <c r="C1333" s="1" t="n">
        <v>45353</v>
      </c>
      <c r="D1333" t="inlineStr">
        <is>
          <t>VÄSTERNORRLANDS LÄN</t>
        </is>
      </c>
      <c r="E1333" t="inlineStr">
        <is>
          <t>SOLLEFTEÅ</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27082-2022</t>
        </is>
      </c>
      <c r="B1334" s="1" t="n">
        <v>44741</v>
      </c>
      <c r="C1334" s="1" t="n">
        <v>45353</v>
      </c>
      <c r="D1334" t="inlineStr">
        <is>
          <t>VÄSTERNORRLANDS LÄN</t>
        </is>
      </c>
      <c r="E1334" t="inlineStr">
        <is>
          <t>SOLLEFTEÅ</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27283-2022</t>
        </is>
      </c>
      <c r="B1335" s="1" t="n">
        <v>44742</v>
      </c>
      <c r="C1335" s="1" t="n">
        <v>45353</v>
      </c>
      <c r="D1335" t="inlineStr">
        <is>
          <t>VÄSTERNORRLANDS LÄN</t>
        </is>
      </c>
      <c r="E1335" t="inlineStr">
        <is>
          <t>SOLLEFTEÅ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27282-2022</t>
        </is>
      </c>
      <c r="B1336" s="1" t="n">
        <v>44741</v>
      </c>
      <c r="C1336" s="1" t="n">
        <v>45353</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27573-2022</t>
        </is>
      </c>
      <c r="B1337" s="1" t="n">
        <v>44743</v>
      </c>
      <c r="C1337" s="1" t="n">
        <v>45353</v>
      </c>
      <c r="D1337" t="inlineStr">
        <is>
          <t>VÄSTERNORRLANDS LÄN</t>
        </is>
      </c>
      <c r="E1337" t="inlineStr">
        <is>
          <t>SOLLEFTEÅ</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27572-2022</t>
        </is>
      </c>
      <c r="B1338" s="1" t="n">
        <v>44743</v>
      </c>
      <c r="C1338" s="1" t="n">
        <v>45353</v>
      </c>
      <c r="D1338" t="inlineStr">
        <is>
          <t>VÄSTERNORRLANDS LÄN</t>
        </is>
      </c>
      <c r="E1338" t="inlineStr">
        <is>
          <t>SOLLEFTEÅ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27603-2022</t>
        </is>
      </c>
      <c r="B1339" s="1" t="n">
        <v>44743</v>
      </c>
      <c r="C1339" s="1" t="n">
        <v>45353</v>
      </c>
      <c r="D1339" t="inlineStr">
        <is>
          <t>VÄSTERNORRLANDS LÄN</t>
        </is>
      </c>
      <c r="E1339" t="inlineStr">
        <is>
          <t>SOLLEFTEÅ</t>
        </is>
      </c>
      <c r="F1339" t="inlineStr">
        <is>
          <t>SCA</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27593-2022</t>
        </is>
      </c>
      <c r="B1340" s="1" t="n">
        <v>44742</v>
      </c>
      <c r="C1340" s="1" t="n">
        <v>45353</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27926-2022</t>
        </is>
      </c>
      <c r="B1341" s="1" t="n">
        <v>44743</v>
      </c>
      <c r="C1341" s="1" t="n">
        <v>45353</v>
      </c>
      <c r="D1341" t="inlineStr">
        <is>
          <t>VÄSTERNORRLANDS LÄN</t>
        </is>
      </c>
      <c r="E1341" t="inlineStr">
        <is>
          <t>SOLLEFTEÅ</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27943-2022</t>
        </is>
      </c>
      <c r="B1342" s="1" t="n">
        <v>44743</v>
      </c>
      <c r="C1342" s="1" t="n">
        <v>45353</v>
      </c>
      <c r="D1342" t="inlineStr">
        <is>
          <t>VÄSTERNORRLANDS LÄN</t>
        </is>
      </c>
      <c r="E1342" t="inlineStr">
        <is>
          <t>SOLLEFTEÅ</t>
        </is>
      </c>
      <c r="F1342" t="inlineStr">
        <is>
          <t>SCA</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28293-2022</t>
        </is>
      </c>
      <c r="B1343" s="1" t="n">
        <v>44747</v>
      </c>
      <c r="C1343" s="1" t="n">
        <v>45353</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28700-2022</t>
        </is>
      </c>
      <c r="B1344" s="1" t="n">
        <v>44748</v>
      </c>
      <c r="C1344" s="1" t="n">
        <v>45353</v>
      </c>
      <c r="D1344" t="inlineStr">
        <is>
          <t>VÄSTERNORRLANDS LÄN</t>
        </is>
      </c>
      <c r="E1344" t="inlineStr">
        <is>
          <t>SOLLEFTEÅ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28729-2022</t>
        </is>
      </c>
      <c r="B1345" s="1" t="n">
        <v>44748</v>
      </c>
      <c r="C1345" s="1" t="n">
        <v>45353</v>
      </c>
      <c r="D1345" t="inlineStr">
        <is>
          <t>VÄSTERNORRLANDS LÄN</t>
        </is>
      </c>
      <c r="E1345" t="inlineStr">
        <is>
          <t>SOLLEFTEÅ</t>
        </is>
      </c>
      <c r="F1345" t="inlineStr">
        <is>
          <t>SCA</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28730-2022</t>
        </is>
      </c>
      <c r="B1346" s="1" t="n">
        <v>44748</v>
      </c>
      <c r="C1346" s="1" t="n">
        <v>45353</v>
      </c>
      <c r="D1346" t="inlineStr">
        <is>
          <t>VÄSTERNORRLANDS LÄN</t>
        </is>
      </c>
      <c r="E1346" t="inlineStr">
        <is>
          <t>SOLLEFTEÅ</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28828-2022</t>
        </is>
      </c>
      <c r="B1347" s="1" t="n">
        <v>44749</v>
      </c>
      <c r="C1347" s="1" t="n">
        <v>45353</v>
      </c>
      <c r="D1347" t="inlineStr">
        <is>
          <t>VÄSTERNORRLANDS LÄN</t>
        </is>
      </c>
      <c r="E1347" t="inlineStr">
        <is>
          <t>SOLLEFTEÅ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28893-2022</t>
        </is>
      </c>
      <c r="B1348" s="1" t="n">
        <v>44749</v>
      </c>
      <c r="C1348" s="1" t="n">
        <v>45353</v>
      </c>
      <c r="D1348" t="inlineStr">
        <is>
          <t>VÄSTERNORRLANDS LÄN</t>
        </is>
      </c>
      <c r="E1348" t="inlineStr">
        <is>
          <t>SOLLEFTEÅ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28909-2022</t>
        </is>
      </c>
      <c r="B1349" s="1" t="n">
        <v>44749</v>
      </c>
      <c r="C1349" s="1" t="n">
        <v>45353</v>
      </c>
      <c r="D1349" t="inlineStr">
        <is>
          <t>VÄSTERNORRLANDS LÄN</t>
        </is>
      </c>
      <c r="E1349" t="inlineStr">
        <is>
          <t>SOLLEFTEÅ</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28896-2022</t>
        </is>
      </c>
      <c r="B1350" s="1" t="n">
        <v>44749</v>
      </c>
      <c r="C1350" s="1" t="n">
        <v>45353</v>
      </c>
      <c r="D1350" t="inlineStr">
        <is>
          <t>VÄSTERNORRLANDS LÄN</t>
        </is>
      </c>
      <c r="E1350" t="inlineStr">
        <is>
          <t>SOLLEFTEÅ</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28903-2022</t>
        </is>
      </c>
      <c r="B1351" s="1" t="n">
        <v>44749</v>
      </c>
      <c r="C1351" s="1" t="n">
        <v>45353</v>
      </c>
      <c r="D1351" t="inlineStr">
        <is>
          <t>VÄSTERNORRLANDS LÄN</t>
        </is>
      </c>
      <c r="E1351" t="inlineStr">
        <is>
          <t>SOLLEFTEÅ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28973-2022</t>
        </is>
      </c>
      <c r="B1352" s="1" t="n">
        <v>44749</v>
      </c>
      <c r="C1352" s="1" t="n">
        <v>45353</v>
      </c>
      <c r="D1352" t="inlineStr">
        <is>
          <t>VÄSTERNORRLANDS LÄN</t>
        </is>
      </c>
      <c r="E1352" t="inlineStr">
        <is>
          <t>SOLLEFTEÅ</t>
        </is>
      </c>
      <c r="F1352" t="inlineStr">
        <is>
          <t>Holmen skog AB</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29290-2022</t>
        </is>
      </c>
      <c r="B1353" s="1" t="n">
        <v>44750</v>
      </c>
      <c r="C1353" s="1" t="n">
        <v>45353</v>
      </c>
      <c r="D1353" t="inlineStr">
        <is>
          <t>VÄSTERNORRLANDS LÄN</t>
        </is>
      </c>
      <c r="E1353" t="inlineStr">
        <is>
          <t>SOLLEFTEÅ</t>
        </is>
      </c>
      <c r="F1353" t="inlineStr">
        <is>
          <t>SCA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29294-2022</t>
        </is>
      </c>
      <c r="B1354" s="1" t="n">
        <v>44751</v>
      </c>
      <c r="C1354" s="1" t="n">
        <v>45353</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29300-2022</t>
        </is>
      </c>
      <c r="B1355" s="1" t="n">
        <v>44750</v>
      </c>
      <c r="C1355" s="1" t="n">
        <v>45353</v>
      </c>
      <c r="D1355" t="inlineStr">
        <is>
          <t>VÄSTERNORRLANDS LÄN</t>
        </is>
      </c>
      <c r="E1355" t="inlineStr">
        <is>
          <t>SOLLEFTEÅ</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29292-2022</t>
        </is>
      </c>
      <c r="B1356" s="1" t="n">
        <v>44750</v>
      </c>
      <c r="C1356" s="1" t="n">
        <v>45353</v>
      </c>
      <c r="D1356" t="inlineStr">
        <is>
          <t>VÄSTERNORRLANDS LÄN</t>
        </is>
      </c>
      <c r="E1356" t="inlineStr">
        <is>
          <t>SOLLEFTEÅ</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29538-2022</t>
        </is>
      </c>
      <c r="B1357" s="1" t="n">
        <v>44754</v>
      </c>
      <c r="C1357" s="1" t="n">
        <v>45353</v>
      </c>
      <c r="D1357" t="inlineStr">
        <is>
          <t>VÄSTERNORRLANDS LÄN</t>
        </is>
      </c>
      <c r="E1357" t="inlineStr">
        <is>
          <t>SOLLEFTEÅ</t>
        </is>
      </c>
      <c r="F1357" t="inlineStr">
        <is>
          <t>SCA</t>
        </is>
      </c>
      <c r="G1357" t="n">
        <v>20.2</v>
      </c>
      <c r="H1357" t="n">
        <v>0</v>
      </c>
      <c r="I1357" t="n">
        <v>0</v>
      </c>
      <c r="J1357" t="n">
        <v>0</v>
      </c>
      <c r="K1357" t="n">
        <v>0</v>
      </c>
      <c r="L1357" t="n">
        <v>0</v>
      </c>
      <c r="M1357" t="n">
        <v>0</v>
      </c>
      <c r="N1357" t="n">
        <v>0</v>
      </c>
      <c r="O1357" t="n">
        <v>0</v>
      </c>
      <c r="P1357" t="n">
        <v>0</v>
      </c>
      <c r="Q1357" t="n">
        <v>0</v>
      </c>
      <c r="R1357" s="2" t="inlineStr"/>
    </row>
    <row r="1358" ht="15" customHeight="1">
      <c r="A1358" t="inlineStr">
        <is>
          <t>A 29842-2022</t>
        </is>
      </c>
      <c r="B1358" s="1" t="n">
        <v>44756</v>
      </c>
      <c r="C1358" s="1" t="n">
        <v>45353</v>
      </c>
      <c r="D1358" t="inlineStr">
        <is>
          <t>VÄSTERNORRLANDS LÄN</t>
        </is>
      </c>
      <c r="E1358" t="inlineStr">
        <is>
          <t>SOLLEFTEÅ</t>
        </is>
      </c>
      <c r="F1358" t="inlineStr">
        <is>
          <t>Holmen skog AB</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30032-2022</t>
        </is>
      </c>
      <c r="B1359" s="1" t="n">
        <v>44756</v>
      </c>
      <c r="C1359" s="1" t="n">
        <v>45353</v>
      </c>
      <c r="D1359" t="inlineStr">
        <is>
          <t>VÄSTERNORRLANDS LÄN</t>
        </is>
      </c>
      <c r="E1359" t="inlineStr">
        <is>
          <t>SOLLEFTEÅ</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30041-2022</t>
        </is>
      </c>
      <c r="B1360" s="1" t="n">
        <v>44756</v>
      </c>
      <c r="C1360" s="1" t="n">
        <v>45353</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30045-2022</t>
        </is>
      </c>
      <c r="B1361" s="1" t="n">
        <v>44756</v>
      </c>
      <c r="C1361" s="1" t="n">
        <v>45353</v>
      </c>
      <c r="D1361" t="inlineStr">
        <is>
          <t>VÄSTERNORRLANDS LÄN</t>
        </is>
      </c>
      <c r="E1361" t="inlineStr">
        <is>
          <t>SOLLEFTEÅ</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30013-2022</t>
        </is>
      </c>
      <c r="B1362" s="1" t="n">
        <v>44756</v>
      </c>
      <c r="C1362" s="1" t="n">
        <v>45353</v>
      </c>
      <c r="D1362" t="inlineStr">
        <is>
          <t>VÄSTERNORRLANDS LÄN</t>
        </is>
      </c>
      <c r="E1362" t="inlineStr">
        <is>
          <t>SOLLEFTEÅ</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30033-2022</t>
        </is>
      </c>
      <c r="B1363" s="1" t="n">
        <v>44756</v>
      </c>
      <c r="C1363" s="1" t="n">
        <v>45353</v>
      </c>
      <c r="D1363" t="inlineStr">
        <is>
          <t>VÄSTERNORRLANDS LÄN</t>
        </is>
      </c>
      <c r="E1363" t="inlineStr">
        <is>
          <t>SOLLEFTEÅ</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30040-2022</t>
        </is>
      </c>
      <c r="B1364" s="1" t="n">
        <v>44757</v>
      </c>
      <c r="C1364" s="1" t="n">
        <v>45353</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30034-2022</t>
        </is>
      </c>
      <c r="B1365" s="1" t="n">
        <v>44757</v>
      </c>
      <c r="C1365" s="1" t="n">
        <v>45353</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30039-2022</t>
        </is>
      </c>
      <c r="B1366" s="1" t="n">
        <v>44757</v>
      </c>
      <c r="C1366" s="1" t="n">
        <v>45353</v>
      </c>
      <c r="D1366" t="inlineStr">
        <is>
          <t>VÄSTERNORRLANDS LÄN</t>
        </is>
      </c>
      <c r="E1366" t="inlineStr">
        <is>
          <t>SOLLEFTEÅ</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30043-2022</t>
        </is>
      </c>
      <c r="B1367" s="1" t="n">
        <v>44756</v>
      </c>
      <c r="C1367" s="1" t="n">
        <v>45353</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30047-2022</t>
        </is>
      </c>
      <c r="B1368" s="1" t="n">
        <v>44757</v>
      </c>
      <c r="C1368" s="1" t="n">
        <v>45353</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30238-2022</t>
        </is>
      </c>
      <c r="B1369" s="1" t="n">
        <v>44757</v>
      </c>
      <c r="C1369" s="1" t="n">
        <v>45353</v>
      </c>
      <c r="D1369" t="inlineStr">
        <is>
          <t>VÄSTERNORRLANDS LÄN</t>
        </is>
      </c>
      <c r="E1369" t="inlineStr">
        <is>
          <t>SOLLEFTEÅ</t>
        </is>
      </c>
      <c r="F1369" t="inlineStr">
        <is>
          <t>SCA</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30239-2022</t>
        </is>
      </c>
      <c r="B1370" s="1" t="n">
        <v>44758</v>
      </c>
      <c r="C1370" s="1" t="n">
        <v>45353</v>
      </c>
      <c r="D1370" t="inlineStr">
        <is>
          <t>VÄSTERNORRLANDS LÄN</t>
        </is>
      </c>
      <c r="E1370" t="inlineStr">
        <is>
          <t>SOLLEFTEÅ</t>
        </is>
      </c>
      <c r="F1370" t="inlineStr">
        <is>
          <t>SCA</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30237-2022</t>
        </is>
      </c>
      <c r="B1371" s="1" t="n">
        <v>44758</v>
      </c>
      <c r="C1371" s="1" t="n">
        <v>45353</v>
      </c>
      <c r="D1371" t="inlineStr">
        <is>
          <t>VÄSTERNORRLANDS LÄN</t>
        </is>
      </c>
      <c r="E1371" t="inlineStr">
        <is>
          <t>SOLLEFTEÅ</t>
        </is>
      </c>
      <c r="F1371" t="inlineStr">
        <is>
          <t>SCA</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30236-2022</t>
        </is>
      </c>
      <c r="B1372" s="1" t="n">
        <v>44757</v>
      </c>
      <c r="C1372" s="1" t="n">
        <v>45353</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30240-2022</t>
        </is>
      </c>
      <c r="B1373" s="1" t="n">
        <v>44757</v>
      </c>
      <c r="C1373" s="1" t="n">
        <v>45353</v>
      </c>
      <c r="D1373" t="inlineStr">
        <is>
          <t>VÄSTERNORRLANDS LÄN</t>
        </is>
      </c>
      <c r="E1373" t="inlineStr">
        <is>
          <t>SOLLEFTEÅ</t>
        </is>
      </c>
      <c r="F1373" t="inlineStr">
        <is>
          <t>SCA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30606-2022</t>
        </is>
      </c>
      <c r="B1374" s="1" t="n">
        <v>44763</v>
      </c>
      <c r="C1374" s="1" t="n">
        <v>45353</v>
      </c>
      <c r="D1374" t="inlineStr">
        <is>
          <t>VÄSTERNORRLANDS LÄN</t>
        </is>
      </c>
      <c r="E1374" t="inlineStr">
        <is>
          <t>SOLLEFTEÅ</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30805-2022</t>
        </is>
      </c>
      <c r="B1375" s="1" t="n">
        <v>44765</v>
      </c>
      <c r="C1375" s="1" t="n">
        <v>45353</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30936-2022</t>
        </is>
      </c>
      <c r="B1376" s="1" t="n">
        <v>44768</v>
      </c>
      <c r="C1376" s="1" t="n">
        <v>45353</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30937-2022</t>
        </is>
      </c>
      <c r="B1377" s="1" t="n">
        <v>44768</v>
      </c>
      <c r="C1377" s="1" t="n">
        <v>45353</v>
      </c>
      <c r="D1377" t="inlineStr">
        <is>
          <t>VÄSTERNORRLANDS LÄN</t>
        </is>
      </c>
      <c r="E1377" t="inlineStr">
        <is>
          <t>SOLLEFTEÅ</t>
        </is>
      </c>
      <c r="F1377" t="inlineStr">
        <is>
          <t>SCA</t>
        </is>
      </c>
      <c r="G1377" t="n">
        <v>10.2</v>
      </c>
      <c r="H1377" t="n">
        <v>0</v>
      </c>
      <c r="I1377" t="n">
        <v>0</v>
      </c>
      <c r="J1377" t="n">
        <v>0</v>
      </c>
      <c r="K1377" t="n">
        <v>0</v>
      </c>
      <c r="L1377" t="n">
        <v>0</v>
      </c>
      <c r="M1377" t="n">
        <v>0</v>
      </c>
      <c r="N1377" t="n">
        <v>0</v>
      </c>
      <c r="O1377" t="n">
        <v>0</v>
      </c>
      <c r="P1377" t="n">
        <v>0</v>
      </c>
      <c r="Q1377" t="n">
        <v>0</v>
      </c>
      <c r="R1377" s="2" t="inlineStr"/>
    </row>
    <row r="1378" ht="15" customHeight="1">
      <c r="A1378" t="inlineStr">
        <is>
          <t>A 31005-2022</t>
        </is>
      </c>
      <c r="B1378" s="1" t="n">
        <v>44768</v>
      </c>
      <c r="C1378" s="1" t="n">
        <v>45353</v>
      </c>
      <c r="D1378" t="inlineStr">
        <is>
          <t>VÄSTERNORRLANDS LÄN</t>
        </is>
      </c>
      <c r="E1378" t="inlineStr">
        <is>
          <t>SOLLEFTEÅ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31444-2022</t>
        </is>
      </c>
      <c r="B1379" s="1" t="n">
        <v>44774</v>
      </c>
      <c r="C1379" s="1" t="n">
        <v>45353</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31453-2022</t>
        </is>
      </c>
      <c r="B1380" s="1" t="n">
        <v>44775</v>
      </c>
      <c r="C1380" s="1" t="n">
        <v>45353</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31474-2022</t>
        </is>
      </c>
      <c r="B1381" s="1" t="n">
        <v>44775</v>
      </c>
      <c r="C1381" s="1" t="n">
        <v>45353</v>
      </c>
      <c r="D1381" t="inlineStr">
        <is>
          <t>VÄSTERNORRLANDS LÄN</t>
        </is>
      </c>
      <c r="E1381" t="inlineStr">
        <is>
          <t>SOLLEFTEÅ</t>
        </is>
      </c>
      <c r="F1381" t="inlineStr">
        <is>
          <t>SCA</t>
        </is>
      </c>
      <c r="G1381" t="n">
        <v>28.3</v>
      </c>
      <c r="H1381" t="n">
        <v>0</v>
      </c>
      <c r="I1381" t="n">
        <v>0</v>
      </c>
      <c r="J1381" t="n">
        <v>0</v>
      </c>
      <c r="K1381" t="n">
        <v>0</v>
      </c>
      <c r="L1381" t="n">
        <v>0</v>
      </c>
      <c r="M1381" t="n">
        <v>0</v>
      </c>
      <c r="N1381" t="n">
        <v>0</v>
      </c>
      <c r="O1381" t="n">
        <v>0</v>
      </c>
      <c r="P1381" t="n">
        <v>0</v>
      </c>
      <c r="Q1381" t="n">
        <v>0</v>
      </c>
      <c r="R1381" s="2" t="inlineStr"/>
    </row>
    <row r="1382" ht="15" customHeight="1">
      <c r="A1382" t="inlineStr">
        <is>
          <t>A 31440-2022</t>
        </is>
      </c>
      <c r="B1382" s="1" t="n">
        <v>44775</v>
      </c>
      <c r="C1382" s="1" t="n">
        <v>45353</v>
      </c>
      <c r="D1382" t="inlineStr">
        <is>
          <t>VÄSTERNORRLANDS LÄN</t>
        </is>
      </c>
      <c r="E1382" t="inlineStr">
        <is>
          <t>SOLLEFTEÅ</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31464-2022</t>
        </is>
      </c>
      <c r="B1383" s="1" t="n">
        <v>44774</v>
      </c>
      <c r="C1383" s="1" t="n">
        <v>45353</v>
      </c>
      <c r="D1383" t="inlineStr">
        <is>
          <t>VÄSTERNORRLANDS LÄN</t>
        </is>
      </c>
      <c r="E1383" t="inlineStr">
        <is>
          <t>SOLLEFTEÅ</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31452-2022</t>
        </is>
      </c>
      <c r="B1384" s="1" t="n">
        <v>44775</v>
      </c>
      <c r="C1384" s="1" t="n">
        <v>45353</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31490-2022</t>
        </is>
      </c>
      <c r="B1385" s="1" t="n">
        <v>44775</v>
      </c>
      <c r="C1385" s="1" t="n">
        <v>45353</v>
      </c>
      <c r="D1385" t="inlineStr">
        <is>
          <t>VÄSTERNORRLANDS LÄN</t>
        </is>
      </c>
      <c r="E1385" t="inlineStr">
        <is>
          <t>SOLLEFTEÅ</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31451-2022</t>
        </is>
      </c>
      <c r="B1386" s="1" t="n">
        <v>44775</v>
      </c>
      <c r="C1386" s="1" t="n">
        <v>45353</v>
      </c>
      <c r="D1386" t="inlineStr">
        <is>
          <t>VÄSTERNORRLANDS LÄN</t>
        </is>
      </c>
      <c r="E1386" t="inlineStr">
        <is>
          <t>SOLLEFTEÅ</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31482-2022</t>
        </is>
      </c>
      <c r="B1387" s="1" t="n">
        <v>44775</v>
      </c>
      <c r="C1387" s="1" t="n">
        <v>45353</v>
      </c>
      <c r="D1387" t="inlineStr">
        <is>
          <t>VÄSTERNORRLANDS LÄN</t>
        </is>
      </c>
      <c r="E1387" t="inlineStr">
        <is>
          <t>SOLLEFTEÅ</t>
        </is>
      </c>
      <c r="F1387" t="inlineStr">
        <is>
          <t>SCA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31588-2022</t>
        </is>
      </c>
      <c r="B1388" s="1" t="n">
        <v>44775</v>
      </c>
      <c r="C1388" s="1" t="n">
        <v>45353</v>
      </c>
      <c r="D1388" t="inlineStr">
        <is>
          <t>VÄSTERNORRLANDS LÄN</t>
        </is>
      </c>
      <c r="E1388" t="inlineStr">
        <is>
          <t>SOLLEFTEÅ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31646-2022</t>
        </is>
      </c>
      <c r="B1389" s="1" t="n">
        <v>44776</v>
      </c>
      <c r="C1389" s="1" t="n">
        <v>45353</v>
      </c>
      <c r="D1389" t="inlineStr">
        <is>
          <t>VÄSTERNORRLANDS LÄN</t>
        </is>
      </c>
      <c r="E1389" t="inlineStr">
        <is>
          <t>SOLLEFTEÅ</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31672-2022</t>
        </is>
      </c>
      <c r="B1390" s="1" t="n">
        <v>44776</v>
      </c>
      <c r="C1390" s="1" t="n">
        <v>45353</v>
      </c>
      <c r="D1390" t="inlineStr">
        <is>
          <t>VÄSTERNORRLANDS LÄN</t>
        </is>
      </c>
      <c r="E1390" t="inlineStr">
        <is>
          <t>SOLLEFTEÅ</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31856-2022</t>
        </is>
      </c>
      <c r="B1391" s="1" t="n">
        <v>44776</v>
      </c>
      <c r="C1391" s="1" t="n">
        <v>45353</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31968-2022</t>
        </is>
      </c>
      <c r="B1392" s="1" t="n">
        <v>44778</v>
      </c>
      <c r="C1392" s="1" t="n">
        <v>45353</v>
      </c>
      <c r="D1392" t="inlineStr">
        <is>
          <t>VÄSTERNORRLANDS LÄN</t>
        </is>
      </c>
      <c r="E1392" t="inlineStr">
        <is>
          <t>SOLLEFTEÅ</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31967-2022</t>
        </is>
      </c>
      <c r="B1393" s="1" t="n">
        <v>44778</v>
      </c>
      <c r="C1393" s="1" t="n">
        <v>45353</v>
      </c>
      <c r="D1393" t="inlineStr">
        <is>
          <t>VÄSTERNORRLANDS LÄN</t>
        </is>
      </c>
      <c r="E1393" t="inlineStr">
        <is>
          <t>SOLLEFTEÅ</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31965-2022</t>
        </is>
      </c>
      <c r="B1394" s="1" t="n">
        <v>44778</v>
      </c>
      <c r="C1394" s="1" t="n">
        <v>45353</v>
      </c>
      <c r="D1394" t="inlineStr">
        <is>
          <t>VÄSTERNORRLANDS LÄN</t>
        </is>
      </c>
      <c r="E1394" t="inlineStr">
        <is>
          <t>SOLLEFTEÅ</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31966-2022</t>
        </is>
      </c>
      <c r="B1395" s="1" t="n">
        <v>44778</v>
      </c>
      <c r="C1395" s="1" t="n">
        <v>45353</v>
      </c>
      <c r="D1395" t="inlineStr">
        <is>
          <t>VÄSTERNORRLANDS LÄN</t>
        </is>
      </c>
      <c r="E1395" t="inlineStr">
        <is>
          <t>SOLLEFTEÅ</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32127-2022</t>
        </is>
      </c>
      <c r="B1396" s="1" t="n">
        <v>44779</v>
      </c>
      <c r="C1396" s="1" t="n">
        <v>45353</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32129-2022</t>
        </is>
      </c>
      <c r="B1397" s="1" t="n">
        <v>44779</v>
      </c>
      <c r="C1397" s="1" t="n">
        <v>45353</v>
      </c>
      <c r="D1397" t="inlineStr">
        <is>
          <t>VÄSTERNORRLANDS LÄN</t>
        </is>
      </c>
      <c r="E1397" t="inlineStr">
        <is>
          <t>SOLLEFTEÅ</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32126-2022</t>
        </is>
      </c>
      <c r="B1398" s="1" t="n">
        <v>44778</v>
      </c>
      <c r="C1398" s="1" t="n">
        <v>45353</v>
      </c>
      <c r="D1398" t="inlineStr">
        <is>
          <t>VÄSTERNORRLANDS LÄN</t>
        </is>
      </c>
      <c r="E1398" t="inlineStr">
        <is>
          <t>SOLLEFTEÅ</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32130-2022</t>
        </is>
      </c>
      <c r="B1399" s="1" t="n">
        <v>44779</v>
      </c>
      <c r="C1399" s="1" t="n">
        <v>45353</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32453-2022</t>
        </is>
      </c>
      <c r="B1400" s="1" t="n">
        <v>44782</v>
      </c>
      <c r="C1400" s="1" t="n">
        <v>45353</v>
      </c>
      <c r="D1400" t="inlineStr">
        <is>
          <t>VÄSTERNORRLANDS LÄN</t>
        </is>
      </c>
      <c r="E1400" t="inlineStr">
        <is>
          <t>SOLLEFTEÅ</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32531-2022</t>
        </is>
      </c>
      <c r="B1401" s="1" t="n">
        <v>44783</v>
      </c>
      <c r="C1401" s="1" t="n">
        <v>45353</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32779-2022</t>
        </is>
      </c>
      <c r="B1402" s="1" t="n">
        <v>44784</v>
      </c>
      <c r="C1402" s="1" t="n">
        <v>45353</v>
      </c>
      <c r="D1402" t="inlineStr">
        <is>
          <t>VÄSTERNORRLANDS LÄN</t>
        </is>
      </c>
      <c r="E1402" t="inlineStr">
        <is>
          <t>SOLLEFTEÅ</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32969-2022</t>
        </is>
      </c>
      <c r="B1403" s="1" t="n">
        <v>44785</v>
      </c>
      <c r="C1403" s="1" t="n">
        <v>45353</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33056-2022</t>
        </is>
      </c>
      <c r="B1404" s="1" t="n">
        <v>44785</v>
      </c>
      <c r="C1404" s="1" t="n">
        <v>45353</v>
      </c>
      <c r="D1404" t="inlineStr">
        <is>
          <t>VÄSTERNORRLANDS LÄN</t>
        </is>
      </c>
      <c r="E1404" t="inlineStr">
        <is>
          <t>SOLLEFTEÅ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33083-2022</t>
        </is>
      </c>
      <c r="B1405" s="1" t="n">
        <v>44785</v>
      </c>
      <c r="C1405" s="1" t="n">
        <v>45353</v>
      </c>
      <c r="D1405" t="inlineStr">
        <is>
          <t>VÄSTERNORRLANDS LÄN</t>
        </is>
      </c>
      <c r="E1405" t="inlineStr">
        <is>
          <t>SOLLEFTEÅ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33077-2022</t>
        </is>
      </c>
      <c r="B1406" s="1" t="n">
        <v>44785</v>
      </c>
      <c r="C1406" s="1" t="n">
        <v>45353</v>
      </c>
      <c r="D1406" t="inlineStr">
        <is>
          <t>VÄSTERNORRLANDS LÄN</t>
        </is>
      </c>
      <c r="E1406" t="inlineStr">
        <is>
          <t>SOLLEFTEÅ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33226-2022</t>
        </is>
      </c>
      <c r="B1407" s="1" t="n">
        <v>44786</v>
      </c>
      <c r="C1407" s="1" t="n">
        <v>45353</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33505-2022</t>
        </is>
      </c>
      <c r="B1408" s="1" t="n">
        <v>44789</v>
      </c>
      <c r="C1408" s="1" t="n">
        <v>45353</v>
      </c>
      <c r="D1408" t="inlineStr">
        <is>
          <t>VÄSTERNORRLANDS LÄN</t>
        </is>
      </c>
      <c r="E1408" t="inlineStr">
        <is>
          <t>SOLLEFTEÅ</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33519-2022</t>
        </is>
      </c>
      <c r="B1409" s="1" t="n">
        <v>44789</v>
      </c>
      <c r="C1409" s="1" t="n">
        <v>45353</v>
      </c>
      <c r="D1409" t="inlineStr">
        <is>
          <t>VÄSTERNORRLANDS LÄN</t>
        </is>
      </c>
      <c r="E1409" t="inlineStr">
        <is>
          <t>SOLLEFTEÅ</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33528-2022</t>
        </is>
      </c>
      <c r="B1410" s="1" t="n">
        <v>44788</v>
      </c>
      <c r="C1410" s="1" t="n">
        <v>45353</v>
      </c>
      <c r="D1410" t="inlineStr">
        <is>
          <t>VÄSTERNORRLANDS LÄN</t>
        </is>
      </c>
      <c r="E1410" t="inlineStr">
        <is>
          <t>SOLLEFTEÅ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33734-2022</t>
        </is>
      </c>
      <c r="B1411" s="1" t="n">
        <v>44790</v>
      </c>
      <c r="C1411" s="1" t="n">
        <v>45353</v>
      </c>
      <c r="D1411" t="inlineStr">
        <is>
          <t>VÄSTERNORRLANDS LÄN</t>
        </is>
      </c>
      <c r="E1411" t="inlineStr">
        <is>
          <t>SOLLEFTEÅ</t>
        </is>
      </c>
      <c r="F1411" t="inlineStr">
        <is>
          <t>SCA</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33990-2022</t>
        </is>
      </c>
      <c r="B1412" s="1" t="n">
        <v>44790</v>
      </c>
      <c r="C1412" s="1" t="n">
        <v>45353</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33995-2022</t>
        </is>
      </c>
      <c r="B1413" s="1" t="n">
        <v>44791</v>
      </c>
      <c r="C1413" s="1" t="n">
        <v>45353</v>
      </c>
      <c r="D1413" t="inlineStr">
        <is>
          <t>VÄSTERNORRLANDS LÄN</t>
        </is>
      </c>
      <c r="E1413" t="inlineStr">
        <is>
          <t>SOLLEFTEÅ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33994-2022</t>
        </is>
      </c>
      <c r="B1414" s="1" t="n">
        <v>44791</v>
      </c>
      <c r="C1414" s="1" t="n">
        <v>45353</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34242-2022</t>
        </is>
      </c>
      <c r="B1415" s="1" t="n">
        <v>44792</v>
      </c>
      <c r="C1415" s="1" t="n">
        <v>45353</v>
      </c>
      <c r="D1415" t="inlineStr">
        <is>
          <t>VÄSTERNORRLANDS LÄN</t>
        </is>
      </c>
      <c r="E1415" t="inlineStr">
        <is>
          <t>SOLLEFTEÅ</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34252-2022</t>
        </is>
      </c>
      <c r="B1416" s="1" t="n">
        <v>44792</v>
      </c>
      <c r="C1416" s="1" t="n">
        <v>45353</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34267-2022</t>
        </is>
      </c>
      <c r="B1417" s="1" t="n">
        <v>44792</v>
      </c>
      <c r="C1417" s="1" t="n">
        <v>45353</v>
      </c>
      <c r="D1417" t="inlineStr">
        <is>
          <t>VÄSTERNORRLANDS LÄN</t>
        </is>
      </c>
      <c r="E1417" t="inlineStr">
        <is>
          <t>SOLLEFTEÅ</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34281-2022</t>
        </is>
      </c>
      <c r="B1418" s="1" t="n">
        <v>44791</v>
      </c>
      <c r="C1418" s="1" t="n">
        <v>45353</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34518-2022</t>
        </is>
      </c>
      <c r="B1419" s="1" t="n">
        <v>44793</v>
      </c>
      <c r="C1419" s="1" t="n">
        <v>45353</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34517-2022</t>
        </is>
      </c>
      <c r="B1420" s="1" t="n">
        <v>44793</v>
      </c>
      <c r="C1420" s="1" t="n">
        <v>45353</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34527-2022</t>
        </is>
      </c>
      <c r="B1421" s="1" t="n">
        <v>44793</v>
      </c>
      <c r="C1421" s="1" t="n">
        <v>45353</v>
      </c>
      <c r="D1421" t="inlineStr">
        <is>
          <t>VÄSTERNORRLANDS LÄN</t>
        </is>
      </c>
      <c r="E1421" t="inlineStr">
        <is>
          <t>SOLLEFTEÅ</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34534-2022</t>
        </is>
      </c>
      <c r="B1422" s="1" t="n">
        <v>44793</v>
      </c>
      <c r="C1422" s="1" t="n">
        <v>45353</v>
      </c>
      <c r="D1422" t="inlineStr">
        <is>
          <t>VÄSTERNORRLANDS LÄN</t>
        </is>
      </c>
      <c r="E1422" t="inlineStr">
        <is>
          <t>SOLLEFTEÅ</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34516-2022</t>
        </is>
      </c>
      <c r="B1423" s="1" t="n">
        <v>44792</v>
      </c>
      <c r="C1423" s="1" t="n">
        <v>45353</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34648-2022</t>
        </is>
      </c>
      <c r="B1424" s="1" t="n">
        <v>44792</v>
      </c>
      <c r="C1424" s="1" t="n">
        <v>45353</v>
      </c>
      <c r="D1424" t="inlineStr">
        <is>
          <t>VÄSTERNORRLANDS LÄN</t>
        </is>
      </c>
      <c r="E1424" t="inlineStr">
        <is>
          <t>SOLLEFTEÅ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34549-2022</t>
        </is>
      </c>
      <c r="B1425" s="1" t="n">
        <v>44793</v>
      </c>
      <c r="C1425" s="1" t="n">
        <v>45353</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34542-2022</t>
        </is>
      </c>
      <c r="B1426" s="1" t="n">
        <v>44793</v>
      </c>
      <c r="C1426" s="1" t="n">
        <v>45353</v>
      </c>
      <c r="D1426" t="inlineStr">
        <is>
          <t>VÄSTERNORRLANDS LÄN</t>
        </is>
      </c>
      <c r="E1426" t="inlineStr">
        <is>
          <t>SOLLEFTEÅ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34543-2022</t>
        </is>
      </c>
      <c r="B1427" s="1" t="n">
        <v>44793</v>
      </c>
      <c r="C1427" s="1" t="n">
        <v>45353</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34552-2022</t>
        </is>
      </c>
      <c r="B1428" s="1" t="n">
        <v>44794</v>
      </c>
      <c r="C1428" s="1" t="n">
        <v>45353</v>
      </c>
      <c r="D1428" t="inlineStr">
        <is>
          <t>VÄSTERNORRLANDS LÄN</t>
        </is>
      </c>
      <c r="E1428" t="inlineStr">
        <is>
          <t>SOLLEFTEÅ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34804-2022</t>
        </is>
      </c>
      <c r="B1429" s="1" t="n">
        <v>44796</v>
      </c>
      <c r="C1429" s="1" t="n">
        <v>45353</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35019-2022</t>
        </is>
      </c>
      <c r="B1430" s="1" t="n">
        <v>44797</v>
      </c>
      <c r="C1430" s="1" t="n">
        <v>45353</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35229-2022</t>
        </is>
      </c>
      <c r="B1431" s="1" t="n">
        <v>44798</v>
      </c>
      <c r="C1431" s="1" t="n">
        <v>45353</v>
      </c>
      <c r="D1431" t="inlineStr">
        <is>
          <t>VÄSTERNORRLANDS LÄN</t>
        </is>
      </c>
      <c r="E1431" t="inlineStr">
        <is>
          <t>SOLLEFTEÅ</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35747-2022</t>
        </is>
      </c>
      <c r="B1432" s="1" t="n">
        <v>44799</v>
      </c>
      <c r="C1432" s="1" t="n">
        <v>45353</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35797-2022</t>
        </is>
      </c>
      <c r="B1433" s="1" t="n">
        <v>44802</v>
      </c>
      <c r="C1433" s="1" t="n">
        <v>45353</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36080-2022</t>
        </is>
      </c>
      <c r="B1434" s="1" t="n">
        <v>44803</v>
      </c>
      <c r="C1434" s="1" t="n">
        <v>45353</v>
      </c>
      <c r="D1434" t="inlineStr">
        <is>
          <t>VÄSTERNORRLANDS LÄN</t>
        </is>
      </c>
      <c r="E1434" t="inlineStr">
        <is>
          <t>SOLLEFTEÅ</t>
        </is>
      </c>
      <c r="F1434" t="inlineStr">
        <is>
          <t>SCA</t>
        </is>
      </c>
      <c r="G1434" t="n">
        <v>78.2</v>
      </c>
      <c r="H1434" t="n">
        <v>0</v>
      </c>
      <c r="I1434" t="n">
        <v>0</v>
      </c>
      <c r="J1434" t="n">
        <v>0</v>
      </c>
      <c r="K1434" t="n">
        <v>0</v>
      </c>
      <c r="L1434" t="n">
        <v>0</v>
      </c>
      <c r="M1434" t="n">
        <v>0</v>
      </c>
      <c r="N1434" t="n">
        <v>0</v>
      </c>
      <c r="O1434" t="n">
        <v>0</v>
      </c>
      <c r="P1434" t="n">
        <v>0</v>
      </c>
      <c r="Q1434" t="n">
        <v>0</v>
      </c>
      <c r="R1434" s="2" t="inlineStr"/>
    </row>
    <row r="1435" ht="15" customHeight="1">
      <c r="A1435" t="inlineStr">
        <is>
          <t>A 36078-2022</t>
        </is>
      </c>
      <c r="B1435" s="1" t="n">
        <v>44803</v>
      </c>
      <c r="C1435" s="1" t="n">
        <v>45353</v>
      </c>
      <c r="D1435" t="inlineStr">
        <is>
          <t>VÄSTERNORRLANDS LÄN</t>
        </is>
      </c>
      <c r="E1435" t="inlineStr">
        <is>
          <t>SOLLEFTEÅ</t>
        </is>
      </c>
      <c r="F1435" t="inlineStr">
        <is>
          <t>SCA</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36368-2022</t>
        </is>
      </c>
      <c r="B1436" s="1" t="n">
        <v>44804</v>
      </c>
      <c r="C1436" s="1" t="n">
        <v>45353</v>
      </c>
      <c r="D1436" t="inlineStr">
        <is>
          <t>VÄSTERNORRLANDS LÄN</t>
        </is>
      </c>
      <c r="E1436" t="inlineStr">
        <is>
          <t>SOLLEFTEÅ</t>
        </is>
      </c>
      <c r="F1436" t="inlineStr">
        <is>
          <t>SCA</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36367-2022</t>
        </is>
      </c>
      <c r="B1437" s="1" t="n">
        <v>44804</v>
      </c>
      <c r="C1437" s="1" t="n">
        <v>45353</v>
      </c>
      <c r="D1437" t="inlineStr">
        <is>
          <t>VÄSTERNORRLANDS LÄN</t>
        </is>
      </c>
      <c r="E1437" t="inlineStr">
        <is>
          <t>SOLLEFTEÅ</t>
        </is>
      </c>
      <c r="F1437" t="inlineStr">
        <is>
          <t>SCA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36688-2022</t>
        </is>
      </c>
      <c r="B1438" s="1" t="n">
        <v>44804</v>
      </c>
      <c r="C1438" s="1" t="n">
        <v>45353</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36681-2022</t>
        </is>
      </c>
      <c r="B1439" s="1" t="n">
        <v>44804</v>
      </c>
      <c r="C1439" s="1" t="n">
        <v>45353</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36926-2022</t>
        </is>
      </c>
      <c r="B1440" s="1" t="n">
        <v>44806</v>
      </c>
      <c r="C1440" s="1" t="n">
        <v>45353</v>
      </c>
      <c r="D1440" t="inlineStr">
        <is>
          <t>VÄSTERNORRLANDS LÄN</t>
        </is>
      </c>
      <c r="E1440" t="inlineStr">
        <is>
          <t>SOLLEFTEÅ</t>
        </is>
      </c>
      <c r="F1440" t="inlineStr">
        <is>
          <t>SCA</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37242-2022</t>
        </is>
      </c>
      <c r="B1441" s="1" t="n">
        <v>44807</v>
      </c>
      <c r="C1441" s="1" t="n">
        <v>45353</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37589-2022</t>
        </is>
      </c>
      <c r="B1442" s="1" t="n">
        <v>44810</v>
      </c>
      <c r="C1442" s="1" t="n">
        <v>45353</v>
      </c>
      <c r="D1442" t="inlineStr">
        <is>
          <t>VÄSTERNORRLANDS LÄN</t>
        </is>
      </c>
      <c r="E1442" t="inlineStr">
        <is>
          <t>SOLLEFTEÅ</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37596-2022</t>
        </is>
      </c>
      <c r="B1443" s="1" t="n">
        <v>44810</v>
      </c>
      <c r="C1443" s="1" t="n">
        <v>45353</v>
      </c>
      <c r="D1443" t="inlineStr">
        <is>
          <t>VÄSTERNORRLANDS LÄN</t>
        </is>
      </c>
      <c r="E1443" t="inlineStr">
        <is>
          <t>SOLLEFTEÅ</t>
        </is>
      </c>
      <c r="F1443" t="inlineStr">
        <is>
          <t>Holmen skog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37597-2022</t>
        </is>
      </c>
      <c r="B1444" s="1" t="n">
        <v>44810</v>
      </c>
      <c r="C1444" s="1" t="n">
        <v>45353</v>
      </c>
      <c r="D1444" t="inlineStr">
        <is>
          <t>VÄSTERNORRLANDS LÄN</t>
        </is>
      </c>
      <c r="E1444" t="inlineStr">
        <is>
          <t>SOLLEFTEÅ</t>
        </is>
      </c>
      <c r="F1444" t="inlineStr">
        <is>
          <t>Holmen skog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37835-2022</t>
        </is>
      </c>
      <c r="B1445" s="1" t="n">
        <v>44810</v>
      </c>
      <c r="C1445" s="1" t="n">
        <v>45353</v>
      </c>
      <c r="D1445" t="inlineStr">
        <is>
          <t>VÄSTERNORRLANDS LÄN</t>
        </is>
      </c>
      <c r="E1445" t="inlineStr">
        <is>
          <t>SOLLEFTEÅ</t>
        </is>
      </c>
      <c r="F1445" t="inlineStr">
        <is>
          <t>SCA</t>
        </is>
      </c>
      <c r="G1445" t="n">
        <v>8.5</v>
      </c>
      <c r="H1445" t="n">
        <v>0</v>
      </c>
      <c r="I1445" t="n">
        <v>0</v>
      </c>
      <c r="J1445" t="n">
        <v>0</v>
      </c>
      <c r="K1445" t="n">
        <v>0</v>
      </c>
      <c r="L1445" t="n">
        <v>0</v>
      </c>
      <c r="M1445" t="n">
        <v>0</v>
      </c>
      <c r="N1445" t="n">
        <v>0</v>
      </c>
      <c r="O1445" t="n">
        <v>0</v>
      </c>
      <c r="P1445" t="n">
        <v>0</v>
      </c>
      <c r="Q1445" t="n">
        <v>0</v>
      </c>
      <c r="R1445" s="2" t="inlineStr"/>
    </row>
    <row r="1446" ht="15" customHeight="1">
      <c r="A1446" t="inlineStr">
        <is>
          <t>A 37826-2022</t>
        </is>
      </c>
      <c r="B1446" s="1" t="n">
        <v>44811</v>
      </c>
      <c r="C1446" s="1" t="n">
        <v>45353</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37840-2022</t>
        </is>
      </c>
      <c r="B1447" s="1" t="n">
        <v>44810</v>
      </c>
      <c r="C1447" s="1" t="n">
        <v>45353</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38096-2022</t>
        </is>
      </c>
      <c r="B1448" s="1" t="n">
        <v>44812</v>
      </c>
      <c r="C1448" s="1" t="n">
        <v>45353</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38095-2022</t>
        </is>
      </c>
      <c r="B1449" s="1" t="n">
        <v>44811</v>
      </c>
      <c r="C1449" s="1" t="n">
        <v>45353</v>
      </c>
      <c r="D1449" t="inlineStr">
        <is>
          <t>VÄSTERNORRLANDS LÄN</t>
        </is>
      </c>
      <c r="E1449" t="inlineStr">
        <is>
          <t>SOLLEFTEÅ</t>
        </is>
      </c>
      <c r="F1449" t="inlineStr">
        <is>
          <t>SCA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37977-2022</t>
        </is>
      </c>
      <c r="B1450" s="1" t="n">
        <v>44811</v>
      </c>
      <c r="C1450" s="1" t="n">
        <v>45353</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38102-2022</t>
        </is>
      </c>
      <c r="B1451" s="1" t="n">
        <v>44811</v>
      </c>
      <c r="C1451" s="1" t="n">
        <v>45353</v>
      </c>
      <c r="D1451" t="inlineStr">
        <is>
          <t>VÄSTERNORRLANDS LÄN</t>
        </is>
      </c>
      <c r="E1451" t="inlineStr">
        <is>
          <t>SOLLEFTEÅ</t>
        </is>
      </c>
      <c r="F1451" t="inlineStr">
        <is>
          <t>SCA</t>
        </is>
      </c>
      <c r="G1451" t="n">
        <v>4.9</v>
      </c>
      <c r="H1451" t="n">
        <v>0</v>
      </c>
      <c r="I1451" t="n">
        <v>0</v>
      </c>
      <c r="J1451" t="n">
        <v>0</v>
      </c>
      <c r="K1451" t="n">
        <v>0</v>
      </c>
      <c r="L1451" t="n">
        <v>0</v>
      </c>
      <c r="M1451" t="n">
        <v>0</v>
      </c>
      <c r="N1451" t="n">
        <v>0</v>
      </c>
      <c r="O1451" t="n">
        <v>0</v>
      </c>
      <c r="P1451" t="n">
        <v>0</v>
      </c>
      <c r="Q1451" t="n">
        <v>0</v>
      </c>
      <c r="R1451" s="2" t="inlineStr"/>
      <c r="U1451">
        <f>HYPERLINK("https://klasma.github.io/Logging_2283/knärot/A 38102-2022 karta knärot.png", "A 38102-2022")</f>
        <v/>
      </c>
      <c r="V1451">
        <f>HYPERLINK("https://klasma.github.io/Logging_2283/klagomål/A 38102-2022 FSC-klagomål.docx", "A 38102-2022")</f>
        <v/>
      </c>
      <c r="W1451">
        <f>HYPERLINK("https://klasma.github.io/Logging_2283/klagomålsmail/A 38102-2022 FSC-klagomål mail.docx", "A 38102-2022")</f>
        <v/>
      </c>
      <c r="X1451">
        <f>HYPERLINK("https://klasma.github.io/Logging_2283/tillsyn/A 38102-2022 tillsynsbegäran.docx", "A 38102-2022")</f>
        <v/>
      </c>
      <c r="Y1451">
        <f>HYPERLINK("https://klasma.github.io/Logging_2283/tillsynsmail/A 38102-2022 tillsynsbegäran mail.docx", "A 38102-2022")</f>
        <v/>
      </c>
    </row>
    <row r="1452" ht="15" customHeight="1">
      <c r="A1452" t="inlineStr">
        <is>
          <t>A 38230-2022</t>
        </is>
      </c>
      <c r="B1452" s="1" t="n">
        <v>44812</v>
      </c>
      <c r="C1452" s="1" t="n">
        <v>45353</v>
      </c>
      <c r="D1452" t="inlineStr">
        <is>
          <t>VÄSTERNORRLANDS LÄN</t>
        </is>
      </c>
      <c r="E1452" t="inlineStr">
        <is>
          <t>SOLLEFTEÅ</t>
        </is>
      </c>
      <c r="F1452" t="inlineStr">
        <is>
          <t>Kommuner</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38430-2022</t>
        </is>
      </c>
      <c r="B1453" s="1" t="n">
        <v>44812</v>
      </c>
      <c r="C1453" s="1" t="n">
        <v>45353</v>
      </c>
      <c r="D1453" t="inlineStr">
        <is>
          <t>VÄSTERNORRLANDS LÄN</t>
        </is>
      </c>
      <c r="E1453" t="inlineStr">
        <is>
          <t>SOLLEFTEÅ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38433-2022</t>
        </is>
      </c>
      <c r="B1454" s="1" t="n">
        <v>44812</v>
      </c>
      <c r="C1454" s="1" t="n">
        <v>45353</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38312-2022</t>
        </is>
      </c>
      <c r="B1455" s="1" t="n">
        <v>44812</v>
      </c>
      <c r="C1455" s="1" t="n">
        <v>45353</v>
      </c>
      <c r="D1455" t="inlineStr">
        <is>
          <t>VÄSTERNORRLANDS LÄN</t>
        </is>
      </c>
      <c r="E1455" t="inlineStr">
        <is>
          <t>SOLLEFTEÅ</t>
        </is>
      </c>
      <c r="F1455" t="inlineStr">
        <is>
          <t>Holmen skog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38428-2022</t>
        </is>
      </c>
      <c r="B1456" s="1" t="n">
        <v>44812</v>
      </c>
      <c r="C1456" s="1" t="n">
        <v>45353</v>
      </c>
      <c r="D1456" t="inlineStr">
        <is>
          <t>VÄSTERNORRLANDS LÄN</t>
        </is>
      </c>
      <c r="E1456" t="inlineStr">
        <is>
          <t>SOLLEFTEÅ</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38432-2022</t>
        </is>
      </c>
      <c r="B1457" s="1" t="n">
        <v>44812</v>
      </c>
      <c r="C1457" s="1" t="n">
        <v>45353</v>
      </c>
      <c r="D1457" t="inlineStr">
        <is>
          <t>VÄSTERNORRLANDS LÄN</t>
        </is>
      </c>
      <c r="E1457" t="inlineStr">
        <is>
          <t>SOLLEFTEÅ</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38663-2022</t>
        </is>
      </c>
      <c r="B1458" s="1" t="n">
        <v>44814</v>
      </c>
      <c r="C1458" s="1" t="n">
        <v>45353</v>
      </c>
      <c r="D1458" t="inlineStr">
        <is>
          <t>VÄSTERNORRLANDS LÄN</t>
        </is>
      </c>
      <c r="E1458" t="inlineStr">
        <is>
          <t>SOLLEFTEÅ</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39006-2022</t>
        </is>
      </c>
      <c r="B1459" s="1" t="n">
        <v>44817</v>
      </c>
      <c r="C1459" s="1" t="n">
        <v>45353</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39012-2022</t>
        </is>
      </c>
      <c r="B1460" s="1" t="n">
        <v>44816</v>
      </c>
      <c r="C1460" s="1" t="n">
        <v>45353</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39384-2022</t>
        </is>
      </c>
      <c r="B1461" s="1" t="n">
        <v>44818</v>
      </c>
      <c r="C1461" s="1" t="n">
        <v>45353</v>
      </c>
      <c r="D1461" t="inlineStr">
        <is>
          <t>VÄSTERNORRLANDS LÄN</t>
        </is>
      </c>
      <c r="E1461" t="inlineStr">
        <is>
          <t>SOLLEFTEÅ</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39372-2022</t>
        </is>
      </c>
      <c r="B1462" s="1" t="n">
        <v>44818</v>
      </c>
      <c r="C1462" s="1" t="n">
        <v>45353</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39371-2022</t>
        </is>
      </c>
      <c r="B1463" s="1" t="n">
        <v>44818</v>
      </c>
      <c r="C1463" s="1" t="n">
        <v>45353</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39688-2022</t>
        </is>
      </c>
      <c r="B1464" s="1" t="n">
        <v>44818</v>
      </c>
      <c r="C1464" s="1" t="n">
        <v>45353</v>
      </c>
      <c r="D1464" t="inlineStr">
        <is>
          <t>VÄSTERNORRLANDS LÄN</t>
        </is>
      </c>
      <c r="E1464" t="inlineStr">
        <is>
          <t>SOLLEFTEÅ</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39699-2022</t>
        </is>
      </c>
      <c r="B1465" s="1" t="n">
        <v>44819</v>
      </c>
      <c r="C1465" s="1" t="n">
        <v>45353</v>
      </c>
      <c r="D1465" t="inlineStr">
        <is>
          <t>VÄSTERNORRLANDS LÄN</t>
        </is>
      </c>
      <c r="E1465" t="inlineStr">
        <is>
          <t>SOLLEFTEÅ</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39944-2022</t>
        </is>
      </c>
      <c r="B1466" s="1" t="n">
        <v>44819</v>
      </c>
      <c r="C1466" s="1" t="n">
        <v>45353</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39942-2022</t>
        </is>
      </c>
      <c r="B1467" s="1" t="n">
        <v>44820</v>
      </c>
      <c r="C1467" s="1" t="n">
        <v>45353</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39947-2022</t>
        </is>
      </c>
      <c r="B1468" s="1" t="n">
        <v>44819</v>
      </c>
      <c r="C1468" s="1" t="n">
        <v>45353</v>
      </c>
      <c r="D1468" t="inlineStr">
        <is>
          <t>VÄSTERNORRLANDS LÄN</t>
        </is>
      </c>
      <c r="E1468" t="inlineStr">
        <is>
          <t>SOLLEFTEÅ</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39943-2022</t>
        </is>
      </c>
      <c r="B1469" s="1" t="n">
        <v>44820</v>
      </c>
      <c r="C1469" s="1" t="n">
        <v>45353</v>
      </c>
      <c r="D1469" t="inlineStr">
        <is>
          <t>VÄSTERNORRLANDS LÄN</t>
        </is>
      </c>
      <c r="E1469" t="inlineStr">
        <is>
          <t>SOLLEFTEÅ</t>
        </is>
      </c>
      <c r="F1469" t="inlineStr">
        <is>
          <t>SCA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39951-2022</t>
        </is>
      </c>
      <c r="B1470" s="1" t="n">
        <v>44820</v>
      </c>
      <c r="C1470" s="1" t="n">
        <v>45353</v>
      </c>
      <c r="D1470" t="inlineStr">
        <is>
          <t>VÄSTERNORRLANDS LÄN</t>
        </is>
      </c>
      <c r="E1470" t="inlineStr">
        <is>
          <t>SOLLEFTEÅ</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39934-2022</t>
        </is>
      </c>
      <c r="B1471" s="1" t="n">
        <v>44820</v>
      </c>
      <c r="C1471" s="1" t="n">
        <v>45353</v>
      </c>
      <c r="D1471" t="inlineStr">
        <is>
          <t>VÄSTERNORRLANDS LÄN</t>
        </is>
      </c>
      <c r="E1471" t="inlineStr">
        <is>
          <t>SOLLEFTEÅ</t>
        </is>
      </c>
      <c r="F1471" t="inlineStr">
        <is>
          <t>SCA</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39946-2022</t>
        </is>
      </c>
      <c r="B1472" s="1" t="n">
        <v>44819</v>
      </c>
      <c r="C1472" s="1" t="n">
        <v>45353</v>
      </c>
      <c r="D1472" t="inlineStr">
        <is>
          <t>VÄSTERNORRLANDS LÄN</t>
        </is>
      </c>
      <c r="E1472" t="inlineStr">
        <is>
          <t>SOLLEFTEÅ</t>
        </is>
      </c>
      <c r="F1472" t="inlineStr">
        <is>
          <t>SCA</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40608-2022</t>
        </is>
      </c>
      <c r="B1473" s="1" t="n">
        <v>44824</v>
      </c>
      <c r="C1473" s="1" t="n">
        <v>45353</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40609-2022</t>
        </is>
      </c>
      <c r="B1474" s="1" t="n">
        <v>44824</v>
      </c>
      <c r="C1474" s="1" t="n">
        <v>45353</v>
      </c>
      <c r="D1474" t="inlineStr">
        <is>
          <t>VÄSTERNORRLANDS LÄN</t>
        </is>
      </c>
      <c r="E1474" t="inlineStr">
        <is>
          <t>SOLLEFTEÅ</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40610-2022</t>
        </is>
      </c>
      <c r="B1475" s="1" t="n">
        <v>44824</v>
      </c>
      <c r="C1475" s="1" t="n">
        <v>45353</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40599-2022</t>
        </is>
      </c>
      <c r="B1476" s="1" t="n">
        <v>44824</v>
      </c>
      <c r="C1476" s="1" t="n">
        <v>45353</v>
      </c>
      <c r="D1476" t="inlineStr">
        <is>
          <t>VÄSTERNORRLANDS LÄN</t>
        </is>
      </c>
      <c r="E1476" t="inlineStr">
        <is>
          <t>SOLLEFTEÅ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40611-2022</t>
        </is>
      </c>
      <c r="B1477" s="1" t="n">
        <v>44824</v>
      </c>
      <c r="C1477" s="1" t="n">
        <v>45353</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40832-2022</t>
        </is>
      </c>
      <c r="B1478" s="1" t="n">
        <v>44825</v>
      </c>
      <c r="C1478" s="1" t="n">
        <v>45353</v>
      </c>
      <c r="D1478" t="inlineStr">
        <is>
          <t>VÄSTERNORRLANDS LÄN</t>
        </is>
      </c>
      <c r="E1478" t="inlineStr">
        <is>
          <t>SOLLEFTEÅ</t>
        </is>
      </c>
      <c r="F1478" t="inlineStr">
        <is>
          <t>SCA</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41187-2022</t>
        </is>
      </c>
      <c r="B1479" s="1" t="n">
        <v>44826</v>
      </c>
      <c r="C1479" s="1" t="n">
        <v>45353</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41192-2022</t>
        </is>
      </c>
      <c r="B1480" s="1" t="n">
        <v>44826</v>
      </c>
      <c r="C1480" s="1" t="n">
        <v>45353</v>
      </c>
      <c r="D1480" t="inlineStr">
        <is>
          <t>VÄSTERNORRLANDS LÄN</t>
        </is>
      </c>
      <c r="E1480" t="inlineStr">
        <is>
          <t>SOLLEFTEÅ</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41168-2022</t>
        </is>
      </c>
      <c r="B1481" s="1" t="n">
        <v>44826</v>
      </c>
      <c r="C1481" s="1" t="n">
        <v>45353</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41172-2022</t>
        </is>
      </c>
      <c r="B1482" s="1" t="n">
        <v>44826</v>
      </c>
      <c r="C1482" s="1" t="n">
        <v>45353</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41176-2022</t>
        </is>
      </c>
      <c r="B1483" s="1" t="n">
        <v>44826</v>
      </c>
      <c r="C1483" s="1" t="n">
        <v>45353</v>
      </c>
      <c r="D1483" t="inlineStr">
        <is>
          <t>VÄSTERNORRLANDS LÄN</t>
        </is>
      </c>
      <c r="E1483" t="inlineStr">
        <is>
          <t>SOLLEFTEÅ</t>
        </is>
      </c>
      <c r="F1483" t="inlineStr">
        <is>
          <t>SCA</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41189-2022</t>
        </is>
      </c>
      <c r="B1484" s="1" t="n">
        <v>44826</v>
      </c>
      <c r="C1484" s="1" t="n">
        <v>45353</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41196-2022</t>
        </is>
      </c>
      <c r="B1485" s="1" t="n">
        <v>44826</v>
      </c>
      <c r="C1485" s="1" t="n">
        <v>45353</v>
      </c>
      <c r="D1485" t="inlineStr">
        <is>
          <t>VÄSTERNORRLANDS LÄN</t>
        </is>
      </c>
      <c r="E1485" t="inlineStr">
        <is>
          <t>SOLLEFTEÅ</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41195-2022</t>
        </is>
      </c>
      <c r="B1486" s="1" t="n">
        <v>44826</v>
      </c>
      <c r="C1486" s="1" t="n">
        <v>45353</v>
      </c>
      <c r="D1486" t="inlineStr">
        <is>
          <t>VÄSTERNORRLANDS LÄN</t>
        </is>
      </c>
      <c r="E1486" t="inlineStr">
        <is>
          <t>SOLLEFTEÅ</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41456-2022</t>
        </is>
      </c>
      <c r="B1487" s="1" t="n">
        <v>44826</v>
      </c>
      <c r="C1487" s="1" t="n">
        <v>45353</v>
      </c>
      <c r="D1487" t="inlineStr">
        <is>
          <t>VÄSTERNORRLANDS LÄN</t>
        </is>
      </c>
      <c r="E1487" t="inlineStr">
        <is>
          <t>SOLLEFTEÅ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41463-2022</t>
        </is>
      </c>
      <c r="B1488" s="1" t="n">
        <v>44827</v>
      </c>
      <c r="C1488" s="1" t="n">
        <v>45353</v>
      </c>
      <c r="D1488" t="inlineStr">
        <is>
          <t>VÄSTERNORRLANDS LÄN</t>
        </is>
      </c>
      <c r="E1488" t="inlineStr">
        <is>
          <t>SOLLEFTEÅ</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41475-2022</t>
        </is>
      </c>
      <c r="B1489" s="1" t="n">
        <v>44826</v>
      </c>
      <c r="C1489" s="1" t="n">
        <v>45353</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41481-2022</t>
        </is>
      </c>
      <c r="B1490" s="1" t="n">
        <v>44827</v>
      </c>
      <c r="C1490" s="1" t="n">
        <v>45353</v>
      </c>
      <c r="D1490" t="inlineStr">
        <is>
          <t>VÄSTERNORRLANDS LÄN</t>
        </is>
      </c>
      <c r="E1490" t="inlineStr">
        <is>
          <t>SOLLEFTEÅ</t>
        </is>
      </c>
      <c r="F1490" t="inlineStr">
        <is>
          <t>SCA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41478-2022</t>
        </is>
      </c>
      <c r="B1491" s="1" t="n">
        <v>44827</v>
      </c>
      <c r="C1491" s="1" t="n">
        <v>45353</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41486-2022</t>
        </is>
      </c>
      <c r="B1492" s="1" t="n">
        <v>44827</v>
      </c>
      <c r="C1492" s="1" t="n">
        <v>45353</v>
      </c>
      <c r="D1492" t="inlineStr">
        <is>
          <t>VÄSTERNORRLANDS LÄN</t>
        </is>
      </c>
      <c r="E1492" t="inlineStr">
        <is>
          <t>SOLLEFTEÅ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41455-2022</t>
        </is>
      </c>
      <c r="B1493" s="1" t="n">
        <v>44826</v>
      </c>
      <c r="C1493" s="1" t="n">
        <v>45353</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41474-2022</t>
        </is>
      </c>
      <c r="B1494" s="1" t="n">
        <v>44827</v>
      </c>
      <c r="C1494" s="1" t="n">
        <v>45353</v>
      </c>
      <c r="D1494" t="inlineStr">
        <is>
          <t>VÄSTERNORRLANDS LÄN</t>
        </is>
      </c>
      <c r="E1494" t="inlineStr">
        <is>
          <t>SOLLEFTEÅ</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41480-2022</t>
        </is>
      </c>
      <c r="B1495" s="1" t="n">
        <v>44827</v>
      </c>
      <c r="C1495" s="1" t="n">
        <v>45353</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41488-2022</t>
        </is>
      </c>
      <c r="B1496" s="1" t="n">
        <v>44826</v>
      </c>
      <c r="C1496" s="1" t="n">
        <v>45353</v>
      </c>
      <c r="D1496" t="inlineStr">
        <is>
          <t>VÄSTERNORRLANDS LÄN</t>
        </is>
      </c>
      <c r="E1496" t="inlineStr">
        <is>
          <t>SOLLEFTEÅ</t>
        </is>
      </c>
      <c r="F1496" t="inlineStr">
        <is>
          <t>SCA</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41487-2022</t>
        </is>
      </c>
      <c r="B1497" s="1" t="n">
        <v>44827</v>
      </c>
      <c r="C1497" s="1" t="n">
        <v>45353</v>
      </c>
      <c r="D1497" t="inlineStr">
        <is>
          <t>VÄSTERNORRLANDS LÄN</t>
        </is>
      </c>
      <c r="E1497" t="inlineStr">
        <is>
          <t>SOLLEFTEÅ</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41479-2022</t>
        </is>
      </c>
      <c r="B1498" s="1" t="n">
        <v>44827</v>
      </c>
      <c r="C1498" s="1" t="n">
        <v>45353</v>
      </c>
      <c r="D1498" t="inlineStr">
        <is>
          <t>VÄSTERNORRLANDS LÄN</t>
        </is>
      </c>
      <c r="E1498" t="inlineStr">
        <is>
          <t>SOLLEFTEÅ</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41813-2022</t>
        </is>
      </c>
      <c r="B1499" s="1" t="n">
        <v>44828</v>
      </c>
      <c r="C1499" s="1" t="n">
        <v>45353</v>
      </c>
      <c r="D1499" t="inlineStr">
        <is>
          <t>VÄSTERNORRLANDS LÄN</t>
        </is>
      </c>
      <c r="E1499" t="inlineStr">
        <is>
          <t>SOLLEFTEÅ</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42272-2022</t>
        </is>
      </c>
      <c r="B1500" s="1" t="n">
        <v>44831</v>
      </c>
      <c r="C1500" s="1" t="n">
        <v>45353</v>
      </c>
      <c r="D1500" t="inlineStr">
        <is>
          <t>VÄSTERNORRLANDS LÄN</t>
        </is>
      </c>
      <c r="E1500" t="inlineStr">
        <is>
          <t>SOLLEFTEÅ</t>
        </is>
      </c>
      <c r="F1500" t="inlineStr">
        <is>
          <t>SCA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42301-2022</t>
        </is>
      </c>
      <c r="B1501" s="1" t="n">
        <v>44831</v>
      </c>
      <c r="C1501" s="1" t="n">
        <v>45353</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42299-2022</t>
        </is>
      </c>
      <c r="B1502" s="1" t="n">
        <v>44830</v>
      </c>
      <c r="C1502" s="1" t="n">
        <v>45353</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42303-2022</t>
        </is>
      </c>
      <c r="B1503" s="1" t="n">
        <v>44831</v>
      </c>
      <c r="C1503" s="1" t="n">
        <v>45353</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42275-2022</t>
        </is>
      </c>
      <c r="B1504" s="1" t="n">
        <v>44830</v>
      </c>
      <c r="C1504" s="1" t="n">
        <v>45353</v>
      </c>
      <c r="D1504" t="inlineStr">
        <is>
          <t>VÄSTERNORRLANDS LÄN</t>
        </is>
      </c>
      <c r="E1504" t="inlineStr">
        <is>
          <t>SOLLEFTEÅ</t>
        </is>
      </c>
      <c r="F1504" t="inlineStr">
        <is>
          <t>SCA</t>
        </is>
      </c>
      <c r="G1504" t="n">
        <v>26.9</v>
      </c>
      <c r="H1504" t="n">
        <v>0</v>
      </c>
      <c r="I1504" t="n">
        <v>0</v>
      </c>
      <c r="J1504" t="n">
        <v>0</v>
      </c>
      <c r="K1504" t="n">
        <v>0</v>
      </c>
      <c r="L1504" t="n">
        <v>0</v>
      </c>
      <c r="M1504" t="n">
        <v>0</v>
      </c>
      <c r="N1504" t="n">
        <v>0</v>
      </c>
      <c r="O1504" t="n">
        <v>0</v>
      </c>
      <c r="P1504" t="n">
        <v>0</v>
      </c>
      <c r="Q1504" t="n">
        <v>0</v>
      </c>
      <c r="R1504" s="2" t="inlineStr"/>
    </row>
    <row r="1505" ht="15" customHeight="1">
      <c r="A1505" t="inlineStr">
        <is>
          <t>A 42300-2022</t>
        </is>
      </c>
      <c r="B1505" s="1" t="n">
        <v>44831</v>
      </c>
      <c r="C1505" s="1" t="n">
        <v>45353</v>
      </c>
      <c r="D1505" t="inlineStr">
        <is>
          <t>VÄSTERNORRLANDS LÄN</t>
        </is>
      </c>
      <c r="E1505" t="inlineStr">
        <is>
          <t>SOLLEFTEÅ</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42302-2022</t>
        </is>
      </c>
      <c r="B1506" s="1" t="n">
        <v>44830</v>
      </c>
      <c r="C1506" s="1" t="n">
        <v>45353</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42482-2022</t>
        </is>
      </c>
      <c r="B1507" s="1" t="n">
        <v>44831</v>
      </c>
      <c r="C1507" s="1" t="n">
        <v>45353</v>
      </c>
      <c r="D1507" t="inlineStr">
        <is>
          <t>VÄSTERNORRLANDS LÄN</t>
        </is>
      </c>
      <c r="E1507" t="inlineStr">
        <is>
          <t>SOLLEFTEÅ</t>
        </is>
      </c>
      <c r="F1507" t="inlineStr">
        <is>
          <t>Holmen skog AB</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42430-2022</t>
        </is>
      </c>
      <c r="B1508" s="1" t="n">
        <v>44831</v>
      </c>
      <c r="C1508" s="1" t="n">
        <v>45353</v>
      </c>
      <c r="D1508" t="inlineStr">
        <is>
          <t>VÄSTERNORRLANDS LÄN</t>
        </is>
      </c>
      <c r="E1508" t="inlineStr">
        <is>
          <t>SOLLEFTEÅ</t>
        </is>
      </c>
      <c r="F1508" t="inlineStr">
        <is>
          <t>Holmen skog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42634-2022</t>
        </is>
      </c>
      <c r="B1509" s="1" t="n">
        <v>44832</v>
      </c>
      <c r="C1509" s="1" t="n">
        <v>45353</v>
      </c>
      <c r="D1509" t="inlineStr">
        <is>
          <t>VÄSTERNORRLANDS LÄN</t>
        </is>
      </c>
      <c r="E1509" t="inlineStr">
        <is>
          <t>SOLLEFTEÅ</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42663-2022</t>
        </is>
      </c>
      <c r="B1510" s="1" t="n">
        <v>44831</v>
      </c>
      <c r="C1510" s="1" t="n">
        <v>45353</v>
      </c>
      <c r="D1510" t="inlineStr">
        <is>
          <t>VÄSTERNORRLANDS LÄN</t>
        </is>
      </c>
      <c r="E1510" t="inlineStr">
        <is>
          <t>SOLLEFTEÅ</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42664-2022</t>
        </is>
      </c>
      <c r="B1511" s="1" t="n">
        <v>44831</v>
      </c>
      <c r="C1511" s="1" t="n">
        <v>45353</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42654-2022</t>
        </is>
      </c>
      <c r="B1512" s="1" t="n">
        <v>44832</v>
      </c>
      <c r="C1512" s="1" t="n">
        <v>45353</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42771-2022</t>
        </is>
      </c>
      <c r="B1513" s="1" t="n">
        <v>44832</v>
      </c>
      <c r="C1513" s="1" t="n">
        <v>45353</v>
      </c>
      <c r="D1513" t="inlineStr">
        <is>
          <t>VÄSTERNORRLANDS LÄN</t>
        </is>
      </c>
      <c r="E1513" t="inlineStr">
        <is>
          <t>SOLLEFTEÅ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42755-2022</t>
        </is>
      </c>
      <c r="B1514" s="1" t="n">
        <v>44832</v>
      </c>
      <c r="C1514" s="1" t="n">
        <v>45353</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42885-2022</t>
        </is>
      </c>
      <c r="B1515" s="1" t="n">
        <v>44833</v>
      </c>
      <c r="C1515" s="1" t="n">
        <v>45353</v>
      </c>
      <c r="D1515" t="inlineStr">
        <is>
          <t>VÄSTERNORRLANDS LÄN</t>
        </is>
      </c>
      <c r="E1515" t="inlineStr">
        <is>
          <t>SOLLEFTEÅ</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42891-2022</t>
        </is>
      </c>
      <c r="B1516" s="1" t="n">
        <v>44833</v>
      </c>
      <c r="C1516" s="1" t="n">
        <v>45353</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43035-2022</t>
        </is>
      </c>
      <c r="B1517" s="1" t="n">
        <v>44833</v>
      </c>
      <c r="C1517" s="1" t="n">
        <v>45353</v>
      </c>
      <c r="D1517" t="inlineStr">
        <is>
          <t>VÄSTERNORRLANDS LÄN</t>
        </is>
      </c>
      <c r="E1517" t="inlineStr">
        <is>
          <t>SOLLEFTEÅ</t>
        </is>
      </c>
      <c r="F1517" t="inlineStr">
        <is>
          <t>Kommuner</t>
        </is>
      </c>
      <c r="G1517" t="n">
        <v>19.8</v>
      </c>
      <c r="H1517" t="n">
        <v>0</v>
      </c>
      <c r="I1517" t="n">
        <v>0</v>
      </c>
      <c r="J1517" t="n">
        <v>0</v>
      </c>
      <c r="K1517" t="n">
        <v>0</v>
      </c>
      <c r="L1517" t="n">
        <v>0</v>
      </c>
      <c r="M1517" t="n">
        <v>0</v>
      </c>
      <c r="N1517" t="n">
        <v>0</v>
      </c>
      <c r="O1517" t="n">
        <v>0</v>
      </c>
      <c r="P1517" t="n">
        <v>0</v>
      </c>
      <c r="Q1517" t="n">
        <v>0</v>
      </c>
      <c r="R1517" s="2" t="inlineStr"/>
    </row>
    <row r="1518" ht="15" customHeight="1">
      <c r="A1518" t="inlineStr">
        <is>
          <t>A 43130-2022</t>
        </is>
      </c>
      <c r="B1518" s="1" t="n">
        <v>44833</v>
      </c>
      <c r="C1518" s="1" t="n">
        <v>45353</v>
      </c>
      <c r="D1518" t="inlineStr">
        <is>
          <t>VÄSTERNORRLANDS LÄN</t>
        </is>
      </c>
      <c r="E1518" t="inlineStr">
        <is>
          <t>SOLLEFTEÅ</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43137-2022</t>
        </is>
      </c>
      <c r="B1519" s="1" t="n">
        <v>44834</v>
      </c>
      <c r="C1519" s="1" t="n">
        <v>45353</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43124-2022</t>
        </is>
      </c>
      <c r="B1520" s="1" t="n">
        <v>44834</v>
      </c>
      <c r="C1520" s="1" t="n">
        <v>45353</v>
      </c>
      <c r="D1520" t="inlineStr">
        <is>
          <t>VÄSTERNORRLANDS LÄN</t>
        </is>
      </c>
      <c r="E1520" t="inlineStr">
        <is>
          <t>SOLLEFTEÅ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43122-2022</t>
        </is>
      </c>
      <c r="B1521" s="1" t="n">
        <v>44834</v>
      </c>
      <c r="C1521" s="1" t="n">
        <v>45353</v>
      </c>
      <c r="D1521" t="inlineStr">
        <is>
          <t>VÄSTERNORRLANDS LÄN</t>
        </is>
      </c>
      <c r="E1521" t="inlineStr">
        <is>
          <t>SOLLEFTEÅ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43148-2022</t>
        </is>
      </c>
      <c r="B1522" s="1" t="n">
        <v>44834</v>
      </c>
      <c r="C1522" s="1" t="n">
        <v>45353</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43149-2022</t>
        </is>
      </c>
      <c r="B1523" s="1" t="n">
        <v>44834</v>
      </c>
      <c r="C1523" s="1" t="n">
        <v>45353</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43442-2022</t>
        </is>
      </c>
      <c r="B1524" s="1" t="n">
        <v>44834</v>
      </c>
      <c r="C1524" s="1" t="n">
        <v>45353</v>
      </c>
      <c r="D1524" t="inlineStr">
        <is>
          <t>VÄSTERNORRLANDS LÄN</t>
        </is>
      </c>
      <c r="E1524" t="inlineStr">
        <is>
          <t>SOLLEFTEÅ</t>
        </is>
      </c>
      <c r="F1524" t="inlineStr">
        <is>
          <t>Kyrkan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43469-2022</t>
        </is>
      </c>
      <c r="B1525" s="1" t="n">
        <v>44836</v>
      </c>
      <c r="C1525" s="1" t="n">
        <v>45353</v>
      </c>
      <c r="D1525" t="inlineStr">
        <is>
          <t>VÄSTERNORRLANDS LÄN</t>
        </is>
      </c>
      <c r="E1525" t="inlineStr">
        <is>
          <t>SOLLEFTEÅ</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43774-2022</t>
        </is>
      </c>
      <c r="B1526" s="1" t="n">
        <v>44837</v>
      </c>
      <c r="C1526" s="1" t="n">
        <v>45353</v>
      </c>
      <c r="D1526" t="inlineStr">
        <is>
          <t>VÄSTERNORRLANDS LÄN</t>
        </is>
      </c>
      <c r="E1526" t="inlineStr">
        <is>
          <t>SOLLEFTEÅ</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43772-2022</t>
        </is>
      </c>
      <c r="B1527" s="1" t="n">
        <v>44837</v>
      </c>
      <c r="C1527" s="1" t="n">
        <v>45353</v>
      </c>
      <c r="D1527" t="inlineStr">
        <is>
          <t>VÄSTERNORRLANDS LÄN</t>
        </is>
      </c>
      <c r="E1527" t="inlineStr">
        <is>
          <t>SOLLEFTEÅ</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43762-2022</t>
        </is>
      </c>
      <c r="B1528" s="1" t="n">
        <v>44838</v>
      </c>
      <c r="C1528" s="1" t="n">
        <v>45353</v>
      </c>
      <c r="D1528" t="inlineStr">
        <is>
          <t>VÄSTERNORRLANDS LÄN</t>
        </is>
      </c>
      <c r="E1528" t="inlineStr">
        <is>
          <t>SOLLEFTEÅ</t>
        </is>
      </c>
      <c r="F1528" t="inlineStr">
        <is>
          <t>Kyrkan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43766-2022</t>
        </is>
      </c>
      <c r="B1529" s="1" t="n">
        <v>44838</v>
      </c>
      <c r="C1529" s="1" t="n">
        <v>45353</v>
      </c>
      <c r="D1529" t="inlineStr">
        <is>
          <t>VÄSTERNORRLANDS LÄN</t>
        </is>
      </c>
      <c r="E1529" t="inlineStr">
        <is>
          <t>SOLLEFTEÅ</t>
        </is>
      </c>
      <c r="F1529" t="inlineStr">
        <is>
          <t>Kyrkan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43782-2022</t>
        </is>
      </c>
      <c r="B1530" s="1" t="n">
        <v>44838</v>
      </c>
      <c r="C1530" s="1" t="n">
        <v>45353</v>
      </c>
      <c r="D1530" t="inlineStr">
        <is>
          <t>VÄSTERNORRLANDS LÄN</t>
        </is>
      </c>
      <c r="E1530" t="inlineStr">
        <is>
          <t>SOLLEFTEÅ</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43786-2022</t>
        </is>
      </c>
      <c r="B1531" s="1" t="n">
        <v>44837</v>
      </c>
      <c r="C1531" s="1" t="n">
        <v>45353</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44042-2022</t>
        </is>
      </c>
      <c r="B1532" s="1" t="n">
        <v>44839</v>
      </c>
      <c r="C1532" s="1" t="n">
        <v>45353</v>
      </c>
      <c r="D1532" t="inlineStr">
        <is>
          <t>VÄSTERNORRLANDS LÄN</t>
        </is>
      </c>
      <c r="E1532" t="inlineStr">
        <is>
          <t>SOLLEFTEÅ</t>
        </is>
      </c>
      <c r="F1532" t="inlineStr">
        <is>
          <t>SCA</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44285-2022</t>
        </is>
      </c>
      <c r="B1533" s="1" t="n">
        <v>44839</v>
      </c>
      <c r="C1533" s="1" t="n">
        <v>45353</v>
      </c>
      <c r="D1533" t="inlineStr">
        <is>
          <t>VÄSTERNORRLANDS LÄN</t>
        </is>
      </c>
      <c r="E1533" t="inlineStr">
        <is>
          <t>SOLLEFTEÅ</t>
        </is>
      </c>
      <c r="F1533" t="inlineStr">
        <is>
          <t>Holmen skog AB</t>
        </is>
      </c>
      <c r="G1533" t="n">
        <v>13.9</v>
      </c>
      <c r="H1533" t="n">
        <v>0</v>
      </c>
      <c r="I1533" t="n">
        <v>0</v>
      </c>
      <c r="J1533" t="n">
        <v>0</v>
      </c>
      <c r="K1533" t="n">
        <v>0</v>
      </c>
      <c r="L1533" t="n">
        <v>0</v>
      </c>
      <c r="M1533" t="n">
        <v>0</v>
      </c>
      <c r="N1533" t="n">
        <v>0</v>
      </c>
      <c r="O1533" t="n">
        <v>0</v>
      </c>
      <c r="P1533" t="n">
        <v>0</v>
      </c>
      <c r="Q1533" t="n">
        <v>0</v>
      </c>
      <c r="R1533" s="2" t="inlineStr"/>
    </row>
    <row r="1534" ht="15" customHeight="1">
      <c r="A1534" t="inlineStr">
        <is>
          <t>A 44438-2022</t>
        </is>
      </c>
      <c r="B1534" s="1" t="n">
        <v>44840</v>
      </c>
      <c r="C1534" s="1" t="n">
        <v>45353</v>
      </c>
      <c r="D1534" t="inlineStr">
        <is>
          <t>VÄSTERNORRLANDS LÄN</t>
        </is>
      </c>
      <c r="E1534" t="inlineStr">
        <is>
          <t>SOLLEFTEÅ</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44454-2022</t>
        </is>
      </c>
      <c r="B1535" s="1" t="n">
        <v>44840</v>
      </c>
      <c r="C1535" s="1" t="n">
        <v>45353</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44208-2022</t>
        </is>
      </c>
      <c r="B1536" s="1" t="n">
        <v>44839</v>
      </c>
      <c r="C1536" s="1" t="n">
        <v>45353</v>
      </c>
      <c r="D1536" t="inlineStr">
        <is>
          <t>VÄSTERNORRLANDS LÄN</t>
        </is>
      </c>
      <c r="E1536" t="inlineStr">
        <is>
          <t>SOLLEFTEÅ</t>
        </is>
      </c>
      <c r="F1536" t="inlineStr">
        <is>
          <t>Holmen skog AB</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44755-2022</t>
        </is>
      </c>
      <c r="B1537" s="1" t="n">
        <v>44841</v>
      </c>
      <c r="C1537" s="1" t="n">
        <v>45353</v>
      </c>
      <c r="D1537" t="inlineStr">
        <is>
          <t>VÄSTERNORRLANDS LÄN</t>
        </is>
      </c>
      <c r="E1537" t="inlineStr">
        <is>
          <t>SOLLEFTEÅ</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44762-2022</t>
        </is>
      </c>
      <c r="B1538" s="1" t="n">
        <v>44840</v>
      </c>
      <c r="C1538" s="1" t="n">
        <v>45353</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44761-2022</t>
        </is>
      </c>
      <c r="B1539" s="1" t="n">
        <v>44840</v>
      </c>
      <c r="C1539" s="1" t="n">
        <v>45353</v>
      </c>
      <c r="D1539" t="inlineStr">
        <is>
          <t>VÄSTERNORRLANDS LÄN</t>
        </is>
      </c>
      <c r="E1539" t="inlineStr">
        <is>
          <t>SOLLEFTEÅ</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44805-2022</t>
        </is>
      </c>
      <c r="B1540" s="1" t="n">
        <v>44841</v>
      </c>
      <c r="C1540" s="1" t="n">
        <v>45353</v>
      </c>
      <c r="D1540" t="inlineStr">
        <is>
          <t>VÄSTERNORRLANDS LÄN</t>
        </is>
      </c>
      <c r="E1540" t="inlineStr">
        <is>
          <t>SOLLEFTEÅ</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45085-2022</t>
        </is>
      </c>
      <c r="B1541" s="1" t="n">
        <v>44841</v>
      </c>
      <c r="C1541" s="1" t="n">
        <v>45353</v>
      </c>
      <c r="D1541" t="inlineStr">
        <is>
          <t>VÄSTERNORRLANDS LÄN</t>
        </is>
      </c>
      <c r="E1541" t="inlineStr">
        <is>
          <t>SOLLEFTEÅ</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45119-2022</t>
        </is>
      </c>
      <c r="B1542" s="1" t="n">
        <v>44843</v>
      </c>
      <c r="C1542" s="1" t="n">
        <v>45353</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45117-2022</t>
        </is>
      </c>
      <c r="B1543" s="1" t="n">
        <v>44844</v>
      </c>
      <c r="C1543" s="1" t="n">
        <v>45353</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45121-2022</t>
        </is>
      </c>
      <c r="B1544" s="1" t="n">
        <v>44844</v>
      </c>
      <c r="C1544" s="1" t="n">
        <v>45353</v>
      </c>
      <c r="D1544" t="inlineStr">
        <is>
          <t>VÄSTERNORRLANDS LÄN</t>
        </is>
      </c>
      <c r="E1544" t="inlineStr">
        <is>
          <t>SOLLEFTEÅ</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45120-2022</t>
        </is>
      </c>
      <c r="B1545" s="1" t="n">
        <v>44843</v>
      </c>
      <c r="C1545" s="1" t="n">
        <v>45353</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45118-2022</t>
        </is>
      </c>
      <c r="B1546" s="1" t="n">
        <v>44843</v>
      </c>
      <c r="C1546" s="1" t="n">
        <v>45353</v>
      </c>
      <c r="D1546" t="inlineStr">
        <is>
          <t>VÄSTERNORRLANDS LÄN</t>
        </is>
      </c>
      <c r="E1546" t="inlineStr">
        <is>
          <t>SOLLEFTEÅ</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45419-2022</t>
        </is>
      </c>
      <c r="B1547" s="1" t="n">
        <v>44844</v>
      </c>
      <c r="C1547" s="1" t="n">
        <v>45353</v>
      </c>
      <c r="D1547" t="inlineStr">
        <is>
          <t>VÄSTERNORRLANDS LÄN</t>
        </is>
      </c>
      <c r="E1547" t="inlineStr">
        <is>
          <t>SOLLEFTEÅ</t>
        </is>
      </c>
      <c r="G1547" t="n">
        <v>12.7</v>
      </c>
      <c r="H1547" t="n">
        <v>0</v>
      </c>
      <c r="I1547" t="n">
        <v>0</v>
      </c>
      <c r="J1547" t="n">
        <v>0</v>
      </c>
      <c r="K1547" t="n">
        <v>0</v>
      </c>
      <c r="L1547" t="n">
        <v>0</v>
      </c>
      <c r="M1547" t="n">
        <v>0</v>
      </c>
      <c r="N1547" t="n">
        <v>0</v>
      </c>
      <c r="O1547" t="n">
        <v>0</v>
      </c>
      <c r="P1547" t="n">
        <v>0</v>
      </c>
      <c r="Q1547" t="n">
        <v>0</v>
      </c>
      <c r="R1547" s="2" t="inlineStr"/>
    </row>
    <row r="1548" ht="15" customHeight="1">
      <c r="A1548" t="inlineStr">
        <is>
          <t>A 45423-2022</t>
        </is>
      </c>
      <c r="B1548" s="1" t="n">
        <v>44845</v>
      </c>
      <c r="C1548" s="1" t="n">
        <v>45353</v>
      </c>
      <c r="D1548" t="inlineStr">
        <is>
          <t>VÄSTERNORRLANDS LÄN</t>
        </is>
      </c>
      <c r="E1548" t="inlineStr">
        <is>
          <t>SOLLEFTEÅ</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46130-2022</t>
        </is>
      </c>
      <c r="B1549" s="1" t="n">
        <v>44844</v>
      </c>
      <c r="C1549" s="1" t="n">
        <v>45353</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45719-2022</t>
        </is>
      </c>
      <c r="B1550" s="1" t="n">
        <v>44846</v>
      </c>
      <c r="C1550" s="1" t="n">
        <v>45353</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46039-2022</t>
        </is>
      </c>
      <c r="B1551" s="1" t="n">
        <v>44847</v>
      </c>
      <c r="C1551" s="1" t="n">
        <v>45353</v>
      </c>
      <c r="D1551" t="inlineStr">
        <is>
          <t>VÄSTERNORRLANDS LÄN</t>
        </is>
      </c>
      <c r="E1551" t="inlineStr">
        <is>
          <t>SOLLEFTEÅ</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46032-2022</t>
        </is>
      </c>
      <c r="B1552" s="1" t="n">
        <v>44846</v>
      </c>
      <c r="C1552" s="1" t="n">
        <v>45353</v>
      </c>
      <c r="D1552" t="inlineStr">
        <is>
          <t>VÄSTERNORRLANDS LÄN</t>
        </is>
      </c>
      <c r="E1552" t="inlineStr">
        <is>
          <t>SOLLEFTEÅ</t>
        </is>
      </c>
      <c r="F1552" t="inlineStr">
        <is>
          <t>SCA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46036-2022</t>
        </is>
      </c>
      <c r="B1553" s="1" t="n">
        <v>44846</v>
      </c>
      <c r="C1553" s="1" t="n">
        <v>45353</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46052-2022</t>
        </is>
      </c>
      <c r="B1554" s="1" t="n">
        <v>44846</v>
      </c>
      <c r="C1554" s="1" t="n">
        <v>45353</v>
      </c>
      <c r="D1554" t="inlineStr">
        <is>
          <t>VÄSTERNORRLANDS LÄN</t>
        </is>
      </c>
      <c r="E1554" t="inlineStr">
        <is>
          <t>SOLLEFTEÅ</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46053-2022</t>
        </is>
      </c>
      <c r="B1555" s="1" t="n">
        <v>44846</v>
      </c>
      <c r="C1555" s="1" t="n">
        <v>45353</v>
      </c>
      <c r="D1555" t="inlineStr">
        <is>
          <t>VÄSTERNORRLANDS LÄN</t>
        </is>
      </c>
      <c r="E1555" t="inlineStr">
        <is>
          <t>SOLLEFTEÅ</t>
        </is>
      </c>
      <c r="F1555" t="inlineStr">
        <is>
          <t>SCA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46324-2022</t>
        </is>
      </c>
      <c r="B1556" s="1" t="n">
        <v>44847</v>
      </c>
      <c r="C1556" s="1" t="n">
        <v>45353</v>
      </c>
      <c r="D1556" t="inlineStr">
        <is>
          <t>VÄSTERNORRLANDS LÄN</t>
        </is>
      </c>
      <c r="E1556" t="inlineStr">
        <is>
          <t>SOLLEFTEÅ</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46626-2022</t>
        </is>
      </c>
      <c r="B1557" s="1" t="n">
        <v>44848</v>
      </c>
      <c r="C1557" s="1" t="n">
        <v>45353</v>
      </c>
      <c r="D1557" t="inlineStr">
        <is>
          <t>VÄSTERNORRLANDS LÄN</t>
        </is>
      </c>
      <c r="E1557" t="inlineStr">
        <is>
          <t>SOLLEFTEÅ</t>
        </is>
      </c>
      <c r="F1557" t="inlineStr">
        <is>
          <t>SCA</t>
        </is>
      </c>
      <c r="G1557" t="n">
        <v>9.9</v>
      </c>
      <c r="H1557" t="n">
        <v>0</v>
      </c>
      <c r="I1557" t="n">
        <v>0</v>
      </c>
      <c r="J1557" t="n">
        <v>0</v>
      </c>
      <c r="K1557" t="n">
        <v>0</v>
      </c>
      <c r="L1557" t="n">
        <v>0</v>
      </c>
      <c r="M1557" t="n">
        <v>0</v>
      </c>
      <c r="N1557" t="n">
        <v>0</v>
      </c>
      <c r="O1557" t="n">
        <v>0</v>
      </c>
      <c r="P1557" t="n">
        <v>0</v>
      </c>
      <c r="Q1557" t="n">
        <v>0</v>
      </c>
      <c r="R1557" s="2" t="inlineStr"/>
    </row>
    <row r="1558" ht="15" customHeight="1">
      <c r="A1558" t="inlineStr">
        <is>
          <t>A 46616-2022</t>
        </is>
      </c>
      <c r="B1558" s="1" t="n">
        <v>44848</v>
      </c>
      <c r="C1558" s="1" t="n">
        <v>45353</v>
      </c>
      <c r="D1558" t="inlineStr">
        <is>
          <t>VÄSTERNORRLANDS LÄN</t>
        </is>
      </c>
      <c r="E1558" t="inlineStr">
        <is>
          <t>SOLLEFTEÅ</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46664-2022</t>
        </is>
      </c>
      <c r="B1559" s="1" t="n">
        <v>44851</v>
      </c>
      <c r="C1559" s="1" t="n">
        <v>45353</v>
      </c>
      <c r="D1559" t="inlineStr">
        <is>
          <t>VÄSTERNORRLANDS LÄN</t>
        </is>
      </c>
      <c r="E1559" t="inlineStr">
        <is>
          <t>SOLLEFTEÅ</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46871-2022</t>
        </is>
      </c>
      <c r="B1560" s="1" t="n">
        <v>44851</v>
      </c>
      <c r="C1560" s="1" t="n">
        <v>45353</v>
      </c>
      <c r="D1560" t="inlineStr">
        <is>
          <t>VÄSTERNORRLANDS LÄN</t>
        </is>
      </c>
      <c r="E1560" t="inlineStr">
        <is>
          <t>SOLLEFTEÅ</t>
        </is>
      </c>
      <c r="F1560" t="inlineStr">
        <is>
          <t>Kyrkan</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46880-2022</t>
        </is>
      </c>
      <c r="B1561" s="1" t="n">
        <v>44851</v>
      </c>
      <c r="C1561" s="1" t="n">
        <v>45353</v>
      </c>
      <c r="D1561" t="inlineStr">
        <is>
          <t>VÄSTERNORRLANDS LÄN</t>
        </is>
      </c>
      <c r="E1561" t="inlineStr">
        <is>
          <t>SOLLEFTEÅ</t>
        </is>
      </c>
      <c r="F1561" t="inlineStr">
        <is>
          <t>Kyrkan</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46986-2022</t>
        </is>
      </c>
      <c r="B1562" s="1" t="n">
        <v>44851</v>
      </c>
      <c r="C1562" s="1" t="n">
        <v>45353</v>
      </c>
      <c r="D1562" t="inlineStr">
        <is>
          <t>VÄSTERNORRLANDS LÄN</t>
        </is>
      </c>
      <c r="E1562" t="inlineStr">
        <is>
          <t>SOLLEFTEÅ</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46985-2022</t>
        </is>
      </c>
      <c r="B1563" s="1" t="n">
        <v>44851</v>
      </c>
      <c r="C1563" s="1" t="n">
        <v>45353</v>
      </c>
      <c r="D1563" t="inlineStr">
        <is>
          <t>VÄSTERNORRLANDS LÄN</t>
        </is>
      </c>
      <c r="E1563" t="inlineStr">
        <is>
          <t>SOLLEFTEÅ</t>
        </is>
      </c>
      <c r="F1563" t="inlineStr">
        <is>
          <t>Kyrkan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47250-2022</t>
        </is>
      </c>
      <c r="B1564" s="1" t="n">
        <v>44852</v>
      </c>
      <c r="C1564" s="1" t="n">
        <v>45353</v>
      </c>
      <c r="D1564" t="inlineStr">
        <is>
          <t>VÄSTERNORRLANDS LÄN</t>
        </is>
      </c>
      <c r="E1564" t="inlineStr">
        <is>
          <t>SOLLEFTEÅ</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47268-2022</t>
        </is>
      </c>
      <c r="B1565" s="1" t="n">
        <v>44853</v>
      </c>
      <c r="C1565" s="1" t="n">
        <v>45353</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47269-2022</t>
        </is>
      </c>
      <c r="B1566" s="1" t="n">
        <v>44853</v>
      </c>
      <c r="C1566" s="1" t="n">
        <v>45353</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47272-2022</t>
        </is>
      </c>
      <c r="B1567" s="1" t="n">
        <v>44853</v>
      </c>
      <c r="C1567" s="1" t="n">
        <v>45353</v>
      </c>
      <c r="D1567" t="inlineStr">
        <is>
          <t>VÄSTERNORRLANDS LÄN</t>
        </is>
      </c>
      <c r="E1567" t="inlineStr">
        <is>
          <t>SOLLEFTEÅ</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47564-2022</t>
        </is>
      </c>
      <c r="B1568" s="1" t="n">
        <v>44854</v>
      </c>
      <c r="C1568" s="1" t="n">
        <v>45353</v>
      </c>
      <c r="D1568" t="inlineStr">
        <is>
          <t>VÄSTERNORRLANDS LÄN</t>
        </is>
      </c>
      <c r="E1568" t="inlineStr">
        <is>
          <t>SOLLEFTEÅ</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47580-2022</t>
        </is>
      </c>
      <c r="B1569" s="1" t="n">
        <v>44854</v>
      </c>
      <c r="C1569" s="1" t="n">
        <v>45353</v>
      </c>
      <c r="D1569" t="inlineStr">
        <is>
          <t>VÄSTERNORRLANDS LÄN</t>
        </is>
      </c>
      <c r="E1569" t="inlineStr">
        <is>
          <t>SOLLEFTEÅ</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47787-2022</t>
        </is>
      </c>
      <c r="B1570" s="1" t="n">
        <v>44855</v>
      </c>
      <c r="C1570" s="1" t="n">
        <v>45353</v>
      </c>
      <c r="D1570" t="inlineStr">
        <is>
          <t>VÄSTERNORRLANDS LÄN</t>
        </is>
      </c>
      <c r="E1570" t="inlineStr">
        <is>
          <t>SOLLEFTEÅ</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47814-2022</t>
        </is>
      </c>
      <c r="B1571" s="1" t="n">
        <v>44855</v>
      </c>
      <c r="C1571" s="1" t="n">
        <v>45353</v>
      </c>
      <c r="D1571" t="inlineStr">
        <is>
          <t>VÄSTERNORRLANDS LÄN</t>
        </is>
      </c>
      <c r="E1571" t="inlineStr">
        <is>
          <t>SOLLEFTEÅ</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47812-2022</t>
        </is>
      </c>
      <c r="B1572" s="1" t="n">
        <v>44855</v>
      </c>
      <c r="C1572" s="1" t="n">
        <v>45353</v>
      </c>
      <c r="D1572" t="inlineStr">
        <is>
          <t>VÄSTERNORRLANDS LÄN</t>
        </is>
      </c>
      <c r="E1572" t="inlineStr">
        <is>
          <t>SOLLEFTEÅ</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47875-2022</t>
        </is>
      </c>
      <c r="B1573" s="1" t="n">
        <v>44855</v>
      </c>
      <c r="C1573" s="1" t="n">
        <v>45353</v>
      </c>
      <c r="D1573" t="inlineStr">
        <is>
          <t>VÄSTERNORRLANDS LÄN</t>
        </is>
      </c>
      <c r="E1573" t="inlineStr">
        <is>
          <t>SOLLEFTEÅ</t>
        </is>
      </c>
      <c r="F1573" t="inlineStr">
        <is>
          <t>Holmen skog AB</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48056-2022</t>
        </is>
      </c>
      <c r="B1574" s="1" t="n">
        <v>44856</v>
      </c>
      <c r="C1574" s="1" t="n">
        <v>45353</v>
      </c>
      <c r="D1574" t="inlineStr">
        <is>
          <t>VÄSTERNORRLANDS LÄN</t>
        </is>
      </c>
      <c r="E1574" t="inlineStr">
        <is>
          <t>SOLLEFTEÅ</t>
        </is>
      </c>
      <c r="F1574" t="inlineStr">
        <is>
          <t>SCA</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48064-2022</t>
        </is>
      </c>
      <c r="B1575" s="1" t="n">
        <v>44856</v>
      </c>
      <c r="C1575" s="1" t="n">
        <v>45353</v>
      </c>
      <c r="D1575" t="inlineStr">
        <is>
          <t>VÄSTERNORRLANDS LÄN</t>
        </is>
      </c>
      <c r="E1575" t="inlineStr">
        <is>
          <t>SOLLEFTEÅ</t>
        </is>
      </c>
      <c r="F1575" t="inlineStr">
        <is>
          <t>SCA</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48067-2022</t>
        </is>
      </c>
      <c r="B1576" s="1" t="n">
        <v>44855</v>
      </c>
      <c r="C1576" s="1" t="n">
        <v>45353</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48062-2022</t>
        </is>
      </c>
      <c r="B1577" s="1" t="n">
        <v>44856</v>
      </c>
      <c r="C1577" s="1" t="n">
        <v>45353</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47826-2022</t>
        </is>
      </c>
      <c r="B1578" s="1" t="n">
        <v>44855</v>
      </c>
      <c r="C1578" s="1" t="n">
        <v>45353</v>
      </c>
      <c r="D1578" t="inlineStr">
        <is>
          <t>VÄSTERNORRLANDS LÄN</t>
        </is>
      </c>
      <c r="E1578" t="inlineStr">
        <is>
          <t>SOLLEFTEÅ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48057-2022</t>
        </is>
      </c>
      <c r="B1579" s="1" t="n">
        <v>44856</v>
      </c>
      <c r="C1579" s="1" t="n">
        <v>45353</v>
      </c>
      <c r="D1579" t="inlineStr">
        <is>
          <t>VÄSTERNORRLANDS LÄN</t>
        </is>
      </c>
      <c r="E1579" t="inlineStr">
        <is>
          <t>SOLLEFTEÅ</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48061-2022</t>
        </is>
      </c>
      <c r="B1580" s="1" t="n">
        <v>44855</v>
      </c>
      <c r="C1580" s="1" t="n">
        <v>45353</v>
      </c>
      <c r="D1580" t="inlineStr">
        <is>
          <t>VÄSTERNORRLANDS LÄN</t>
        </is>
      </c>
      <c r="E1580" t="inlineStr">
        <is>
          <t>SOLLEFTEÅ</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48065-2022</t>
        </is>
      </c>
      <c r="B1581" s="1" t="n">
        <v>44856</v>
      </c>
      <c r="C1581" s="1" t="n">
        <v>45353</v>
      </c>
      <c r="D1581" t="inlineStr">
        <is>
          <t>VÄSTERNORRLANDS LÄN</t>
        </is>
      </c>
      <c r="E1581" t="inlineStr">
        <is>
          <t>SOLLEFTEÅ</t>
        </is>
      </c>
      <c r="F1581" t="inlineStr">
        <is>
          <t>SCA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48738-2022</t>
        </is>
      </c>
      <c r="B1582" s="1" t="n">
        <v>44855</v>
      </c>
      <c r="C1582" s="1" t="n">
        <v>45353</v>
      </c>
      <c r="D1582" t="inlineStr">
        <is>
          <t>VÄSTERNORRLANDS LÄN</t>
        </is>
      </c>
      <c r="E1582" t="inlineStr">
        <is>
          <t>SOLLEFTEÅ</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48240-2022</t>
        </is>
      </c>
      <c r="B1583" s="1" t="n">
        <v>44858</v>
      </c>
      <c r="C1583" s="1" t="n">
        <v>45353</v>
      </c>
      <c r="D1583" t="inlineStr">
        <is>
          <t>VÄSTERNORRLANDS LÄN</t>
        </is>
      </c>
      <c r="E1583" t="inlineStr">
        <is>
          <t>SOLLEFTEÅ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48511-2022</t>
        </is>
      </c>
      <c r="B1584" s="1" t="n">
        <v>44859</v>
      </c>
      <c r="C1584" s="1" t="n">
        <v>45353</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48512-2022</t>
        </is>
      </c>
      <c r="B1585" s="1" t="n">
        <v>44859</v>
      </c>
      <c r="C1585" s="1" t="n">
        <v>45353</v>
      </c>
      <c r="D1585" t="inlineStr">
        <is>
          <t>VÄSTERNORRLANDS LÄN</t>
        </is>
      </c>
      <c r="E1585" t="inlineStr">
        <is>
          <t>SOLLEFTEÅ</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48519-2022</t>
        </is>
      </c>
      <c r="B1586" s="1" t="n">
        <v>44858</v>
      </c>
      <c r="C1586" s="1" t="n">
        <v>45353</v>
      </c>
      <c r="D1586" t="inlineStr">
        <is>
          <t>VÄSTERNORRLANDS LÄN</t>
        </is>
      </c>
      <c r="E1586" t="inlineStr">
        <is>
          <t>SOLLEFTEÅ</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48296-2022</t>
        </is>
      </c>
      <c r="B1587" s="1" t="n">
        <v>44858</v>
      </c>
      <c r="C1587" s="1" t="n">
        <v>45353</v>
      </c>
      <c r="D1587" t="inlineStr">
        <is>
          <t>VÄSTERNORRLANDS LÄN</t>
        </is>
      </c>
      <c r="E1587" t="inlineStr">
        <is>
          <t>SOLLEFTEÅ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48510-2022</t>
        </is>
      </c>
      <c r="B1588" s="1" t="n">
        <v>44858</v>
      </c>
      <c r="C1588" s="1" t="n">
        <v>45353</v>
      </c>
      <c r="D1588" t="inlineStr">
        <is>
          <t>VÄSTERNORRLANDS LÄN</t>
        </is>
      </c>
      <c r="E1588" t="inlineStr">
        <is>
          <t>SOLLEFTEÅ</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48535-2022</t>
        </is>
      </c>
      <c r="B1589" s="1" t="n">
        <v>44859</v>
      </c>
      <c r="C1589" s="1" t="n">
        <v>45353</v>
      </c>
      <c r="D1589" t="inlineStr">
        <is>
          <t>VÄSTERNORRLANDS LÄN</t>
        </is>
      </c>
      <c r="E1589" t="inlineStr">
        <is>
          <t>SOLLEFTEÅ</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48513-2022</t>
        </is>
      </c>
      <c r="B1590" s="1" t="n">
        <v>44859</v>
      </c>
      <c r="C1590" s="1" t="n">
        <v>45353</v>
      </c>
      <c r="D1590" t="inlineStr">
        <is>
          <t>VÄSTERNORRLANDS LÄN</t>
        </is>
      </c>
      <c r="E1590" t="inlineStr">
        <is>
          <t>SOLLEFTEÅ</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48905-2022</t>
        </is>
      </c>
      <c r="B1591" s="1" t="n">
        <v>44859</v>
      </c>
      <c r="C1591" s="1" t="n">
        <v>45353</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48915-2022</t>
        </is>
      </c>
      <c r="B1592" s="1" t="n">
        <v>44860</v>
      </c>
      <c r="C1592" s="1" t="n">
        <v>45353</v>
      </c>
      <c r="D1592" t="inlineStr">
        <is>
          <t>VÄSTERNORRLANDS LÄN</t>
        </is>
      </c>
      <c r="E1592" t="inlineStr">
        <is>
          <t>SOLLEFTEÅ</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48919-2022</t>
        </is>
      </c>
      <c r="B1593" s="1" t="n">
        <v>44859</v>
      </c>
      <c r="C1593" s="1" t="n">
        <v>45353</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48901-2022</t>
        </is>
      </c>
      <c r="B1594" s="1" t="n">
        <v>44860</v>
      </c>
      <c r="C1594" s="1" t="n">
        <v>45353</v>
      </c>
      <c r="D1594" t="inlineStr">
        <is>
          <t>VÄSTERNORRLANDS LÄN</t>
        </is>
      </c>
      <c r="E1594" t="inlineStr">
        <is>
          <t>SOLLEFTEÅ</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48913-2022</t>
        </is>
      </c>
      <c r="B1595" s="1" t="n">
        <v>44860</v>
      </c>
      <c r="C1595" s="1" t="n">
        <v>45353</v>
      </c>
      <c r="D1595" t="inlineStr">
        <is>
          <t>VÄSTERNORRLANDS LÄN</t>
        </is>
      </c>
      <c r="E1595" t="inlineStr">
        <is>
          <t>SOLLEFTEÅ</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48923-2022</t>
        </is>
      </c>
      <c r="B1596" s="1" t="n">
        <v>44860</v>
      </c>
      <c r="C1596" s="1" t="n">
        <v>45353</v>
      </c>
      <c r="D1596" t="inlineStr">
        <is>
          <t>VÄSTERNORRLANDS LÄN</t>
        </is>
      </c>
      <c r="E1596" t="inlineStr">
        <is>
          <t>SOLLEFTEÅ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48902-2022</t>
        </is>
      </c>
      <c r="B1597" s="1" t="n">
        <v>44859</v>
      </c>
      <c r="C1597" s="1" t="n">
        <v>45353</v>
      </c>
      <c r="D1597" t="inlineStr">
        <is>
          <t>VÄSTERNORRLANDS LÄN</t>
        </is>
      </c>
      <c r="E1597" t="inlineStr">
        <is>
          <t>SOLLEFTEÅ</t>
        </is>
      </c>
      <c r="F1597" t="inlineStr">
        <is>
          <t>SCA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48914-2022</t>
        </is>
      </c>
      <c r="B1598" s="1" t="n">
        <v>44860</v>
      </c>
      <c r="C1598" s="1" t="n">
        <v>45353</v>
      </c>
      <c r="D1598" t="inlineStr">
        <is>
          <t>VÄSTERNORRLANDS LÄN</t>
        </is>
      </c>
      <c r="E1598" t="inlineStr">
        <is>
          <t>SOLLEFTEÅ</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49694-2022</t>
        </is>
      </c>
      <c r="B1599" s="1" t="n">
        <v>44859</v>
      </c>
      <c r="C1599" s="1" t="n">
        <v>45353</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49708-2022</t>
        </is>
      </c>
      <c r="B1600" s="1" t="n">
        <v>44859</v>
      </c>
      <c r="C1600" s="1" t="n">
        <v>45353</v>
      </c>
      <c r="D1600" t="inlineStr">
        <is>
          <t>VÄSTERNORRLANDS LÄN</t>
        </is>
      </c>
      <c r="E1600" t="inlineStr">
        <is>
          <t>SOLLEFTEÅ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49176-2022</t>
        </is>
      </c>
      <c r="B1601" s="1" t="n">
        <v>44861</v>
      </c>
      <c r="C1601" s="1" t="n">
        <v>45353</v>
      </c>
      <c r="D1601" t="inlineStr">
        <is>
          <t>VÄSTERNORRLANDS LÄN</t>
        </is>
      </c>
      <c r="E1601" t="inlineStr">
        <is>
          <t>SOLLEFTEÅ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49181-2022</t>
        </is>
      </c>
      <c r="B1602" s="1" t="n">
        <v>44861</v>
      </c>
      <c r="C1602" s="1" t="n">
        <v>45353</v>
      </c>
      <c r="D1602" t="inlineStr">
        <is>
          <t>VÄSTERNORRLANDS LÄN</t>
        </is>
      </c>
      <c r="E1602" t="inlineStr">
        <is>
          <t>SOLLEFTEÅ</t>
        </is>
      </c>
      <c r="F1602" t="inlineStr">
        <is>
          <t>SCA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49170-2022</t>
        </is>
      </c>
      <c r="B1603" s="1" t="n">
        <v>44861</v>
      </c>
      <c r="C1603" s="1" t="n">
        <v>45353</v>
      </c>
      <c r="D1603" t="inlineStr">
        <is>
          <t>VÄSTERNORRLANDS LÄN</t>
        </is>
      </c>
      <c r="E1603" t="inlineStr">
        <is>
          <t>SOLLEFTEÅ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49198-2022</t>
        </is>
      </c>
      <c r="B1604" s="1" t="n">
        <v>44860</v>
      </c>
      <c r="C1604" s="1" t="n">
        <v>45353</v>
      </c>
      <c r="D1604" t="inlineStr">
        <is>
          <t>VÄSTERNORRLANDS LÄN</t>
        </is>
      </c>
      <c r="E1604" t="inlineStr">
        <is>
          <t>SOLLEFTEÅ</t>
        </is>
      </c>
      <c r="F1604" t="inlineStr">
        <is>
          <t>SCA</t>
        </is>
      </c>
      <c r="G1604" t="n">
        <v>8.800000000000001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49177-2022</t>
        </is>
      </c>
      <c r="B1605" s="1" t="n">
        <v>44861</v>
      </c>
      <c r="C1605" s="1" t="n">
        <v>45353</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49171-2022</t>
        </is>
      </c>
      <c r="B1606" s="1" t="n">
        <v>44861</v>
      </c>
      <c r="C1606" s="1" t="n">
        <v>45353</v>
      </c>
      <c r="D1606" t="inlineStr">
        <is>
          <t>VÄSTERNORRLANDS LÄN</t>
        </is>
      </c>
      <c r="E1606" t="inlineStr">
        <is>
          <t>SOLLEFTEÅ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49175-2022</t>
        </is>
      </c>
      <c r="B1607" s="1" t="n">
        <v>44861</v>
      </c>
      <c r="C1607" s="1" t="n">
        <v>45353</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49200-2022</t>
        </is>
      </c>
      <c r="B1608" s="1" t="n">
        <v>44861</v>
      </c>
      <c r="C1608" s="1" t="n">
        <v>45353</v>
      </c>
      <c r="D1608" t="inlineStr">
        <is>
          <t>VÄSTERNORRLANDS LÄN</t>
        </is>
      </c>
      <c r="E1608" t="inlineStr">
        <is>
          <t>SOLLEFTEÅ</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49520-2022</t>
        </is>
      </c>
      <c r="B1609" s="1" t="n">
        <v>44862</v>
      </c>
      <c r="C1609" s="1" t="n">
        <v>45353</v>
      </c>
      <c r="D1609" t="inlineStr">
        <is>
          <t>VÄSTERNORRLANDS LÄN</t>
        </is>
      </c>
      <c r="E1609" t="inlineStr">
        <is>
          <t>SOLLEFTEÅ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49513-2022</t>
        </is>
      </c>
      <c r="B1610" s="1" t="n">
        <v>44862</v>
      </c>
      <c r="C1610" s="1" t="n">
        <v>45353</v>
      </c>
      <c r="D1610" t="inlineStr">
        <is>
          <t>VÄSTERNORRLANDS LÄN</t>
        </is>
      </c>
      <c r="E1610" t="inlineStr">
        <is>
          <t>SOLLEFTEÅ</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49512-2022</t>
        </is>
      </c>
      <c r="B1611" s="1" t="n">
        <v>44861</v>
      </c>
      <c r="C1611" s="1" t="n">
        <v>45353</v>
      </c>
      <c r="D1611" t="inlineStr">
        <is>
          <t>VÄSTERNORRLANDS LÄN</t>
        </is>
      </c>
      <c r="E1611" t="inlineStr">
        <is>
          <t>SOLLEFTEÅ</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49521-2022</t>
        </is>
      </c>
      <c r="B1612" s="1" t="n">
        <v>44861</v>
      </c>
      <c r="C1612" s="1" t="n">
        <v>45353</v>
      </c>
      <c r="D1612" t="inlineStr">
        <is>
          <t>VÄSTERNORRLANDS LÄN</t>
        </is>
      </c>
      <c r="E1612" t="inlineStr">
        <is>
          <t>SOLLEFTEÅ</t>
        </is>
      </c>
      <c r="F1612" t="inlineStr">
        <is>
          <t>SCA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49538-2022</t>
        </is>
      </c>
      <c r="B1613" s="1" t="n">
        <v>44861</v>
      </c>
      <c r="C1613" s="1" t="n">
        <v>45353</v>
      </c>
      <c r="D1613" t="inlineStr">
        <is>
          <t>VÄSTERNORRLANDS LÄN</t>
        </is>
      </c>
      <c r="E1613" t="inlineStr">
        <is>
          <t>SOLLEFTEÅ</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49665-2022</t>
        </is>
      </c>
      <c r="B1614" s="1" t="n">
        <v>44862</v>
      </c>
      <c r="C1614" s="1" t="n">
        <v>45353</v>
      </c>
      <c r="D1614" t="inlineStr">
        <is>
          <t>VÄSTERNORRLANDS LÄN</t>
        </is>
      </c>
      <c r="E1614" t="inlineStr">
        <is>
          <t>SOLLEFTEÅ</t>
        </is>
      </c>
      <c r="F1614" t="inlineStr">
        <is>
          <t>Holmen skog AB</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49860-2022</t>
        </is>
      </c>
      <c r="B1615" s="1" t="n">
        <v>44862</v>
      </c>
      <c r="C1615" s="1" t="n">
        <v>45353</v>
      </c>
      <c r="D1615" t="inlineStr">
        <is>
          <t>VÄSTERNORRLANDS LÄN</t>
        </is>
      </c>
      <c r="E1615" t="inlineStr">
        <is>
          <t>SOLLEFTEÅ</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49866-2022</t>
        </is>
      </c>
      <c r="B1616" s="1" t="n">
        <v>44863</v>
      </c>
      <c r="C1616" s="1" t="n">
        <v>45353</v>
      </c>
      <c r="D1616" t="inlineStr">
        <is>
          <t>VÄSTERNORRLANDS LÄN</t>
        </is>
      </c>
      <c r="E1616" t="inlineStr">
        <is>
          <t>SOLLEFTEÅ</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50813-2022</t>
        </is>
      </c>
      <c r="B1617" s="1" t="n">
        <v>44862</v>
      </c>
      <c r="C1617" s="1" t="n">
        <v>45353</v>
      </c>
      <c r="D1617" t="inlineStr">
        <is>
          <t>VÄSTERNORRLANDS LÄN</t>
        </is>
      </c>
      <c r="E1617" t="inlineStr">
        <is>
          <t>SOLLEFTEÅ</t>
        </is>
      </c>
      <c r="F1617" t="inlineStr">
        <is>
          <t>Övriga statliga verk och myndigheter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50825-2022</t>
        </is>
      </c>
      <c r="B1618" s="1" t="n">
        <v>44862</v>
      </c>
      <c r="C1618" s="1" t="n">
        <v>45353</v>
      </c>
      <c r="D1618" t="inlineStr">
        <is>
          <t>VÄSTERNORRLANDS LÄN</t>
        </is>
      </c>
      <c r="E1618" t="inlineStr">
        <is>
          <t>SOLLEFTEÅ</t>
        </is>
      </c>
      <c r="F1618" t="inlineStr">
        <is>
          <t>Övriga statliga verk och myndigheter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49911-2022</t>
        </is>
      </c>
      <c r="B1619" s="1" t="n">
        <v>44865</v>
      </c>
      <c r="C1619" s="1" t="n">
        <v>45353</v>
      </c>
      <c r="D1619" t="inlineStr">
        <is>
          <t>VÄSTERNORRLANDS LÄN</t>
        </is>
      </c>
      <c r="E1619" t="inlineStr">
        <is>
          <t>SOLLEFTEÅ</t>
        </is>
      </c>
      <c r="F1619" t="inlineStr">
        <is>
          <t>Holmen skog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50318-2022</t>
        </is>
      </c>
      <c r="B1620" s="1" t="n">
        <v>44865</v>
      </c>
      <c r="C1620" s="1" t="n">
        <v>45353</v>
      </c>
      <c r="D1620" t="inlineStr">
        <is>
          <t>VÄSTERNORRLANDS LÄN</t>
        </is>
      </c>
      <c r="E1620" t="inlineStr">
        <is>
          <t>SOLLEFTEÅ</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51080-2022</t>
        </is>
      </c>
      <c r="B1621" s="1" t="n">
        <v>44865</v>
      </c>
      <c r="C1621" s="1" t="n">
        <v>45353</v>
      </c>
      <c r="D1621" t="inlineStr">
        <is>
          <t>VÄSTERNORRLANDS LÄN</t>
        </is>
      </c>
      <c r="E1621" t="inlineStr">
        <is>
          <t>SOLLEFTEÅ</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50641-2022</t>
        </is>
      </c>
      <c r="B1622" s="1" t="n">
        <v>44866</v>
      </c>
      <c r="C1622" s="1" t="n">
        <v>45353</v>
      </c>
      <c r="D1622" t="inlineStr">
        <is>
          <t>VÄSTERNORRLANDS LÄN</t>
        </is>
      </c>
      <c r="E1622" t="inlineStr">
        <is>
          <t>SOLLEFTEÅ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50642-2022</t>
        </is>
      </c>
      <c r="B1623" s="1" t="n">
        <v>44866</v>
      </c>
      <c r="C1623" s="1" t="n">
        <v>45353</v>
      </c>
      <c r="D1623" t="inlineStr">
        <is>
          <t>VÄSTERNORRLANDS LÄN</t>
        </is>
      </c>
      <c r="E1623" t="inlineStr">
        <is>
          <t>SOLLEFTEÅ</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50655-2022</t>
        </is>
      </c>
      <c r="B1624" s="1" t="n">
        <v>44866</v>
      </c>
      <c r="C1624" s="1" t="n">
        <v>45353</v>
      </c>
      <c r="D1624" t="inlineStr">
        <is>
          <t>VÄSTERNORRLANDS LÄN</t>
        </is>
      </c>
      <c r="E1624" t="inlineStr">
        <is>
          <t>SOLLEFTEÅ</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50656-2022</t>
        </is>
      </c>
      <c r="B1625" s="1" t="n">
        <v>44866</v>
      </c>
      <c r="C1625" s="1" t="n">
        <v>45353</v>
      </c>
      <c r="D1625" t="inlineStr">
        <is>
          <t>VÄSTERNORRLANDS LÄN</t>
        </is>
      </c>
      <c r="E1625" t="inlineStr">
        <is>
          <t>SOLLEFTEÅ</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50662-2022</t>
        </is>
      </c>
      <c r="B1626" s="1" t="n">
        <v>44866</v>
      </c>
      <c r="C1626" s="1" t="n">
        <v>45353</v>
      </c>
      <c r="D1626" t="inlineStr">
        <is>
          <t>VÄSTERNORRLANDS LÄN</t>
        </is>
      </c>
      <c r="E1626" t="inlineStr">
        <is>
          <t>SOLLEFTEÅ</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51249-2022</t>
        </is>
      </c>
      <c r="B1627" s="1" t="n">
        <v>44866</v>
      </c>
      <c r="C1627" s="1" t="n">
        <v>45353</v>
      </c>
      <c r="D1627" t="inlineStr">
        <is>
          <t>VÄSTERNORRLANDS LÄN</t>
        </is>
      </c>
      <c r="E1627" t="inlineStr">
        <is>
          <t>SOLLEFTEÅ</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51006-2022</t>
        </is>
      </c>
      <c r="B1628" s="1" t="n">
        <v>44867</v>
      </c>
      <c r="C1628" s="1" t="n">
        <v>45353</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51212-2022</t>
        </is>
      </c>
      <c r="B1629" s="1" t="n">
        <v>44868</v>
      </c>
      <c r="C1629" s="1" t="n">
        <v>45353</v>
      </c>
      <c r="D1629" t="inlineStr">
        <is>
          <t>VÄSTERNORRLANDS LÄN</t>
        </is>
      </c>
      <c r="E1629" t="inlineStr">
        <is>
          <t>SOLLEFTEÅ</t>
        </is>
      </c>
      <c r="F1629" t="inlineStr">
        <is>
          <t>Holmen skog AB</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51317-2022</t>
        </is>
      </c>
      <c r="B1630" s="1" t="n">
        <v>44868</v>
      </c>
      <c r="C1630" s="1" t="n">
        <v>45353</v>
      </c>
      <c r="D1630" t="inlineStr">
        <is>
          <t>VÄSTERNORRLANDS LÄN</t>
        </is>
      </c>
      <c r="E1630" t="inlineStr">
        <is>
          <t>SOLLEFTEÅ</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51314-2022</t>
        </is>
      </c>
      <c r="B1631" s="1" t="n">
        <v>44868</v>
      </c>
      <c r="C1631" s="1" t="n">
        <v>45353</v>
      </c>
      <c r="D1631" t="inlineStr">
        <is>
          <t>VÄSTERNORRLANDS LÄN</t>
        </is>
      </c>
      <c r="E1631" t="inlineStr">
        <is>
          <t>SOLLEFTEÅ</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51544-2022</t>
        </is>
      </c>
      <c r="B1632" s="1" t="n">
        <v>44869</v>
      </c>
      <c r="C1632" s="1" t="n">
        <v>45353</v>
      </c>
      <c r="D1632" t="inlineStr">
        <is>
          <t>VÄSTERNORRLANDS LÄN</t>
        </is>
      </c>
      <c r="E1632" t="inlineStr">
        <is>
          <t>SOLLEFTEÅ</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51541-2022</t>
        </is>
      </c>
      <c r="B1633" s="1" t="n">
        <v>44869</v>
      </c>
      <c r="C1633" s="1" t="n">
        <v>45353</v>
      </c>
      <c r="D1633" t="inlineStr">
        <is>
          <t>VÄSTERNORRLANDS LÄN</t>
        </is>
      </c>
      <c r="E1633" t="inlineStr">
        <is>
          <t>SOLLEFTEÅ</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51543-2022</t>
        </is>
      </c>
      <c r="B1634" s="1" t="n">
        <v>44869</v>
      </c>
      <c r="C1634" s="1" t="n">
        <v>45353</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51739-2022</t>
        </is>
      </c>
      <c r="B1635" s="1" t="n">
        <v>44872</v>
      </c>
      <c r="C1635" s="1" t="n">
        <v>45353</v>
      </c>
      <c r="D1635" t="inlineStr">
        <is>
          <t>VÄSTERNORRLANDS LÄN</t>
        </is>
      </c>
      <c r="E1635" t="inlineStr">
        <is>
          <t>SOLLEFTEÅ</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52013-2022</t>
        </is>
      </c>
      <c r="B1636" s="1" t="n">
        <v>44872</v>
      </c>
      <c r="C1636" s="1" t="n">
        <v>45353</v>
      </c>
      <c r="D1636" t="inlineStr">
        <is>
          <t>VÄSTERNORRLANDS LÄN</t>
        </is>
      </c>
      <c r="E1636" t="inlineStr">
        <is>
          <t>SOLLEFTEÅ</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52034-2022</t>
        </is>
      </c>
      <c r="B1637" s="1" t="n">
        <v>44872</v>
      </c>
      <c r="C1637" s="1" t="n">
        <v>45353</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52040-2022</t>
        </is>
      </c>
      <c r="B1638" s="1" t="n">
        <v>44872</v>
      </c>
      <c r="C1638" s="1" t="n">
        <v>45353</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52035-2022</t>
        </is>
      </c>
      <c r="B1639" s="1" t="n">
        <v>44872</v>
      </c>
      <c r="C1639" s="1" t="n">
        <v>45353</v>
      </c>
      <c r="D1639" t="inlineStr">
        <is>
          <t>VÄSTERNORRLANDS LÄN</t>
        </is>
      </c>
      <c r="E1639" t="inlineStr">
        <is>
          <t>SOLLEFTEÅ</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52039-2022</t>
        </is>
      </c>
      <c r="B1640" s="1" t="n">
        <v>44872</v>
      </c>
      <c r="C1640" s="1" t="n">
        <v>45353</v>
      </c>
      <c r="D1640" t="inlineStr">
        <is>
          <t>VÄSTERNORRLANDS LÄN</t>
        </is>
      </c>
      <c r="E1640" t="inlineStr">
        <is>
          <t>SOLLEFTEÅ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53128-2022</t>
        </is>
      </c>
      <c r="B1641" s="1" t="n">
        <v>44873</v>
      </c>
      <c r="C1641" s="1" t="n">
        <v>45353</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53123-2022</t>
        </is>
      </c>
      <c r="B1642" s="1" t="n">
        <v>44873</v>
      </c>
      <c r="C1642" s="1" t="n">
        <v>45353</v>
      </c>
      <c r="D1642" t="inlineStr">
        <is>
          <t>VÄSTERNORRLANDS LÄN</t>
        </is>
      </c>
      <c r="E1642" t="inlineStr">
        <is>
          <t>SOLLEFTEÅ</t>
        </is>
      </c>
      <c r="G1642" t="n">
        <v>9.800000000000001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52549-2022</t>
        </is>
      </c>
      <c r="B1643" s="1" t="n">
        <v>44874</v>
      </c>
      <c r="C1643" s="1" t="n">
        <v>45353</v>
      </c>
      <c r="D1643" t="inlineStr">
        <is>
          <t>VÄSTERNORRLANDS LÄN</t>
        </is>
      </c>
      <c r="E1643" t="inlineStr">
        <is>
          <t>SOLLEFTEÅ</t>
        </is>
      </c>
      <c r="F1643" t="inlineStr">
        <is>
          <t>Holmen skog AB</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52735-2022</t>
        </is>
      </c>
      <c r="B1644" s="1" t="n">
        <v>44874</v>
      </c>
      <c r="C1644" s="1" t="n">
        <v>45353</v>
      </c>
      <c r="D1644" t="inlineStr">
        <is>
          <t>VÄSTERNORRLANDS LÄN</t>
        </is>
      </c>
      <c r="E1644" t="inlineStr">
        <is>
          <t>SOLLEFTEÅ</t>
        </is>
      </c>
      <c r="F1644" t="inlineStr">
        <is>
          <t>SCA</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52595-2022</t>
        </is>
      </c>
      <c r="B1645" s="1" t="n">
        <v>44874</v>
      </c>
      <c r="C1645" s="1" t="n">
        <v>45353</v>
      </c>
      <c r="D1645" t="inlineStr">
        <is>
          <t>VÄSTERNORRLANDS LÄN</t>
        </is>
      </c>
      <c r="E1645" t="inlineStr">
        <is>
          <t>SOLLEFTEÅ</t>
        </is>
      </c>
      <c r="F1645" t="inlineStr">
        <is>
          <t>Holmen skog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52717-2022</t>
        </is>
      </c>
      <c r="B1646" s="1" t="n">
        <v>44874</v>
      </c>
      <c r="C1646" s="1" t="n">
        <v>45353</v>
      </c>
      <c r="D1646" t="inlineStr">
        <is>
          <t>VÄSTERNORRLANDS LÄN</t>
        </is>
      </c>
      <c r="E1646" t="inlineStr">
        <is>
          <t>SOLLEFTEÅ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52718-2022</t>
        </is>
      </c>
      <c r="B1647" s="1" t="n">
        <v>44874</v>
      </c>
      <c r="C1647" s="1" t="n">
        <v>45353</v>
      </c>
      <c r="D1647" t="inlineStr">
        <is>
          <t>VÄSTERNORRLANDS LÄN</t>
        </is>
      </c>
      <c r="E1647" t="inlineStr">
        <is>
          <t>SOLLEFTEÅ</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53012-2022</t>
        </is>
      </c>
      <c r="B1648" s="1" t="n">
        <v>44875</v>
      </c>
      <c r="C1648" s="1" t="n">
        <v>45353</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52777-2022</t>
        </is>
      </c>
      <c r="B1649" s="1" t="n">
        <v>44875</v>
      </c>
      <c r="C1649" s="1" t="n">
        <v>45353</v>
      </c>
      <c r="D1649" t="inlineStr">
        <is>
          <t>VÄSTERNORRLANDS LÄN</t>
        </is>
      </c>
      <c r="E1649" t="inlineStr">
        <is>
          <t>SOLLEFTEÅ</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53000-2022</t>
        </is>
      </c>
      <c r="B1650" s="1" t="n">
        <v>44875</v>
      </c>
      <c r="C1650" s="1" t="n">
        <v>45353</v>
      </c>
      <c r="D1650" t="inlineStr">
        <is>
          <t>VÄSTERNORRLANDS LÄN</t>
        </is>
      </c>
      <c r="E1650" t="inlineStr">
        <is>
          <t>SOLLEFTEÅ</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53011-2022</t>
        </is>
      </c>
      <c r="B1651" s="1" t="n">
        <v>44875</v>
      </c>
      <c r="C1651" s="1" t="n">
        <v>45353</v>
      </c>
      <c r="D1651" t="inlineStr">
        <is>
          <t>VÄSTERNORRLANDS LÄN</t>
        </is>
      </c>
      <c r="E1651" t="inlineStr">
        <is>
          <t>SOLLEFTEÅ</t>
        </is>
      </c>
      <c r="F1651" t="inlineStr">
        <is>
          <t>SCA</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53669-2022</t>
        </is>
      </c>
      <c r="B1652" s="1" t="n">
        <v>44879</v>
      </c>
      <c r="C1652" s="1" t="n">
        <v>45353</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53933-2022</t>
        </is>
      </c>
      <c r="B1653" s="1" t="n">
        <v>44880</v>
      </c>
      <c r="C1653" s="1" t="n">
        <v>45353</v>
      </c>
      <c r="D1653" t="inlineStr">
        <is>
          <t>VÄSTERNORRLANDS LÄN</t>
        </is>
      </c>
      <c r="E1653" t="inlineStr">
        <is>
          <t>SOLLEFTEÅ</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53929-2022</t>
        </is>
      </c>
      <c r="B1654" s="1" t="n">
        <v>44880</v>
      </c>
      <c r="C1654" s="1" t="n">
        <v>45353</v>
      </c>
      <c r="D1654" t="inlineStr">
        <is>
          <t>VÄSTERNORRLANDS LÄN</t>
        </is>
      </c>
      <c r="E1654" t="inlineStr">
        <is>
          <t>SOLLEFTEÅ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53944-2022</t>
        </is>
      </c>
      <c r="B1655" s="1" t="n">
        <v>44880</v>
      </c>
      <c r="C1655" s="1" t="n">
        <v>45353</v>
      </c>
      <c r="D1655" t="inlineStr">
        <is>
          <t>VÄSTERNORRLANDS LÄN</t>
        </is>
      </c>
      <c r="E1655" t="inlineStr">
        <is>
          <t>SOLLEFTEÅ</t>
        </is>
      </c>
      <c r="F1655" t="inlineStr">
        <is>
          <t>SCA</t>
        </is>
      </c>
      <c r="G1655" t="n">
        <v>9.800000000000001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53947-2022</t>
        </is>
      </c>
      <c r="B1656" s="1" t="n">
        <v>44880</v>
      </c>
      <c r="C1656" s="1" t="n">
        <v>45353</v>
      </c>
      <c r="D1656" t="inlineStr">
        <is>
          <t>VÄSTERNORRLANDS LÄN</t>
        </is>
      </c>
      <c r="E1656" t="inlineStr">
        <is>
          <t>SOLLEFTEÅ</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53985-2022</t>
        </is>
      </c>
      <c r="B1657" s="1" t="n">
        <v>44881</v>
      </c>
      <c r="C1657" s="1" t="n">
        <v>45353</v>
      </c>
      <c r="D1657" t="inlineStr">
        <is>
          <t>VÄSTERNORRLANDS LÄN</t>
        </is>
      </c>
      <c r="E1657" t="inlineStr">
        <is>
          <t>SOLLEFTEÅ</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54256-2022</t>
        </is>
      </c>
      <c r="B1658" s="1" t="n">
        <v>44881</v>
      </c>
      <c r="C1658" s="1" t="n">
        <v>45353</v>
      </c>
      <c r="D1658" t="inlineStr">
        <is>
          <t>VÄSTERNORRLANDS LÄN</t>
        </is>
      </c>
      <c r="E1658" t="inlineStr">
        <is>
          <t>SOLLEFTEÅ</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54242-2022</t>
        </is>
      </c>
      <c r="B1659" s="1" t="n">
        <v>44881</v>
      </c>
      <c r="C1659" s="1" t="n">
        <v>45353</v>
      </c>
      <c r="D1659" t="inlineStr">
        <is>
          <t>VÄSTERNORRLANDS LÄN</t>
        </is>
      </c>
      <c r="E1659" t="inlineStr">
        <is>
          <t>SOLLEFTEÅ</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54249-2022</t>
        </is>
      </c>
      <c r="B1660" s="1" t="n">
        <v>44881</v>
      </c>
      <c r="C1660" s="1" t="n">
        <v>45353</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54255-2022</t>
        </is>
      </c>
      <c r="B1661" s="1" t="n">
        <v>44881</v>
      </c>
      <c r="C1661" s="1" t="n">
        <v>45353</v>
      </c>
      <c r="D1661" t="inlineStr">
        <is>
          <t>VÄSTERNORRLANDS LÄN</t>
        </is>
      </c>
      <c r="E1661" t="inlineStr">
        <is>
          <t>SOLLEFTEÅ</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54280-2022</t>
        </is>
      </c>
      <c r="B1662" s="1" t="n">
        <v>44882</v>
      </c>
      <c r="C1662" s="1" t="n">
        <v>45353</v>
      </c>
      <c r="D1662" t="inlineStr">
        <is>
          <t>VÄSTERNORRLANDS LÄN</t>
        </is>
      </c>
      <c r="E1662" t="inlineStr">
        <is>
          <t>SOLLEFTEÅ</t>
        </is>
      </c>
      <c r="F1662" t="inlineStr">
        <is>
          <t>Holmen skog AB</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54538-2022</t>
        </is>
      </c>
      <c r="B1663" s="1" t="n">
        <v>44882</v>
      </c>
      <c r="C1663" s="1" t="n">
        <v>45353</v>
      </c>
      <c r="D1663" t="inlineStr">
        <is>
          <t>VÄSTERNORRLANDS LÄN</t>
        </is>
      </c>
      <c r="E1663" t="inlineStr">
        <is>
          <t>SOLLEFTEÅ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54559-2022</t>
        </is>
      </c>
      <c r="B1664" s="1" t="n">
        <v>44882</v>
      </c>
      <c r="C1664" s="1" t="n">
        <v>45353</v>
      </c>
      <c r="D1664" t="inlineStr">
        <is>
          <t>VÄSTERNORRLANDS LÄN</t>
        </is>
      </c>
      <c r="E1664" t="inlineStr">
        <is>
          <t>SOLLEFTEÅ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54573-2022</t>
        </is>
      </c>
      <c r="B1665" s="1" t="n">
        <v>44882</v>
      </c>
      <c r="C1665" s="1" t="n">
        <v>45353</v>
      </c>
      <c r="D1665" t="inlineStr">
        <is>
          <t>VÄSTERNORRLANDS LÄN</t>
        </is>
      </c>
      <c r="E1665" t="inlineStr">
        <is>
          <t>SOLLEFTEÅ</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54558-2022</t>
        </is>
      </c>
      <c r="B1666" s="1" t="n">
        <v>44882</v>
      </c>
      <c r="C1666" s="1" t="n">
        <v>45353</v>
      </c>
      <c r="D1666" t="inlineStr">
        <is>
          <t>VÄSTERNORRLANDS LÄN</t>
        </is>
      </c>
      <c r="E1666" t="inlineStr">
        <is>
          <t>SOLLEFTEÅ</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54569-2022</t>
        </is>
      </c>
      <c r="B1667" s="1" t="n">
        <v>44882</v>
      </c>
      <c r="C1667" s="1" t="n">
        <v>45353</v>
      </c>
      <c r="D1667" t="inlineStr">
        <is>
          <t>VÄSTERNORRLANDS LÄN</t>
        </is>
      </c>
      <c r="E1667" t="inlineStr">
        <is>
          <t>SOLLEFTEÅ</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55209-2022</t>
        </is>
      </c>
      <c r="B1668" s="1" t="n">
        <v>44887</v>
      </c>
      <c r="C1668" s="1" t="n">
        <v>45353</v>
      </c>
      <c r="D1668" t="inlineStr">
        <is>
          <t>VÄSTERNORRLANDS LÄN</t>
        </is>
      </c>
      <c r="E1668" t="inlineStr">
        <is>
          <t>SOLLEFTEÅ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55692-2022</t>
        </is>
      </c>
      <c r="B1669" s="1" t="n">
        <v>44888</v>
      </c>
      <c r="C1669" s="1" t="n">
        <v>45353</v>
      </c>
      <c r="D1669" t="inlineStr">
        <is>
          <t>VÄSTERNORRLANDS LÄN</t>
        </is>
      </c>
      <c r="E1669" t="inlineStr">
        <is>
          <t>SOLLEFTEÅ</t>
        </is>
      </c>
      <c r="F1669" t="inlineStr">
        <is>
          <t>Holmen skog AB</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55898-2022</t>
        </is>
      </c>
      <c r="B1670" s="1" t="n">
        <v>44888</v>
      </c>
      <c r="C1670" s="1" t="n">
        <v>45353</v>
      </c>
      <c r="D1670" t="inlineStr">
        <is>
          <t>VÄSTERNORRLANDS LÄN</t>
        </is>
      </c>
      <c r="E1670" t="inlineStr">
        <is>
          <t>SOLLEFTEÅ</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56176-2022</t>
        </is>
      </c>
      <c r="B1671" s="1" t="n">
        <v>44889</v>
      </c>
      <c r="C1671" s="1" t="n">
        <v>45353</v>
      </c>
      <c r="D1671" t="inlineStr">
        <is>
          <t>VÄSTERNORRLANDS LÄN</t>
        </is>
      </c>
      <c r="E1671" t="inlineStr">
        <is>
          <t>SOLLEFTEÅ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56175-2022</t>
        </is>
      </c>
      <c r="B1672" s="1" t="n">
        <v>44889</v>
      </c>
      <c r="C1672" s="1" t="n">
        <v>45353</v>
      </c>
      <c r="D1672" t="inlineStr">
        <is>
          <t>VÄSTERNORRLANDS LÄN</t>
        </is>
      </c>
      <c r="E1672" t="inlineStr">
        <is>
          <t>SOLLEFTEÅ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56184-2022</t>
        </is>
      </c>
      <c r="B1673" s="1" t="n">
        <v>44889</v>
      </c>
      <c r="C1673" s="1" t="n">
        <v>45353</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56544-2022</t>
        </is>
      </c>
      <c r="B1674" s="1" t="n">
        <v>44893</v>
      </c>
      <c r="C1674" s="1" t="n">
        <v>45353</v>
      </c>
      <c r="D1674" t="inlineStr">
        <is>
          <t>VÄSTERNORRLANDS LÄN</t>
        </is>
      </c>
      <c r="E1674" t="inlineStr">
        <is>
          <t>SOLLEFTEÅ</t>
        </is>
      </c>
      <c r="F1674" t="inlineStr">
        <is>
          <t>Holmen skog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57019-2022</t>
        </is>
      </c>
      <c r="B1675" s="1" t="n">
        <v>44895</v>
      </c>
      <c r="C1675" s="1" t="n">
        <v>45353</v>
      </c>
      <c r="D1675" t="inlineStr">
        <is>
          <t>VÄSTERNORRLANDS LÄN</t>
        </is>
      </c>
      <c r="E1675" t="inlineStr">
        <is>
          <t>SOLLEFTEÅ</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57020-2022</t>
        </is>
      </c>
      <c r="B1676" s="1" t="n">
        <v>44895</v>
      </c>
      <c r="C1676" s="1" t="n">
        <v>45353</v>
      </c>
      <c r="D1676" t="inlineStr">
        <is>
          <t>VÄSTERNORRLANDS LÄN</t>
        </is>
      </c>
      <c r="E1676" t="inlineStr">
        <is>
          <t>SOLLEFTEÅ</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57282-2022</t>
        </is>
      </c>
      <c r="B1677" s="1" t="n">
        <v>44895</v>
      </c>
      <c r="C1677" s="1" t="n">
        <v>45353</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57273-2022</t>
        </is>
      </c>
      <c r="B1678" s="1" t="n">
        <v>44895</v>
      </c>
      <c r="C1678" s="1" t="n">
        <v>45353</v>
      </c>
      <c r="D1678" t="inlineStr">
        <is>
          <t>VÄSTERNORRLANDS LÄN</t>
        </is>
      </c>
      <c r="E1678" t="inlineStr">
        <is>
          <t>SOLLEFTEÅ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58643-2022</t>
        </is>
      </c>
      <c r="B1679" s="1" t="n">
        <v>44895</v>
      </c>
      <c r="C1679" s="1" t="n">
        <v>45353</v>
      </c>
      <c r="D1679" t="inlineStr">
        <is>
          <t>VÄSTERNORRLANDS LÄN</t>
        </is>
      </c>
      <c r="E1679" t="inlineStr">
        <is>
          <t>SOLLEFTEÅ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58636-2022</t>
        </is>
      </c>
      <c r="B1680" s="1" t="n">
        <v>44895</v>
      </c>
      <c r="C1680" s="1" t="n">
        <v>45353</v>
      </c>
      <c r="D1680" t="inlineStr">
        <is>
          <t>VÄSTERNORRLANDS LÄN</t>
        </is>
      </c>
      <c r="E1680" t="inlineStr">
        <is>
          <t>SOLLEFTEÅ</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58646-2022</t>
        </is>
      </c>
      <c r="B1681" s="1" t="n">
        <v>44895</v>
      </c>
      <c r="C1681" s="1" t="n">
        <v>45353</v>
      </c>
      <c r="D1681" t="inlineStr">
        <is>
          <t>VÄSTERNORRLANDS LÄN</t>
        </is>
      </c>
      <c r="E1681" t="inlineStr">
        <is>
          <t>SOLLEFTEÅ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57991-2022</t>
        </is>
      </c>
      <c r="B1682" s="1" t="n">
        <v>44900</v>
      </c>
      <c r="C1682" s="1" t="n">
        <v>45353</v>
      </c>
      <c r="D1682" t="inlineStr">
        <is>
          <t>VÄSTERNORRLANDS LÄN</t>
        </is>
      </c>
      <c r="E1682" t="inlineStr">
        <is>
          <t>SOLLEFTEÅ</t>
        </is>
      </c>
      <c r="G1682" t="n">
        <v>14.2</v>
      </c>
      <c r="H1682" t="n">
        <v>0</v>
      </c>
      <c r="I1682" t="n">
        <v>0</v>
      </c>
      <c r="J1682" t="n">
        <v>0</v>
      </c>
      <c r="K1682" t="n">
        <v>0</v>
      </c>
      <c r="L1682" t="n">
        <v>0</v>
      </c>
      <c r="M1682" t="n">
        <v>0</v>
      </c>
      <c r="N1682" t="n">
        <v>0</v>
      </c>
      <c r="O1682" t="n">
        <v>0</v>
      </c>
      <c r="P1682" t="n">
        <v>0</v>
      </c>
      <c r="Q1682" t="n">
        <v>0</v>
      </c>
      <c r="R1682" s="2" t="inlineStr"/>
    </row>
    <row r="1683" ht="15" customHeight="1">
      <c r="A1683" t="inlineStr">
        <is>
          <t>A 58173-2022</t>
        </is>
      </c>
      <c r="B1683" s="1" t="n">
        <v>44900</v>
      </c>
      <c r="C1683" s="1" t="n">
        <v>45353</v>
      </c>
      <c r="D1683" t="inlineStr">
        <is>
          <t>VÄSTERNORRLANDS LÄN</t>
        </is>
      </c>
      <c r="E1683" t="inlineStr">
        <is>
          <t>SOLLEFTEÅ</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58172-2022</t>
        </is>
      </c>
      <c r="B1684" s="1" t="n">
        <v>44900</v>
      </c>
      <c r="C1684" s="1" t="n">
        <v>45353</v>
      </c>
      <c r="D1684" t="inlineStr">
        <is>
          <t>VÄSTERNORRLANDS LÄN</t>
        </is>
      </c>
      <c r="E1684" t="inlineStr">
        <is>
          <t>SOLLEFTEÅ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58171-2022</t>
        </is>
      </c>
      <c r="B1685" s="1" t="n">
        <v>44900</v>
      </c>
      <c r="C1685" s="1" t="n">
        <v>45353</v>
      </c>
      <c r="D1685" t="inlineStr">
        <is>
          <t>VÄSTERNORRLANDS LÄN</t>
        </is>
      </c>
      <c r="E1685" t="inlineStr">
        <is>
          <t>SOLLEFTEÅ</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58401-2022</t>
        </is>
      </c>
      <c r="B1686" s="1" t="n">
        <v>44901</v>
      </c>
      <c r="C1686" s="1" t="n">
        <v>45353</v>
      </c>
      <c r="D1686" t="inlineStr">
        <is>
          <t>VÄSTERNORRLANDS LÄN</t>
        </is>
      </c>
      <c r="E1686" t="inlineStr">
        <is>
          <t>SOLLEFTEÅ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58765-2022</t>
        </is>
      </c>
      <c r="B1687" s="1" t="n">
        <v>44903</v>
      </c>
      <c r="C1687" s="1" t="n">
        <v>45353</v>
      </c>
      <c r="D1687" t="inlineStr">
        <is>
          <t>VÄSTERNORRLANDS LÄN</t>
        </is>
      </c>
      <c r="E1687" t="inlineStr">
        <is>
          <t>SOLLEFTEÅ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59036-2022</t>
        </is>
      </c>
      <c r="B1688" s="1" t="n">
        <v>44903</v>
      </c>
      <c r="C1688" s="1" t="n">
        <v>45353</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59038-2022</t>
        </is>
      </c>
      <c r="B1689" s="1" t="n">
        <v>44903</v>
      </c>
      <c r="C1689" s="1" t="n">
        <v>45353</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59037-2022</t>
        </is>
      </c>
      <c r="B1690" s="1" t="n">
        <v>44903</v>
      </c>
      <c r="C1690" s="1" t="n">
        <v>45353</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59371-2022</t>
        </is>
      </c>
      <c r="B1691" s="1" t="n">
        <v>44904</v>
      </c>
      <c r="C1691" s="1" t="n">
        <v>45353</v>
      </c>
      <c r="D1691" t="inlineStr">
        <is>
          <t>VÄSTERNORRLANDS LÄN</t>
        </is>
      </c>
      <c r="E1691" t="inlineStr">
        <is>
          <t>SOLLEFTEÅ</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60482-2022</t>
        </is>
      </c>
      <c r="B1692" s="1" t="n">
        <v>44904</v>
      </c>
      <c r="C1692" s="1" t="n">
        <v>45353</v>
      </c>
      <c r="D1692" t="inlineStr">
        <is>
          <t>VÄSTERNORRLANDS LÄN</t>
        </is>
      </c>
      <c r="E1692" t="inlineStr">
        <is>
          <t>SOLLEFTEÅ</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60856-2022</t>
        </is>
      </c>
      <c r="B1693" s="1" t="n">
        <v>44907</v>
      </c>
      <c r="C1693" s="1" t="n">
        <v>45353</v>
      </c>
      <c r="D1693" t="inlineStr">
        <is>
          <t>VÄSTERNORRLANDS LÄN</t>
        </is>
      </c>
      <c r="E1693" t="inlineStr">
        <is>
          <t>SOLLEFTEÅ</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59647-2022</t>
        </is>
      </c>
      <c r="B1694" s="1" t="n">
        <v>44908</v>
      </c>
      <c r="C1694" s="1" t="n">
        <v>45353</v>
      </c>
      <c r="D1694" t="inlineStr">
        <is>
          <t>VÄSTERNORRLANDS LÄN</t>
        </is>
      </c>
      <c r="E1694" t="inlineStr">
        <is>
          <t>SOLLEFTEÅ</t>
        </is>
      </c>
      <c r="F1694" t="inlineStr">
        <is>
          <t>SCA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59908-2022</t>
        </is>
      </c>
      <c r="B1695" s="1" t="n">
        <v>44908</v>
      </c>
      <c r="C1695" s="1" t="n">
        <v>45353</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59854-2022</t>
        </is>
      </c>
      <c r="B1696" s="1" t="n">
        <v>44908</v>
      </c>
      <c r="C1696" s="1" t="n">
        <v>45353</v>
      </c>
      <c r="D1696" t="inlineStr">
        <is>
          <t>VÄSTERNORRLANDS LÄN</t>
        </is>
      </c>
      <c r="E1696" t="inlineStr">
        <is>
          <t>SOLLEFTEÅ</t>
        </is>
      </c>
      <c r="F1696" t="inlineStr">
        <is>
          <t>Holmen skog AB</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60170-2022</t>
        </is>
      </c>
      <c r="B1697" s="1" t="n">
        <v>44909</v>
      </c>
      <c r="C1697" s="1" t="n">
        <v>45353</v>
      </c>
      <c r="D1697" t="inlineStr">
        <is>
          <t>VÄSTERNORRLANDS LÄN</t>
        </is>
      </c>
      <c r="E1697" t="inlineStr">
        <is>
          <t>SOLLEFTEÅ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60169-2022</t>
        </is>
      </c>
      <c r="B1698" s="1" t="n">
        <v>44909</v>
      </c>
      <c r="C1698" s="1" t="n">
        <v>45353</v>
      </c>
      <c r="D1698" t="inlineStr">
        <is>
          <t>VÄSTERNORRLANDS LÄN</t>
        </is>
      </c>
      <c r="E1698" t="inlineStr">
        <is>
          <t>SOLLEFTEÅ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60171-2022</t>
        </is>
      </c>
      <c r="B1699" s="1" t="n">
        <v>44909</v>
      </c>
      <c r="C1699" s="1" t="n">
        <v>45353</v>
      </c>
      <c r="D1699" t="inlineStr">
        <is>
          <t>VÄSTERNORRLANDS LÄN</t>
        </is>
      </c>
      <c r="E1699" t="inlineStr">
        <is>
          <t>SOLLEFTEÅ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60168-2022</t>
        </is>
      </c>
      <c r="B1700" s="1" t="n">
        <v>44909</v>
      </c>
      <c r="C1700" s="1" t="n">
        <v>45353</v>
      </c>
      <c r="D1700" t="inlineStr">
        <is>
          <t>VÄSTERNORRLANDS LÄN</t>
        </is>
      </c>
      <c r="E1700" t="inlineStr">
        <is>
          <t>SOLLEFTEÅ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60338-2022</t>
        </is>
      </c>
      <c r="B1701" s="1" t="n">
        <v>44910</v>
      </c>
      <c r="C1701" s="1" t="n">
        <v>45353</v>
      </c>
      <c r="D1701" t="inlineStr">
        <is>
          <t>VÄSTERNORRLANDS LÄN</t>
        </is>
      </c>
      <c r="E1701" t="inlineStr">
        <is>
          <t>SOLLEFTEÅ</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60420-2022</t>
        </is>
      </c>
      <c r="B1702" s="1" t="n">
        <v>44910</v>
      </c>
      <c r="C1702" s="1" t="n">
        <v>45353</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61473-2022</t>
        </is>
      </c>
      <c r="B1703" s="1" t="n">
        <v>44910</v>
      </c>
      <c r="C1703" s="1" t="n">
        <v>45353</v>
      </c>
      <c r="D1703" t="inlineStr">
        <is>
          <t>VÄSTERNORRLANDS LÄN</t>
        </is>
      </c>
      <c r="E1703" t="inlineStr">
        <is>
          <t>SOLLEFTEÅ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61459-2022</t>
        </is>
      </c>
      <c r="B1704" s="1" t="n">
        <v>44910</v>
      </c>
      <c r="C1704" s="1" t="n">
        <v>45353</v>
      </c>
      <c r="D1704" t="inlineStr">
        <is>
          <t>VÄSTERNORRLANDS LÄN</t>
        </is>
      </c>
      <c r="E1704" t="inlineStr">
        <is>
          <t>SOLLEFTEÅ</t>
        </is>
      </c>
      <c r="G1704" t="n">
        <v>20.6</v>
      </c>
      <c r="H1704" t="n">
        <v>0</v>
      </c>
      <c r="I1704" t="n">
        <v>0</v>
      </c>
      <c r="J1704" t="n">
        <v>0</v>
      </c>
      <c r="K1704" t="n">
        <v>0</v>
      </c>
      <c r="L1704" t="n">
        <v>0</v>
      </c>
      <c r="M1704" t="n">
        <v>0</v>
      </c>
      <c r="N1704" t="n">
        <v>0</v>
      </c>
      <c r="O1704" t="n">
        <v>0</v>
      </c>
      <c r="P1704" t="n">
        <v>0</v>
      </c>
      <c r="Q1704" t="n">
        <v>0</v>
      </c>
      <c r="R1704" s="2" t="inlineStr"/>
    </row>
    <row r="1705" ht="15" customHeight="1">
      <c r="A1705" t="inlineStr">
        <is>
          <t>A 60665-2022</t>
        </is>
      </c>
      <c r="B1705" s="1" t="n">
        <v>44911</v>
      </c>
      <c r="C1705" s="1" t="n">
        <v>45353</v>
      </c>
      <c r="D1705" t="inlineStr">
        <is>
          <t>VÄSTERNORRLANDS LÄN</t>
        </is>
      </c>
      <c r="E1705" t="inlineStr">
        <is>
          <t>SOLLEFTEÅ</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60664-2022</t>
        </is>
      </c>
      <c r="B1706" s="1" t="n">
        <v>44911</v>
      </c>
      <c r="C1706" s="1" t="n">
        <v>45353</v>
      </c>
      <c r="D1706" t="inlineStr">
        <is>
          <t>VÄSTERNORRLANDS LÄN</t>
        </is>
      </c>
      <c r="E1706" t="inlineStr">
        <is>
          <t>SOLLEFTEÅ</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60666-2022</t>
        </is>
      </c>
      <c r="B1707" s="1" t="n">
        <v>44911</v>
      </c>
      <c r="C1707" s="1" t="n">
        <v>45353</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61384-2022</t>
        </is>
      </c>
      <c r="B1708" s="1" t="n">
        <v>44915</v>
      </c>
      <c r="C1708" s="1" t="n">
        <v>45353</v>
      </c>
      <c r="D1708" t="inlineStr">
        <is>
          <t>VÄSTERNORRLANDS LÄN</t>
        </is>
      </c>
      <c r="E1708" t="inlineStr">
        <is>
          <t>SOLLEFTEÅ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61345-2022</t>
        </is>
      </c>
      <c r="B1709" s="1" t="n">
        <v>44915</v>
      </c>
      <c r="C1709" s="1" t="n">
        <v>45353</v>
      </c>
      <c r="D1709" t="inlineStr">
        <is>
          <t>VÄSTERNORRLANDS LÄN</t>
        </is>
      </c>
      <c r="E1709" t="inlineStr">
        <is>
          <t>SOLLEFTEÅ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61341-2022</t>
        </is>
      </c>
      <c r="B1710" s="1" t="n">
        <v>44915</v>
      </c>
      <c r="C1710" s="1" t="n">
        <v>45353</v>
      </c>
      <c r="D1710" t="inlineStr">
        <is>
          <t>VÄSTERNORRLANDS LÄN</t>
        </is>
      </c>
      <c r="E1710" t="inlineStr">
        <is>
          <t>SOLLEFTEÅ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61376-2022</t>
        </is>
      </c>
      <c r="B1711" s="1" t="n">
        <v>44915</v>
      </c>
      <c r="C1711" s="1" t="n">
        <v>45353</v>
      </c>
      <c r="D1711" t="inlineStr">
        <is>
          <t>VÄSTERNORRLANDS LÄN</t>
        </is>
      </c>
      <c r="E1711" t="inlineStr">
        <is>
          <t>SOLLEFTEÅ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61391-2022</t>
        </is>
      </c>
      <c r="B1712" s="1" t="n">
        <v>44915</v>
      </c>
      <c r="C1712" s="1" t="n">
        <v>45353</v>
      </c>
      <c r="D1712" t="inlineStr">
        <is>
          <t>VÄSTERNORRLANDS LÄN</t>
        </is>
      </c>
      <c r="E1712" t="inlineStr">
        <is>
          <t>SOLLEFTEÅ</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61383-2022</t>
        </is>
      </c>
      <c r="B1713" s="1" t="n">
        <v>44915</v>
      </c>
      <c r="C1713" s="1" t="n">
        <v>45353</v>
      </c>
      <c r="D1713" t="inlineStr">
        <is>
          <t>VÄSTERNORRLANDS LÄN</t>
        </is>
      </c>
      <c r="E1713" t="inlineStr">
        <is>
          <t>SOLLEFTEÅ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61660-2022</t>
        </is>
      </c>
      <c r="B1714" s="1" t="n">
        <v>44917</v>
      </c>
      <c r="C1714" s="1" t="n">
        <v>45353</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62217-2022</t>
        </is>
      </c>
      <c r="B1715" s="1" t="n">
        <v>44916</v>
      </c>
      <c r="C1715" s="1" t="n">
        <v>45353</v>
      </c>
      <c r="D1715" t="inlineStr">
        <is>
          <t>VÄSTERNORRLANDS LÄN</t>
        </is>
      </c>
      <c r="E1715" t="inlineStr">
        <is>
          <t>SOLLEFTEÅ</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61920-2022</t>
        </is>
      </c>
      <c r="B1716" s="1" t="n">
        <v>44917</v>
      </c>
      <c r="C1716" s="1" t="n">
        <v>45353</v>
      </c>
      <c r="D1716" t="inlineStr">
        <is>
          <t>VÄSTERNORRLANDS LÄN</t>
        </is>
      </c>
      <c r="E1716" t="inlineStr">
        <is>
          <t>SOLLEFTEÅ</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61936-2022</t>
        </is>
      </c>
      <c r="B1717" s="1" t="n">
        <v>44917</v>
      </c>
      <c r="C1717" s="1" t="n">
        <v>45353</v>
      </c>
      <c r="D1717" t="inlineStr">
        <is>
          <t>VÄSTERNORRLANDS LÄN</t>
        </is>
      </c>
      <c r="E1717" t="inlineStr">
        <is>
          <t>SOLLEFTEÅ</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62662-2022</t>
        </is>
      </c>
      <c r="B1718" s="1" t="n">
        <v>44917</v>
      </c>
      <c r="C1718" s="1" t="n">
        <v>45353</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28-2023</t>
        </is>
      </c>
      <c r="B1719" s="1" t="n">
        <v>44918</v>
      </c>
      <c r="C1719" s="1" t="n">
        <v>45353</v>
      </c>
      <c r="D1719" t="inlineStr">
        <is>
          <t>VÄSTERNORRLANDS LÄN</t>
        </is>
      </c>
      <c r="E1719" t="inlineStr">
        <is>
          <t>SOLLEFTEÅ</t>
        </is>
      </c>
      <c r="G1719" t="n">
        <v>23.8</v>
      </c>
      <c r="H1719" t="n">
        <v>0</v>
      </c>
      <c r="I1719" t="n">
        <v>0</v>
      </c>
      <c r="J1719" t="n">
        <v>0</v>
      </c>
      <c r="K1719" t="n">
        <v>0</v>
      </c>
      <c r="L1719" t="n">
        <v>0</v>
      </c>
      <c r="M1719" t="n">
        <v>0</v>
      </c>
      <c r="N1719" t="n">
        <v>0</v>
      </c>
      <c r="O1719" t="n">
        <v>0</v>
      </c>
      <c r="P1719" t="n">
        <v>0</v>
      </c>
      <c r="Q1719" t="n">
        <v>0</v>
      </c>
      <c r="R1719" s="2" t="inlineStr"/>
    </row>
    <row r="1720" ht="15" customHeight="1">
      <c r="A1720" t="inlineStr">
        <is>
          <t>A 62262-2022</t>
        </is>
      </c>
      <c r="B1720" s="1" t="n">
        <v>44922</v>
      </c>
      <c r="C1720" s="1" t="n">
        <v>45353</v>
      </c>
      <c r="D1720" t="inlineStr">
        <is>
          <t>VÄSTERNORRLANDS LÄN</t>
        </is>
      </c>
      <c r="E1720" t="inlineStr">
        <is>
          <t>SOLLEFTEÅ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62260-2022</t>
        </is>
      </c>
      <c r="B1721" s="1" t="n">
        <v>44922</v>
      </c>
      <c r="C1721" s="1" t="n">
        <v>45353</v>
      </c>
      <c r="D1721" t="inlineStr">
        <is>
          <t>VÄSTERNORRLANDS LÄN</t>
        </is>
      </c>
      <c r="E1721" t="inlineStr">
        <is>
          <t>SOLLEFTEÅ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192-2023</t>
        </is>
      </c>
      <c r="B1722" s="1" t="n">
        <v>44922</v>
      </c>
      <c r="C1722" s="1" t="n">
        <v>45353</v>
      </c>
      <c r="D1722" t="inlineStr">
        <is>
          <t>VÄSTERNORRLANDS LÄN</t>
        </is>
      </c>
      <c r="E1722" t="inlineStr">
        <is>
          <t>SOLLEFTEÅ</t>
        </is>
      </c>
      <c r="G1722" t="n">
        <v>20.9</v>
      </c>
      <c r="H1722" t="n">
        <v>0</v>
      </c>
      <c r="I1722" t="n">
        <v>0</v>
      </c>
      <c r="J1722" t="n">
        <v>0</v>
      </c>
      <c r="K1722" t="n">
        <v>0</v>
      </c>
      <c r="L1722" t="n">
        <v>0</v>
      </c>
      <c r="M1722" t="n">
        <v>0</v>
      </c>
      <c r="N1722" t="n">
        <v>0</v>
      </c>
      <c r="O1722" t="n">
        <v>0</v>
      </c>
      <c r="P1722" t="n">
        <v>0</v>
      </c>
      <c r="Q1722" t="n">
        <v>0</v>
      </c>
      <c r="R1722" s="2" t="inlineStr"/>
    </row>
    <row r="1723" ht="15" customHeight="1">
      <c r="A1723" t="inlineStr">
        <is>
          <t>A 62406-2022</t>
        </is>
      </c>
      <c r="B1723" s="1" t="n">
        <v>44923</v>
      </c>
      <c r="C1723" s="1" t="n">
        <v>45353</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62507-2022</t>
        </is>
      </c>
      <c r="B1724" s="1" t="n">
        <v>44924</v>
      </c>
      <c r="C1724" s="1" t="n">
        <v>45353</v>
      </c>
      <c r="D1724" t="inlineStr">
        <is>
          <t>VÄSTERNORRLANDS LÄN</t>
        </is>
      </c>
      <c r="E1724" t="inlineStr">
        <is>
          <t>SOLLEFTEÅ</t>
        </is>
      </c>
      <c r="F1724" t="inlineStr">
        <is>
          <t>Holmen skog AB</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62745-2022</t>
        </is>
      </c>
      <c r="B1725" s="1" t="n">
        <v>44925</v>
      </c>
      <c r="C1725" s="1" t="n">
        <v>45353</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62750-2022</t>
        </is>
      </c>
      <c r="B1726" s="1" t="n">
        <v>44925</v>
      </c>
      <c r="C1726" s="1" t="n">
        <v>45353</v>
      </c>
      <c r="D1726" t="inlineStr">
        <is>
          <t>VÄSTERNORRLANDS LÄN</t>
        </is>
      </c>
      <c r="E1726" t="inlineStr">
        <is>
          <t>SOLLEFTEÅ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62710-2022</t>
        </is>
      </c>
      <c r="B1727" s="1" t="n">
        <v>44925</v>
      </c>
      <c r="C1727" s="1" t="n">
        <v>45353</v>
      </c>
      <c r="D1727" t="inlineStr">
        <is>
          <t>VÄSTERNORRLANDS LÄN</t>
        </is>
      </c>
      <c r="E1727" t="inlineStr">
        <is>
          <t>SOLLEFTEÅ</t>
        </is>
      </c>
      <c r="F1727" t="inlineStr">
        <is>
          <t>Holmen skog AB</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279-2023</t>
        </is>
      </c>
      <c r="B1728" s="1" t="n">
        <v>44928</v>
      </c>
      <c r="C1728" s="1" t="n">
        <v>45353</v>
      </c>
      <c r="D1728" t="inlineStr">
        <is>
          <t>VÄSTERNORRLANDS LÄN</t>
        </is>
      </c>
      <c r="E1728" t="inlineStr">
        <is>
          <t>SOLLEFTEÅ</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282-2023</t>
        </is>
      </c>
      <c r="B1729" s="1" t="n">
        <v>44928</v>
      </c>
      <c r="C1729" s="1" t="n">
        <v>45353</v>
      </c>
      <c r="D1729" t="inlineStr">
        <is>
          <t>VÄSTERNORRLANDS LÄN</t>
        </is>
      </c>
      <c r="E1729" t="inlineStr">
        <is>
          <t>SOLLEFTEÅ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714-2023</t>
        </is>
      </c>
      <c r="B1730" s="1" t="n">
        <v>44930</v>
      </c>
      <c r="C1730" s="1" t="n">
        <v>45353</v>
      </c>
      <c r="D1730" t="inlineStr">
        <is>
          <t>VÄSTERNORRLANDS LÄN</t>
        </is>
      </c>
      <c r="E1730" t="inlineStr">
        <is>
          <t>SOLLEFTEÅ</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918-2023</t>
        </is>
      </c>
      <c r="B1731" s="1" t="n">
        <v>44931</v>
      </c>
      <c r="C1731" s="1" t="n">
        <v>45353</v>
      </c>
      <c r="D1731" t="inlineStr">
        <is>
          <t>VÄSTERNORRLANDS LÄN</t>
        </is>
      </c>
      <c r="E1731" t="inlineStr">
        <is>
          <t>SOLLEFTEÅ</t>
        </is>
      </c>
      <c r="F1731" t="inlineStr">
        <is>
          <t>SCA</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965-2023</t>
        </is>
      </c>
      <c r="B1732" s="1" t="n">
        <v>44934</v>
      </c>
      <c r="C1732" s="1" t="n">
        <v>45353</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964-2023</t>
        </is>
      </c>
      <c r="B1733" s="1" t="n">
        <v>44934</v>
      </c>
      <c r="C1733" s="1" t="n">
        <v>45353</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1275-2023</t>
        </is>
      </c>
      <c r="B1734" s="1" t="n">
        <v>44936</v>
      </c>
      <c r="C1734" s="1" t="n">
        <v>45353</v>
      </c>
      <c r="D1734" t="inlineStr">
        <is>
          <t>VÄSTERNORRLANDS LÄN</t>
        </is>
      </c>
      <c r="E1734" t="inlineStr">
        <is>
          <t>SOLLEFTEÅ</t>
        </is>
      </c>
      <c r="G1734" t="n">
        <v>14.4</v>
      </c>
      <c r="H1734" t="n">
        <v>0</v>
      </c>
      <c r="I1734" t="n">
        <v>0</v>
      </c>
      <c r="J1734" t="n">
        <v>0</v>
      </c>
      <c r="K1734" t="n">
        <v>0</v>
      </c>
      <c r="L1734" t="n">
        <v>0</v>
      </c>
      <c r="M1734" t="n">
        <v>0</v>
      </c>
      <c r="N1734" t="n">
        <v>0</v>
      </c>
      <c r="O1734" t="n">
        <v>0</v>
      </c>
      <c r="P1734" t="n">
        <v>0</v>
      </c>
      <c r="Q1734" t="n">
        <v>0</v>
      </c>
      <c r="R1734" s="2" t="inlineStr"/>
    </row>
    <row r="1735" ht="15" customHeight="1">
      <c r="A1735" t="inlineStr">
        <is>
          <t>A 1803-2023</t>
        </is>
      </c>
      <c r="B1735" s="1" t="n">
        <v>44937</v>
      </c>
      <c r="C1735" s="1" t="n">
        <v>45353</v>
      </c>
      <c r="D1735" t="inlineStr">
        <is>
          <t>VÄSTERNORRLANDS LÄN</t>
        </is>
      </c>
      <c r="E1735" t="inlineStr">
        <is>
          <t>SOLLEFTEÅ</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1868-2023</t>
        </is>
      </c>
      <c r="B1736" s="1" t="n">
        <v>44938</v>
      </c>
      <c r="C1736" s="1" t="n">
        <v>45353</v>
      </c>
      <c r="D1736" t="inlineStr">
        <is>
          <t>VÄSTERNORRLANDS LÄN</t>
        </is>
      </c>
      <c r="E1736" t="inlineStr">
        <is>
          <t>SOLLEFTEÅ</t>
        </is>
      </c>
      <c r="F1736" t="inlineStr">
        <is>
          <t>SCA</t>
        </is>
      </c>
      <c r="G1736" t="n">
        <v>19.3</v>
      </c>
      <c r="H1736" t="n">
        <v>0</v>
      </c>
      <c r="I1736" t="n">
        <v>0</v>
      </c>
      <c r="J1736" t="n">
        <v>0</v>
      </c>
      <c r="K1736" t="n">
        <v>0</v>
      </c>
      <c r="L1736" t="n">
        <v>0</v>
      </c>
      <c r="M1736" t="n">
        <v>0</v>
      </c>
      <c r="N1736" t="n">
        <v>0</v>
      </c>
      <c r="O1736" t="n">
        <v>0</v>
      </c>
      <c r="P1736" t="n">
        <v>0</v>
      </c>
      <c r="Q1736" t="n">
        <v>0</v>
      </c>
      <c r="R1736" s="2" t="inlineStr"/>
    </row>
    <row r="1737" ht="15" customHeight="1">
      <c r="A1737" t="inlineStr">
        <is>
          <t>A 1874-2023</t>
        </is>
      </c>
      <c r="B1737" s="1" t="n">
        <v>44938</v>
      </c>
      <c r="C1737" s="1" t="n">
        <v>45353</v>
      </c>
      <c r="D1737" t="inlineStr">
        <is>
          <t>VÄSTERNORRLANDS LÄN</t>
        </is>
      </c>
      <c r="E1737" t="inlineStr">
        <is>
          <t>SOLLEFTEÅ</t>
        </is>
      </c>
      <c r="F1737" t="inlineStr">
        <is>
          <t>SCA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2058-2023</t>
        </is>
      </c>
      <c r="B1738" s="1" t="n">
        <v>44938</v>
      </c>
      <c r="C1738" s="1" t="n">
        <v>45353</v>
      </c>
      <c r="D1738" t="inlineStr">
        <is>
          <t>VÄSTERNORRLANDS LÄN</t>
        </is>
      </c>
      <c r="E1738" t="inlineStr">
        <is>
          <t>SOLLEFTEÅ</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2121-2023</t>
        </is>
      </c>
      <c r="B1739" s="1" t="n">
        <v>44939</v>
      </c>
      <c r="C1739" s="1" t="n">
        <v>45353</v>
      </c>
      <c r="D1739" t="inlineStr">
        <is>
          <t>VÄSTERNORRLANDS LÄN</t>
        </is>
      </c>
      <c r="E1739" t="inlineStr">
        <is>
          <t>SOLLEFTEÅ</t>
        </is>
      </c>
      <c r="F1739" t="inlineStr">
        <is>
          <t>SCA</t>
        </is>
      </c>
      <c r="G1739" t="n">
        <v>10</v>
      </c>
      <c r="H1739" t="n">
        <v>0</v>
      </c>
      <c r="I1739" t="n">
        <v>0</v>
      </c>
      <c r="J1739" t="n">
        <v>0</v>
      </c>
      <c r="K1739" t="n">
        <v>0</v>
      </c>
      <c r="L1739" t="n">
        <v>0</v>
      </c>
      <c r="M1739" t="n">
        <v>0</v>
      </c>
      <c r="N1739" t="n">
        <v>0</v>
      </c>
      <c r="O1739" t="n">
        <v>0</v>
      </c>
      <c r="P1739" t="n">
        <v>0</v>
      </c>
      <c r="Q1739" t="n">
        <v>0</v>
      </c>
      <c r="R1739" s="2" t="inlineStr"/>
    </row>
    <row r="1740" ht="15" customHeight="1">
      <c r="A1740" t="inlineStr">
        <is>
          <t>A 2119-2023</t>
        </is>
      </c>
      <c r="B1740" s="1" t="n">
        <v>44939</v>
      </c>
      <c r="C1740" s="1" t="n">
        <v>45353</v>
      </c>
      <c r="D1740" t="inlineStr">
        <is>
          <t>VÄSTERNORRLANDS LÄN</t>
        </is>
      </c>
      <c r="E1740" t="inlineStr">
        <is>
          <t>SOLLEFTEÅ</t>
        </is>
      </c>
      <c r="F1740" t="inlineStr">
        <is>
          <t>SCA</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2132-2023</t>
        </is>
      </c>
      <c r="B1741" s="1" t="n">
        <v>44939</v>
      </c>
      <c r="C1741" s="1" t="n">
        <v>45353</v>
      </c>
      <c r="D1741" t="inlineStr">
        <is>
          <t>VÄSTERNORRLANDS LÄN</t>
        </is>
      </c>
      <c r="E1741" t="inlineStr">
        <is>
          <t>SOLLEFTEÅ</t>
        </is>
      </c>
      <c r="F1741" t="inlineStr">
        <is>
          <t>SCA</t>
        </is>
      </c>
      <c r="G1741" t="n">
        <v>19.4</v>
      </c>
      <c r="H1741" t="n">
        <v>0</v>
      </c>
      <c r="I1741" t="n">
        <v>0</v>
      </c>
      <c r="J1741" t="n">
        <v>0</v>
      </c>
      <c r="K1741" t="n">
        <v>0</v>
      </c>
      <c r="L1741" t="n">
        <v>0</v>
      </c>
      <c r="M1741" t="n">
        <v>0</v>
      </c>
      <c r="N1741" t="n">
        <v>0</v>
      </c>
      <c r="O1741" t="n">
        <v>0</v>
      </c>
      <c r="P1741" t="n">
        <v>0</v>
      </c>
      <c r="Q1741" t="n">
        <v>0</v>
      </c>
      <c r="R1741" s="2" t="inlineStr"/>
    </row>
    <row r="1742" ht="15" customHeight="1">
      <c r="A1742" t="inlineStr">
        <is>
          <t>A 2120-2023</t>
        </is>
      </c>
      <c r="B1742" s="1" t="n">
        <v>44939</v>
      </c>
      <c r="C1742" s="1" t="n">
        <v>45353</v>
      </c>
      <c r="D1742" t="inlineStr">
        <is>
          <t>VÄSTERNORRLANDS LÄN</t>
        </is>
      </c>
      <c r="E1742" t="inlineStr">
        <is>
          <t>SOLLEFTEÅ</t>
        </is>
      </c>
      <c r="F1742" t="inlineStr">
        <is>
          <t>SCA</t>
        </is>
      </c>
      <c r="G1742" t="n">
        <v>126.9</v>
      </c>
      <c r="H1742" t="n">
        <v>0</v>
      </c>
      <c r="I1742" t="n">
        <v>0</v>
      </c>
      <c r="J1742" t="n">
        <v>0</v>
      </c>
      <c r="K1742" t="n">
        <v>0</v>
      </c>
      <c r="L1742" t="n">
        <v>0</v>
      </c>
      <c r="M1742" t="n">
        <v>0</v>
      </c>
      <c r="N1742" t="n">
        <v>0</v>
      </c>
      <c r="O1742" t="n">
        <v>0</v>
      </c>
      <c r="P1742" t="n">
        <v>0</v>
      </c>
      <c r="Q1742" t="n">
        <v>0</v>
      </c>
      <c r="R1742" s="2" t="inlineStr"/>
    </row>
    <row r="1743" ht="15" customHeight="1">
      <c r="A1743" t="inlineStr">
        <is>
          <t>A 2114-2023</t>
        </is>
      </c>
      <c r="B1743" s="1" t="n">
        <v>44939</v>
      </c>
      <c r="C1743" s="1" t="n">
        <v>45353</v>
      </c>
      <c r="D1743" t="inlineStr">
        <is>
          <t>VÄSTERNORRLANDS LÄN</t>
        </is>
      </c>
      <c r="E1743" t="inlineStr">
        <is>
          <t>SOLLEFTEÅ</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2118-2023</t>
        </is>
      </c>
      <c r="B1744" s="1" t="n">
        <v>44939</v>
      </c>
      <c r="C1744" s="1" t="n">
        <v>45353</v>
      </c>
      <c r="D1744" t="inlineStr">
        <is>
          <t>VÄSTERNORRLANDS LÄN</t>
        </is>
      </c>
      <c r="E1744" t="inlineStr">
        <is>
          <t>SOLLEFTEÅ</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2139-2023</t>
        </is>
      </c>
      <c r="B1745" s="1" t="n">
        <v>44940</v>
      </c>
      <c r="C1745" s="1" t="n">
        <v>45353</v>
      </c>
      <c r="D1745" t="inlineStr">
        <is>
          <t>VÄSTERNORRLANDS LÄN</t>
        </is>
      </c>
      <c r="E1745" t="inlineStr">
        <is>
          <t>SOLLEFTEÅ</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2183-2023</t>
        </is>
      </c>
      <c r="B1746" s="1" t="n">
        <v>44942</v>
      </c>
      <c r="C1746" s="1" t="n">
        <v>45353</v>
      </c>
      <c r="D1746" t="inlineStr">
        <is>
          <t>VÄSTERNORRLANDS LÄN</t>
        </is>
      </c>
      <c r="E1746" t="inlineStr">
        <is>
          <t>SOLLEFTEÅ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2408-2023</t>
        </is>
      </c>
      <c r="B1747" s="1" t="n">
        <v>44942</v>
      </c>
      <c r="C1747" s="1" t="n">
        <v>45353</v>
      </c>
      <c r="D1747" t="inlineStr">
        <is>
          <t>VÄSTERNORRLANDS LÄN</t>
        </is>
      </c>
      <c r="E1747" t="inlineStr">
        <is>
          <t>SOLLEFTEÅ</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2412-2023</t>
        </is>
      </c>
      <c r="B1748" s="1" t="n">
        <v>44942</v>
      </c>
      <c r="C1748" s="1" t="n">
        <v>45353</v>
      </c>
      <c r="D1748" t="inlineStr">
        <is>
          <t>VÄSTERNORRLANDS LÄN</t>
        </is>
      </c>
      <c r="E1748" t="inlineStr">
        <is>
          <t>SOLLEFTEÅ</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2597-2023</t>
        </is>
      </c>
      <c r="B1749" s="1" t="n">
        <v>44943</v>
      </c>
      <c r="C1749" s="1" t="n">
        <v>45353</v>
      </c>
      <c r="D1749" t="inlineStr">
        <is>
          <t>VÄSTERNORRLANDS LÄN</t>
        </is>
      </c>
      <c r="E1749" t="inlineStr">
        <is>
          <t>SOLLEFTEÅ</t>
        </is>
      </c>
      <c r="F1749" t="inlineStr">
        <is>
          <t>SCA</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2756-2023</t>
        </is>
      </c>
      <c r="B1750" s="1" t="n">
        <v>44943</v>
      </c>
      <c r="C1750" s="1" t="n">
        <v>45353</v>
      </c>
      <c r="D1750" t="inlineStr">
        <is>
          <t>VÄSTERNORRLANDS LÄN</t>
        </is>
      </c>
      <c r="E1750" t="inlineStr">
        <is>
          <t>SOLLEFTEÅ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2598-2023</t>
        </is>
      </c>
      <c r="B1751" s="1" t="n">
        <v>44943</v>
      </c>
      <c r="C1751" s="1" t="n">
        <v>45353</v>
      </c>
      <c r="D1751" t="inlineStr">
        <is>
          <t>VÄSTERNORRLANDS LÄN</t>
        </is>
      </c>
      <c r="E1751" t="inlineStr">
        <is>
          <t>SOLLEFTEÅ</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2927-2023</t>
        </is>
      </c>
      <c r="B1752" s="1" t="n">
        <v>44945</v>
      </c>
      <c r="C1752" s="1" t="n">
        <v>45353</v>
      </c>
      <c r="D1752" t="inlineStr">
        <is>
          <t>VÄSTERNORRLANDS LÄN</t>
        </is>
      </c>
      <c r="E1752" t="inlineStr">
        <is>
          <t>SOLLEFTEÅ</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3019-2023</t>
        </is>
      </c>
      <c r="B1753" s="1" t="n">
        <v>44945</v>
      </c>
      <c r="C1753" s="1" t="n">
        <v>45353</v>
      </c>
      <c r="D1753" t="inlineStr">
        <is>
          <t>VÄSTERNORRLANDS LÄN</t>
        </is>
      </c>
      <c r="E1753" t="inlineStr">
        <is>
          <t>SOLLEFTEÅ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3319-2023</t>
        </is>
      </c>
      <c r="B1754" s="1" t="n">
        <v>44949</v>
      </c>
      <c r="C1754" s="1" t="n">
        <v>45353</v>
      </c>
      <c r="D1754" t="inlineStr">
        <is>
          <t>VÄSTERNORRLANDS LÄN</t>
        </is>
      </c>
      <c r="E1754" t="inlineStr">
        <is>
          <t>SOLLEFTEÅ</t>
        </is>
      </c>
      <c r="G1754" t="n">
        <v>11.5</v>
      </c>
      <c r="H1754" t="n">
        <v>0</v>
      </c>
      <c r="I1754" t="n">
        <v>0</v>
      </c>
      <c r="J1754" t="n">
        <v>0</v>
      </c>
      <c r="K1754" t="n">
        <v>0</v>
      </c>
      <c r="L1754" t="n">
        <v>0</v>
      </c>
      <c r="M1754" t="n">
        <v>0</v>
      </c>
      <c r="N1754" t="n">
        <v>0</v>
      </c>
      <c r="O1754" t="n">
        <v>0</v>
      </c>
      <c r="P1754" t="n">
        <v>0</v>
      </c>
      <c r="Q1754" t="n">
        <v>0</v>
      </c>
      <c r="R1754" s="2" t="inlineStr"/>
    </row>
    <row r="1755" ht="15" customHeight="1">
      <c r="A1755" t="inlineStr">
        <is>
          <t>A 3692-2023</t>
        </is>
      </c>
      <c r="B1755" s="1" t="n">
        <v>44950</v>
      </c>
      <c r="C1755" s="1" t="n">
        <v>45353</v>
      </c>
      <c r="D1755" t="inlineStr">
        <is>
          <t>VÄSTERNORRLANDS LÄN</t>
        </is>
      </c>
      <c r="E1755" t="inlineStr">
        <is>
          <t>SOLLEFTEÅ</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3691-2023</t>
        </is>
      </c>
      <c r="B1756" s="1" t="n">
        <v>44950</v>
      </c>
      <c r="C1756" s="1" t="n">
        <v>45353</v>
      </c>
      <c r="D1756" t="inlineStr">
        <is>
          <t>VÄSTERNORRLANDS LÄN</t>
        </is>
      </c>
      <c r="E1756" t="inlineStr">
        <is>
          <t>SOLLEFTEÅ</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3689-2023</t>
        </is>
      </c>
      <c r="B1757" s="1" t="n">
        <v>44950</v>
      </c>
      <c r="C1757" s="1" t="n">
        <v>45353</v>
      </c>
      <c r="D1757" t="inlineStr">
        <is>
          <t>VÄSTERNORRLANDS LÄN</t>
        </is>
      </c>
      <c r="E1757" t="inlineStr">
        <is>
          <t>SOLLEFTEÅ</t>
        </is>
      </c>
      <c r="F1757" t="inlineStr">
        <is>
          <t>SCA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4154-2023</t>
        </is>
      </c>
      <c r="B1758" s="1" t="n">
        <v>44950</v>
      </c>
      <c r="C1758" s="1" t="n">
        <v>45353</v>
      </c>
      <c r="D1758" t="inlineStr">
        <is>
          <t>VÄSTERNORRLANDS LÄN</t>
        </is>
      </c>
      <c r="E1758" t="inlineStr">
        <is>
          <t>SOLLEFTEÅ</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4406-2023</t>
        </is>
      </c>
      <c r="B1759" s="1" t="n">
        <v>44951</v>
      </c>
      <c r="C1759" s="1" t="n">
        <v>45353</v>
      </c>
      <c r="D1759" t="inlineStr">
        <is>
          <t>VÄSTERNORRLANDS LÄN</t>
        </is>
      </c>
      <c r="E1759" t="inlineStr">
        <is>
          <t>SOLLEFTEÅ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4132-2023</t>
        </is>
      </c>
      <c r="B1760" s="1" t="n">
        <v>44952</v>
      </c>
      <c r="C1760" s="1" t="n">
        <v>45353</v>
      </c>
      <c r="D1760" t="inlineStr">
        <is>
          <t>VÄSTERNORRLANDS LÄN</t>
        </is>
      </c>
      <c r="E1760" t="inlineStr">
        <is>
          <t>SOLLEFTEÅ</t>
        </is>
      </c>
      <c r="F1760" t="inlineStr">
        <is>
          <t>SCA</t>
        </is>
      </c>
      <c r="G1760" t="n">
        <v>50.4</v>
      </c>
      <c r="H1760" t="n">
        <v>0</v>
      </c>
      <c r="I1760" t="n">
        <v>0</v>
      </c>
      <c r="J1760" t="n">
        <v>0</v>
      </c>
      <c r="K1760" t="n">
        <v>0</v>
      </c>
      <c r="L1760" t="n">
        <v>0</v>
      </c>
      <c r="M1760" t="n">
        <v>0</v>
      </c>
      <c r="N1760" t="n">
        <v>0</v>
      </c>
      <c r="O1760" t="n">
        <v>0</v>
      </c>
      <c r="P1760" t="n">
        <v>0</v>
      </c>
      <c r="Q1760" t="n">
        <v>0</v>
      </c>
      <c r="R1760" s="2" t="inlineStr"/>
    </row>
    <row r="1761" ht="15" customHeight="1">
      <c r="A1761" t="inlineStr">
        <is>
          <t>A 4138-2023</t>
        </is>
      </c>
      <c r="B1761" s="1" t="n">
        <v>44952</v>
      </c>
      <c r="C1761" s="1" t="n">
        <v>45353</v>
      </c>
      <c r="D1761" t="inlineStr">
        <is>
          <t>VÄSTERNORRLANDS LÄN</t>
        </is>
      </c>
      <c r="E1761" t="inlineStr">
        <is>
          <t>SOLLEFTEÅ</t>
        </is>
      </c>
      <c r="F1761" t="inlineStr">
        <is>
          <t>SCA</t>
        </is>
      </c>
      <c r="G1761" t="n">
        <v>70</v>
      </c>
      <c r="H1761" t="n">
        <v>0</v>
      </c>
      <c r="I1761" t="n">
        <v>0</v>
      </c>
      <c r="J1761" t="n">
        <v>0</v>
      </c>
      <c r="K1761" t="n">
        <v>0</v>
      </c>
      <c r="L1761" t="n">
        <v>0</v>
      </c>
      <c r="M1761" t="n">
        <v>0</v>
      </c>
      <c r="N1761" t="n">
        <v>0</v>
      </c>
      <c r="O1761" t="n">
        <v>0</v>
      </c>
      <c r="P1761" t="n">
        <v>0</v>
      </c>
      <c r="Q1761" t="n">
        <v>0</v>
      </c>
      <c r="R1761" s="2" t="inlineStr"/>
    </row>
    <row r="1762" ht="15" customHeight="1">
      <c r="A1762" t="inlineStr">
        <is>
          <t>A 4501-2023</t>
        </is>
      </c>
      <c r="B1762" s="1" t="n">
        <v>44952</v>
      </c>
      <c r="C1762" s="1" t="n">
        <v>45353</v>
      </c>
      <c r="D1762" t="inlineStr">
        <is>
          <t>VÄSTERNORRLANDS LÄN</t>
        </is>
      </c>
      <c r="E1762" t="inlineStr">
        <is>
          <t>SOLLEFTEÅ</t>
        </is>
      </c>
      <c r="F1762" t="inlineStr">
        <is>
          <t>Övriga Aktiebolag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4613-2023</t>
        </is>
      </c>
      <c r="B1763" s="1" t="n">
        <v>44956</v>
      </c>
      <c r="C1763" s="1" t="n">
        <v>45353</v>
      </c>
      <c r="D1763" t="inlineStr">
        <is>
          <t>VÄSTERNORRLANDS LÄN</t>
        </is>
      </c>
      <c r="E1763" t="inlineStr">
        <is>
          <t>SOLLEFTEÅ</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4611-2023</t>
        </is>
      </c>
      <c r="B1764" s="1" t="n">
        <v>44956</v>
      </c>
      <c r="C1764" s="1" t="n">
        <v>45353</v>
      </c>
      <c r="D1764" t="inlineStr">
        <is>
          <t>VÄSTERNORRLANDS LÄN</t>
        </is>
      </c>
      <c r="E1764" t="inlineStr">
        <is>
          <t>SOLLEFTEÅ</t>
        </is>
      </c>
      <c r="F1764" t="inlineStr">
        <is>
          <t>SCA</t>
        </is>
      </c>
      <c r="G1764" t="n">
        <v>19.2</v>
      </c>
      <c r="H1764" t="n">
        <v>0</v>
      </c>
      <c r="I1764" t="n">
        <v>0</v>
      </c>
      <c r="J1764" t="n">
        <v>0</v>
      </c>
      <c r="K1764" t="n">
        <v>0</v>
      </c>
      <c r="L1764" t="n">
        <v>0</v>
      </c>
      <c r="M1764" t="n">
        <v>0</v>
      </c>
      <c r="N1764" t="n">
        <v>0</v>
      </c>
      <c r="O1764" t="n">
        <v>0</v>
      </c>
      <c r="P1764" t="n">
        <v>0</v>
      </c>
      <c r="Q1764" t="n">
        <v>0</v>
      </c>
      <c r="R1764" s="2" t="inlineStr"/>
    </row>
    <row r="1765" ht="15" customHeight="1">
      <c r="A1765" t="inlineStr">
        <is>
          <t>A 4612-2023</t>
        </is>
      </c>
      <c r="B1765" s="1" t="n">
        <v>44956</v>
      </c>
      <c r="C1765" s="1" t="n">
        <v>45353</v>
      </c>
      <c r="D1765" t="inlineStr">
        <is>
          <t>VÄSTERNORRLANDS LÄN</t>
        </is>
      </c>
      <c r="E1765" t="inlineStr">
        <is>
          <t>SOLLEFTEÅ</t>
        </is>
      </c>
      <c r="F1765" t="inlineStr">
        <is>
          <t>SCA</t>
        </is>
      </c>
      <c r="G1765" t="n">
        <v>25.5</v>
      </c>
      <c r="H1765" t="n">
        <v>0</v>
      </c>
      <c r="I1765" t="n">
        <v>0</v>
      </c>
      <c r="J1765" t="n">
        <v>0</v>
      </c>
      <c r="K1765" t="n">
        <v>0</v>
      </c>
      <c r="L1765" t="n">
        <v>0</v>
      </c>
      <c r="M1765" t="n">
        <v>0</v>
      </c>
      <c r="N1765" t="n">
        <v>0</v>
      </c>
      <c r="O1765" t="n">
        <v>0</v>
      </c>
      <c r="P1765" t="n">
        <v>0</v>
      </c>
      <c r="Q1765" t="n">
        <v>0</v>
      </c>
      <c r="R1765" s="2" t="inlineStr"/>
    </row>
    <row r="1766" ht="15" customHeight="1">
      <c r="A1766" t="inlineStr">
        <is>
          <t>A 4623-2023</t>
        </is>
      </c>
      <c r="B1766" s="1" t="n">
        <v>44956</v>
      </c>
      <c r="C1766" s="1" t="n">
        <v>45353</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5001-2023</t>
        </is>
      </c>
      <c r="B1767" s="1" t="n">
        <v>44956</v>
      </c>
      <c r="C1767" s="1" t="n">
        <v>45353</v>
      </c>
      <c r="D1767" t="inlineStr">
        <is>
          <t>VÄSTERNORRLANDS LÄN</t>
        </is>
      </c>
      <c r="E1767" t="inlineStr">
        <is>
          <t>SOLLEFTEÅ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5168-2023</t>
        </is>
      </c>
      <c r="B1768" s="1" t="n">
        <v>44958</v>
      </c>
      <c r="C1768" s="1" t="n">
        <v>45353</v>
      </c>
      <c r="D1768" t="inlineStr">
        <is>
          <t>VÄSTERNORRLANDS LÄN</t>
        </is>
      </c>
      <c r="E1768" t="inlineStr">
        <is>
          <t>SOLLEFTEÅ</t>
        </is>
      </c>
      <c r="F1768" t="inlineStr">
        <is>
          <t>SCA</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5149-2023</t>
        </is>
      </c>
      <c r="B1769" s="1" t="n">
        <v>44958</v>
      </c>
      <c r="C1769" s="1" t="n">
        <v>45353</v>
      </c>
      <c r="D1769" t="inlineStr">
        <is>
          <t>VÄSTERNORRLANDS LÄN</t>
        </is>
      </c>
      <c r="E1769" t="inlineStr">
        <is>
          <t>SOLLEFTEÅ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5161-2023</t>
        </is>
      </c>
      <c r="B1770" s="1" t="n">
        <v>44958</v>
      </c>
      <c r="C1770" s="1" t="n">
        <v>45353</v>
      </c>
      <c r="D1770" t="inlineStr">
        <is>
          <t>VÄSTERNORRLANDS LÄN</t>
        </is>
      </c>
      <c r="E1770" t="inlineStr">
        <is>
          <t>SOLLEFTEÅ</t>
        </is>
      </c>
      <c r="F1770" t="inlineStr">
        <is>
          <t>SCA</t>
        </is>
      </c>
      <c r="G1770" t="n">
        <v>30.3</v>
      </c>
      <c r="H1770" t="n">
        <v>0</v>
      </c>
      <c r="I1770" t="n">
        <v>0</v>
      </c>
      <c r="J1770" t="n">
        <v>0</v>
      </c>
      <c r="K1770" t="n">
        <v>0</v>
      </c>
      <c r="L1770" t="n">
        <v>0</v>
      </c>
      <c r="M1770" t="n">
        <v>0</v>
      </c>
      <c r="N1770" t="n">
        <v>0</v>
      </c>
      <c r="O1770" t="n">
        <v>0</v>
      </c>
      <c r="P1770" t="n">
        <v>0</v>
      </c>
      <c r="Q1770" t="n">
        <v>0</v>
      </c>
      <c r="R1770" s="2" t="inlineStr"/>
    </row>
    <row r="1771" ht="15" customHeight="1">
      <c r="A1771" t="inlineStr">
        <is>
          <t>A 5166-2023</t>
        </is>
      </c>
      <c r="B1771" s="1" t="n">
        <v>44958</v>
      </c>
      <c r="C1771" s="1" t="n">
        <v>45353</v>
      </c>
      <c r="D1771" t="inlineStr">
        <is>
          <t>VÄSTERNORRLANDS LÄN</t>
        </is>
      </c>
      <c r="E1771" t="inlineStr">
        <is>
          <t>SOLLEFTEÅ</t>
        </is>
      </c>
      <c r="F1771" t="inlineStr">
        <is>
          <t>SCA</t>
        </is>
      </c>
      <c r="G1771" t="n">
        <v>29.3</v>
      </c>
      <c r="H1771" t="n">
        <v>0</v>
      </c>
      <c r="I1771" t="n">
        <v>0</v>
      </c>
      <c r="J1771" t="n">
        <v>0</v>
      </c>
      <c r="K1771" t="n">
        <v>0</v>
      </c>
      <c r="L1771" t="n">
        <v>0</v>
      </c>
      <c r="M1771" t="n">
        <v>0</v>
      </c>
      <c r="N1771" t="n">
        <v>0</v>
      </c>
      <c r="O1771" t="n">
        <v>0</v>
      </c>
      <c r="P1771" t="n">
        <v>0</v>
      </c>
      <c r="Q1771" t="n">
        <v>0</v>
      </c>
      <c r="R1771" s="2" t="inlineStr"/>
    </row>
    <row r="1772" ht="15" customHeight="1">
      <c r="A1772" t="inlineStr">
        <is>
          <t>A 5167-2023</t>
        </is>
      </c>
      <c r="B1772" s="1" t="n">
        <v>44958</v>
      </c>
      <c r="C1772" s="1" t="n">
        <v>45353</v>
      </c>
      <c r="D1772" t="inlineStr">
        <is>
          <t>VÄSTERNORRLANDS LÄN</t>
        </is>
      </c>
      <c r="E1772" t="inlineStr">
        <is>
          <t>SOLLEFTEÅ</t>
        </is>
      </c>
      <c r="F1772" t="inlineStr">
        <is>
          <t>SCA</t>
        </is>
      </c>
      <c r="G1772" t="n">
        <v>14.8</v>
      </c>
      <c r="H1772" t="n">
        <v>0</v>
      </c>
      <c r="I1772" t="n">
        <v>0</v>
      </c>
      <c r="J1772" t="n">
        <v>0</v>
      </c>
      <c r="K1772" t="n">
        <v>0</v>
      </c>
      <c r="L1772" t="n">
        <v>0</v>
      </c>
      <c r="M1772" t="n">
        <v>0</v>
      </c>
      <c r="N1772" t="n">
        <v>0</v>
      </c>
      <c r="O1772" t="n">
        <v>0</v>
      </c>
      <c r="P1772" t="n">
        <v>0</v>
      </c>
      <c r="Q1772" t="n">
        <v>0</v>
      </c>
      <c r="R1772" s="2" t="inlineStr"/>
    </row>
    <row r="1773" ht="15" customHeight="1">
      <c r="A1773" t="inlineStr">
        <is>
          <t>A 5448-2023</t>
        </is>
      </c>
      <c r="B1773" s="1" t="n">
        <v>44959</v>
      </c>
      <c r="C1773" s="1" t="n">
        <v>45353</v>
      </c>
      <c r="D1773" t="inlineStr">
        <is>
          <t>VÄSTERNORRLANDS LÄN</t>
        </is>
      </c>
      <c r="E1773" t="inlineStr">
        <is>
          <t>SOLLEFTEÅ</t>
        </is>
      </c>
      <c r="F1773" t="inlineStr">
        <is>
          <t>SCA</t>
        </is>
      </c>
      <c r="G1773" t="n">
        <v>138.3</v>
      </c>
      <c r="H1773" t="n">
        <v>0</v>
      </c>
      <c r="I1773" t="n">
        <v>0</v>
      </c>
      <c r="J1773" t="n">
        <v>0</v>
      </c>
      <c r="K1773" t="n">
        <v>0</v>
      </c>
      <c r="L1773" t="n">
        <v>0</v>
      </c>
      <c r="M1773" t="n">
        <v>0</v>
      </c>
      <c r="N1773" t="n">
        <v>0</v>
      </c>
      <c r="O1773" t="n">
        <v>0</v>
      </c>
      <c r="P1773" t="n">
        <v>0</v>
      </c>
      <c r="Q1773" t="n">
        <v>0</v>
      </c>
      <c r="R1773" s="2" t="inlineStr"/>
    </row>
    <row r="1774" ht="15" customHeight="1">
      <c r="A1774" t="inlineStr">
        <is>
          <t>A 5451-2023</t>
        </is>
      </c>
      <c r="B1774" s="1" t="n">
        <v>44959</v>
      </c>
      <c r="C1774" s="1" t="n">
        <v>45353</v>
      </c>
      <c r="D1774" t="inlineStr">
        <is>
          <t>VÄSTERNORRLANDS LÄN</t>
        </is>
      </c>
      <c r="E1774" t="inlineStr">
        <is>
          <t>SOLLEFTEÅ</t>
        </is>
      </c>
      <c r="F1774" t="inlineStr">
        <is>
          <t>SCA</t>
        </is>
      </c>
      <c r="G1774" t="n">
        <v>20.1</v>
      </c>
      <c r="H1774" t="n">
        <v>0</v>
      </c>
      <c r="I1774" t="n">
        <v>0</v>
      </c>
      <c r="J1774" t="n">
        <v>0</v>
      </c>
      <c r="K1774" t="n">
        <v>0</v>
      </c>
      <c r="L1774" t="n">
        <v>0</v>
      </c>
      <c r="M1774" t="n">
        <v>0</v>
      </c>
      <c r="N1774" t="n">
        <v>0</v>
      </c>
      <c r="O1774" t="n">
        <v>0</v>
      </c>
      <c r="P1774" t="n">
        <v>0</v>
      </c>
      <c r="Q1774" t="n">
        <v>0</v>
      </c>
      <c r="R1774" s="2" t="inlineStr"/>
    </row>
    <row r="1775" ht="15" customHeight="1">
      <c r="A1775" t="inlineStr">
        <is>
          <t>A 6271-2023</t>
        </is>
      </c>
      <c r="B1775" s="1" t="n">
        <v>44959</v>
      </c>
      <c r="C1775" s="1" t="n">
        <v>45353</v>
      </c>
      <c r="D1775" t="inlineStr">
        <is>
          <t>VÄSTERNORRLANDS LÄN</t>
        </is>
      </c>
      <c r="E1775" t="inlineStr">
        <is>
          <t>SOLLEFTEÅ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5519-2023</t>
        </is>
      </c>
      <c r="B1776" s="1" t="n">
        <v>44960</v>
      </c>
      <c r="C1776" s="1" t="n">
        <v>45353</v>
      </c>
      <c r="D1776" t="inlineStr">
        <is>
          <t>VÄSTERNORRLANDS LÄN</t>
        </is>
      </c>
      <c r="E1776" t="inlineStr">
        <is>
          <t>SOLLEFTEÅ</t>
        </is>
      </c>
      <c r="F1776" t="inlineStr">
        <is>
          <t>Holmen skog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5529-2023</t>
        </is>
      </c>
      <c r="B1777" s="1" t="n">
        <v>44960</v>
      </c>
      <c r="C1777" s="1" t="n">
        <v>45353</v>
      </c>
      <c r="D1777" t="inlineStr">
        <is>
          <t>VÄSTERNORRLANDS LÄN</t>
        </is>
      </c>
      <c r="E1777" t="inlineStr">
        <is>
          <t>SOLLEFTEÅ</t>
        </is>
      </c>
      <c r="F1777" t="inlineStr">
        <is>
          <t>Holmen skog AB</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5952-2023</t>
        </is>
      </c>
      <c r="B1778" s="1" t="n">
        <v>44963</v>
      </c>
      <c r="C1778" s="1" t="n">
        <v>45353</v>
      </c>
      <c r="D1778" t="inlineStr">
        <is>
          <t>VÄSTERNORRLANDS LÄN</t>
        </is>
      </c>
      <c r="E1778" t="inlineStr">
        <is>
          <t>SOLLEFTEÅ</t>
        </is>
      </c>
      <c r="F1778" t="inlineStr">
        <is>
          <t>SCA</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6236-2023</t>
        </is>
      </c>
      <c r="B1779" s="1" t="n">
        <v>44964</v>
      </c>
      <c r="C1779" s="1" t="n">
        <v>45353</v>
      </c>
      <c r="D1779" t="inlineStr">
        <is>
          <t>VÄSTERNORRLANDS LÄN</t>
        </is>
      </c>
      <c r="E1779" t="inlineStr">
        <is>
          <t>SOLLEFTEÅ</t>
        </is>
      </c>
      <c r="F1779" t="inlineStr">
        <is>
          <t>SCA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6235-2023</t>
        </is>
      </c>
      <c r="B1780" s="1" t="n">
        <v>44964</v>
      </c>
      <c r="C1780" s="1" t="n">
        <v>45353</v>
      </c>
      <c r="D1780" t="inlineStr">
        <is>
          <t>VÄSTERNORRLANDS LÄN</t>
        </is>
      </c>
      <c r="E1780" t="inlineStr">
        <is>
          <t>SOLLEFTEÅ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6474-2023</t>
        </is>
      </c>
      <c r="B1781" s="1" t="n">
        <v>44965</v>
      </c>
      <c r="C1781" s="1" t="n">
        <v>45353</v>
      </c>
      <c r="D1781" t="inlineStr">
        <is>
          <t>VÄSTERNORRLANDS LÄN</t>
        </is>
      </c>
      <c r="E1781" t="inlineStr">
        <is>
          <t>SOLLEFTEÅ</t>
        </is>
      </c>
      <c r="F1781" t="inlineStr">
        <is>
          <t>SCA</t>
        </is>
      </c>
      <c r="G1781" t="n">
        <v>47.3</v>
      </c>
      <c r="H1781" t="n">
        <v>0</v>
      </c>
      <c r="I1781" t="n">
        <v>0</v>
      </c>
      <c r="J1781" t="n">
        <v>0</v>
      </c>
      <c r="K1781" t="n">
        <v>0</v>
      </c>
      <c r="L1781" t="n">
        <v>0</v>
      </c>
      <c r="M1781" t="n">
        <v>0</v>
      </c>
      <c r="N1781" t="n">
        <v>0</v>
      </c>
      <c r="O1781" t="n">
        <v>0</v>
      </c>
      <c r="P1781" t="n">
        <v>0</v>
      </c>
      <c r="Q1781" t="n">
        <v>0</v>
      </c>
      <c r="R1781" s="2" t="inlineStr"/>
    </row>
    <row r="1782" ht="15" customHeight="1">
      <c r="A1782" t="inlineStr">
        <is>
          <t>A 7009-2023</t>
        </is>
      </c>
      <c r="B1782" s="1" t="n">
        <v>44967</v>
      </c>
      <c r="C1782" s="1" t="n">
        <v>45353</v>
      </c>
      <c r="D1782" t="inlineStr">
        <is>
          <t>VÄSTERNORRLANDS LÄN</t>
        </is>
      </c>
      <c r="E1782" t="inlineStr">
        <is>
          <t>SOLLEFTEÅ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7332-2023</t>
        </is>
      </c>
      <c r="B1783" s="1" t="n">
        <v>44970</v>
      </c>
      <c r="C1783" s="1" t="n">
        <v>45353</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7324-2023</t>
        </is>
      </c>
      <c r="B1784" s="1" t="n">
        <v>44970</v>
      </c>
      <c r="C1784" s="1" t="n">
        <v>45353</v>
      </c>
      <c r="D1784" t="inlineStr">
        <is>
          <t>VÄSTERNORRLANDS LÄN</t>
        </is>
      </c>
      <c r="E1784" t="inlineStr">
        <is>
          <t>SOLLEFTEÅ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7325-2023</t>
        </is>
      </c>
      <c r="B1785" s="1" t="n">
        <v>44970</v>
      </c>
      <c r="C1785" s="1" t="n">
        <v>45353</v>
      </c>
      <c r="D1785" t="inlineStr">
        <is>
          <t>VÄSTERNORRLANDS LÄN</t>
        </is>
      </c>
      <c r="E1785" t="inlineStr">
        <is>
          <t>SOLLEFTEÅ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7330-2023</t>
        </is>
      </c>
      <c r="B1786" s="1" t="n">
        <v>44971</v>
      </c>
      <c r="C1786" s="1" t="n">
        <v>45353</v>
      </c>
      <c r="D1786" t="inlineStr">
        <is>
          <t>VÄSTERNORRLANDS LÄN</t>
        </is>
      </c>
      <c r="E1786" t="inlineStr">
        <is>
          <t>SOLLEFTEÅ</t>
        </is>
      </c>
      <c r="F1786" t="inlineStr">
        <is>
          <t>SCA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7331-2023</t>
        </is>
      </c>
      <c r="B1787" s="1" t="n">
        <v>44970</v>
      </c>
      <c r="C1787" s="1" t="n">
        <v>45353</v>
      </c>
      <c r="D1787" t="inlineStr">
        <is>
          <t>VÄSTERNORRLANDS LÄN</t>
        </is>
      </c>
      <c r="E1787" t="inlineStr">
        <is>
          <t>SOLLEFTEÅ</t>
        </is>
      </c>
      <c r="F1787" t="inlineStr">
        <is>
          <t>SCA</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7333-2023</t>
        </is>
      </c>
      <c r="B1788" s="1" t="n">
        <v>44971</v>
      </c>
      <c r="C1788" s="1" t="n">
        <v>45353</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7713-2023</t>
        </is>
      </c>
      <c r="B1789" s="1" t="n">
        <v>44972</v>
      </c>
      <c r="C1789" s="1" t="n">
        <v>45353</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7721-2023</t>
        </is>
      </c>
      <c r="B1790" s="1" t="n">
        <v>44972</v>
      </c>
      <c r="C1790" s="1" t="n">
        <v>45353</v>
      </c>
      <c r="D1790" t="inlineStr">
        <is>
          <t>VÄSTERNORRLANDS LÄN</t>
        </is>
      </c>
      <c r="E1790" t="inlineStr">
        <is>
          <t>SOLLEFTEÅ</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8030-2023</t>
        </is>
      </c>
      <c r="B1791" s="1" t="n">
        <v>44973</v>
      </c>
      <c r="C1791" s="1" t="n">
        <v>45353</v>
      </c>
      <c r="D1791" t="inlineStr">
        <is>
          <t>VÄSTERNORRLANDS LÄN</t>
        </is>
      </c>
      <c r="E1791" t="inlineStr">
        <is>
          <t>SOLLEFTEÅ</t>
        </is>
      </c>
      <c r="F1791" t="inlineStr">
        <is>
          <t>SCA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8959-2023</t>
        </is>
      </c>
      <c r="B1792" s="1" t="n">
        <v>44974</v>
      </c>
      <c r="C1792" s="1" t="n">
        <v>45353</v>
      </c>
      <c r="D1792" t="inlineStr">
        <is>
          <t>VÄSTERNORRLANDS LÄN</t>
        </is>
      </c>
      <c r="E1792" t="inlineStr">
        <is>
          <t>SOLLEFTEÅ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8640-2023</t>
        </is>
      </c>
      <c r="B1793" s="1" t="n">
        <v>44978</v>
      </c>
      <c r="C1793" s="1" t="n">
        <v>45353</v>
      </c>
      <c r="D1793" t="inlineStr">
        <is>
          <t>VÄSTERNORRLANDS LÄN</t>
        </is>
      </c>
      <c r="E1793" t="inlineStr">
        <is>
          <t>SOLLEFTEÅ</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8658-2023</t>
        </is>
      </c>
      <c r="B1794" s="1" t="n">
        <v>44978</v>
      </c>
      <c r="C1794" s="1" t="n">
        <v>45353</v>
      </c>
      <c r="D1794" t="inlineStr">
        <is>
          <t>VÄSTERNORRLANDS LÄN</t>
        </is>
      </c>
      <c r="E1794" t="inlineStr">
        <is>
          <t>SOLLEFTEÅ</t>
        </is>
      </c>
      <c r="F1794" t="inlineStr">
        <is>
          <t>SCA</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8668-2023</t>
        </is>
      </c>
      <c r="B1795" s="1" t="n">
        <v>44978</v>
      </c>
      <c r="C1795" s="1" t="n">
        <v>45353</v>
      </c>
      <c r="D1795" t="inlineStr">
        <is>
          <t>VÄSTERNORRLANDS LÄN</t>
        </is>
      </c>
      <c r="E1795" t="inlineStr">
        <is>
          <t>SOLLEFTEÅ</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8672-2023</t>
        </is>
      </c>
      <c r="B1796" s="1" t="n">
        <v>44977</v>
      </c>
      <c r="C1796" s="1" t="n">
        <v>45353</v>
      </c>
      <c r="D1796" t="inlineStr">
        <is>
          <t>VÄSTERNORRLANDS LÄN</t>
        </is>
      </c>
      <c r="E1796" t="inlineStr">
        <is>
          <t>SOLLEFTEÅ</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8656-2023</t>
        </is>
      </c>
      <c r="B1797" s="1" t="n">
        <v>44978</v>
      </c>
      <c r="C1797" s="1" t="n">
        <v>45353</v>
      </c>
      <c r="D1797" t="inlineStr">
        <is>
          <t>VÄSTERNORRLANDS LÄN</t>
        </is>
      </c>
      <c r="E1797" t="inlineStr">
        <is>
          <t>SOLLEFTEÅ</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8670-2023</t>
        </is>
      </c>
      <c r="B1798" s="1" t="n">
        <v>44977</v>
      </c>
      <c r="C1798" s="1" t="n">
        <v>45353</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8667-2023</t>
        </is>
      </c>
      <c r="B1799" s="1" t="n">
        <v>44978</v>
      </c>
      <c r="C1799" s="1" t="n">
        <v>45353</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8671-2023</t>
        </is>
      </c>
      <c r="B1800" s="1" t="n">
        <v>44978</v>
      </c>
      <c r="C1800" s="1" t="n">
        <v>45353</v>
      </c>
      <c r="D1800" t="inlineStr">
        <is>
          <t>VÄSTERNORRLANDS LÄN</t>
        </is>
      </c>
      <c r="E1800" t="inlineStr">
        <is>
          <t>SOLLEFTEÅ</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8875-2023</t>
        </is>
      </c>
      <c r="B1801" s="1" t="n">
        <v>44978</v>
      </c>
      <c r="C1801" s="1" t="n">
        <v>45353</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8880-2023</t>
        </is>
      </c>
      <c r="B1802" s="1" t="n">
        <v>44978</v>
      </c>
      <c r="C1802" s="1" t="n">
        <v>45353</v>
      </c>
      <c r="D1802" t="inlineStr">
        <is>
          <t>VÄSTERNORRLANDS LÄN</t>
        </is>
      </c>
      <c r="E1802" t="inlineStr">
        <is>
          <t>SOLLEFTEÅ</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9097-2023</t>
        </is>
      </c>
      <c r="B1803" s="1" t="n">
        <v>44979</v>
      </c>
      <c r="C1803" s="1" t="n">
        <v>45353</v>
      </c>
      <c r="D1803" t="inlineStr">
        <is>
          <t>VÄSTERNORRLANDS LÄN</t>
        </is>
      </c>
      <c r="E1803" t="inlineStr">
        <is>
          <t>SOLLEFTEÅ</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9095-2023</t>
        </is>
      </c>
      <c r="B1804" s="1" t="n">
        <v>44979</v>
      </c>
      <c r="C1804" s="1" t="n">
        <v>45353</v>
      </c>
      <c r="D1804" t="inlineStr">
        <is>
          <t>VÄSTERNORRLANDS LÄN</t>
        </is>
      </c>
      <c r="E1804" t="inlineStr">
        <is>
          <t>SOLLEFTEÅ</t>
        </is>
      </c>
      <c r="F1804" t="inlineStr">
        <is>
          <t>SCA</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9099-2023</t>
        </is>
      </c>
      <c r="B1805" s="1" t="n">
        <v>44979</v>
      </c>
      <c r="C1805" s="1" t="n">
        <v>45353</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9096-2023</t>
        </is>
      </c>
      <c r="B1806" s="1" t="n">
        <v>44979</v>
      </c>
      <c r="C1806" s="1" t="n">
        <v>45353</v>
      </c>
      <c r="D1806" t="inlineStr">
        <is>
          <t>VÄSTERNORRLANDS LÄN</t>
        </is>
      </c>
      <c r="E1806" t="inlineStr">
        <is>
          <t>SOLLEFTEÅ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9104-2023</t>
        </is>
      </c>
      <c r="B1807" s="1" t="n">
        <v>44979</v>
      </c>
      <c r="C1807" s="1" t="n">
        <v>45353</v>
      </c>
      <c r="D1807" t="inlineStr">
        <is>
          <t>VÄSTERNORRLANDS LÄN</t>
        </is>
      </c>
      <c r="E1807" t="inlineStr">
        <is>
          <t>SOLLEFTEÅ</t>
        </is>
      </c>
      <c r="F1807" t="inlineStr">
        <is>
          <t>SCA</t>
        </is>
      </c>
      <c r="G1807" t="n">
        <v>22.1</v>
      </c>
      <c r="H1807" t="n">
        <v>0</v>
      </c>
      <c r="I1807" t="n">
        <v>0</v>
      </c>
      <c r="J1807" t="n">
        <v>0</v>
      </c>
      <c r="K1807" t="n">
        <v>0</v>
      </c>
      <c r="L1807" t="n">
        <v>0</v>
      </c>
      <c r="M1807" t="n">
        <v>0</v>
      </c>
      <c r="N1807" t="n">
        <v>0</v>
      </c>
      <c r="O1807" t="n">
        <v>0</v>
      </c>
      <c r="P1807" t="n">
        <v>0</v>
      </c>
      <c r="Q1807" t="n">
        <v>0</v>
      </c>
      <c r="R1807" s="2" t="inlineStr"/>
    </row>
    <row r="1808" ht="15" customHeight="1">
      <c r="A1808" t="inlineStr">
        <is>
          <t>A 9098-2023</t>
        </is>
      </c>
      <c r="B1808" s="1" t="n">
        <v>44979</v>
      </c>
      <c r="C1808" s="1" t="n">
        <v>45353</v>
      </c>
      <c r="D1808" t="inlineStr">
        <is>
          <t>VÄSTERNORRLANDS LÄN</t>
        </is>
      </c>
      <c r="E1808" t="inlineStr">
        <is>
          <t>SOLLEFTEÅ</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9105-2023</t>
        </is>
      </c>
      <c r="B1809" s="1" t="n">
        <v>44979</v>
      </c>
      <c r="C1809" s="1" t="n">
        <v>45353</v>
      </c>
      <c r="D1809" t="inlineStr">
        <is>
          <t>VÄSTERNORRLANDS LÄN</t>
        </is>
      </c>
      <c r="E1809" t="inlineStr">
        <is>
          <t>SOLLEFTEÅ</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9358-2023</t>
        </is>
      </c>
      <c r="B1810" s="1" t="n">
        <v>44980</v>
      </c>
      <c r="C1810" s="1" t="n">
        <v>45353</v>
      </c>
      <c r="D1810" t="inlineStr">
        <is>
          <t>VÄSTERNORRLANDS LÄN</t>
        </is>
      </c>
      <c r="E1810" t="inlineStr">
        <is>
          <t>SOLLEFTEÅ</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10256-2023</t>
        </is>
      </c>
      <c r="B1811" s="1" t="n">
        <v>44980</v>
      </c>
      <c r="C1811" s="1" t="n">
        <v>45353</v>
      </c>
      <c r="D1811" t="inlineStr">
        <is>
          <t>VÄSTERNORRLANDS LÄN</t>
        </is>
      </c>
      <c r="E1811" t="inlineStr">
        <is>
          <t>SOLLEFTEÅ</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9362-2023</t>
        </is>
      </c>
      <c r="B1812" s="1" t="n">
        <v>44980</v>
      </c>
      <c r="C1812" s="1" t="n">
        <v>45353</v>
      </c>
      <c r="D1812" t="inlineStr">
        <is>
          <t>VÄSTERNORRLANDS LÄN</t>
        </is>
      </c>
      <c r="E1812" t="inlineStr">
        <is>
          <t>SOLLEFTEÅ</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9549-2023</t>
        </is>
      </c>
      <c r="B1813" s="1" t="n">
        <v>44981</v>
      </c>
      <c r="C1813" s="1" t="n">
        <v>45353</v>
      </c>
      <c r="D1813" t="inlineStr">
        <is>
          <t>VÄSTERNORRLANDS LÄN</t>
        </is>
      </c>
      <c r="E1813" t="inlineStr">
        <is>
          <t>SOLLEFTEÅ</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10428-2023</t>
        </is>
      </c>
      <c r="B1814" s="1" t="n">
        <v>44981</v>
      </c>
      <c r="C1814" s="1" t="n">
        <v>45353</v>
      </c>
      <c r="D1814" t="inlineStr">
        <is>
          <t>VÄSTERNORRLANDS LÄN</t>
        </is>
      </c>
      <c r="E1814" t="inlineStr">
        <is>
          <t>SOLLEFTEÅ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9617-2023</t>
        </is>
      </c>
      <c r="B1815" s="1" t="n">
        <v>44983</v>
      </c>
      <c r="C1815" s="1" t="n">
        <v>45353</v>
      </c>
      <c r="D1815" t="inlineStr">
        <is>
          <t>VÄSTERNORRLANDS LÄN</t>
        </is>
      </c>
      <c r="E1815" t="inlineStr">
        <is>
          <t>SOLLEFTEÅ</t>
        </is>
      </c>
      <c r="F1815" t="inlineStr">
        <is>
          <t>SCA</t>
        </is>
      </c>
      <c r="G1815" t="n">
        <v>39.6</v>
      </c>
      <c r="H1815" t="n">
        <v>0</v>
      </c>
      <c r="I1815" t="n">
        <v>0</v>
      </c>
      <c r="J1815" t="n">
        <v>0</v>
      </c>
      <c r="K1815" t="n">
        <v>0</v>
      </c>
      <c r="L1815" t="n">
        <v>0</v>
      </c>
      <c r="M1815" t="n">
        <v>0</v>
      </c>
      <c r="N1815" t="n">
        <v>0</v>
      </c>
      <c r="O1815" t="n">
        <v>0</v>
      </c>
      <c r="P1815" t="n">
        <v>0</v>
      </c>
      <c r="Q1815" t="n">
        <v>0</v>
      </c>
      <c r="R1815" s="2" t="inlineStr"/>
    </row>
    <row r="1816" ht="15" customHeight="1">
      <c r="A1816" t="inlineStr">
        <is>
          <t>A 9616-2023</t>
        </is>
      </c>
      <c r="B1816" s="1" t="n">
        <v>44983</v>
      </c>
      <c r="C1816" s="1" t="n">
        <v>45353</v>
      </c>
      <c r="D1816" t="inlineStr">
        <is>
          <t>VÄSTERNORRLANDS LÄN</t>
        </is>
      </c>
      <c r="E1816" t="inlineStr">
        <is>
          <t>SOLLEFTEÅ</t>
        </is>
      </c>
      <c r="F1816" t="inlineStr">
        <is>
          <t>SCA</t>
        </is>
      </c>
      <c r="G1816" t="n">
        <v>45.9</v>
      </c>
      <c r="H1816" t="n">
        <v>0</v>
      </c>
      <c r="I1816" t="n">
        <v>0</v>
      </c>
      <c r="J1816" t="n">
        <v>0</v>
      </c>
      <c r="K1816" t="n">
        <v>0</v>
      </c>
      <c r="L1816" t="n">
        <v>0</v>
      </c>
      <c r="M1816" t="n">
        <v>0</v>
      </c>
      <c r="N1816" t="n">
        <v>0</v>
      </c>
      <c r="O1816" t="n">
        <v>0</v>
      </c>
      <c r="P1816" t="n">
        <v>0</v>
      </c>
      <c r="Q1816" t="n">
        <v>0</v>
      </c>
      <c r="R1816" s="2" t="inlineStr"/>
    </row>
    <row r="1817" ht="15" customHeight="1">
      <c r="A1817" t="inlineStr">
        <is>
          <t>A 9614-2023</t>
        </is>
      </c>
      <c r="B1817" s="1" t="n">
        <v>44983</v>
      </c>
      <c r="C1817" s="1" t="n">
        <v>45353</v>
      </c>
      <c r="D1817" t="inlineStr">
        <is>
          <t>VÄSTERNORRLANDS LÄN</t>
        </is>
      </c>
      <c r="E1817" t="inlineStr">
        <is>
          <t>SOLLEFTEÅ</t>
        </is>
      </c>
      <c r="F1817" t="inlineStr">
        <is>
          <t>SCA</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9741-2023</t>
        </is>
      </c>
      <c r="B1818" s="1" t="n">
        <v>44984</v>
      </c>
      <c r="C1818" s="1" t="n">
        <v>45353</v>
      </c>
      <c r="D1818" t="inlineStr">
        <is>
          <t>VÄSTERNORRLANDS LÄN</t>
        </is>
      </c>
      <c r="E1818" t="inlineStr">
        <is>
          <t>SOLLEFTEÅ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9829-2023</t>
        </is>
      </c>
      <c r="B1819" s="1" t="n">
        <v>44984</v>
      </c>
      <c r="C1819" s="1" t="n">
        <v>45353</v>
      </c>
      <c r="D1819" t="inlineStr">
        <is>
          <t>VÄSTERNORRLANDS LÄN</t>
        </is>
      </c>
      <c r="E1819" t="inlineStr">
        <is>
          <t>SOLLEFTEÅ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9858-2023</t>
        </is>
      </c>
      <c r="B1820" s="1" t="n">
        <v>44984</v>
      </c>
      <c r="C1820" s="1" t="n">
        <v>45353</v>
      </c>
      <c r="D1820" t="inlineStr">
        <is>
          <t>VÄSTERNORRLANDS LÄN</t>
        </is>
      </c>
      <c r="E1820" t="inlineStr">
        <is>
          <t>SOLLEFTEÅ</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9879-2023</t>
        </is>
      </c>
      <c r="B1821" s="1" t="n">
        <v>44984</v>
      </c>
      <c r="C1821" s="1" t="n">
        <v>45353</v>
      </c>
      <c r="D1821" t="inlineStr">
        <is>
          <t>VÄSTERNORRLANDS LÄN</t>
        </is>
      </c>
      <c r="E1821" t="inlineStr">
        <is>
          <t>SOLLEFTEÅ</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9871-2023</t>
        </is>
      </c>
      <c r="B1822" s="1" t="n">
        <v>44984</v>
      </c>
      <c r="C1822" s="1" t="n">
        <v>45353</v>
      </c>
      <c r="D1822" t="inlineStr">
        <is>
          <t>VÄSTERNORRLANDS LÄN</t>
        </is>
      </c>
      <c r="E1822" t="inlineStr">
        <is>
          <t>SOLLEFTEÅ</t>
        </is>
      </c>
      <c r="F1822" t="inlineStr">
        <is>
          <t>SCA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10079-2023</t>
        </is>
      </c>
      <c r="B1823" s="1" t="n">
        <v>44985</v>
      </c>
      <c r="C1823" s="1" t="n">
        <v>45353</v>
      </c>
      <c r="D1823" t="inlineStr">
        <is>
          <t>VÄSTERNORRLANDS LÄN</t>
        </is>
      </c>
      <c r="E1823" t="inlineStr">
        <is>
          <t>SOLLEFTEÅ</t>
        </is>
      </c>
      <c r="F1823" t="inlineStr">
        <is>
          <t>SCA</t>
        </is>
      </c>
      <c r="G1823" t="n">
        <v>32.7</v>
      </c>
      <c r="H1823" t="n">
        <v>0</v>
      </c>
      <c r="I1823" t="n">
        <v>0</v>
      </c>
      <c r="J1823" t="n">
        <v>0</v>
      </c>
      <c r="K1823" t="n">
        <v>0</v>
      </c>
      <c r="L1823" t="n">
        <v>0</v>
      </c>
      <c r="M1823" t="n">
        <v>0</v>
      </c>
      <c r="N1823" t="n">
        <v>0</v>
      </c>
      <c r="O1823" t="n">
        <v>0</v>
      </c>
      <c r="P1823" t="n">
        <v>0</v>
      </c>
      <c r="Q1823" t="n">
        <v>0</v>
      </c>
      <c r="R1823" s="2" t="inlineStr"/>
    </row>
    <row r="1824" ht="15" customHeight="1">
      <c r="A1824" t="inlineStr">
        <is>
          <t>A 10094-2023</t>
        </is>
      </c>
      <c r="B1824" s="1" t="n">
        <v>44985</v>
      </c>
      <c r="C1824" s="1" t="n">
        <v>45353</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10095-2023</t>
        </is>
      </c>
      <c r="B1825" s="1" t="n">
        <v>44985</v>
      </c>
      <c r="C1825" s="1" t="n">
        <v>45353</v>
      </c>
      <c r="D1825" t="inlineStr">
        <is>
          <t>VÄSTERNORRLANDS LÄN</t>
        </is>
      </c>
      <c r="E1825" t="inlineStr">
        <is>
          <t>SOLLEFTEÅ</t>
        </is>
      </c>
      <c r="F1825" t="inlineStr">
        <is>
          <t>SCA</t>
        </is>
      </c>
      <c r="G1825" t="n">
        <v>11.8</v>
      </c>
      <c r="H1825" t="n">
        <v>0</v>
      </c>
      <c r="I1825" t="n">
        <v>0</v>
      </c>
      <c r="J1825" t="n">
        <v>0</v>
      </c>
      <c r="K1825" t="n">
        <v>0</v>
      </c>
      <c r="L1825" t="n">
        <v>0</v>
      </c>
      <c r="M1825" t="n">
        <v>0</v>
      </c>
      <c r="N1825" t="n">
        <v>0</v>
      </c>
      <c r="O1825" t="n">
        <v>0</v>
      </c>
      <c r="P1825" t="n">
        <v>0</v>
      </c>
      <c r="Q1825" t="n">
        <v>0</v>
      </c>
      <c r="R1825" s="2" t="inlineStr"/>
    </row>
    <row r="1826" ht="15" customHeight="1">
      <c r="A1826" t="inlineStr">
        <is>
          <t>A 10077-2023</t>
        </is>
      </c>
      <c r="B1826" s="1" t="n">
        <v>44985</v>
      </c>
      <c r="C1826" s="1" t="n">
        <v>45353</v>
      </c>
      <c r="D1826" t="inlineStr">
        <is>
          <t>VÄSTERNORRLANDS LÄN</t>
        </is>
      </c>
      <c r="E1826" t="inlineStr">
        <is>
          <t>SOLLEFTEÅ</t>
        </is>
      </c>
      <c r="F1826" t="inlineStr">
        <is>
          <t>SCA</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10099-2023</t>
        </is>
      </c>
      <c r="B1827" s="1" t="n">
        <v>44985</v>
      </c>
      <c r="C1827" s="1" t="n">
        <v>45353</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10078-2023</t>
        </is>
      </c>
      <c r="B1828" s="1" t="n">
        <v>44985</v>
      </c>
      <c r="C1828" s="1" t="n">
        <v>45353</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10093-2023</t>
        </is>
      </c>
      <c r="B1829" s="1" t="n">
        <v>44985</v>
      </c>
      <c r="C1829" s="1" t="n">
        <v>45353</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10294-2023</t>
        </is>
      </c>
      <c r="B1830" s="1" t="n">
        <v>44986</v>
      </c>
      <c r="C1830" s="1" t="n">
        <v>45353</v>
      </c>
      <c r="D1830" t="inlineStr">
        <is>
          <t>VÄSTERNORRLANDS LÄN</t>
        </is>
      </c>
      <c r="E1830" t="inlineStr">
        <is>
          <t>SOLLEFTEÅ</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10311-2023</t>
        </is>
      </c>
      <c r="B1831" s="1" t="n">
        <v>44986</v>
      </c>
      <c r="C1831" s="1" t="n">
        <v>45353</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11094-2023</t>
        </is>
      </c>
      <c r="B1832" s="1" t="n">
        <v>44986</v>
      </c>
      <c r="C1832" s="1" t="n">
        <v>45353</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10526-2023</t>
        </is>
      </c>
      <c r="B1833" s="1" t="n">
        <v>44987</v>
      </c>
      <c r="C1833" s="1" t="n">
        <v>45353</v>
      </c>
      <c r="D1833" t="inlineStr">
        <is>
          <t>VÄSTERNORRLANDS LÄN</t>
        </is>
      </c>
      <c r="E1833" t="inlineStr">
        <is>
          <t>SOLLEFTEÅ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10541-2023</t>
        </is>
      </c>
      <c r="B1834" s="1" t="n">
        <v>44987</v>
      </c>
      <c r="C1834" s="1" t="n">
        <v>45353</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10549-2023</t>
        </is>
      </c>
      <c r="B1835" s="1" t="n">
        <v>44987</v>
      </c>
      <c r="C1835" s="1" t="n">
        <v>45353</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10777-2023</t>
        </is>
      </c>
      <c r="B1836" s="1" t="n">
        <v>44988</v>
      </c>
      <c r="C1836" s="1" t="n">
        <v>45353</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10771-2023</t>
        </is>
      </c>
      <c r="B1837" s="1" t="n">
        <v>44988</v>
      </c>
      <c r="C1837" s="1" t="n">
        <v>45353</v>
      </c>
      <c r="D1837" t="inlineStr">
        <is>
          <t>VÄSTERNORRLANDS LÄN</t>
        </is>
      </c>
      <c r="E1837" t="inlineStr">
        <is>
          <t>SOLLEFTEÅ</t>
        </is>
      </c>
      <c r="F1837" t="inlineStr">
        <is>
          <t>SCA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10783-2023</t>
        </is>
      </c>
      <c r="B1838" s="1" t="n">
        <v>44988</v>
      </c>
      <c r="C1838" s="1" t="n">
        <v>45353</v>
      </c>
      <c r="D1838" t="inlineStr">
        <is>
          <t>VÄSTERNORRLANDS LÄN</t>
        </is>
      </c>
      <c r="E1838" t="inlineStr">
        <is>
          <t>SOLLEFTEÅ</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10768-2023</t>
        </is>
      </c>
      <c r="B1839" s="1" t="n">
        <v>44988</v>
      </c>
      <c r="C1839" s="1" t="n">
        <v>45353</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10785-2023</t>
        </is>
      </c>
      <c r="B1840" s="1" t="n">
        <v>44988</v>
      </c>
      <c r="C1840" s="1" t="n">
        <v>45353</v>
      </c>
      <c r="D1840" t="inlineStr">
        <is>
          <t>VÄSTERNORRLANDS LÄN</t>
        </is>
      </c>
      <c r="E1840" t="inlineStr">
        <is>
          <t>SOLLEFTEÅ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11038-2023</t>
        </is>
      </c>
      <c r="B1841" s="1" t="n">
        <v>44991</v>
      </c>
      <c r="C1841" s="1" t="n">
        <v>45353</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11052-2023</t>
        </is>
      </c>
      <c r="B1842" s="1" t="n">
        <v>44991</v>
      </c>
      <c r="C1842" s="1" t="n">
        <v>45353</v>
      </c>
      <c r="D1842" t="inlineStr">
        <is>
          <t>VÄSTERNORRLANDS LÄN</t>
        </is>
      </c>
      <c r="E1842" t="inlineStr">
        <is>
          <t>SOLLEFTEÅ</t>
        </is>
      </c>
      <c r="F1842" t="inlineStr">
        <is>
          <t>SCA</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11039-2023</t>
        </is>
      </c>
      <c r="B1843" s="1" t="n">
        <v>44991</v>
      </c>
      <c r="C1843" s="1" t="n">
        <v>45353</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11301-2023</t>
        </is>
      </c>
      <c r="B1844" s="1" t="n">
        <v>44993</v>
      </c>
      <c r="C1844" s="1" t="n">
        <v>45353</v>
      </c>
      <c r="D1844" t="inlineStr">
        <is>
          <t>VÄSTERNORRLANDS LÄN</t>
        </is>
      </c>
      <c r="E1844" t="inlineStr">
        <is>
          <t>SOLLEFTEÅ</t>
        </is>
      </c>
      <c r="F1844" t="inlineStr">
        <is>
          <t>SCA</t>
        </is>
      </c>
      <c r="G1844" t="n">
        <v>19.9</v>
      </c>
      <c r="H1844" t="n">
        <v>0</v>
      </c>
      <c r="I1844" t="n">
        <v>0</v>
      </c>
      <c r="J1844" t="n">
        <v>0</v>
      </c>
      <c r="K1844" t="n">
        <v>0</v>
      </c>
      <c r="L1844" t="n">
        <v>0</v>
      </c>
      <c r="M1844" t="n">
        <v>0</v>
      </c>
      <c r="N1844" t="n">
        <v>0</v>
      </c>
      <c r="O1844" t="n">
        <v>0</v>
      </c>
      <c r="P1844" t="n">
        <v>0</v>
      </c>
      <c r="Q1844" t="n">
        <v>0</v>
      </c>
      <c r="R1844" s="2" t="inlineStr"/>
    </row>
    <row r="1845" ht="15" customHeight="1">
      <c r="A1845" t="inlineStr">
        <is>
          <t>A 11306-2023</t>
        </is>
      </c>
      <c r="B1845" s="1" t="n">
        <v>44993</v>
      </c>
      <c r="C1845" s="1" t="n">
        <v>45353</v>
      </c>
      <c r="D1845" t="inlineStr">
        <is>
          <t>VÄSTERNORRLANDS LÄN</t>
        </is>
      </c>
      <c r="E1845" t="inlineStr">
        <is>
          <t>SOLLEFTEÅ</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11551-2023</t>
        </is>
      </c>
      <c r="B1846" s="1" t="n">
        <v>44993</v>
      </c>
      <c r="C1846" s="1" t="n">
        <v>45353</v>
      </c>
      <c r="D1846" t="inlineStr">
        <is>
          <t>VÄSTERNORRLANDS LÄN</t>
        </is>
      </c>
      <c r="E1846" t="inlineStr">
        <is>
          <t>SOLLEFTEÅ</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11555-2023</t>
        </is>
      </c>
      <c r="B1847" s="1" t="n">
        <v>44993</v>
      </c>
      <c r="C1847" s="1" t="n">
        <v>45353</v>
      </c>
      <c r="D1847" t="inlineStr">
        <is>
          <t>VÄSTERNORRLANDS LÄN</t>
        </is>
      </c>
      <c r="E1847" t="inlineStr">
        <is>
          <t>SOLLEFTEÅ</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11554-2023</t>
        </is>
      </c>
      <c r="B1848" s="1" t="n">
        <v>44993</v>
      </c>
      <c r="C1848" s="1" t="n">
        <v>45353</v>
      </c>
      <c r="D1848" t="inlineStr">
        <is>
          <t>VÄSTERNORRLANDS LÄN</t>
        </is>
      </c>
      <c r="E1848" t="inlineStr">
        <is>
          <t>SOLLEFTEÅ</t>
        </is>
      </c>
      <c r="F1848" t="inlineStr">
        <is>
          <t>SCA</t>
        </is>
      </c>
      <c r="G1848" t="n">
        <v>23.1</v>
      </c>
      <c r="H1848" t="n">
        <v>0</v>
      </c>
      <c r="I1848" t="n">
        <v>0</v>
      </c>
      <c r="J1848" t="n">
        <v>0</v>
      </c>
      <c r="K1848" t="n">
        <v>0</v>
      </c>
      <c r="L1848" t="n">
        <v>0</v>
      </c>
      <c r="M1848" t="n">
        <v>0</v>
      </c>
      <c r="N1848" t="n">
        <v>0</v>
      </c>
      <c r="O1848" t="n">
        <v>0</v>
      </c>
      <c r="P1848" t="n">
        <v>0</v>
      </c>
      <c r="Q1848" t="n">
        <v>0</v>
      </c>
      <c r="R1848" s="2" t="inlineStr"/>
    </row>
    <row r="1849" ht="15" customHeight="1">
      <c r="A1849" t="inlineStr">
        <is>
          <t>A 11831-2023</t>
        </is>
      </c>
      <c r="B1849" s="1" t="n">
        <v>44994</v>
      </c>
      <c r="C1849" s="1" t="n">
        <v>45353</v>
      </c>
      <c r="D1849" t="inlineStr">
        <is>
          <t>VÄSTERNORRLANDS LÄN</t>
        </is>
      </c>
      <c r="E1849" t="inlineStr">
        <is>
          <t>SOLLEFTEÅ</t>
        </is>
      </c>
      <c r="F1849" t="inlineStr">
        <is>
          <t>SCA</t>
        </is>
      </c>
      <c r="G1849" t="n">
        <v>14.8</v>
      </c>
      <c r="H1849" t="n">
        <v>0</v>
      </c>
      <c r="I1849" t="n">
        <v>0</v>
      </c>
      <c r="J1849" t="n">
        <v>0</v>
      </c>
      <c r="K1849" t="n">
        <v>0</v>
      </c>
      <c r="L1849" t="n">
        <v>0</v>
      </c>
      <c r="M1849" t="n">
        <v>0</v>
      </c>
      <c r="N1849" t="n">
        <v>0</v>
      </c>
      <c r="O1849" t="n">
        <v>0</v>
      </c>
      <c r="P1849" t="n">
        <v>0</v>
      </c>
      <c r="Q1849" t="n">
        <v>0</v>
      </c>
      <c r="R1849" s="2" t="inlineStr"/>
    </row>
    <row r="1850" ht="15" customHeight="1">
      <c r="A1850" t="inlineStr">
        <is>
          <t>A 12107-2023</t>
        </is>
      </c>
      <c r="B1850" s="1" t="n">
        <v>44995</v>
      </c>
      <c r="C1850" s="1" t="n">
        <v>45353</v>
      </c>
      <c r="D1850" t="inlineStr">
        <is>
          <t>VÄSTERNORRLANDS LÄN</t>
        </is>
      </c>
      <c r="E1850" t="inlineStr">
        <is>
          <t>SOLLEFTEÅ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12135-2023</t>
        </is>
      </c>
      <c r="B1851" s="1" t="n">
        <v>44995</v>
      </c>
      <c r="C1851" s="1" t="n">
        <v>45353</v>
      </c>
      <c r="D1851" t="inlineStr">
        <is>
          <t>VÄSTERNORRLANDS LÄN</t>
        </is>
      </c>
      <c r="E1851" t="inlineStr">
        <is>
          <t>SOLLEFTEÅ</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12038-2023</t>
        </is>
      </c>
      <c r="B1852" s="1" t="n">
        <v>44996</v>
      </c>
      <c r="C1852" s="1" t="n">
        <v>45353</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12053-2023</t>
        </is>
      </c>
      <c r="B1853" s="1" t="n">
        <v>44996</v>
      </c>
      <c r="C1853" s="1" t="n">
        <v>45353</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12129-2023</t>
        </is>
      </c>
      <c r="B1854" s="1" t="n">
        <v>44995</v>
      </c>
      <c r="C1854" s="1" t="n">
        <v>45353</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12164-2023</t>
        </is>
      </c>
      <c r="B1855" s="1" t="n">
        <v>44995</v>
      </c>
      <c r="C1855" s="1" t="n">
        <v>45353</v>
      </c>
      <c r="D1855" t="inlineStr">
        <is>
          <t>VÄSTERNORRLANDS LÄN</t>
        </is>
      </c>
      <c r="E1855" t="inlineStr">
        <is>
          <t>SOLLEFTEÅ</t>
        </is>
      </c>
      <c r="G1855" t="n">
        <v>18.3</v>
      </c>
      <c r="H1855" t="n">
        <v>0</v>
      </c>
      <c r="I1855" t="n">
        <v>0</v>
      </c>
      <c r="J1855" t="n">
        <v>0</v>
      </c>
      <c r="K1855" t="n">
        <v>0</v>
      </c>
      <c r="L1855" t="n">
        <v>0</v>
      </c>
      <c r="M1855" t="n">
        <v>0</v>
      </c>
      <c r="N1855" t="n">
        <v>0</v>
      </c>
      <c r="O1855" t="n">
        <v>0</v>
      </c>
      <c r="P1855" t="n">
        <v>0</v>
      </c>
      <c r="Q1855" t="n">
        <v>0</v>
      </c>
      <c r="R1855" s="2" t="inlineStr"/>
    </row>
    <row r="1856" ht="15" customHeight="1">
      <c r="A1856" t="inlineStr">
        <is>
          <t>A 12311-2023</t>
        </is>
      </c>
      <c r="B1856" s="1" t="n">
        <v>44995</v>
      </c>
      <c r="C1856" s="1" t="n">
        <v>45353</v>
      </c>
      <c r="D1856" t="inlineStr">
        <is>
          <t>VÄSTERNORRLANDS LÄN</t>
        </is>
      </c>
      <c r="E1856" t="inlineStr">
        <is>
          <t>SOLLEFTEÅ</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12054-2023</t>
        </is>
      </c>
      <c r="B1857" s="1" t="n">
        <v>44996</v>
      </c>
      <c r="C1857" s="1" t="n">
        <v>45353</v>
      </c>
      <c r="D1857" t="inlineStr">
        <is>
          <t>VÄSTERNORRLANDS LÄN</t>
        </is>
      </c>
      <c r="E1857" t="inlineStr">
        <is>
          <t>SOLLEFTEÅ</t>
        </is>
      </c>
      <c r="F1857" t="inlineStr">
        <is>
          <t>SCA</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12045-2023</t>
        </is>
      </c>
      <c r="B1858" s="1" t="n">
        <v>44996</v>
      </c>
      <c r="C1858" s="1" t="n">
        <v>45353</v>
      </c>
      <c r="D1858" t="inlineStr">
        <is>
          <t>VÄSTERNORRLANDS LÄN</t>
        </is>
      </c>
      <c r="E1858" t="inlineStr">
        <is>
          <t>SOLLEFTEÅ</t>
        </is>
      </c>
      <c r="F1858" t="inlineStr">
        <is>
          <t>SCA</t>
        </is>
      </c>
      <c r="G1858" t="n">
        <v>16.4</v>
      </c>
      <c r="H1858" t="n">
        <v>0</v>
      </c>
      <c r="I1858" t="n">
        <v>0</v>
      </c>
      <c r="J1858" t="n">
        <v>0</v>
      </c>
      <c r="K1858" t="n">
        <v>0</v>
      </c>
      <c r="L1858" t="n">
        <v>0</v>
      </c>
      <c r="M1858" t="n">
        <v>0</v>
      </c>
      <c r="N1858" t="n">
        <v>0</v>
      </c>
      <c r="O1858" t="n">
        <v>0</v>
      </c>
      <c r="P1858" t="n">
        <v>0</v>
      </c>
      <c r="Q1858" t="n">
        <v>0</v>
      </c>
      <c r="R1858" s="2" t="inlineStr"/>
    </row>
    <row r="1859" ht="15" customHeight="1">
      <c r="A1859" t="inlineStr">
        <is>
          <t>A 12429-2023</t>
        </is>
      </c>
      <c r="B1859" s="1" t="n">
        <v>44998</v>
      </c>
      <c r="C1859" s="1" t="n">
        <v>45353</v>
      </c>
      <c r="D1859" t="inlineStr">
        <is>
          <t>VÄSTERNORRLANDS LÄN</t>
        </is>
      </c>
      <c r="E1859" t="inlineStr">
        <is>
          <t>SOLLEFTEÅ</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12515-2023</t>
        </is>
      </c>
      <c r="B1860" s="1" t="n">
        <v>45000</v>
      </c>
      <c r="C1860" s="1" t="n">
        <v>45353</v>
      </c>
      <c r="D1860" t="inlineStr">
        <is>
          <t>VÄSTERNORRLANDS LÄN</t>
        </is>
      </c>
      <c r="E1860" t="inlineStr">
        <is>
          <t>SOLLEFTEÅ</t>
        </is>
      </c>
      <c r="F1860" t="inlineStr">
        <is>
          <t>SCA</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12726-2023</t>
        </is>
      </c>
      <c r="B1861" s="1" t="n">
        <v>45000</v>
      </c>
      <c r="C1861" s="1" t="n">
        <v>45353</v>
      </c>
      <c r="D1861" t="inlineStr">
        <is>
          <t>VÄSTERNORRLANDS LÄN</t>
        </is>
      </c>
      <c r="E1861" t="inlineStr">
        <is>
          <t>SOLLEFTEÅ</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12512-2023</t>
        </is>
      </c>
      <c r="B1862" s="1" t="n">
        <v>45000</v>
      </c>
      <c r="C1862" s="1" t="n">
        <v>45353</v>
      </c>
      <c r="D1862" t="inlineStr">
        <is>
          <t>VÄSTERNORRLANDS LÄN</t>
        </is>
      </c>
      <c r="E1862" t="inlineStr">
        <is>
          <t>SOLLEFTEÅ</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12536-2023</t>
        </is>
      </c>
      <c r="B1863" s="1" t="n">
        <v>45000</v>
      </c>
      <c r="C1863" s="1" t="n">
        <v>45353</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12540-2023</t>
        </is>
      </c>
      <c r="B1864" s="1" t="n">
        <v>45000</v>
      </c>
      <c r="C1864" s="1" t="n">
        <v>45353</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12730-2023</t>
        </is>
      </c>
      <c r="B1865" s="1" t="n">
        <v>45000</v>
      </c>
      <c r="C1865" s="1" t="n">
        <v>45353</v>
      </c>
      <c r="D1865" t="inlineStr">
        <is>
          <t>VÄSTERNORRLANDS LÄN</t>
        </is>
      </c>
      <c r="E1865" t="inlineStr">
        <is>
          <t>SOLLEFTEÅ</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12735-2023</t>
        </is>
      </c>
      <c r="B1866" s="1" t="n">
        <v>45000</v>
      </c>
      <c r="C1866" s="1" t="n">
        <v>45353</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12539-2023</t>
        </is>
      </c>
      <c r="B1867" s="1" t="n">
        <v>45000</v>
      </c>
      <c r="C1867" s="1" t="n">
        <v>45353</v>
      </c>
      <c r="D1867" t="inlineStr">
        <is>
          <t>VÄSTERNORRLANDS LÄN</t>
        </is>
      </c>
      <c r="E1867" t="inlineStr">
        <is>
          <t>SOLLEFTEÅ</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12727-2023</t>
        </is>
      </c>
      <c r="B1868" s="1" t="n">
        <v>45000</v>
      </c>
      <c r="C1868" s="1" t="n">
        <v>45353</v>
      </c>
      <c r="D1868" t="inlineStr">
        <is>
          <t>VÄSTERNORRLANDS LÄN</t>
        </is>
      </c>
      <c r="E1868" t="inlineStr">
        <is>
          <t>SOLLEFTEÅ</t>
        </is>
      </c>
      <c r="G1868" t="n">
        <v>15.7</v>
      </c>
      <c r="H1868" t="n">
        <v>0</v>
      </c>
      <c r="I1868" t="n">
        <v>0</v>
      </c>
      <c r="J1868" t="n">
        <v>0</v>
      </c>
      <c r="K1868" t="n">
        <v>0</v>
      </c>
      <c r="L1868" t="n">
        <v>0</v>
      </c>
      <c r="M1868" t="n">
        <v>0</v>
      </c>
      <c r="N1868" t="n">
        <v>0</v>
      </c>
      <c r="O1868" t="n">
        <v>0</v>
      </c>
      <c r="P1868" t="n">
        <v>0</v>
      </c>
      <c r="Q1868" t="n">
        <v>0</v>
      </c>
      <c r="R1868" s="2" t="inlineStr"/>
    </row>
    <row r="1869" ht="15" customHeight="1">
      <c r="A1869" t="inlineStr">
        <is>
          <t>A 12733-2023</t>
        </is>
      </c>
      <c r="B1869" s="1" t="n">
        <v>45000</v>
      </c>
      <c r="C1869" s="1" t="n">
        <v>45353</v>
      </c>
      <c r="D1869" t="inlineStr">
        <is>
          <t>VÄSTERNORRLANDS LÄN</t>
        </is>
      </c>
      <c r="E1869" t="inlineStr">
        <is>
          <t>SOLLEFTEÅ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12747-2023</t>
        </is>
      </c>
      <c r="B1870" s="1" t="n">
        <v>45000</v>
      </c>
      <c r="C1870" s="1" t="n">
        <v>45353</v>
      </c>
      <c r="D1870" t="inlineStr">
        <is>
          <t>VÄSTERNORRLANDS LÄN</t>
        </is>
      </c>
      <c r="E1870" t="inlineStr">
        <is>
          <t>SOLLEFTEÅ</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12734-2023</t>
        </is>
      </c>
      <c r="B1871" s="1" t="n">
        <v>45000</v>
      </c>
      <c r="C1871" s="1" t="n">
        <v>45353</v>
      </c>
      <c r="D1871" t="inlineStr">
        <is>
          <t>VÄSTERNORRLANDS LÄN</t>
        </is>
      </c>
      <c r="E1871" t="inlineStr">
        <is>
          <t>SOLLEFTEÅ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12752-2023</t>
        </is>
      </c>
      <c r="B1872" s="1" t="n">
        <v>45000</v>
      </c>
      <c r="C1872" s="1" t="n">
        <v>45353</v>
      </c>
      <c r="D1872" t="inlineStr">
        <is>
          <t>VÄSTERNORRLANDS LÄN</t>
        </is>
      </c>
      <c r="E1872" t="inlineStr">
        <is>
          <t>SOLLEFTEÅ</t>
        </is>
      </c>
      <c r="F1872" t="inlineStr">
        <is>
          <t>SCA</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12746-2023</t>
        </is>
      </c>
      <c r="B1873" s="1" t="n">
        <v>45000</v>
      </c>
      <c r="C1873" s="1" t="n">
        <v>45353</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12755-2023</t>
        </is>
      </c>
      <c r="B1874" s="1" t="n">
        <v>45000</v>
      </c>
      <c r="C1874" s="1" t="n">
        <v>45353</v>
      </c>
      <c r="D1874" t="inlineStr">
        <is>
          <t>VÄSTERNORRLANDS LÄN</t>
        </is>
      </c>
      <c r="E1874" t="inlineStr">
        <is>
          <t>SOLLEFTEÅ</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12820-2023</t>
        </is>
      </c>
      <c r="B1875" s="1" t="n">
        <v>45000</v>
      </c>
      <c r="C1875" s="1" t="n">
        <v>45353</v>
      </c>
      <c r="D1875" t="inlineStr">
        <is>
          <t>VÄSTERNORRLANDS LÄN</t>
        </is>
      </c>
      <c r="E1875" t="inlineStr">
        <is>
          <t>SOLLEFTEÅ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12972-2023</t>
        </is>
      </c>
      <c r="B1876" s="1" t="n">
        <v>45001</v>
      </c>
      <c r="C1876" s="1" t="n">
        <v>45353</v>
      </c>
      <c r="D1876" t="inlineStr">
        <is>
          <t>VÄSTERNORRLANDS LÄN</t>
        </is>
      </c>
      <c r="E1876" t="inlineStr">
        <is>
          <t>SOLLEFTEÅ</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13066-2023</t>
        </is>
      </c>
      <c r="B1877" s="1" t="n">
        <v>45001</v>
      </c>
      <c r="C1877" s="1" t="n">
        <v>45353</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13050-2023</t>
        </is>
      </c>
      <c r="B1878" s="1" t="n">
        <v>45001</v>
      </c>
      <c r="C1878" s="1" t="n">
        <v>45353</v>
      </c>
      <c r="D1878" t="inlineStr">
        <is>
          <t>VÄSTERNORRLANDS LÄN</t>
        </is>
      </c>
      <c r="E1878" t="inlineStr">
        <is>
          <t>SOLLEFTEÅ</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12996-2023</t>
        </is>
      </c>
      <c r="B1879" s="1" t="n">
        <v>45002</v>
      </c>
      <c r="C1879" s="1" t="n">
        <v>45353</v>
      </c>
      <c r="D1879" t="inlineStr">
        <is>
          <t>VÄSTERNORRLANDS LÄN</t>
        </is>
      </c>
      <c r="E1879" t="inlineStr">
        <is>
          <t>SOLLEFTEÅ</t>
        </is>
      </c>
      <c r="F1879" t="inlineStr">
        <is>
          <t>SCA</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13009-2023</t>
        </is>
      </c>
      <c r="B1880" s="1" t="n">
        <v>45002</v>
      </c>
      <c r="C1880" s="1" t="n">
        <v>45353</v>
      </c>
      <c r="D1880" t="inlineStr">
        <is>
          <t>VÄSTERNORRLANDS LÄN</t>
        </is>
      </c>
      <c r="E1880" t="inlineStr">
        <is>
          <t>SOLLEFTEÅ</t>
        </is>
      </c>
      <c r="F1880" t="inlineStr">
        <is>
          <t>SCA</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13006-2023</t>
        </is>
      </c>
      <c r="B1881" s="1" t="n">
        <v>45002</v>
      </c>
      <c r="C1881" s="1" t="n">
        <v>45353</v>
      </c>
      <c r="D1881" t="inlineStr">
        <is>
          <t>VÄSTERNORRLANDS LÄN</t>
        </is>
      </c>
      <c r="E1881" t="inlineStr">
        <is>
          <t>SOLLEFTEÅ</t>
        </is>
      </c>
      <c r="F1881" t="inlineStr">
        <is>
          <t>SCA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12983-2023</t>
        </is>
      </c>
      <c r="B1882" s="1" t="n">
        <v>45002</v>
      </c>
      <c r="C1882" s="1" t="n">
        <v>45353</v>
      </c>
      <c r="D1882" t="inlineStr">
        <is>
          <t>VÄSTERNORRLANDS LÄN</t>
        </is>
      </c>
      <c r="E1882" t="inlineStr">
        <is>
          <t>SOLLEFTEÅ</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13008-2023</t>
        </is>
      </c>
      <c r="B1883" s="1" t="n">
        <v>45002</v>
      </c>
      <c r="C1883" s="1" t="n">
        <v>45353</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13007-2023</t>
        </is>
      </c>
      <c r="B1884" s="1" t="n">
        <v>45002</v>
      </c>
      <c r="C1884" s="1" t="n">
        <v>45353</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13252-2023</t>
        </is>
      </c>
      <c r="B1885" s="1" t="n">
        <v>45002</v>
      </c>
      <c r="C1885" s="1" t="n">
        <v>45353</v>
      </c>
      <c r="D1885" t="inlineStr">
        <is>
          <t>VÄSTERNORRLANDS LÄN</t>
        </is>
      </c>
      <c r="E1885" t="inlineStr">
        <is>
          <t>SOLLEFTEÅ</t>
        </is>
      </c>
      <c r="F1885" t="inlineStr">
        <is>
          <t>SCA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13264-2023</t>
        </is>
      </c>
      <c r="B1886" s="1" t="n">
        <v>45002</v>
      </c>
      <c r="C1886" s="1" t="n">
        <v>45353</v>
      </c>
      <c r="D1886" t="inlineStr">
        <is>
          <t>VÄSTERNORRLANDS LÄN</t>
        </is>
      </c>
      <c r="E1886" t="inlineStr">
        <is>
          <t>SOLLEFTEÅ</t>
        </is>
      </c>
      <c r="F1886" t="inlineStr">
        <is>
          <t>SCA</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13292-2023</t>
        </is>
      </c>
      <c r="B1887" s="1" t="n">
        <v>45004</v>
      </c>
      <c r="C1887" s="1" t="n">
        <v>45353</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13489-2023</t>
        </is>
      </c>
      <c r="B1888" s="1" t="n">
        <v>45005</v>
      </c>
      <c r="C1888" s="1" t="n">
        <v>45353</v>
      </c>
      <c r="D1888" t="inlineStr">
        <is>
          <t>VÄSTERNORRLANDS LÄN</t>
        </is>
      </c>
      <c r="E1888" t="inlineStr">
        <is>
          <t>SOLLEFTEÅ</t>
        </is>
      </c>
      <c r="F1888" t="inlineStr">
        <is>
          <t>SCA</t>
        </is>
      </c>
      <c r="G1888" t="n">
        <v>26.3</v>
      </c>
      <c r="H1888" t="n">
        <v>0</v>
      </c>
      <c r="I1888" t="n">
        <v>0</v>
      </c>
      <c r="J1888" t="n">
        <v>0</v>
      </c>
      <c r="K1888" t="n">
        <v>0</v>
      </c>
      <c r="L1888" t="n">
        <v>0</v>
      </c>
      <c r="M1888" t="n">
        <v>0</v>
      </c>
      <c r="N1888" t="n">
        <v>0</v>
      </c>
      <c r="O1888" t="n">
        <v>0</v>
      </c>
      <c r="P1888" t="n">
        <v>0</v>
      </c>
      <c r="Q1888" t="n">
        <v>0</v>
      </c>
      <c r="R1888" s="2" t="inlineStr"/>
    </row>
    <row r="1889" ht="15" customHeight="1">
      <c r="A1889" t="inlineStr">
        <is>
          <t>A 13487-2023</t>
        </is>
      </c>
      <c r="B1889" s="1" t="n">
        <v>45005</v>
      </c>
      <c r="C1889" s="1" t="n">
        <v>45353</v>
      </c>
      <c r="D1889" t="inlineStr">
        <is>
          <t>VÄSTERNORRLANDS LÄN</t>
        </is>
      </c>
      <c r="E1889" t="inlineStr">
        <is>
          <t>SOLLEFTEÅ</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13521-2023</t>
        </is>
      </c>
      <c r="B1890" s="1" t="n">
        <v>45005</v>
      </c>
      <c r="C1890" s="1" t="n">
        <v>45353</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13567-2023</t>
        </is>
      </c>
      <c r="B1891" s="1" t="n">
        <v>45005</v>
      </c>
      <c r="C1891" s="1" t="n">
        <v>45353</v>
      </c>
      <c r="D1891" t="inlineStr">
        <is>
          <t>VÄSTERNORRLANDS LÄN</t>
        </is>
      </c>
      <c r="E1891" t="inlineStr">
        <is>
          <t>SOLLEFTEÅ</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13570-2023</t>
        </is>
      </c>
      <c r="B1892" s="1" t="n">
        <v>45005</v>
      </c>
      <c r="C1892" s="1" t="n">
        <v>45353</v>
      </c>
      <c r="D1892" t="inlineStr">
        <is>
          <t>VÄSTERNORRLANDS LÄN</t>
        </is>
      </c>
      <c r="E1892" t="inlineStr">
        <is>
          <t>SOLLEFTEÅ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13499-2023</t>
        </is>
      </c>
      <c r="B1893" s="1" t="n">
        <v>45005</v>
      </c>
      <c r="C1893" s="1" t="n">
        <v>45353</v>
      </c>
      <c r="D1893" t="inlineStr">
        <is>
          <t>VÄSTERNORRLANDS LÄN</t>
        </is>
      </c>
      <c r="E1893" t="inlineStr">
        <is>
          <t>SOLLEFTEÅ</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13565-2023</t>
        </is>
      </c>
      <c r="B1894" s="1" t="n">
        <v>45005</v>
      </c>
      <c r="C1894" s="1" t="n">
        <v>45353</v>
      </c>
      <c r="D1894" t="inlineStr">
        <is>
          <t>VÄSTERNORRLANDS LÄN</t>
        </is>
      </c>
      <c r="E1894" t="inlineStr">
        <is>
          <t>SOLLEFTEÅ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13689-2023</t>
        </is>
      </c>
      <c r="B1895" s="1" t="n">
        <v>45006</v>
      </c>
      <c r="C1895" s="1" t="n">
        <v>45353</v>
      </c>
      <c r="D1895" t="inlineStr">
        <is>
          <t>VÄSTERNORRLANDS LÄN</t>
        </is>
      </c>
      <c r="E1895" t="inlineStr">
        <is>
          <t>SOLLEFTEÅ</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13695-2023</t>
        </is>
      </c>
      <c r="B1896" s="1" t="n">
        <v>45006</v>
      </c>
      <c r="C1896" s="1" t="n">
        <v>45353</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13697-2023</t>
        </is>
      </c>
      <c r="B1897" s="1" t="n">
        <v>45006</v>
      </c>
      <c r="C1897" s="1" t="n">
        <v>45353</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14109-2023</t>
        </is>
      </c>
      <c r="B1898" s="1" t="n">
        <v>45008</v>
      </c>
      <c r="C1898" s="1" t="n">
        <v>45353</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14134-2023</t>
        </is>
      </c>
      <c r="B1899" s="1" t="n">
        <v>45008</v>
      </c>
      <c r="C1899" s="1" t="n">
        <v>45353</v>
      </c>
      <c r="D1899" t="inlineStr">
        <is>
          <t>VÄSTERNORRLANDS LÄN</t>
        </is>
      </c>
      <c r="E1899" t="inlineStr">
        <is>
          <t>SOLLEFTEÅ</t>
        </is>
      </c>
      <c r="F1899" t="inlineStr">
        <is>
          <t>Övriga Aktiebolag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14718-2023</t>
        </is>
      </c>
      <c r="B1900" s="1" t="n">
        <v>45012</v>
      </c>
      <c r="C1900" s="1" t="n">
        <v>45353</v>
      </c>
      <c r="D1900" t="inlineStr">
        <is>
          <t>VÄSTERNORRLANDS LÄN</t>
        </is>
      </c>
      <c r="E1900" t="inlineStr">
        <is>
          <t>SOLLEFTEÅ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14675-2023</t>
        </is>
      </c>
      <c r="B1901" s="1" t="n">
        <v>45014</v>
      </c>
      <c r="C1901" s="1" t="n">
        <v>45353</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14668-2023</t>
        </is>
      </c>
      <c r="B1902" s="1" t="n">
        <v>45014</v>
      </c>
      <c r="C1902" s="1" t="n">
        <v>45353</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14674-2023</t>
        </is>
      </c>
      <c r="B1903" s="1" t="n">
        <v>45013</v>
      </c>
      <c r="C1903" s="1" t="n">
        <v>45353</v>
      </c>
      <c r="D1903" t="inlineStr">
        <is>
          <t>VÄSTERNORRLANDS LÄN</t>
        </is>
      </c>
      <c r="E1903" t="inlineStr">
        <is>
          <t>SOLLEFTEÅ</t>
        </is>
      </c>
      <c r="F1903" t="inlineStr">
        <is>
          <t>Övriga statliga verk och myndigheter</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14937-2023</t>
        </is>
      </c>
      <c r="B1904" s="1" t="n">
        <v>45014</v>
      </c>
      <c r="C1904" s="1" t="n">
        <v>45353</v>
      </c>
      <c r="D1904" t="inlineStr">
        <is>
          <t>VÄSTERNORRLANDS LÄN</t>
        </is>
      </c>
      <c r="E1904" t="inlineStr">
        <is>
          <t>SOLLEFTEÅ</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14859-2023</t>
        </is>
      </c>
      <c r="B1905" s="1" t="n">
        <v>45015</v>
      </c>
      <c r="C1905" s="1" t="n">
        <v>45353</v>
      </c>
      <c r="D1905" t="inlineStr">
        <is>
          <t>VÄSTERNORRLANDS LÄN</t>
        </is>
      </c>
      <c r="E1905" t="inlineStr">
        <is>
          <t>SOLLEFTEÅ</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14875-2023</t>
        </is>
      </c>
      <c r="B1906" s="1" t="n">
        <v>45015</v>
      </c>
      <c r="C1906" s="1" t="n">
        <v>45353</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15080-2023</t>
        </is>
      </c>
      <c r="B1907" s="1" t="n">
        <v>45016</v>
      </c>
      <c r="C1907" s="1" t="n">
        <v>45353</v>
      </c>
      <c r="D1907" t="inlineStr">
        <is>
          <t>VÄSTERNORRLANDS LÄN</t>
        </is>
      </c>
      <c r="E1907" t="inlineStr">
        <is>
          <t>SOLLEFTEÅ</t>
        </is>
      </c>
      <c r="F1907" t="inlineStr">
        <is>
          <t>SCA</t>
        </is>
      </c>
      <c r="G1907" t="n">
        <v>33.6</v>
      </c>
      <c r="H1907" t="n">
        <v>0</v>
      </c>
      <c r="I1907" t="n">
        <v>0</v>
      </c>
      <c r="J1907" t="n">
        <v>0</v>
      </c>
      <c r="K1907" t="n">
        <v>0</v>
      </c>
      <c r="L1907" t="n">
        <v>0</v>
      </c>
      <c r="M1907" t="n">
        <v>0</v>
      </c>
      <c r="N1907" t="n">
        <v>0</v>
      </c>
      <c r="O1907" t="n">
        <v>0</v>
      </c>
      <c r="P1907" t="n">
        <v>0</v>
      </c>
      <c r="Q1907" t="n">
        <v>0</v>
      </c>
      <c r="R1907" s="2" t="inlineStr"/>
    </row>
    <row r="1908" ht="15" customHeight="1">
      <c r="A1908" t="inlineStr">
        <is>
          <t>A 15632-2023</t>
        </is>
      </c>
      <c r="B1908" s="1" t="n">
        <v>45019</v>
      </c>
      <c r="C1908" s="1" t="n">
        <v>45353</v>
      </c>
      <c r="D1908" t="inlineStr">
        <is>
          <t>VÄSTERNORRLANDS LÄN</t>
        </is>
      </c>
      <c r="E1908" t="inlineStr">
        <is>
          <t>SOLLEFTEÅ</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15723-2023</t>
        </is>
      </c>
      <c r="B1909" s="1" t="n">
        <v>45020</v>
      </c>
      <c r="C1909" s="1" t="n">
        <v>45353</v>
      </c>
      <c r="D1909" t="inlineStr">
        <is>
          <t>VÄSTERNORRLANDS LÄN</t>
        </is>
      </c>
      <c r="E1909" t="inlineStr">
        <is>
          <t>SOLLEFTEÅ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15978-2023</t>
        </is>
      </c>
      <c r="B1910" s="1" t="n">
        <v>45023</v>
      </c>
      <c r="C1910" s="1" t="n">
        <v>45353</v>
      </c>
      <c r="D1910" t="inlineStr">
        <is>
          <t>VÄSTERNORRLANDS LÄN</t>
        </is>
      </c>
      <c r="E1910" t="inlineStr">
        <is>
          <t>SOLLEFTEÅ</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15987-2023</t>
        </is>
      </c>
      <c r="B1911" s="1" t="n">
        <v>45023</v>
      </c>
      <c r="C1911" s="1" t="n">
        <v>45353</v>
      </c>
      <c r="D1911" t="inlineStr">
        <is>
          <t>VÄSTERNORRLANDS LÄN</t>
        </is>
      </c>
      <c r="E1911" t="inlineStr">
        <is>
          <t>SOLLEFTEÅ</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15998-2023</t>
        </is>
      </c>
      <c r="B1912" s="1" t="n">
        <v>45024</v>
      </c>
      <c r="C1912" s="1" t="n">
        <v>45353</v>
      </c>
      <c r="D1912" t="inlineStr">
        <is>
          <t>VÄSTERNORRLANDS LÄN</t>
        </is>
      </c>
      <c r="E1912" t="inlineStr">
        <is>
          <t>SOLLEFTEÅ</t>
        </is>
      </c>
      <c r="F1912" t="inlineStr">
        <is>
          <t>SCA</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16189-2023</t>
        </is>
      </c>
      <c r="B1913" s="1" t="n">
        <v>45028</v>
      </c>
      <c r="C1913" s="1" t="n">
        <v>45353</v>
      </c>
      <c r="D1913" t="inlineStr">
        <is>
          <t>VÄSTERNORRLANDS LÄN</t>
        </is>
      </c>
      <c r="E1913" t="inlineStr">
        <is>
          <t>SOLLEFTEÅ</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16190-2023</t>
        </is>
      </c>
      <c r="B1914" s="1" t="n">
        <v>45028</v>
      </c>
      <c r="C1914" s="1" t="n">
        <v>45353</v>
      </c>
      <c r="D1914" t="inlineStr">
        <is>
          <t>VÄSTERNORRLANDS LÄN</t>
        </is>
      </c>
      <c r="E1914" t="inlineStr">
        <is>
          <t>SOLLEFTEÅ</t>
        </is>
      </c>
      <c r="F1914" t="inlineStr">
        <is>
          <t>SCA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16196-2023</t>
        </is>
      </c>
      <c r="B1915" s="1" t="n">
        <v>45028</v>
      </c>
      <c r="C1915" s="1" t="n">
        <v>45353</v>
      </c>
      <c r="D1915" t="inlineStr">
        <is>
          <t>VÄSTERNORRLANDS LÄN</t>
        </is>
      </c>
      <c r="E1915" t="inlineStr">
        <is>
          <t>SOLLEFTEÅ</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16370-2023</t>
        </is>
      </c>
      <c r="B1916" s="1" t="n">
        <v>45029</v>
      </c>
      <c r="C1916" s="1" t="n">
        <v>45353</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16376-2023</t>
        </is>
      </c>
      <c r="B1917" s="1" t="n">
        <v>45029</v>
      </c>
      <c r="C1917" s="1" t="n">
        <v>45353</v>
      </c>
      <c r="D1917" t="inlineStr">
        <is>
          <t>VÄSTERNORRLANDS LÄN</t>
        </is>
      </c>
      <c r="E1917" t="inlineStr">
        <is>
          <t>SOLLEFTEÅ</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16562-2023</t>
        </is>
      </c>
      <c r="B1918" s="1" t="n">
        <v>45029</v>
      </c>
      <c r="C1918" s="1" t="n">
        <v>45353</v>
      </c>
      <c r="D1918" t="inlineStr">
        <is>
          <t>VÄSTERNORRLANDS LÄN</t>
        </is>
      </c>
      <c r="E1918" t="inlineStr">
        <is>
          <t>SOLLEFTEÅ</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16760-2023</t>
        </is>
      </c>
      <c r="B1919" s="1" t="n">
        <v>45030</v>
      </c>
      <c r="C1919" s="1" t="n">
        <v>45353</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17007-2023</t>
        </is>
      </c>
      <c r="B1920" s="1" t="n">
        <v>45034</v>
      </c>
      <c r="C1920" s="1" t="n">
        <v>45353</v>
      </c>
      <c r="D1920" t="inlineStr">
        <is>
          <t>VÄSTERNORRLANDS LÄN</t>
        </is>
      </c>
      <c r="E1920" t="inlineStr">
        <is>
          <t>SOLLEFTEÅ</t>
        </is>
      </c>
      <c r="F1920" t="inlineStr">
        <is>
          <t>SCA</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17064-2023</t>
        </is>
      </c>
      <c r="B1921" s="1" t="n">
        <v>45034</v>
      </c>
      <c r="C1921" s="1" t="n">
        <v>45353</v>
      </c>
      <c r="D1921" t="inlineStr">
        <is>
          <t>VÄSTERNORRLANDS LÄN</t>
        </is>
      </c>
      <c r="E1921" t="inlineStr">
        <is>
          <t>SOLLEFTEÅ</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17218-2023</t>
        </is>
      </c>
      <c r="B1922" s="1" t="n">
        <v>45035</v>
      </c>
      <c r="C1922" s="1" t="n">
        <v>45353</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17219-2023</t>
        </is>
      </c>
      <c r="B1923" s="1" t="n">
        <v>45034</v>
      </c>
      <c r="C1923" s="1" t="n">
        <v>45353</v>
      </c>
      <c r="D1923" t="inlineStr">
        <is>
          <t>VÄSTERNORRLANDS LÄN</t>
        </is>
      </c>
      <c r="E1923" t="inlineStr">
        <is>
          <t>SOLLEFTEÅ</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17416-2023</t>
        </is>
      </c>
      <c r="B1924" s="1" t="n">
        <v>45036</v>
      </c>
      <c r="C1924" s="1" t="n">
        <v>45353</v>
      </c>
      <c r="D1924" t="inlineStr">
        <is>
          <t>VÄSTERNORRLANDS LÄN</t>
        </is>
      </c>
      <c r="E1924" t="inlineStr">
        <is>
          <t>SOLLEFTEÅ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17683-2023</t>
        </is>
      </c>
      <c r="B1925" s="1" t="n">
        <v>45035</v>
      </c>
      <c r="C1925" s="1" t="n">
        <v>45353</v>
      </c>
      <c r="D1925" t="inlineStr">
        <is>
          <t>VÄSTERNORRLANDS LÄN</t>
        </is>
      </c>
      <c r="E1925" t="inlineStr">
        <is>
          <t>SOLLEFTEÅ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17664-2023</t>
        </is>
      </c>
      <c r="B1926" s="1" t="n">
        <v>45037</v>
      </c>
      <c r="C1926" s="1" t="n">
        <v>45353</v>
      </c>
      <c r="D1926" t="inlineStr">
        <is>
          <t>VÄSTERNORRLANDS LÄN</t>
        </is>
      </c>
      <c r="E1926" t="inlineStr">
        <is>
          <t>SOLLEFTEÅ</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18149-2023</t>
        </is>
      </c>
      <c r="B1927" s="1" t="n">
        <v>45040</v>
      </c>
      <c r="C1927" s="1" t="n">
        <v>45353</v>
      </c>
      <c r="D1927" t="inlineStr">
        <is>
          <t>VÄSTERNORRLANDS LÄN</t>
        </is>
      </c>
      <c r="E1927" t="inlineStr">
        <is>
          <t>SOLLEFTEÅ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18160-2023</t>
        </is>
      </c>
      <c r="B1928" s="1" t="n">
        <v>45040</v>
      </c>
      <c r="C1928" s="1" t="n">
        <v>45353</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18167-2023</t>
        </is>
      </c>
      <c r="B1929" s="1" t="n">
        <v>45040</v>
      </c>
      <c r="C1929" s="1" t="n">
        <v>45353</v>
      </c>
      <c r="D1929" t="inlineStr">
        <is>
          <t>VÄSTERNORRLANDS LÄN</t>
        </is>
      </c>
      <c r="E1929" t="inlineStr">
        <is>
          <t>SOLLEFTEÅ</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18459-2023</t>
        </is>
      </c>
      <c r="B1930" s="1" t="n">
        <v>45041</v>
      </c>
      <c r="C1930" s="1" t="n">
        <v>45353</v>
      </c>
      <c r="D1930" t="inlineStr">
        <is>
          <t>VÄSTERNORRLANDS LÄN</t>
        </is>
      </c>
      <c r="E1930" t="inlineStr">
        <is>
          <t>SOLLEFTEÅ</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18378-2023</t>
        </is>
      </c>
      <c r="B1931" s="1" t="n">
        <v>45041</v>
      </c>
      <c r="C1931" s="1" t="n">
        <v>45353</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18456-2023</t>
        </is>
      </c>
      <c r="B1932" s="1" t="n">
        <v>45041</v>
      </c>
      <c r="C1932" s="1" t="n">
        <v>45353</v>
      </c>
      <c r="D1932" t="inlineStr">
        <is>
          <t>VÄSTERNORRLANDS LÄN</t>
        </is>
      </c>
      <c r="E1932" t="inlineStr">
        <is>
          <t>SOLLEFTEÅ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18861-2023</t>
        </is>
      </c>
      <c r="B1933" s="1" t="n">
        <v>45042</v>
      </c>
      <c r="C1933" s="1" t="n">
        <v>45353</v>
      </c>
      <c r="D1933" t="inlineStr">
        <is>
          <t>VÄSTERNORRLANDS LÄN</t>
        </is>
      </c>
      <c r="E1933" t="inlineStr">
        <is>
          <t>SOLLEFTEÅ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18762-2023</t>
        </is>
      </c>
      <c r="B1934" s="1" t="n">
        <v>45043</v>
      </c>
      <c r="C1934" s="1" t="n">
        <v>45353</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18781-2023</t>
        </is>
      </c>
      <c r="B1935" s="1" t="n">
        <v>45043</v>
      </c>
      <c r="C1935" s="1" t="n">
        <v>45353</v>
      </c>
      <c r="D1935" t="inlineStr">
        <is>
          <t>VÄSTERNORRLANDS LÄN</t>
        </is>
      </c>
      <c r="E1935" t="inlineStr">
        <is>
          <t>SOLLEFTEÅ</t>
        </is>
      </c>
      <c r="F1935" t="inlineStr">
        <is>
          <t>SCA</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18785-2023</t>
        </is>
      </c>
      <c r="B1936" s="1" t="n">
        <v>45043</v>
      </c>
      <c r="C1936" s="1" t="n">
        <v>45353</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18753-2023</t>
        </is>
      </c>
      <c r="B1937" s="1" t="n">
        <v>45044</v>
      </c>
      <c r="C1937" s="1" t="n">
        <v>45353</v>
      </c>
      <c r="D1937" t="inlineStr">
        <is>
          <t>VÄSTERNORRLANDS LÄN</t>
        </is>
      </c>
      <c r="E1937" t="inlineStr">
        <is>
          <t>SOLLEFTEÅ</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18761-2023</t>
        </is>
      </c>
      <c r="B1938" s="1" t="n">
        <v>45043</v>
      </c>
      <c r="C1938" s="1" t="n">
        <v>45353</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18782-2023</t>
        </is>
      </c>
      <c r="B1939" s="1" t="n">
        <v>45044</v>
      </c>
      <c r="C1939" s="1" t="n">
        <v>45353</v>
      </c>
      <c r="D1939" t="inlineStr">
        <is>
          <t>VÄSTERNORRLANDS LÄN</t>
        </is>
      </c>
      <c r="E1939" t="inlineStr">
        <is>
          <t>SOLLEFTEÅ</t>
        </is>
      </c>
      <c r="F1939" t="inlineStr">
        <is>
          <t>SCA</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18786-2023</t>
        </is>
      </c>
      <c r="B1940" s="1" t="n">
        <v>45043</v>
      </c>
      <c r="C1940" s="1" t="n">
        <v>45353</v>
      </c>
      <c r="D1940" t="inlineStr">
        <is>
          <t>VÄSTERNORRLANDS LÄN</t>
        </is>
      </c>
      <c r="E1940" t="inlineStr">
        <is>
          <t>SOLLEFTEÅ</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18755-2023</t>
        </is>
      </c>
      <c r="B1941" s="1" t="n">
        <v>45043</v>
      </c>
      <c r="C1941" s="1" t="n">
        <v>45353</v>
      </c>
      <c r="D1941" t="inlineStr">
        <is>
          <t>VÄSTERNORRLANDS LÄN</t>
        </is>
      </c>
      <c r="E1941" t="inlineStr">
        <is>
          <t>SOLLEFTEÅ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18780-2023</t>
        </is>
      </c>
      <c r="B1942" s="1" t="n">
        <v>45044</v>
      </c>
      <c r="C1942" s="1" t="n">
        <v>45353</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18784-2023</t>
        </is>
      </c>
      <c r="B1943" s="1" t="n">
        <v>45044</v>
      </c>
      <c r="C1943" s="1" t="n">
        <v>45353</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18980-2023</t>
        </is>
      </c>
      <c r="B1944" s="1" t="n">
        <v>45044</v>
      </c>
      <c r="C1944" s="1" t="n">
        <v>45353</v>
      </c>
      <c r="D1944" t="inlineStr">
        <is>
          <t>VÄSTERNORRLANDS LÄN</t>
        </is>
      </c>
      <c r="E1944" t="inlineStr">
        <is>
          <t>SOLLEFTEÅ</t>
        </is>
      </c>
      <c r="F1944" t="inlineStr">
        <is>
          <t>Övriga statliga verk och myndigheter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18989-2023</t>
        </is>
      </c>
      <c r="B1945" s="1" t="n">
        <v>45044</v>
      </c>
      <c r="C1945" s="1" t="n">
        <v>45353</v>
      </c>
      <c r="D1945" t="inlineStr">
        <is>
          <t>VÄSTERNORRLANDS LÄN</t>
        </is>
      </c>
      <c r="E1945" t="inlineStr">
        <is>
          <t>SOLLEFTEÅ</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19154-2023</t>
        </is>
      </c>
      <c r="B1946" s="1" t="n">
        <v>45044</v>
      </c>
      <c r="C1946" s="1" t="n">
        <v>45353</v>
      </c>
      <c r="D1946" t="inlineStr">
        <is>
          <t>VÄSTERNORRLANDS LÄN</t>
        </is>
      </c>
      <c r="E1946" t="inlineStr">
        <is>
          <t>SOLLEFTEÅ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19433-2023</t>
        </is>
      </c>
      <c r="B1947" s="1" t="n">
        <v>45049</v>
      </c>
      <c r="C1947" s="1" t="n">
        <v>45353</v>
      </c>
      <c r="D1947" t="inlineStr">
        <is>
          <t>VÄSTERNORRLANDS LÄN</t>
        </is>
      </c>
      <c r="E1947" t="inlineStr">
        <is>
          <t>SOLLEFTEÅ</t>
        </is>
      </c>
      <c r="F1947" t="inlineStr">
        <is>
          <t>SCA</t>
        </is>
      </c>
      <c r="G1947" t="n">
        <v>12.3</v>
      </c>
      <c r="H1947" t="n">
        <v>0</v>
      </c>
      <c r="I1947" t="n">
        <v>0</v>
      </c>
      <c r="J1947" t="n">
        <v>0</v>
      </c>
      <c r="K1947" t="n">
        <v>0</v>
      </c>
      <c r="L1947" t="n">
        <v>0</v>
      </c>
      <c r="M1947" t="n">
        <v>0</v>
      </c>
      <c r="N1947" t="n">
        <v>0</v>
      </c>
      <c r="O1947" t="n">
        <v>0</v>
      </c>
      <c r="P1947" t="n">
        <v>0</v>
      </c>
      <c r="Q1947" t="n">
        <v>0</v>
      </c>
      <c r="R1947" s="2" t="inlineStr"/>
    </row>
    <row r="1948" ht="15" customHeight="1">
      <c r="A1948" t="inlineStr">
        <is>
          <t>A 19434-2023</t>
        </is>
      </c>
      <c r="B1948" s="1" t="n">
        <v>45049</v>
      </c>
      <c r="C1948" s="1" t="n">
        <v>45353</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19609-2023</t>
        </is>
      </c>
      <c r="B1949" s="1" t="n">
        <v>45050</v>
      </c>
      <c r="C1949" s="1" t="n">
        <v>45353</v>
      </c>
      <c r="D1949" t="inlineStr">
        <is>
          <t>VÄSTERNORRLANDS LÄN</t>
        </is>
      </c>
      <c r="E1949" t="inlineStr">
        <is>
          <t>SOLLEFTEÅ</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19610-2023</t>
        </is>
      </c>
      <c r="B1950" s="1" t="n">
        <v>45050</v>
      </c>
      <c r="C1950" s="1" t="n">
        <v>45353</v>
      </c>
      <c r="D1950" t="inlineStr">
        <is>
          <t>VÄSTERNORRLANDS LÄN</t>
        </is>
      </c>
      <c r="E1950" t="inlineStr">
        <is>
          <t>SOLLEFTEÅ</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19615-2023</t>
        </is>
      </c>
      <c r="B1951" s="1" t="n">
        <v>45051</v>
      </c>
      <c r="C1951" s="1" t="n">
        <v>45353</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19625-2023</t>
        </is>
      </c>
      <c r="B1952" s="1" t="n">
        <v>45050</v>
      </c>
      <c r="C1952" s="1" t="n">
        <v>45353</v>
      </c>
      <c r="D1952" t="inlineStr">
        <is>
          <t>VÄSTERNORRLANDS LÄN</t>
        </is>
      </c>
      <c r="E1952" t="inlineStr">
        <is>
          <t>SOLLEFTEÅ</t>
        </is>
      </c>
      <c r="F1952" t="inlineStr">
        <is>
          <t>SCA</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19614-2023</t>
        </is>
      </c>
      <c r="B1953" s="1" t="n">
        <v>45050</v>
      </c>
      <c r="C1953" s="1" t="n">
        <v>45353</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19816-2023</t>
        </is>
      </c>
      <c r="B1954" s="1" t="n">
        <v>45052</v>
      </c>
      <c r="C1954" s="1" t="n">
        <v>45353</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19829-2023</t>
        </is>
      </c>
      <c r="B1955" s="1" t="n">
        <v>45052</v>
      </c>
      <c r="C1955" s="1" t="n">
        <v>45353</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19830-2023</t>
        </is>
      </c>
      <c r="B1956" s="1" t="n">
        <v>45052</v>
      </c>
      <c r="C1956" s="1" t="n">
        <v>45353</v>
      </c>
      <c r="D1956" t="inlineStr">
        <is>
          <t>VÄSTERNORRLANDS LÄN</t>
        </is>
      </c>
      <c r="E1956" t="inlineStr">
        <is>
          <t>SOLLEFTEÅ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20089-2023</t>
        </is>
      </c>
      <c r="B1957" s="1" t="n">
        <v>45055</v>
      </c>
      <c r="C1957" s="1" t="n">
        <v>45353</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20269-2023</t>
        </is>
      </c>
      <c r="B1958" s="1" t="n">
        <v>45055</v>
      </c>
      <c r="C1958" s="1" t="n">
        <v>45353</v>
      </c>
      <c r="D1958" t="inlineStr">
        <is>
          <t>VÄSTERNORRLANDS LÄN</t>
        </is>
      </c>
      <c r="E1958" t="inlineStr">
        <is>
          <t>SOLLEFTEÅ</t>
        </is>
      </c>
      <c r="F1958" t="inlineStr">
        <is>
          <t>SCA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20268-2023</t>
        </is>
      </c>
      <c r="B1959" s="1" t="n">
        <v>45055</v>
      </c>
      <c r="C1959" s="1" t="n">
        <v>45353</v>
      </c>
      <c r="D1959" t="inlineStr">
        <is>
          <t>VÄSTERNORRLANDS LÄN</t>
        </is>
      </c>
      <c r="E1959" t="inlineStr">
        <is>
          <t>SOLLEFTEÅ</t>
        </is>
      </c>
      <c r="F1959" t="inlineStr">
        <is>
          <t>SCA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20266-2023</t>
        </is>
      </c>
      <c r="B1960" s="1" t="n">
        <v>45055</v>
      </c>
      <c r="C1960" s="1" t="n">
        <v>45353</v>
      </c>
      <c r="D1960" t="inlineStr">
        <is>
          <t>VÄSTERNORRLANDS LÄN</t>
        </is>
      </c>
      <c r="E1960" t="inlineStr">
        <is>
          <t>SOLLEFTEÅ</t>
        </is>
      </c>
      <c r="F1960" t="inlineStr">
        <is>
          <t>SCA</t>
        </is>
      </c>
      <c r="G1960" t="n">
        <v>21.3</v>
      </c>
      <c r="H1960" t="n">
        <v>0</v>
      </c>
      <c r="I1960" t="n">
        <v>0</v>
      </c>
      <c r="J1960" t="n">
        <v>0</v>
      </c>
      <c r="K1960" t="n">
        <v>0</v>
      </c>
      <c r="L1960" t="n">
        <v>0</v>
      </c>
      <c r="M1960" t="n">
        <v>0</v>
      </c>
      <c r="N1960" t="n">
        <v>0</v>
      </c>
      <c r="O1960" t="n">
        <v>0</v>
      </c>
      <c r="P1960" t="n">
        <v>0</v>
      </c>
      <c r="Q1960" t="n">
        <v>0</v>
      </c>
      <c r="R1960" s="2" t="inlineStr"/>
    </row>
    <row r="1961" ht="15" customHeight="1">
      <c r="A1961" t="inlineStr">
        <is>
          <t>A 20271-2023</t>
        </is>
      </c>
      <c r="B1961" s="1" t="n">
        <v>45056</v>
      </c>
      <c r="C1961" s="1" t="n">
        <v>45353</v>
      </c>
      <c r="D1961" t="inlineStr">
        <is>
          <t>VÄSTERNORRLANDS LÄN</t>
        </is>
      </c>
      <c r="E1961" t="inlineStr">
        <is>
          <t>SOLLEFTEÅ</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20461-2023</t>
        </is>
      </c>
      <c r="B1962" s="1" t="n">
        <v>45057</v>
      </c>
      <c r="C1962" s="1" t="n">
        <v>45353</v>
      </c>
      <c r="D1962" t="inlineStr">
        <is>
          <t>VÄSTERNORRLANDS LÄN</t>
        </is>
      </c>
      <c r="E1962" t="inlineStr">
        <is>
          <t>SOLLEFTEÅ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20460-2023</t>
        </is>
      </c>
      <c r="B1963" s="1" t="n">
        <v>45057</v>
      </c>
      <c r="C1963" s="1" t="n">
        <v>45353</v>
      </c>
      <c r="D1963" t="inlineStr">
        <is>
          <t>VÄSTERNORRLANDS LÄN</t>
        </is>
      </c>
      <c r="E1963" t="inlineStr">
        <is>
          <t>SOLLEFTEÅ</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20599-2023</t>
        </is>
      </c>
      <c r="B1964" s="1" t="n">
        <v>45058</v>
      </c>
      <c r="C1964" s="1" t="n">
        <v>45353</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20598-2023</t>
        </is>
      </c>
      <c r="B1965" s="1" t="n">
        <v>45058</v>
      </c>
      <c r="C1965" s="1" t="n">
        <v>45353</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21195-2023</t>
        </is>
      </c>
      <c r="B1966" s="1" t="n">
        <v>45057</v>
      </c>
      <c r="C1966" s="1" t="n">
        <v>45353</v>
      </c>
      <c r="D1966" t="inlineStr">
        <is>
          <t>VÄSTERNORRLANDS LÄN</t>
        </is>
      </c>
      <c r="E1966" t="inlineStr">
        <is>
          <t>SOLLEFTEÅ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20629-2023</t>
        </is>
      </c>
      <c r="B1967" s="1" t="n">
        <v>45058</v>
      </c>
      <c r="C1967" s="1" t="n">
        <v>45353</v>
      </c>
      <c r="D1967" t="inlineStr">
        <is>
          <t>VÄSTERNORRLANDS LÄN</t>
        </is>
      </c>
      <c r="E1967" t="inlineStr">
        <is>
          <t>SOLLEFTEÅ</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20628-2023</t>
        </is>
      </c>
      <c r="B1968" s="1" t="n">
        <v>45058</v>
      </c>
      <c r="C1968" s="1" t="n">
        <v>45353</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21230-2023</t>
        </is>
      </c>
      <c r="B1969" s="1" t="n">
        <v>45057</v>
      </c>
      <c r="C1969" s="1" t="n">
        <v>45353</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20754-2023</t>
        </is>
      </c>
      <c r="B1970" s="1" t="n">
        <v>45058</v>
      </c>
      <c r="C1970" s="1" t="n">
        <v>45353</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20859-2023</t>
        </is>
      </c>
      <c r="B1971" s="1" t="n">
        <v>45059</v>
      </c>
      <c r="C1971" s="1" t="n">
        <v>45353</v>
      </c>
      <c r="D1971" t="inlineStr">
        <is>
          <t>VÄSTERNORRLANDS LÄN</t>
        </is>
      </c>
      <c r="E1971" t="inlineStr">
        <is>
          <t>SOLLEFTEÅ</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20862-2023</t>
        </is>
      </c>
      <c r="B1972" s="1" t="n">
        <v>45059</v>
      </c>
      <c r="C1972" s="1" t="n">
        <v>45353</v>
      </c>
      <c r="D1972" t="inlineStr">
        <is>
          <t>VÄSTERNORRLANDS LÄN</t>
        </is>
      </c>
      <c r="E1972" t="inlineStr">
        <is>
          <t>SOLLEFTEÅ</t>
        </is>
      </c>
      <c r="F1972" t="inlineStr">
        <is>
          <t>SCA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20817-2023</t>
        </is>
      </c>
      <c r="B1973" s="1" t="n">
        <v>45058</v>
      </c>
      <c r="C1973" s="1" t="n">
        <v>45353</v>
      </c>
      <c r="D1973" t="inlineStr">
        <is>
          <t>VÄSTERNORRLANDS LÄN</t>
        </is>
      </c>
      <c r="E1973" t="inlineStr">
        <is>
          <t>SOLLEFTEÅ</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20873-2023</t>
        </is>
      </c>
      <c r="B1974" s="1" t="n">
        <v>45059</v>
      </c>
      <c r="C1974" s="1" t="n">
        <v>45353</v>
      </c>
      <c r="D1974" t="inlineStr">
        <is>
          <t>VÄSTERNORRLANDS LÄN</t>
        </is>
      </c>
      <c r="E1974" t="inlineStr">
        <is>
          <t>SOLLEFTEÅ</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20878-2023</t>
        </is>
      </c>
      <c r="B1975" s="1" t="n">
        <v>45059</v>
      </c>
      <c r="C1975" s="1" t="n">
        <v>45353</v>
      </c>
      <c r="D1975" t="inlineStr">
        <is>
          <t>VÄSTERNORRLANDS LÄN</t>
        </is>
      </c>
      <c r="E1975" t="inlineStr">
        <is>
          <t>SOLLEFTEÅ</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20872-2023</t>
        </is>
      </c>
      <c r="B1976" s="1" t="n">
        <v>45058</v>
      </c>
      <c r="C1976" s="1" t="n">
        <v>45353</v>
      </c>
      <c r="D1976" t="inlineStr">
        <is>
          <t>VÄSTERNORRLANDS LÄN</t>
        </is>
      </c>
      <c r="E1976" t="inlineStr">
        <is>
          <t>SOLLEFTEÅ</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21513-2023</t>
        </is>
      </c>
      <c r="B1977" s="1" t="n">
        <v>45061</v>
      </c>
      <c r="C1977" s="1" t="n">
        <v>45353</v>
      </c>
      <c r="D1977" t="inlineStr">
        <is>
          <t>VÄSTERNORRLANDS LÄN</t>
        </is>
      </c>
      <c r="E1977" t="inlineStr">
        <is>
          <t>SOLLEFTEÅ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21349-2023</t>
        </is>
      </c>
      <c r="B1978" s="1" t="n">
        <v>45063</v>
      </c>
      <c r="C1978" s="1" t="n">
        <v>45353</v>
      </c>
      <c r="D1978" t="inlineStr">
        <is>
          <t>VÄSTERNORRLANDS LÄN</t>
        </is>
      </c>
      <c r="E1978" t="inlineStr">
        <is>
          <t>SOLLEFTEÅ</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21346-2023</t>
        </is>
      </c>
      <c r="B1979" s="1" t="n">
        <v>45063</v>
      </c>
      <c r="C1979" s="1" t="n">
        <v>45353</v>
      </c>
      <c r="D1979" t="inlineStr">
        <is>
          <t>VÄSTERNORRLANDS LÄN</t>
        </is>
      </c>
      <c r="E1979" t="inlineStr">
        <is>
          <t>SOLLEFTEÅ</t>
        </is>
      </c>
      <c r="F1979" t="inlineStr">
        <is>
          <t>SCA</t>
        </is>
      </c>
      <c r="G1979" t="n">
        <v>15.5</v>
      </c>
      <c r="H1979" t="n">
        <v>0</v>
      </c>
      <c r="I1979" t="n">
        <v>0</v>
      </c>
      <c r="J1979" t="n">
        <v>0</v>
      </c>
      <c r="K1979" t="n">
        <v>0</v>
      </c>
      <c r="L1979" t="n">
        <v>0</v>
      </c>
      <c r="M1979" t="n">
        <v>0</v>
      </c>
      <c r="N1979" t="n">
        <v>0</v>
      </c>
      <c r="O1979" t="n">
        <v>0</v>
      </c>
      <c r="P1979" t="n">
        <v>0</v>
      </c>
      <c r="Q1979" t="n">
        <v>0</v>
      </c>
      <c r="R1979" s="2" t="inlineStr"/>
    </row>
    <row r="1980" ht="15" customHeight="1">
      <c r="A1980" t="inlineStr">
        <is>
          <t>A 21340-2023</t>
        </is>
      </c>
      <c r="B1980" s="1" t="n">
        <v>45062</v>
      </c>
      <c r="C1980" s="1" t="n">
        <v>45353</v>
      </c>
      <c r="D1980" t="inlineStr">
        <is>
          <t>VÄSTERNORRLANDS LÄN</t>
        </is>
      </c>
      <c r="E1980" t="inlineStr">
        <is>
          <t>SOLLEFTEÅ</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21344-2023</t>
        </is>
      </c>
      <c r="B1981" s="1" t="n">
        <v>45062</v>
      </c>
      <c r="C1981" s="1" t="n">
        <v>45353</v>
      </c>
      <c r="D1981" t="inlineStr">
        <is>
          <t>VÄSTERNORRLANDS LÄN</t>
        </is>
      </c>
      <c r="E1981" t="inlineStr">
        <is>
          <t>SOLLEFTEÅ</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21361-2023</t>
        </is>
      </c>
      <c r="B1982" s="1" t="n">
        <v>45063</v>
      </c>
      <c r="C1982" s="1" t="n">
        <v>45353</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21690-2023</t>
        </is>
      </c>
      <c r="B1983" s="1" t="n">
        <v>45064</v>
      </c>
      <c r="C1983" s="1" t="n">
        <v>45353</v>
      </c>
      <c r="D1983" t="inlineStr">
        <is>
          <t>VÄSTERNORRLANDS LÄN</t>
        </is>
      </c>
      <c r="E1983" t="inlineStr">
        <is>
          <t>SOLLEFTEÅ</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21674-2023</t>
        </is>
      </c>
      <c r="B1984" s="1" t="n">
        <v>45064</v>
      </c>
      <c r="C1984" s="1" t="n">
        <v>45353</v>
      </c>
      <c r="D1984" t="inlineStr">
        <is>
          <t>VÄSTERNORRLANDS LÄN</t>
        </is>
      </c>
      <c r="E1984" t="inlineStr">
        <is>
          <t>SOLLEFTEÅ</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22008-2023</t>
        </is>
      </c>
      <c r="B1985" s="1" t="n">
        <v>45068</v>
      </c>
      <c r="C1985" s="1" t="n">
        <v>45353</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22220-2023</t>
        </is>
      </c>
      <c r="B1986" s="1" t="n">
        <v>45070</v>
      </c>
      <c r="C1986" s="1" t="n">
        <v>45353</v>
      </c>
      <c r="D1986" t="inlineStr">
        <is>
          <t>VÄSTERNORRLANDS LÄN</t>
        </is>
      </c>
      <c r="E1986" t="inlineStr">
        <is>
          <t>SOLLEFTEÅ</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22229-2023</t>
        </is>
      </c>
      <c r="B1987" s="1" t="n">
        <v>45070</v>
      </c>
      <c r="C1987" s="1" t="n">
        <v>45353</v>
      </c>
      <c r="D1987" t="inlineStr">
        <is>
          <t>VÄSTERNORRLANDS LÄN</t>
        </is>
      </c>
      <c r="E1987" t="inlineStr">
        <is>
          <t>SOLLEFTEÅ</t>
        </is>
      </c>
      <c r="F1987" t="inlineStr">
        <is>
          <t>SCA</t>
        </is>
      </c>
      <c r="G1987" t="n">
        <v>20.8</v>
      </c>
      <c r="H1987" t="n">
        <v>0</v>
      </c>
      <c r="I1987" t="n">
        <v>0</v>
      </c>
      <c r="J1987" t="n">
        <v>0</v>
      </c>
      <c r="K1987" t="n">
        <v>0</v>
      </c>
      <c r="L1987" t="n">
        <v>0</v>
      </c>
      <c r="M1987" t="n">
        <v>0</v>
      </c>
      <c r="N1987" t="n">
        <v>0</v>
      </c>
      <c r="O1987" t="n">
        <v>0</v>
      </c>
      <c r="P1987" t="n">
        <v>0</v>
      </c>
      <c r="Q1987" t="n">
        <v>0</v>
      </c>
      <c r="R1987" s="2" t="inlineStr"/>
    </row>
    <row r="1988" ht="15" customHeight="1">
      <c r="A1988" t="inlineStr">
        <is>
          <t>A 22750-2023</t>
        </is>
      </c>
      <c r="B1988" s="1" t="n">
        <v>45072</v>
      </c>
      <c r="C1988" s="1" t="n">
        <v>45353</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22994-2023</t>
        </is>
      </c>
      <c r="B1989" s="1" t="n">
        <v>45072</v>
      </c>
      <c r="C1989" s="1" t="n">
        <v>45353</v>
      </c>
      <c r="D1989" t="inlineStr">
        <is>
          <t>VÄSTERNORRLANDS LÄN</t>
        </is>
      </c>
      <c r="E1989" t="inlineStr">
        <is>
          <t>SOLLEFTEÅ</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22992-2023</t>
        </is>
      </c>
      <c r="B1990" s="1" t="n">
        <v>45072</v>
      </c>
      <c r="C1990" s="1" t="n">
        <v>45353</v>
      </c>
      <c r="D1990" t="inlineStr">
        <is>
          <t>VÄSTERNORRLANDS LÄN</t>
        </is>
      </c>
      <c r="E1990" t="inlineStr">
        <is>
          <t>SOLLEFTEÅ</t>
        </is>
      </c>
      <c r="F1990" t="inlineStr">
        <is>
          <t>SCA</t>
        </is>
      </c>
      <c r="G1990" t="n">
        <v>13.6</v>
      </c>
      <c r="H1990" t="n">
        <v>0</v>
      </c>
      <c r="I1990" t="n">
        <v>0</v>
      </c>
      <c r="J1990" t="n">
        <v>0</v>
      </c>
      <c r="K1990" t="n">
        <v>0</v>
      </c>
      <c r="L1990" t="n">
        <v>0</v>
      </c>
      <c r="M1990" t="n">
        <v>0</v>
      </c>
      <c r="N1990" t="n">
        <v>0</v>
      </c>
      <c r="O1990" t="n">
        <v>0</v>
      </c>
      <c r="P1990" t="n">
        <v>0</v>
      </c>
      <c r="Q1990" t="n">
        <v>0</v>
      </c>
      <c r="R1990" s="2" t="inlineStr"/>
    </row>
    <row r="1991" ht="15" customHeight="1">
      <c r="A1991" t="inlineStr">
        <is>
          <t>A 22995-2023</t>
        </is>
      </c>
      <c r="B1991" s="1" t="n">
        <v>45073</v>
      </c>
      <c r="C1991" s="1" t="n">
        <v>45353</v>
      </c>
      <c r="D1991" t="inlineStr">
        <is>
          <t>VÄSTERNORRLANDS LÄN</t>
        </is>
      </c>
      <c r="E1991" t="inlineStr">
        <is>
          <t>SOLLEFTEÅ</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23488-2023</t>
        </is>
      </c>
      <c r="B1992" s="1" t="n">
        <v>45072</v>
      </c>
      <c r="C1992" s="1" t="n">
        <v>45353</v>
      </c>
      <c r="D1992" t="inlineStr">
        <is>
          <t>VÄSTERNORRLANDS LÄN</t>
        </is>
      </c>
      <c r="E1992" t="inlineStr">
        <is>
          <t>SOLLEFTEÅ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23016-2023</t>
        </is>
      </c>
      <c r="B1993" s="1" t="n">
        <v>45073</v>
      </c>
      <c r="C1993" s="1" t="n">
        <v>45353</v>
      </c>
      <c r="D1993" t="inlineStr">
        <is>
          <t>VÄSTERNORRLANDS LÄN</t>
        </is>
      </c>
      <c r="E1993" t="inlineStr">
        <is>
          <t>SOLLEFTEÅ</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23286-2023</t>
        </is>
      </c>
      <c r="B1994" s="1" t="n">
        <v>45075</v>
      </c>
      <c r="C1994" s="1" t="n">
        <v>45353</v>
      </c>
      <c r="D1994" t="inlineStr">
        <is>
          <t>VÄSTERNORRLANDS LÄN</t>
        </is>
      </c>
      <c r="E1994" t="inlineStr">
        <is>
          <t>SOLLEFTEÅ</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23277-2023</t>
        </is>
      </c>
      <c r="B1995" s="1" t="n">
        <v>45075</v>
      </c>
      <c r="C1995" s="1" t="n">
        <v>45353</v>
      </c>
      <c r="D1995" t="inlineStr">
        <is>
          <t>VÄSTERNORRLANDS LÄN</t>
        </is>
      </c>
      <c r="E1995" t="inlineStr">
        <is>
          <t>SOLLEFTEÅ</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23285-2023</t>
        </is>
      </c>
      <c r="B1996" s="1" t="n">
        <v>45075</v>
      </c>
      <c r="C1996" s="1" t="n">
        <v>45353</v>
      </c>
      <c r="D1996" t="inlineStr">
        <is>
          <t>VÄSTERNORRLANDS LÄN</t>
        </is>
      </c>
      <c r="E1996" t="inlineStr">
        <is>
          <t>SOLLEFTEÅ</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23289-2023</t>
        </is>
      </c>
      <c r="B1997" s="1" t="n">
        <v>45075</v>
      </c>
      <c r="C1997" s="1" t="n">
        <v>45353</v>
      </c>
      <c r="D1997" t="inlineStr">
        <is>
          <t>VÄSTERNORRLANDS LÄN</t>
        </is>
      </c>
      <c r="E1997" t="inlineStr">
        <is>
          <t>SOLLEFTEÅ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23287-2023</t>
        </is>
      </c>
      <c r="B1998" s="1" t="n">
        <v>45075</v>
      </c>
      <c r="C1998" s="1" t="n">
        <v>45353</v>
      </c>
      <c r="D1998" t="inlineStr">
        <is>
          <t>VÄSTERNORRLANDS LÄN</t>
        </is>
      </c>
      <c r="E1998" t="inlineStr">
        <is>
          <t>SOLLEFTEÅ</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23288-2023</t>
        </is>
      </c>
      <c r="B1999" s="1" t="n">
        <v>45075</v>
      </c>
      <c r="C1999" s="1" t="n">
        <v>45353</v>
      </c>
      <c r="D1999" t="inlineStr">
        <is>
          <t>VÄSTERNORRLANDS LÄN</t>
        </is>
      </c>
      <c r="E1999" t="inlineStr">
        <is>
          <t>SOLLEFTEÅ</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23523-2023</t>
        </is>
      </c>
      <c r="B2000" s="1" t="n">
        <v>45076</v>
      </c>
      <c r="C2000" s="1" t="n">
        <v>45353</v>
      </c>
      <c r="D2000" t="inlineStr">
        <is>
          <t>VÄSTERNORRLANDS LÄN</t>
        </is>
      </c>
      <c r="E2000" t="inlineStr">
        <is>
          <t>SOLLEFTEÅ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23527-2023</t>
        </is>
      </c>
      <c r="B2001" s="1" t="n">
        <v>45076</v>
      </c>
      <c r="C2001" s="1" t="n">
        <v>45353</v>
      </c>
      <c r="D2001" t="inlineStr">
        <is>
          <t>VÄSTERNORRLANDS LÄN</t>
        </is>
      </c>
      <c r="E2001" t="inlineStr">
        <is>
          <t>SOLLEFTEÅ</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24306-2023</t>
        </is>
      </c>
      <c r="B2002" s="1" t="n">
        <v>45080</v>
      </c>
      <c r="C2002" s="1" t="n">
        <v>45353</v>
      </c>
      <c r="D2002" t="inlineStr">
        <is>
          <t>VÄSTERNORRLANDS LÄN</t>
        </is>
      </c>
      <c r="E2002" t="inlineStr">
        <is>
          <t>SOLLEFTEÅ</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24314-2023</t>
        </is>
      </c>
      <c r="B2003" s="1" t="n">
        <v>45079</v>
      </c>
      <c r="C2003" s="1" t="n">
        <v>45353</v>
      </c>
      <c r="D2003" t="inlineStr">
        <is>
          <t>VÄSTERNORRLANDS LÄN</t>
        </is>
      </c>
      <c r="E2003" t="inlineStr">
        <is>
          <t>SOLLEFTEÅ</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25259-2023</t>
        </is>
      </c>
      <c r="B2004" s="1" t="n">
        <v>45079</v>
      </c>
      <c r="C2004" s="1" t="n">
        <v>45353</v>
      </c>
      <c r="D2004" t="inlineStr">
        <is>
          <t>VÄSTERNORRLANDS LÄN</t>
        </is>
      </c>
      <c r="E2004" t="inlineStr">
        <is>
          <t>SOLLEFTEÅ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25267-2023</t>
        </is>
      </c>
      <c r="B2005" s="1" t="n">
        <v>45079</v>
      </c>
      <c r="C2005" s="1" t="n">
        <v>45353</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24548-2023</t>
        </is>
      </c>
      <c r="B2006" s="1" t="n">
        <v>45082</v>
      </c>
      <c r="C2006" s="1" t="n">
        <v>45353</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25550-2023</t>
        </is>
      </c>
      <c r="B2007" s="1" t="n">
        <v>45082</v>
      </c>
      <c r="C2007" s="1" t="n">
        <v>45353</v>
      </c>
      <c r="D2007" t="inlineStr">
        <is>
          <t>VÄSTERNORRLANDS LÄN</t>
        </is>
      </c>
      <c r="E2007" t="inlineStr">
        <is>
          <t>SOLLEFTEÅ</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24595-2023</t>
        </is>
      </c>
      <c r="B2008" s="1" t="n">
        <v>45084</v>
      </c>
      <c r="C2008" s="1" t="n">
        <v>45353</v>
      </c>
      <c r="D2008" t="inlineStr">
        <is>
          <t>VÄSTERNORRLANDS LÄN</t>
        </is>
      </c>
      <c r="E2008" t="inlineStr">
        <is>
          <t>SOLLEFTEÅ</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24597-2023</t>
        </is>
      </c>
      <c r="B2009" s="1" t="n">
        <v>45083</v>
      </c>
      <c r="C2009" s="1" t="n">
        <v>45353</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24596-2023</t>
        </is>
      </c>
      <c r="B2010" s="1" t="n">
        <v>45084</v>
      </c>
      <c r="C2010" s="1" t="n">
        <v>45353</v>
      </c>
      <c r="D2010" t="inlineStr">
        <is>
          <t>VÄSTERNORRLANDS LÄN</t>
        </is>
      </c>
      <c r="E2010" t="inlineStr">
        <is>
          <t>SOLLEFTEÅ</t>
        </is>
      </c>
      <c r="F2010" t="inlineStr">
        <is>
          <t>SCA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25795-2023</t>
        </is>
      </c>
      <c r="B2011" s="1" t="n">
        <v>45085</v>
      </c>
      <c r="C2011" s="1" t="n">
        <v>45353</v>
      </c>
      <c r="D2011" t="inlineStr">
        <is>
          <t>VÄSTERNORRLANDS LÄN</t>
        </is>
      </c>
      <c r="E2011" t="inlineStr">
        <is>
          <t>SOLLEFTEÅ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25848-2023</t>
        </is>
      </c>
      <c r="B2012" s="1" t="n">
        <v>45085</v>
      </c>
      <c r="C2012" s="1" t="n">
        <v>45353</v>
      </c>
      <c r="D2012" t="inlineStr">
        <is>
          <t>VÄSTERNORRLANDS LÄN</t>
        </is>
      </c>
      <c r="E2012" t="inlineStr">
        <is>
          <t>SOLLEFTEÅ</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25079-2023</t>
        </is>
      </c>
      <c r="B2013" s="1" t="n">
        <v>45086</v>
      </c>
      <c r="C2013" s="1" t="n">
        <v>45353</v>
      </c>
      <c r="D2013" t="inlineStr">
        <is>
          <t>VÄSTERNORRLANDS LÄN</t>
        </is>
      </c>
      <c r="E2013" t="inlineStr">
        <is>
          <t>SOLLEFTEÅ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25310-2023</t>
        </is>
      </c>
      <c r="B2014" s="1" t="n">
        <v>45087</v>
      </c>
      <c r="C2014" s="1" t="n">
        <v>45353</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25314-2023</t>
        </is>
      </c>
      <c r="B2015" s="1" t="n">
        <v>45086</v>
      </c>
      <c r="C2015" s="1" t="n">
        <v>45353</v>
      </c>
      <c r="D2015" t="inlineStr">
        <is>
          <t>VÄSTERNORRLANDS LÄN</t>
        </is>
      </c>
      <c r="E2015" t="inlineStr">
        <is>
          <t>SOLLEFTEÅ</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25392-2023</t>
        </is>
      </c>
      <c r="B2016" s="1" t="n">
        <v>45089</v>
      </c>
      <c r="C2016" s="1" t="n">
        <v>45353</v>
      </c>
      <c r="D2016" t="inlineStr">
        <is>
          <t>VÄSTERNORRLANDS LÄN</t>
        </is>
      </c>
      <c r="E2016" t="inlineStr">
        <is>
          <t>SOLLEFTEÅ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25987-2023</t>
        </is>
      </c>
      <c r="B2017" s="1" t="n">
        <v>45091</v>
      </c>
      <c r="C2017" s="1" t="n">
        <v>45353</v>
      </c>
      <c r="D2017" t="inlineStr">
        <is>
          <t>VÄSTERNORRLANDS LÄN</t>
        </is>
      </c>
      <c r="E2017" t="inlineStr">
        <is>
          <t>SOLLEFTEÅ</t>
        </is>
      </c>
      <c r="G2017" t="n">
        <v>10.2</v>
      </c>
      <c r="H2017" t="n">
        <v>0</v>
      </c>
      <c r="I2017" t="n">
        <v>0</v>
      </c>
      <c r="J2017" t="n">
        <v>0</v>
      </c>
      <c r="K2017" t="n">
        <v>0</v>
      </c>
      <c r="L2017" t="n">
        <v>0</v>
      </c>
      <c r="M2017" t="n">
        <v>0</v>
      </c>
      <c r="N2017" t="n">
        <v>0</v>
      </c>
      <c r="O2017" t="n">
        <v>0</v>
      </c>
      <c r="P2017" t="n">
        <v>0</v>
      </c>
      <c r="Q2017" t="n">
        <v>0</v>
      </c>
      <c r="R2017" s="2" t="inlineStr"/>
    </row>
    <row r="2018" ht="15" customHeight="1">
      <c r="A2018" t="inlineStr">
        <is>
          <t>A 26210-2023</t>
        </is>
      </c>
      <c r="B2018" s="1" t="n">
        <v>45090</v>
      </c>
      <c r="C2018" s="1" t="n">
        <v>45353</v>
      </c>
      <c r="D2018" t="inlineStr">
        <is>
          <t>VÄSTERNORRLANDS LÄN</t>
        </is>
      </c>
      <c r="E2018" t="inlineStr">
        <is>
          <t>SOLLEFTEÅ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25986-2023</t>
        </is>
      </c>
      <c r="B2019" s="1" t="n">
        <v>45090</v>
      </c>
      <c r="C2019" s="1" t="n">
        <v>45353</v>
      </c>
      <c r="D2019" t="inlineStr">
        <is>
          <t>VÄSTERNORRLANDS LÄN</t>
        </is>
      </c>
      <c r="E2019" t="inlineStr">
        <is>
          <t>SOLLEFTEÅ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26373-2023</t>
        </is>
      </c>
      <c r="B2020" s="1" t="n">
        <v>45092</v>
      </c>
      <c r="C2020" s="1" t="n">
        <v>45353</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27544-2023</t>
        </is>
      </c>
      <c r="B2021" s="1" t="n">
        <v>45092</v>
      </c>
      <c r="C2021" s="1" t="n">
        <v>45353</v>
      </c>
      <c r="D2021" t="inlineStr">
        <is>
          <t>VÄSTERNORRLANDS LÄN</t>
        </is>
      </c>
      <c r="E2021" t="inlineStr">
        <is>
          <t>SOLLEFTEÅ</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27534-2023</t>
        </is>
      </c>
      <c r="B2022" s="1" t="n">
        <v>45092</v>
      </c>
      <c r="C2022" s="1" t="n">
        <v>45353</v>
      </c>
      <c r="D2022" t="inlineStr">
        <is>
          <t>VÄSTERNORRLANDS LÄN</t>
        </is>
      </c>
      <c r="E2022" t="inlineStr">
        <is>
          <t>SOLLEFTEÅ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27381-2023</t>
        </is>
      </c>
      <c r="B2023" s="1" t="n">
        <v>45097</v>
      </c>
      <c r="C2023" s="1" t="n">
        <v>45353</v>
      </c>
      <c r="D2023" t="inlineStr">
        <is>
          <t>VÄSTERNORRLANDS LÄN</t>
        </is>
      </c>
      <c r="E2023" t="inlineStr">
        <is>
          <t>SOLLEFTEÅ</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27382-2023</t>
        </is>
      </c>
      <c r="B2024" s="1" t="n">
        <v>45097</v>
      </c>
      <c r="C2024" s="1" t="n">
        <v>45353</v>
      </c>
      <c r="D2024" t="inlineStr">
        <is>
          <t>VÄSTERNORRLANDS LÄN</t>
        </is>
      </c>
      <c r="E2024" t="inlineStr">
        <is>
          <t>SOLLEFTEÅ</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27384-2023</t>
        </is>
      </c>
      <c r="B2025" s="1" t="n">
        <v>45097</v>
      </c>
      <c r="C2025" s="1" t="n">
        <v>45353</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27392-2023</t>
        </is>
      </c>
      <c r="B2026" s="1" t="n">
        <v>45097</v>
      </c>
      <c r="C2026" s="1" t="n">
        <v>45353</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28653-2023</t>
        </is>
      </c>
      <c r="B2027" s="1" t="n">
        <v>45096</v>
      </c>
      <c r="C2027" s="1" t="n">
        <v>45353</v>
      </c>
      <c r="D2027" t="inlineStr">
        <is>
          <t>VÄSTERNORRLANDS LÄN</t>
        </is>
      </c>
      <c r="E2027" t="inlineStr">
        <is>
          <t>SOLLEFTEÅ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27383-2023</t>
        </is>
      </c>
      <c r="B2028" s="1" t="n">
        <v>45097</v>
      </c>
      <c r="C2028" s="1" t="n">
        <v>45353</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27391-2023</t>
        </is>
      </c>
      <c r="B2029" s="1" t="n">
        <v>45097</v>
      </c>
      <c r="C2029" s="1" t="n">
        <v>45353</v>
      </c>
      <c r="D2029" t="inlineStr">
        <is>
          <t>VÄSTERNORRLANDS LÄN</t>
        </is>
      </c>
      <c r="E2029" t="inlineStr">
        <is>
          <t>SOLLEFTEÅ</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27674-2023</t>
        </is>
      </c>
      <c r="B2030" s="1" t="n">
        <v>45097</v>
      </c>
      <c r="C2030" s="1" t="n">
        <v>45353</v>
      </c>
      <c r="D2030" t="inlineStr">
        <is>
          <t>VÄSTERNORRLANDS LÄN</t>
        </is>
      </c>
      <c r="E2030" t="inlineStr">
        <is>
          <t>SOLLEFTEÅ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29210-2023</t>
        </is>
      </c>
      <c r="B2031" s="1" t="n">
        <v>45097</v>
      </c>
      <c r="C2031" s="1" t="n">
        <v>45353</v>
      </c>
      <c r="D2031" t="inlineStr">
        <is>
          <t>VÄSTERNORRLANDS LÄN</t>
        </is>
      </c>
      <c r="E2031" t="inlineStr">
        <is>
          <t>SOLLEFTEÅ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29197-2023</t>
        </is>
      </c>
      <c r="B2032" s="1" t="n">
        <v>45097</v>
      </c>
      <c r="C2032" s="1" t="n">
        <v>45353</v>
      </c>
      <c r="D2032" t="inlineStr">
        <is>
          <t>VÄSTERNORRLANDS LÄN</t>
        </is>
      </c>
      <c r="E2032" t="inlineStr">
        <is>
          <t>SOLLEFTEÅ</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28384-2023</t>
        </is>
      </c>
      <c r="B2033" s="1" t="n">
        <v>45100</v>
      </c>
      <c r="C2033" s="1" t="n">
        <v>45353</v>
      </c>
      <c r="D2033" t="inlineStr">
        <is>
          <t>VÄSTERNORRLANDS LÄN</t>
        </is>
      </c>
      <c r="E2033" t="inlineStr">
        <is>
          <t>SOLLEFTEÅ</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28385-2023</t>
        </is>
      </c>
      <c r="B2034" s="1" t="n">
        <v>45099</v>
      </c>
      <c r="C2034" s="1" t="n">
        <v>45353</v>
      </c>
      <c r="D2034" t="inlineStr">
        <is>
          <t>VÄSTERNORRLANDS LÄN</t>
        </is>
      </c>
      <c r="E2034" t="inlineStr">
        <is>
          <t>SOLLEFTEÅ</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28374-2023</t>
        </is>
      </c>
      <c r="B2035" s="1" t="n">
        <v>45099</v>
      </c>
      <c r="C2035" s="1" t="n">
        <v>45353</v>
      </c>
      <c r="D2035" t="inlineStr">
        <is>
          <t>VÄSTERNORRLANDS LÄN</t>
        </is>
      </c>
      <c r="E2035" t="inlineStr">
        <is>
          <t>SOLLEFTEÅ</t>
        </is>
      </c>
      <c r="F2035" t="inlineStr">
        <is>
          <t>SCA</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28366-2023</t>
        </is>
      </c>
      <c r="B2036" s="1" t="n">
        <v>45099</v>
      </c>
      <c r="C2036" s="1" t="n">
        <v>45353</v>
      </c>
      <c r="D2036" t="inlineStr">
        <is>
          <t>VÄSTERNORRLANDS LÄN</t>
        </is>
      </c>
      <c r="E2036" t="inlineStr">
        <is>
          <t>SOLLEFTEÅ</t>
        </is>
      </c>
      <c r="F2036" t="inlineStr">
        <is>
          <t>SCA</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28383-2023</t>
        </is>
      </c>
      <c r="B2037" s="1" t="n">
        <v>45099</v>
      </c>
      <c r="C2037" s="1" t="n">
        <v>45353</v>
      </c>
      <c r="D2037" t="inlineStr">
        <is>
          <t>VÄSTERNORRLANDS LÄN</t>
        </is>
      </c>
      <c r="E2037" t="inlineStr">
        <is>
          <t>SOLLEFTEÅ</t>
        </is>
      </c>
      <c r="F2037" t="inlineStr">
        <is>
          <t>SCA</t>
        </is>
      </c>
      <c r="G2037" t="n">
        <v>20.6</v>
      </c>
      <c r="H2037" t="n">
        <v>0</v>
      </c>
      <c r="I2037" t="n">
        <v>0</v>
      </c>
      <c r="J2037" t="n">
        <v>0</v>
      </c>
      <c r="K2037" t="n">
        <v>0</v>
      </c>
      <c r="L2037" t="n">
        <v>0</v>
      </c>
      <c r="M2037" t="n">
        <v>0</v>
      </c>
      <c r="N2037" t="n">
        <v>0</v>
      </c>
      <c r="O2037" t="n">
        <v>0</v>
      </c>
      <c r="P2037" t="n">
        <v>0</v>
      </c>
      <c r="Q2037" t="n">
        <v>0</v>
      </c>
      <c r="R2037" s="2" t="inlineStr"/>
    </row>
    <row r="2038" ht="15" customHeight="1">
      <c r="A2038" t="inlineStr">
        <is>
          <t>A 28375-2023</t>
        </is>
      </c>
      <c r="B2038" s="1" t="n">
        <v>45100</v>
      </c>
      <c r="C2038" s="1" t="n">
        <v>45353</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30163-2023</t>
        </is>
      </c>
      <c r="B2039" s="1" t="n">
        <v>45099</v>
      </c>
      <c r="C2039" s="1" t="n">
        <v>45353</v>
      </c>
      <c r="D2039" t="inlineStr">
        <is>
          <t>VÄSTERNORRLANDS LÄN</t>
        </is>
      </c>
      <c r="E2039" t="inlineStr">
        <is>
          <t>SOLLEFTEÅ</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28736-2023</t>
        </is>
      </c>
      <c r="B2040" s="1" t="n">
        <v>45104</v>
      </c>
      <c r="C2040" s="1" t="n">
        <v>45353</v>
      </c>
      <c r="D2040" t="inlineStr">
        <is>
          <t>VÄSTERNORRLANDS LÄN</t>
        </is>
      </c>
      <c r="E2040" t="inlineStr">
        <is>
          <t>SOLLEFTEÅ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28749-2023</t>
        </is>
      </c>
      <c r="B2041" s="1" t="n">
        <v>45103</v>
      </c>
      <c r="C2041" s="1" t="n">
        <v>45353</v>
      </c>
      <c r="D2041" t="inlineStr">
        <is>
          <t>VÄSTERNORRLANDS LÄN</t>
        </is>
      </c>
      <c r="E2041" t="inlineStr">
        <is>
          <t>SOLLEFTEÅ</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29065-2023</t>
        </is>
      </c>
      <c r="B2042" s="1" t="n">
        <v>45105</v>
      </c>
      <c r="C2042" s="1" t="n">
        <v>45353</v>
      </c>
      <c r="D2042" t="inlineStr">
        <is>
          <t>VÄSTERNORRLANDS LÄN</t>
        </is>
      </c>
      <c r="E2042" t="inlineStr">
        <is>
          <t>SOLLEFTEÅ</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29062-2023</t>
        </is>
      </c>
      <c r="B2043" s="1" t="n">
        <v>45104</v>
      </c>
      <c r="C2043" s="1" t="n">
        <v>45353</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29064-2023</t>
        </is>
      </c>
      <c r="B2044" s="1" t="n">
        <v>45105</v>
      </c>
      <c r="C2044" s="1" t="n">
        <v>45353</v>
      </c>
      <c r="D2044" t="inlineStr">
        <is>
          <t>VÄSTERNORRLANDS LÄN</t>
        </is>
      </c>
      <c r="E2044" t="inlineStr">
        <is>
          <t>SOLLEFTEÅ</t>
        </is>
      </c>
      <c r="F2044" t="inlineStr">
        <is>
          <t>SCA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29070-2023</t>
        </is>
      </c>
      <c r="B2045" s="1" t="n">
        <v>45105</v>
      </c>
      <c r="C2045" s="1" t="n">
        <v>45353</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29306-2023</t>
        </is>
      </c>
      <c r="B2046" s="1" t="n">
        <v>45106</v>
      </c>
      <c r="C2046" s="1" t="n">
        <v>45353</v>
      </c>
      <c r="D2046" t="inlineStr">
        <is>
          <t>VÄSTERNORRLANDS LÄN</t>
        </is>
      </c>
      <c r="E2046" t="inlineStr">
        <is>
          <t>SOLLEFTEÅ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29337-2023</t>
        </is>
      </c>
      <c r="B2047" s="1" t="n">
        <v>45105</v>
      </c>
      <c r="C2047" s="1" t="n">
        <v>45353</v>
      </c>
      <c r="D2047" t="inlineStr">
        <is>
          <t>VÄSTERNORRLANDS LÄN</t>
        </is>
      </c>
      <c r="E2047" t="inlineStr">
        <is>
          <t>SOLLEFTEÅ</t>
        </is>
      </c>
      <c r="F2047" t="inlineStr">
        <is>
          <t>SCA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29336-2023</t>
        </is>
      </c>
      <c r="B2048" s="1" t="n">
        <v>45105</v>
      </c>
      <c r="C2048" s="1" t="n">
        <v>45353</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29339-2023</t>
        </is>
      </c>
      <c r="B2049" s="1" t="n">
        <v>45105</v>
      </c>
      <c r="C2049" s="1" t="n">
        <v>45353</v>
      </c>
      <c r="D2049" t="inlineStr">
        <is>
          <t>VÄSTERNORRLANDS LÄN</t>
        </is>
      </c>
      <c r="E2049" t="inlineStr">
        <is>
          <t>SOLLEFTEÅ</t>
        </is>
      </c>
      <c r="F2049" t="inlineStr">
        <is>
          <t>SCA</t>
        </is>
      </c>
      <c r="G2049" t="n">
        <v>10.4</v>
      </c>
      <c r="H2049" t="n">
        <v>0</v>
      </c>
      <c r="I2049" t="n">
        <v>0</v>
      </c>
      <c r="J2049" t="n">
        <v>0</v>
      </c>
      <c r="K2049" t="n">
        <v>0</v>
      </c>
      <c r="L2049" t="n">
        <v>0</v>
      </c>
      <c r="M2049" t="n">
        <v>0</v>
      </c>
      <c r="N2049" t="n">
        <v>0</v>
      </c>
      <c r="O2049" t="n">
        <v>0</v>
      </c>
      <c r="P2049" t="n">
        <v>0</v>
      </c>
      <c r="Q2049" t="n">
        <v>0</v>
      </c>
      <c r="R2049" s="2" t="inlineStr"/>
    </row>
    <row r="2050" ht="15" customHeight="1">
      <c r="A2050" t="inlineStr">
        <is>
          <t>A 29614-2023</t>
        </is>
      </c>
      <c r="B2050" s="1" t="n">
        <v>45107</v>
      </c>
      <c r="C2050" s="1" t="n">
        <v>45353</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29446-2023</t>
        </is>
      </c>
      <c r="B2051" s="1" t="n">
        <v>45106</v>
      </c>
      <c r="C2051" s="1" t="n">
        <v>45353</v>
      </c>
      <c r="D2051" t="inlineStr">
        <is>
          <t>VÄSTERNORRLANDS LÄN</t>
        </is>
      </c>
      <c r="E2051" t="inlineStr">
        <is>
          <t>SOLLEFTEÅ</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29612-2023</t>
        </is>
      </c>
      <c r="B2052" s="1" t="n">
        <v>45106</v>
      </c>
      <c r="C2052" s="1" t="n">
        <v>45353</v>
      </c>
      <c r="D2052" t="inlineStr">
        <is>
          <t>VÄSTERNORRLANDS LÄN</t>
        </is>
      </c>
      <c r="E2052" t="inlineStr">
        <is>
          <t>SOLLEFTEÅ</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29619-2023</t>
        </is>
      </c>
      <c r="B2053" s="1" t="n">
        <v>45106</v>
      </c>
      <c r="C2053" s="1" t="n">
        <v>45353</v>
      </c>
      <c r="D2053" t="inlineStr">
        <is>
          <t>VÄSTERNORRLANDS LÄN</t>
        </is>
      </c>
      <c r="E2053" t="inlineStr">
        <is>
          <t>SOLLEFTEÅ</t>
        </is>
      </c>
      <c r="F2053" t="inlineStr">
        <is>
          <t>SCA</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29611-2023</t>
        </is>
      </c>
      <c r="B2054" s="1" t="n">
        <v>45106</v>
      </c>
      <c r="C2054" s="1" t="n">
        <v>45353</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29832-2023</t>
        </is>
      </c>
      <c r="B2055" s="1" t="n">
        <v>45107</v>
      </c>
      <c r="C2055" s="1" t="n">
        <v>45353</v>
      </c>
      <c r="D2055" t="inlineStr">
        <is>
          <t>VÄSTERNORRLANDS LÄN</t>
        </is>
      </c>
      <c r="E2055" t="inlineStr">
        <is>
          <t>SOLLEFTEÅ</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29952-2023</t>
        </is>
      </c>
      <c r="B2056" s="1" t="n">
        <v>45107</v>
      </c>
      <c r="C2056" s="1" t="n">
        <v>45353</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29944-2023</t>
        </is>
      </c>
      <c r="B2057" s="1" t="n">
        <v>45108</v>
      </c>
      <c r="C2057" s="1" t="n">
        <v>45353</v>
      </c>
      <c r="D2057" t="inlineStr">
        <is>
          <t>VÄSTERNORRLANDS LÄN</t>
        </is>
      </c>
      <c r="E2057" t="inlineStr">
        <is>
          <t>SOLLEFTEÅ</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29956-2023</t>
        </is>
      </c>
      <c r="B2058" s="1" t="n">
        <v>45107</v>
      </c>
      <c r="C2058" s="1" t="n">
        <v>45353</v>
      </c>
      <c r="D2058" t="inlineStr">
        <is>
          <t>VÄSTERNORRLANDS LÄN</t>
        </is>
      </c>
      <c r="E2058" t="inlineStr">
        <is>
          <t>SOLLEFTEÅ</t>
        </is>
      </c>
      <c r="F2058" t="inlineStr">
        <is>
          <t>SCA</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29949-2023</t>
        </is>
      </c>
      <c r="B2059" s="1" t="n">
        <v>45107</v>
      </c>
      <c r="C2059" s="1" t="n">
        <v>45353</v>
      </c>
      <c r="D2059" t="inlineStr">
        <is>
          <t>VÄSTERNORRLANDS LÄN</t>
        </is>
      </c>
      <c r="E2059" t="inlineStr">
        <is>
          <t>SOLLEFTEÅ</t>
        </is>
      </c>
      <c r="F2059" t="inlineStr">
        <is>
          <t>SCA</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29957-2023</t>
        </is>
      </c>
      <c r="B2060" s="1" t="n">
        <v>45107</v>
      </c>
      <c r="C2060" s="1" t="n">
        <v>45353</v>
      </c>
      <c r="D2060" t="inlineStr">
        <is>
          <t>VÄSTERNORRLANDS LÄN</t>
        </is>
      </c>
      <c r="E2060" t="inlineStr">
        <is>
          <t>SOLLEFTEÅ</t>
        </is>
      </c>
      <c r="F2060" t="inlineStr">
        <is>
          <t>SCA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29946-2023</t>
        </is>
      </c>
      <c r="B2061" s="1" t="n">
        <v>45108</v>
      </c>
      <c r="C2061" s="1" t="n">
        <v>45353</v>
      </c>
      <c r="D2061" t="inlineStr">
        <is>
          <t>VÄSTERNORRLANDS LÄN</t>
        </is>
      </c>
      <c r="E2061" t="inlineStr">
        <is>
          <t>SOLLEFTEÅ</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29964-2023</t>
        </is>
      </c>
      <c r="B2062" s="1" t="n">
        <v>45108</v>
      </c>
      <c r="C2062" s="1" t="n">
        <v>45353</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30295-2023</t>
        </is>
      </c>
      <c r="B2063" s="1" t="n">
        <v>45110</v>
      </c>
      <c r="C2063" s="1" t="n">
        <v>45353</v>
      </c>
      <c r="D2063" t="inlineStr">
        <is>
          <t>VÄSTERNORRLANDS LÄN</t>
        </is>
      </c>
      <c r="E2063" t="inlineStr">
        <is>
          <t>SOLLEFTEÅ</t>
        </is>
      </c>
      <c r="F2063" t="inlineStr">
        <is>
          <t>SCA</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30567-2023</t>
        </is>
      </c>
      <c r="B2064" s="1" t="n">
        <v>45112</v>
      </c>
      <c r="C2064" s="1" t="n">
        <v>45353</v>
      </c>
      <c r="D2064" t="inlineStr">
        <is>
          <t>VÄSTERNORRLANDS LÄN</t>
        </is>
      </c>
      <c r="E2064" t="inlineStr">
        <is>
          <t>SOLLEFTEÅ</t>
        </is>
      </c>
      <c r="F2064" t="inlineStr">
        <is>
          <t>SCA</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30822-2023</t>
        </is>
      </c>
      <c r="B2065" s="1" t="n">
        <v>45113</v>
      </c>
      <c r="C2065" s="1" t="n">
        <v>45353</v>
      </c>
      <c r="D2065" t="inlineStr">
        <is>
          <t>VÄSTERNORRLANDS LÄN</t>
        </is>
      </c>
      <c r="E2065" t="inlineStr">
        <is>
          <t>SOLLEFTEÅ</t>
        </is>
      </c>
      <c r="F2065" t="inlineStr">
        <is>
          <t>SCA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30829-2023</t>
        </is>
      </c>
      <c r="B2066" s="1" t="n">
        <v>45113</v>
      </c>
      <c r="C2066" s="1" t="n">
        <v>45353</v>
      </c>
      <c r="D2066" t="inlineStr">
        <is>
          <t>VÄSTERNORRLANDS LÄN</t>
        </is>
      </c>
      <c r="E2066" t="inlineStr">
        <is>
          <t>SOLLEFTEÅ</t>
        </is>
      </c>
      <c r="F2066" t="inlineStr">
        <is>
          <t>SCA</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31177-2023</t>
        </is>
      </c>
      <c r="B2067" s="1" t="n">
        <v>45113</v>
      </c>
      <c r="C2067" s="1" t="n">
        <v>45353</v>
      </c>
      <c r="D2067" t="inlineStr">
        <is>
          <t>VÄSTERNORRLANDS LÄN</t>
        </is>
      </c>
      <c r="E2067" t="inlineStr">
        <is>
          <t>SOLLEFTEÅ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31179-2023</t>
        </is>
      </c>
      <c r="B2068" s="1" t="n">
        <v>45114</v>
      </c>
      <c r="C2068" s="1" t="n">
        <v>45353</v>
      </c>
      <c r="D2068" t="inlineStr">
        <is>
          <t>VÄSTERNORRLANDS LÄN</t>
        </is>
      </c>
      <c r="E2068" t="inlineStr">
        <is>
          <t>SOLLEFTEÅ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31178-2023</t>
        </is>
      </c>
      <c r="B2069" s="1" t="n">
        <v>45114</v>
      </c>
      <c r="C2069" s="1" t="n">
        <v>45353</v>
      </c>
      <c r="D2069" t="inlineStr">
        <is>
          <t>VÄSTERNORRLANDS LÄN</t>
        </is>
      </c>
      <c r="E2069" t="inlineStr">
        <is>
          <t>SOLLEFTEÅ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31387-2023</t>
        </is>
      </c>
      <c r="B2070" s="1" t="n">
        <v>45114</v>
      </c>
      <c r="C2070" s="1" t="n">
        <v>45353</v>
      </c>
      <c r="D2070" t="inlineStr">
        <is>
          <t>VÄSTERNORRLANDS LÄN</t>
        </is>
      </c>
      <c r="E2070" t="inlineStr">
        <is>
          <t>SOLLEFTEÅ</t>
        </is>
      </c>
      <c r="F2070" t="inlineStr">
        <is>
          <t>Övriga statliga verk och myndigheter</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33203-2023</t>
        </is>
      </c>
      <c r="B2071" s="1" t="n">
        <v>45114</v>
      </c>
      <c r="C2071" s="1" t="n">
        <v>45353</v>
      </c>
      <c r="D2071" t="inlineStr">
        <is>
          <t>VÄSTERNORRLANDS LÄN</t>
        </is>
      </c>
      <c r="E2071" t="inlineStr">
        <is>
          <t>SOLLEFTEÅ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31913-2023</t>
        </is>
      </c>
      <c r="B2072" s="1" t="n">
        <v>45118</v>
      </c>
      <c r="C2072" s="1" t="n">
        <v>45353</v>
      </c>
      <c r="D2072" t="inlineStr">
        <is>
          <t>VÄSTERNORRLANDS LÄN</t>
        </is>
      </c>
      <c r="E2072" t="inlineStr">
        <is>
          <t>SOLLEFTEÅ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31917-2023</t>
        </is>
      </c>
      <c r="B2073" s="1" t="n">
        <v>45119</v>
      </c>
      <c r="C2073" s="1" t="n">
        <v>45353</v>
      </c>
      <c r="D2073" t="inlineStr">
        <is>
          <t>VÄSTERNORRLANDS LÄN</t>
        </is>
      </c>
      <c r="E2073" t="inlineStr">
        <is>
          <t>SOLLEFTEÅ</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31915-2023</t>
        </is>
      </c>
      <c r="B2074" s="1" t="n">
        <v>45119</v>
      </c>
      <c r="C2074" s="1" t="n">
        <v>45353</v>
      </c>
      <c r="D2074" t="inlineStr">
        <is>
          <t>VÄSTERNORRLANDS LÄN</t>
        </is>
      </c>
      <c r="E2074" t="inlineStr">
        <is>
          <t>SOLLEFTEÅ</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31919-2023</t>
        </is>
      </c>
      <c r="B2075" s="1" t="n">
        <v>45118</v>
      </c>
      <c r="C2075" s="1" t="n">
        <v>45353</v>
      </c>
      <c r="D2075" t="inlineStr">
        <is>
          <t>VÄSTERNORRLANDS LÄN</t>
        </is>
      </c>
      <c r="E2075" t="inlineStr">
        <is>
          <t>SOLLEFTEÅ</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31923-2023</t>
        </is>
      </c>
      <c r="B2076" s="1" t="n">
        <v>45118</v>
      </c>
      <c r="C2076" s="1" t="n">
        <v>45353</v>
      </c>
      <c r="D2076" t="inlineStr">
        <is>
          <t>VÄSTERNORRLANDS LÄN</t>
        </is>
      </c>
      <c r="E2076" t="inlineStr">
        <is>
          <t>SOLLEFTEÅ</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31914-2023</t>
        </is>
      </c>
      <c r="B2077" s="1" t="n">
        <v>45118</v>
      </c>
      <c r="C2077" s="1" t="n">
        <v>45353</v>
      </c>
      <c r="D2077" t="inlineStr">
        <is>
          <t>VÄSTERNORRLANDS LÄN</t>
        </is>
      </c>
      <c r="E2077" t="inlineStr">
        <is>
          <t>SOLLEFTEÅ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31918-2023</t>
        </is>
      </c>
      <c r="B2078" s="1" t="n">
        <v>45118</v>
      </c>
      <c r="C2078" s="1" t="n">
        <v>45353</v>
      </c>
      <c r="D2078" t="inlineStr">
        <is>
          <t>VÄSTERNORRLANDS LÄN</t>
        </is>
      </c>
      <c r="E2078" t="inlineStr">
        <is>
          <t>SOLLEFTEÅ</t>
        </is>
      </c>
      <c r="F2078" t="inlineStr">
        <is>
          <t>SCA</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31922-2023</t>
        </is>
      </c>
      <c r="B2079" s="1" t="n">
        <v>45119</v>
      </c>
      <c r="C2079" s="1" t="n">
        <v>45353</v>
      </c>
      <c r="D2079" t="inlineStr">
        <is>
          <t>VÄSTERNORRLANDS LÄN</t>
        </is>
      </c>
      <c r="E2079" t="inlineStr">
        <is>
          <t>SOLLEFTEÅ</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31916-2023</t>
        </is>
      </c>
      <c r="B2080" s="1" t="n">
        <v>45119</v>
      </c>
      <c r="C2080" s="1" t="n">
        <v>45353</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31924-2023</t>
        </is>
      </c>
      <c r="B2081" s="1" t="n">
        <v>45118</v>
      </c>
      <c r="C2081" s="1" t="n">
        <v>45353</v>
      </c>
      <c r="D2081" t="inlineStr">
        <is>
          <t>VÄSTERNORRLANDS LÄN</t>
        </is>
      </c>
      <c r="E2081" t="inlineStr">
        <is>
          <t>SOLLEFTEÅ</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31921-2023</t>
        </is>
      </c>
      <c r="B2082" s="1" t="n">
        <v>45119</v>
      </c>
      <c r="C2082" s="1" t="n">
        <v>45353</v>
      </c>
      <c r="D2082" t="inlineStr">
        <is>
          <t>VÄSTERNORRLANDS LÄN</t>
        </is>
      </c>
      <c r="E2082" t="inlineStr">
        <is>
          <t>SOLLEFTEÅ</t>
        </is>
      </c>
      <c r="F2082" t="inlineStr">
        <is>
          <t>SCA</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31925-2023</t>
        </is>
      </c>
      <c r="B2083" s="1" t="n">
        <v>45118</v>
      </c>
      <c r="C2083" s="1" t="n">
        <v>45353</v>
      </c>
      <c r="D2083" t="inlineStr">
        <is>
          <t>VÄSTERNORRLANDS LÄN</t>
        </is>
      </c>
      <c r="E2083" t="inlineStr">
        <is>
          <t>SOLLEFTEÅ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32218-2023</t>
        </is>
      </c>
      <c r="B2084" s="1" t="n">
        <v>45120</v>
      </c>
      <c r="C2084" s="1" t="n">
        <v>45353</v>
      </c>
      <c r="D2084" t="inlineStr">
        <is>
          <t>VÄSTERNORRLANDS LÄN</t>
        </is>
      </c>
      <c r="E2084" t="inlineStr">
        <is>
          <t>SOLLEFTEÅ</t>
        </is>
      </c>
      <c r="F2084" t="inlineStr">
        <is>
          <t>SCA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33642-2023</t>
        </is>
      </c>
      <c r="B2085" s="1" t="n">
        <v>45119</v>
      </c>
      <c r="C2085" s="1" t="n">
        <v>45353</v>
      </c>
      <c r="D2085" t="inlineStr">
        <is>
          <t>VÄSTERNORRLANDS LÄN</t>
        </is>
      </c>
      <c r="E2085" t="inlineStr">
        <is>
          <t>SOLLEFTEÅ</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32216-2023</t>
        </is>
      </c>
      <c r="B2086" s="1" t="n">
        <v>45120</v>
      </c>
      <c r="C2086" s="1" t="n">
        <v>45353</v>
      </c>
      <c r="D2086" t="inlineStr">
        <is>
          <t>VÄSTERNORRLANDS LÄN</t>
        </is>
      </c>
      <c r="E2086" t="inlineStr">
        <is>
          <t>SOLLEFTEÅ</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32466-2023</t>
        </is>
      </c>
      <c r="B2087" s="1" t="n">
        <v>45120</v>
      </c>
      <c r="C2087" s="1" t="n">
        <v>45353</v>
      </c>
      <c r="D2087" t="inlineStr">
        <is>
          <t>VÄSTERNORRLANDS LÄN</t>
        </is>
      </c>
      <c r="E2087" t="inlineStr">
        <is>
          <t>SOLLEFTEÅ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32726-2023</t>
        </is>
      </c>
      <c r="B2088" s="1" t="n">
        <v>45121</v>
      </c>
      <c r="C2088" s="1" t="n">
        <v>45353</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32728-2023</t>
        </is>
      </c>
      <c r="B2089" s="1" t="n">
        <v>45121</v>
      </c>
      <c r="C2089" s="1" t="n">
        <v>45353</v>
      </c>
      <c r="D2089" t="inlineStr">
        <is>
          <t>VÄSTERNORRLANDS LÄN</t>
        </is>
      </c>
      <c r="E2089" t="inlineStr">
        <is>
          <t>SOLLEFTEÅ</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32733-2023</t>
        </is>
      </c>
      <c r="B2090" s="1" t="n">
        <v>45121</v>
      </c>
      <c r="C2090" s="1" t="n">
        <v>45353</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32727-2023</t>
        </is>
      </c>
      <c r="B2091" s="1" t="n">
        <v>45121</v>
      </c>
      <c r="C2091" s="1" t="n">
        <v>45353</v>
      </c>
      <c r="D2091" t="inlineStr">
        <is>
          <t>VÄSTERNORRLANDS LÄN</t>
        </is>
      </c>
      <c r="E2091" t="inlineStr">
        <is>
          <t>SOLLEFTEÅ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32735-2023</t>
        </is>
      </c>
      <c r="B2092" s="1" t="n">
        <v>45121</v>
      </c>
      <c r="C2092" s="1" t="n">
        <v>45353</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32780-2023</t>
        </is>
      </c>
      <c r="B2093" s="1" t="n">
        <v>45123</v>
      </c>
      <c r="C2093" s="1" t="n">
        <v>45353</v>
      </c>
      <c r="D2093" t="inlineStr">
        <is>
          <t>VÄSTERNORRLANDS LÄN</t>
        </is>
      </c>
      <c r="E2093" t="inlineStr">
        <is>
          <t>SOLLEFTEÅ</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33964-2023</t>
        </is>
      </c>
      <c r="B2094" s="1" t="n">
        <v>45124</v>
      </c>
      <c r="C2094" s="1" t="n">
        <v>45353</v>
      </c>
      <c r="D2094" t="inlineStr">
        <is>
          <t>VÄSTERNORRLANDS LÄN</t>
        </is>
      </c>
      <c r="E2094" t="inlineStr">
        <is>
          <t>SOLLEFTEÅ</t>
        </is>
      </c>
      <c r="F2094" t="inlineStr">
        <is>
          <t>SCA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33037-2023</t>
        </is>
      </c>
      <c r="B2095" s="1" t="n">
        <v>45126</v>
      </c>
      <c r="C2095" s="1" t="n">
        <v>45353</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34100-2023</t>
        </is>
      </c>
      <c r="B2096" s="1" t="n">
        <v>45125</v>
      </c>
      <c r="C2096" s="1" t="n">
        <v>45353</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33175-2023</t>
        </is>
      </c>
      <c r="B2097" s="1" t="n">
        <v>45126</v>
      </c>
      <c r="C2097" s="1" t="n">
        <v>45353</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33328-2023</t>
        </is>
      </c>
      <c r="B2098" s="1" t="n">
        <v>45127</v>
      </c>
      <c r="C2098" s="1" t="n">
        <v>45353</v>
      </c>
      <c r="D2098" t="inlineStr">
        <is>
          <t>VÄSTERNORRLANDS LÄN</t>
        </is>
      </c>
      <c r="E2098" t="inlineStr">
        <is>
          <t>SOLLEFTEÅ</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34284-2023</t>
        </is>
      </c>
      <c r="B2099" s="1" t="n">
        <v>45128</v>
      </c>
      <c r="C2099" s="1" t="n">
        <v>45353</v>
      </c>
      <c r="D2099" t="inlineStr">
        <is>
          <t>VÄSTERNORRLANDS LÄN</t>
        </is>
      </c>
      <c r="E2099" t="inlineStr">
        <is>
          <t>SOLLEFTEÅ</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33591-2023</t>
        </is>
      </c>
      <c r="B2100" s="1" t="n">
        <v>45131</v>
      </c>
      <c r="C2100" s="1" t="n">
        <v>45353</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33709-2023</t>
        </is>
      </c>
      <c r="B2101" s="1" t="n">
        <v>45133</v>
      </c>
      <c r="C2101" s="1" t="n">
        <v>45353</v>
      </c>
      <c r="D2101" t="inlineStr">
        <is>
          <t>VÄSTERNORRLANDS LÄN</t>
        </is>
      </c>
      <c r="E2101" t="inlineStr">
        <is>
          <t>SOLLEFTEÅ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33713-2023</t>
        </is>
      </c>
      <c r="B2102" s="1" t="n">
        <v>45133</v>
      </c>
      <c r="C2102" s="1" t="n">
        <v>45353</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33999-2023</t>
        </is>
      </c>
      <c r="B2103" s="1" t="n">
        <v>45134</v>
      </c>
      <c r="C2103" s="1" t="n">
        <v>45353</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34309-2023</t>
        </is>
      </c>
      <c r="B2104" s="1" t="n">
        <v>45139</v>
      </c>
      <c r="C2104" s="1" t="n">
        <v>45353</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34306-2023</t>
        </is>
      </c>
      <c r="B2105" s="1" t="n">
        <v>45138</v>
      </c>
      <c r="C2105" s="1" t="n">
        <v>45353</v>
      </c>
      <c r="D2105" t="inlineStr">
        <is>
          <t>VÄSTERNORRLANDS LÄN</t>
        </is>
      </c>
      <c r="E2105" t="inlineStr">
        <is>
          <t>SOLLEFTEÅ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34310-2023</t>
        </is>
      </c>
      <c r="B2106" s="1" t="n">
        <v>45139</v>
      </c>
      <c r="C2106" s="1" t="n">
        <v>45353</v>
      </c>
      <c r="D2106" t="inlineStr">
        <is>
          <t>VÄSTERNORRLANDS LÄN</t>
        </is>
      </c>
      <c r="E2106" t="inlineStr">
        <is>
          <t>SOLLEFTEÅ</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34308-2023</t>
        </is>
      </c>
      <c r="B2107" s="1" t="n">
        <v>45138</v>
      </c>
      <c r="C2107" s="1" t="n">
        <v>45353</v>
      </c>
      <c r="D2107" t="inlineStr">
        <is>
          <t>VÄSTERNORRLANDS LÄN</t>
        </is>
      </c>
      <c r="E2107" t="inlineStr">
        <is>
          <t>SOLLEFTEÅ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34329-2023</t>
        </is>
      </c>
      <c r="B2108" s="1" t="n">
        <v>45139</v>
      </c>
      <c r="C2108" s="1" t="n">
        <v>45353</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34330-2023</t>
        </is>
      </c>
      <c r="B2109" s="1" t="n">
        <v>45138</v>
      </c>
      <c r="C2109" s="1" t="n">
        <v>45353</v>
      </c>
      <c r="D2109" t="inlineStr">
        <is>
          <t>VÄSTERNORRLANDS LÄN</t>
        </is>
      </c>
      <c r="E2109" t="inlineStr">
        <is>
          <t>SOLLEFTEÅ</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34328-2023</t>
        </is>
      </c>
      <c r="B2110" s="1" t="n">
        <v>45139</v>
      </c>
      <c r="C2110" s="1" t="n">
        <v>45353</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34307-2023</t>
        </is>
      </c>
      <c r="B2111" s="1" t="n">
        <v>45138</v>
      </c>
      <c r="C2111" s="1" t="n">
        <v>45353</v>
      </c>
      <c r="D2111" t="inlineStr">
        <is>
          <t>VÄSTERNORRLANDS LÄN</t>
        </is>
      </c>
      <c r="E2111" t="inlineStr">
        <is>
          <t>SOLLEFTEÅ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34311-2023</t>
        </is>
      </c>
      <c r="B2112" s="1" t="n">
        <v>45139</v>
      </c>
      <c r="C2112" s="1" t="n">
        <v>45353</v>
      </c>
      <c r="D2112" t="inlineStr">
        <is>
          <t>VÄSTERNORRLANDS LÄN</t>
        </is>
      </c>
      <c r="E2112" t="inlineStr">
        <is>
          <t>SOLLEFTEÅ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34327-2023</t>
        </is>
      </c>
      <c r="B2113" s="1" t="n">
        <v>45139</v>
      </c>
      <c r="C2113" s="1" t="n">
        <v>45353</v>
      </c>
      <c r="D2113" t="inlineStr">
        <is>
          <t>VÄSTERNORRLANDS LÄN</t>
        </is>
      </c>
      <c r="E2113" t="inlineStr">
        <is>
          <t>SOLLEFTEÅ</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34487-2023</t>
        </is>
      </c>
      <c r="B2114" s="1" t="n">
        <v>45140</v>
      </c>
      <c r="C2114" s="1" t="n">
        <v>45353</v>
      </c>
      <c r="D2114" t="inlineStr">
        <is>
          <t>VÄSTERNORRLANDS LÄN</t>
        </is>
      </c>
      <c r="E2114" t="inlineStr">
        <is>
          <t>SOLLEFTEÅ</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34741-2023</t>
        </is>
      </c>
      <c r="B2115" s="1" t="n">
        <v>45139</v>
      </c>
      <c r="C2115" s="1" t="n">
        <v>45353</v>
      </c>
      <c r="D2115" t="inlineStr">
        <is>
          <t>VÄSTERNORRLANDS LÄN</t>
        </is>
      </c>
      <c r="E2115" t="inlineStr">
        <is>
          <t>SOLLEFTEÅ</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34737-2023</t>
        </is>
      </c>
      <c r="B2116" s="1" t="n">
        <v>45139</v>
      </c>
      <c r="C2116" s="1" t="n">
        <v>45353</v>
      </c>
      <c r="D2116" t="inlineStr">
        <is>
          <t>VÄSTERNORRLANDS LÄN</t>
        </is>
      </c>
      <c r="E2116" t="inlineStr">
        <is>
          <t>SOLLEFTEÅ</t>
        </is>
      </c>
      <c r="F2116" t="inlineStr">
        <is>
          <t>SCA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34687-2023</t>
        </is>
      </c>
      <c r="B2117" s="1" t="n">
        <v>45141</v>
      </c>
      <c r="C2117" s="1" t="n">
        <v>45353</v>
      </c>
      <c r="D2117" t="inlineStr">
        <is>
          <t>VÄSTERNORRLANDS LÄN</t>
        </is>
      </c>
      <c r="E2117" t="inlineStr">
        <is>
          <t>SOLLEFTEÅ</t>
        </is>
      </c>
      <c r="F2117" t="inlineStr">
        <is>
          <t>SCA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34699-2023</t>
        </is>
      </c>
      <c r="B2118" s="1" t="n">
        <v>45141</v>
      </c>
      <c r="C2118" s="1" t="n">
        <v>45353</v>
      </c>
      <c r="D2118" t="inlineStr">
        <is>
          <t>VÄSTERNORRLANDS LÄN</t>
        </is>
      </c>
      <c r="E2118" t="inlineStr">
        <is>
          <t>SOLLEFTEÅ</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34686-2023</t>
        </is>
      </c>
      <c r="B2119" s="1" t="n">
        <v>45141</v>
      </c>
      <c r="C2119" s="1" t="n">
        <v>45353</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34696-2023</t>
        </is>
      </c>
      <c r="B2120" s="1" t="n">
        <v>45141</v>
      </c>
      <c r="C2120" s="1" t="n">
        <v>45353</v>
      </c>
      <c r="D2120" t="inlineStr">
        <is>
          <t>VÄSTERNORRLANDS LÄN</t>
        </is>
      </c>
      <c r="E2120" t="inlineStr">
        <is>
          <t>SOLLEFTEÅ</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34983-2023</t>
        </is>
      </c>
      <c r="B2121" s="1" t="n">
        <v>45141</v>
      </c>
      <c r="C2121" s="1" t="n">
        <v>45353</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34848-2023</t>
        </is>
      </c>
      <c r="B2122" s="1" t="n">
        <v>45142</v>
      </c>
      <c r="C2122" s="1" t="n">
        <v>45353</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35147-2023</t>
        </is>
      </c>
      <c r="B2123" s="1" t="n">
        <v>45142</v>
      </c>
      <c r="C2123" s="1" t="n">
        <v>45353</v>
      </c>
      <c r="D2123" t="inlineStr">
        <is>
          <t>VÄSTERNORRLANDS LÄN</t>
        </is>
      </c>
      <c r="E2123" t="inlineStr">
        <is>
          <t>SOLLEFTEÅ</t>
        </is>
      </c>
      <c r="F2123" t="inlineStr">
        <is>
          <t>SCA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35276-2023</t>
        </is>
      </c>
      <c r="B2124" s="1" t="n">
        <v>45146</v>
      </c>
      <c r="C2124" s="1" t="n">
        <v>45353</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35295-2023</t>
        </is>
      </c>
      <c r="B2125" s="1" t="n">
        <v>45145</v>
      </c>
      <c r="C2125" s="1" t="n">
        <v>45353</v>
      </c>
      <c r="D2125" t="inlineStr">
        <is>
          <t>VÄSTERNORRLANDS LÄN</t>
        </is>
      </c>
      <c r="E2125" t="inlineStr">
        <is>
          <t>SOLLEFTEÅ</t>
        </is>
      </c>
      <c r="F2125" t="inlineStr">
        <is>
          <t>SCA</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35277-2023</t>
        </is>
      </c>
      <c r="B2126" s="1" t="n">
        <v>45145</v>
      </c>
      <c r="C2126" s="1" t="n">
        <v>45353</v>
      </c>
      <c r="D2126" t="inlineStr">
        <is>
          <t>VÄSTERNORRLANDS LÄN</t>
        </is>
      </c>
      <c r="E2126" t="inlineStr">
        <is>
          <t>SOLLEFTEÅ</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35352-2023</t>
        </is>
      </c>
      <c r="B2127" s="1" t="n">
        <v>45145</v>
      </c>
      <c r="C2127" s="1" t="n">
        <v>45353</v>
      </c>
      <c r="D2127" t="inlineStr">
        <is>
          <t>VÄSTERNORRLANDS LÄN</t>
        </is>
      </c>
      <c r="E2127" t="inlineStr">
        <is>
          <t>SOLLEFTEÅ</t>
        </is>
      </c>
      <c r="F2127" t="inlineStr">
        <is>
          <t>SCA</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35470-2023</t>
        </is>
      </c>
      <c r="B2128" s="1" t="n">
        <v>45146</v>
      </c>
      <c r="C2128" s="1" t="n">
        <v>45353</v>
      </c>
      <c r="D2128" t="inlineStr">
        <is>
          <t>VÄSTERNORRLANDS LÄN</t>
        </is>
      </c>
      <c r="E2128" t="inlineStr">
        <is>
          <t>SOLLEFTEÅ</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35511-2023</t>
        </is>
      </c>
      <c r="B2129" s="1" t="n">
        <v>45146</v>
      </c>
      <c r="C2129" s="1" t="n">
        <v>45353</v>
      </c>
      <c r="D2129" t="inlineStr">
        <is>
          <t>VÄSTERNORRLANDS LÄN</t>
        </is>
      </c>
      <c r="E2129" t="inlineStr">
        <is>
          <t>SOLLEFTEÅ</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35505-2023</t>
        </is>
      </c>
      <c r="B2130" s="1" t="n">
        <v>45147</v>
      </c>
      <c r="C2130" s="1" t="n">
        <v>45353</v>
      </c>
      <c r="D2130" t="inlineStr">
        <is>
          <t>VÄSTERNORRLANDS LÄN</t>
        </is>
      </c>
      <c r="E2130" t="inlineStr">
        <is>
          <t>SOLLEFTEÅ</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35509-2023</t>
        </is>
      </c>
      <c r="B2131" s="1" t="n">
        <v>45147</v>
      </c>
      <c r="C2131" s="1" t="n">
        <v>45353</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35569-2023</t>
        </is>
      </c>
      <c r="B2132" s="1" t="n">
        <v>45147</v>
      </c>
      <c r="C2132" s="1" t="n">
        <v>45353</v>
      </c>
      <c r="D2132" t="inlineStr">
        <is>
          <t>VÄSTERNORRLANDS LÄN</t>
        </is>
      </c>
      <c r="E2132" t="inlineStr">
        <is>
          <t>SOLLEFTEÅ</t>
        </is>
      </c>
      <c r="F2132" t="inlineStr">
        <is>
          <t>Holmen skog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35746-2023</t>
        </is>
      </c>
      <c r="B2133" s="1" t="n">
        <v>45148</v>
      </c>
      <c r="C2133" s="1" t="n">
        <v>45353</v>
      </c>
      <c r="D2133" t="inlineStr">
        <is>
          <t>VÄSTERNORRLANDS LÄN</t>
        </is>
      </c>
      <c r="E2133" t="inlineStr">
        <is>
          <t>SOLLEFTEÅ</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35556-2023</t>
        </is>
      </c>
      <c r="B2134" s="1" t="n">
        <v>45147</v>
      </c>
      <c r="C2134" s="1" t="n">
        <v>45353</v>
      </c>
      <c r="D2134" t="inlineStr">
        <is>
          <t>VÄSTERNORRLANDS LÄN</t>
        </is>
      </c>
      <c r="E2134" t="inlineStr">
        <is>
          <t>SOLLEFTEÅ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35764-2023</t>
        </is>
      </c>
      <c r="B2135" s="1" t="n">
        <v>45147</v>
      </c>
      <c r="C2135" s="1" t="n">
        <v>45353</v>
      </c>
      <c r="D2135" t="inlineStr">
        <is>
          <t>VÄSTERNORRLANDS LÄN</t>
        </is>
      </c>
      <c r="E2135" t="inlineStr">
        <is>
          <t>SOLLEFTEÅ</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35745-2023</t>
        </is>
      </c>
      <c r="B2136" s="1" t="n">
        <v>45148</v>
      </c>
      <c r="C2136" s="1" t="n">
        <v>45353</v>
      </c>
      <c r="D2136" t="inlineStr">
        <is>
          <t>VÄSTERNORRLANDS LÄN</t>
        </is>
      </c>
      <c r="E2136" t="inlineStr">
        <is>
          <t>SOLLEFTEÅ</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35761-2023</t>
        </is>
      </c>
      <c r="B2137" s="1" t="n">
        <v>45148</v>
      </c>
      <c r="C2137" s="1" t="n">
        <v>45353</v>
      </c>
      <c r="D2137" t="inlineStr">
        <is>
          <t>VÄSTERNORRLANDS LÄN</t>
        </is>
      </c>
      <c r="E2137" t="inlineStr">
        <is>
          <t>SOLLEFTEÅ</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35945-2023</t>
        </is>
      </c>
      <c r="B2138" s="1" t="n">
        <v>45148</v>
      </c>
      <c r="C2138" s="1" t="n">
        <v>45353</v>
      </c>
      <c r="D2138" t="inlineStr">
        <is>
          <t>VÄSTERNORRLANDS LÄN</t>
        </is>
      </c>
      <c r="E2138" t="inlineStr">
        <is>
          <t>SOLLEFTEÅ</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35980-2023</t>
        </is>
      </c>
      <c r="B2139" s="1" t="n">
        <v>45149</v>
      </c>
      <c r="C2139" s="1" t="n">
        <v>45353</v>
      </c>
      <c r="D2139" t="inlineStr">
        <is>
          <t>VÄSTERNORRLANDS LÄN</t>
        </is>
      </c>
      <c r="E2139" t="inlineStr">
        <is>
          <t>SOLLEFTEÅ</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35975-2023</t>
        </is>
      </c>
      <c r="B2140" s="1" t="n">
        <v>45148</v>
      </c>
      <c r="C2140" s="1" t="n">
        <v>45353</v>
      </c>
      <c r="D2140" t="inlineStr">
        <is>
          <t>VÄSTERNORRLANDS LÄN</t>
        </is>
      </c>
      <c r="E2140" t="inlineStr">
        <is>
          <t>SOLLEFTEÅ</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35974-2023</t>
        </is>
      </c>
      <c r="B2141" s="1" t="n">
        <v>45148</v>
      </c>
      <c r="C2141" s="1" t="n">
        <v>45353</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35978-2023</t>
        </is>
      </c>
      <c r="B2142" s="1" t="n">
        <v>45148</v>
      </c>
      <c r="C2142" s="1" t="n">
        <v>45353</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35977-2023</t>
        </is>
      </c>
      <c r="B2143" s="1" t="n">
        <v>45149</v>
      </c>
      <c r="C2143" s="1" t="n">
        <v>45353</v>
      </c>
      <c r="D2143" t="inlineStr">
        <is>
          <t>VÄSTERNORRLANDS LÄN</t>
        </is>
      </c>
      <c r="E2143" t="inlineStr">
        <is>
          <t>SOLLEFTEÅ</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36211-2023</t>
        </is>
      </c>
      <c r="B2144" s="1" t="n">
        <v>45150</v>
      </c>
      <c r="C2144" s="1" t="n">
        <v>45353</v>
      </c>
      <c r="D2144" t="inlineStr">
        <is>
          <t>VÄSTERNORRLANDS LÄN</t>
        </is>
      </c>
      <c r="E2144" t="inlineStr">
        <is>
          <t>SOLLEFTEÅ</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36222-2023</t>
        </is>
      </c>
      <c r="B2145" s="1" t="n">
        <v>45150</v>
      </c>
      <c r="C2145" s="1" t="n">
        <v>45353</v>
      </c>
      <c r="D2145" t="inlineStr">
        <is>
          <t>VÄSTERNORRLANDS LÄN</t>
        </is>
      </c>
      <c r="E2145" t="inlineStr">
        <is>
          <t>SOLLEFTEÅ</t>
        </is>
      </c>
      <c r="F2145" t="inlineStr">
        <is>
          <t>SCA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36511-2023</t>
        </is>
      </c>
      <c r="B2146" s="1" t="n">
        <v>45153</v>
      </c>
      <c r="C2146" s="1" t="n">
        <v>45353</v>
      </c>
      <c r="D2146" t="inlineStr">
        <is>
          <t>VÄSTERNORRLANDS LÄN</t>
        </is>
      </c>
      <c r="E2146" t="inlineStr">
        <is>
          <t>SOLLEFTEÅ</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36514-2023</t>
        </is>
      </c>
      <c r="B2147" s="1" t="n">
        <v>45153</v>
      </c>
      <c r="C2147" s="1" t="n">
        <v>45353</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36508-2023</t>
        </is>
      </c>
      <c r="B2148" s="1" t="n">
        <v>45153</v>
      </c>
      <c r="C2148" s="1" t="n">
        <v>45353</v>
      </c>
      <c r="D2148" t="inlineStr">
        <is>
          <t>VÄSTERNORRLANDS LÄN</t>
        </is>
      </c>
      <c r="E2148" t="inlineStr">
        <is>
          <t>SOLLEFTEÅ</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36512-2023</t>
        </is>
      </c>
      <c r="B2149" s="1" t="n">
        <v>45152</v>
      </c>
      <c r="C2149" s="1" t="n">
        <v>45353</v>
      </c>
      <c r="D2149" t="inlineStr">
        <is>
          <t>VÄSTERNORRLANDS LÄN</t>
        </is>
      </c>
      <c r="E2149" t="inlineStr">
        <is>
          <t>SOLLEFTEÅ</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36513-2023</t>
        </is>
      </c>
      <c r="B2150" s="1" t="n">
        <v>45153</v>
      </c>
      <c r="C2150" s="1" t="n">
        <v>45353</v>
      </c>
      <c r="D2150" t="inlineStr">
        <is>
          <t>VÄSTERNORRLANDS LÄN</t>
        </is>
      </c>
      <c r="E2150" t="inlineStr">
        <is>
          <t>SOLLEFTEÅ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36770-2023</t>
        </is>
      </c>
      <c r="B2151" s="1" t="n">
        <v>45153</v>
      </c>
      <c r="C2151" s="1" t="n">
        <v>45353</v>
      </c>
      <c r="D2151" t="inlineStr">
        <is>
          <t>VÄSTERNORRLANDS LÄN</t>
        </is>
      </c>
      <c r="E2151" t="inlineStr">
        <is>
          <t>SOLLEFTEÅ</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36771-2023</t>
        </is>
      </c>
      <c r="B2152" s="1" t="n">
        <v>45153</v>
      </c>
      <c r="C2152" s="1" t="n">
        <v>45353</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36944-2023</t>
        </is>
      </c>
      <c r="B2153" s="1" t="n">
        <v>45154</v>
      </c>
      <c r="C2153" s="1" t="n">
        <v>45353</v>
      </c>
      <c r="D2153" t="inlineStr">
        <is>
          <t>VÄSTERNORRLANDS LÄN</t>
        </is>
      </c>
      <c r="E2153" t="inlineStr">
        <is>
          <t>SOLLEFTEÅ</t>
        </is>
      </c>
      <c r="F2153" t="inlineStr">
        <is>
          <t>Övriga Aktiebolag</t>
        </is>
      </c>
      <c r="G2153" t="n">
        <v>16.9</v>
      </c>
      <c r="H2153" t="n">
        <v>0</v>
      </c>
      <c r="I2153" t="n">
        <v>0</v>
      </c>
      <c r="J2153" t="n">
        <v>0</v>
      </c>
      <c r="K2153" t="n">
        <v>0</v>
      </c>
      <c r="L2153" t="n">
        <v>0</v>
      </c>
      <c r="M2153" t="n">
        <v>0</v>
      </c>
      <c r="N2153" t="n">
        <v>0</v>
      </c>
      <c r="O2153" t="n">
        <v>0</v>
      </c>
      <c r="P2153" t="n">
        <v>0</v>
      </c>
      <c r="Q2153" t="n">
        <v>0</v>
      </c>
      <c r="R2153" s="2" t="inlineStr"/>
    </row>
    <row r="2154" ht="15" customHeight="1">
      <c r="A2154" t="inlineStr">
        <is>
          <t>A 36976-2023</t>
        </is>
      </c>
      <c r="B2154" s="1" t="n">
        <v>45155</v>
      </c>
      <c r="C2154" s="1" t="n">
        <v>45353</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36977-2023</t>
        </is>
      </c>
      <c r="B2155" s="1" t="n">
        <v>45155</v>
      </c>
      <c r="C2155" s="1" t="n">
        <v>45353</v>
      </c>
      <c r="D2155" t="inlineStr">
        <is>
          <t>VÄSTERNORRLANDS LÄN</t>
        </is>
      </c>
      <c r="E2155" t="inlineStr">
        <is>
          <t>SOLLEFTEÅ</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36967-2023</t>
        </is>
      </c>
      <c r="B2156" s="1" t="n">
        <v>45155</v>
      </c>
      <c r="C2156" s="1" t="n">
        <v>45353</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37269-2023</t>
        </is>
      </c>
      <c r="B2157" s="1" t="n">
        <v>45155</v>
      </c>
      <c r="C2157" s="1" t="n">
        <v>45353</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37412-2023</t>
        </is>
      </c>
      <c r="B2158" s="1" t="n">
        <v>45155</v>
      </c>
      <c r="C2158" s="1" t="n">
        <v>45353</v>
      </c>
      <c r="D2158" t="inlineStr">
        <is>
          <t>VÄSTERNORRLANDS LÄN</t>
        </is>
      </c>
      <c r="E2158" t="inlineStr">
        <is>
          <t>SOLLEFTEÅ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37381-2023</t>
        </is>
      </c>
      <c r="B2159" s="1" t="n">
        <v>45155</v>
      </c>
      <c r="C2159" s="1" t="n">
        <v>45353</v>
      </c>
      <c r="D2159" t="inlineStr">
        <is>
          <t>VÄSTERNORRLANDS LÄN</t>
        </is>
      </c>
      <c r="E2159" t="inlineStr">
        <is>
          <t>SOLLEFTEÅ</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37484-2023</t>
        </is>
      </c>
      <c r="B2160" s="1" t="n">
        <v>45156</v>
      </c>
      <c r="C2160" s="1" t="n">
        <v>45353</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37615-2023</t>
        </is>
      </c>
      <c r="B2161" s="1" t="n">
        <v>45156</v>
      </c>
      <c r="C2161" s="1" t="n">
        <v>45353</v>
      </c>
      <c r="D2161" t="inlineStr">
        <is>
          <t>VÄSTERNORRLANDS LÄN</t>
        </is>
      </c>
      <c r="E2161" t="inlineStr">
        <is>
          <t>SOLLEFTEÅ</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37711-2023</t>
        </is>
      </c>
      <c r="B2162" s="1" t="n">
        <v>45156</v>
      </c>
      <c r="C2162" s="1" t="n">
        <v>45353</v>
      </c>
      <c r="D2162" t="inlineStr">
        <is>
          <t>VÄSTERNORRLANDS LÄN</t>
        </is>
      </c>
      <c r="E2162" t="inlineStr">
        <is>
          <t>SOLLEFTEÅ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37735-2023</t>
        </is>
      </c>
      <c r="B2163" s="1" t="n">
        <v>45156</v>
      </c>
      <c r="C2163" s="1" t="n">
        <v>45353</v>
      </c>
      <c r="D2163" t="inlineStr">
        <is>
          <t>VÄSTERNORRLANDS LÄN</t>
        </is>
      </c>
      <c r="E2163" t="inlineStr">
        <is>
          <t>SOLLEFTEÅ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37486-2023</t>
        </is>
      </c>
      <c r="B2164" s="1" t="n">
        <v>45157</v>
      </c>
      <c r="C2164" s="1" t="n">
        <v>45353</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37691-2023</t>
        </is>
      </c>
      <c r="B2165" s="1" t="n">
        <v>45156</v>
      </c>
      <c r="C2165" s="1" t="n">
        <v>45353</v>
      </c>
      <c r="D2165" t="inlineStr">
        <is>
          <t>VÄSTERNORRLANDS LÄN</t>
        </is>
      </c>
      <c r="E2165" t="inlineStr">
        <is>
          <t>SOLLEFTEÅ</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37722-2023</t>
        </is>
      </c>
      <c r="B2166" s="1" t="n">
        <v>45156</v>
      </c>
      <c r="C2166" s="1" t="n">
        <v>45353</v>
      </c>
      <c r="D2166" t="inlineStr">
        <is>
          <t>VÄSTERNORRLANDS LÄN</t>
        </is>
      </c>
      <c r="E2166" t="inlineStr">
        <is>
          <t>SOLLEFTEÅ</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37611-2023</t>
        </is>
      </c>
      <c r="B2167" s="1" t="n">
        <v>45156</v>
      </c>
      <c r="C2167" s="1" t="n">
        <v>45353</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37671-2023</t>
        </is>
      </c>
      <c r="B2168" s="1" t="n">
        <v>45156</v>
      </c>
      <c r="C2168" s="1" t="n">
        <v>45353</v>
      </c>
      <c r="D2168" t="inlineStr">
        <is>
          <t>VÄSTERNORRLANDS LÄN</t>
        </is>
      </c>
      <c r="E2168" t="inlineStr">
        <is>
          <t>SOLLEFTEÅ</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37696-2023</t>
        </is>
      </c>
      <c r="B2169" s="1" t="n">
        <v>45156</v>
      </c>
      <c r="C2169" s="1" t="n">
        <v>45353</v>
      </c>
      <c r="D2169" t="inlineStr">
        <is>
          <t>VÄSTERNORRLANDS LÄN</t>
        </is>
      </c>
      <c r="E2169" t="inlineStr">
        <is>
          <t>SOLLEFTEÅ</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37726-2023</t>
        </is>
      </c>
      <c r="B2170" s="1" t="n">
        <v>45156</v>
      </c>
      <c r="C2170" s="1" t="n">
        <v>45353</v>
      </c>
      <c r="D2170" t="inlineStr">
        <is>
          <t>VÄSTERNORRLANDS LÄN</t>
        </is>
      </c>
      <c r="E2170" t="inlineStr">
        <is>
          <t>SOLLEFTEÅ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37483-2023</t>
        </is>
      </c>
      <c r="B2171" s="1" t="n">
        <v>45157</v>
      </c>
      <c r="C2171" s="1" t="n">
        <v>45353</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37487-2023</t>
        </is>
      </c>
      <c r="B2172" s="1" t="n">
        <v>45157</v>
      </c>
      <c r="C2172" s="1" t="n">
        <v>45353</v>
      </c>
      <c r="D2172" t="inlineStr">
        <is>
          <t>VÄSTERNORRLANDS LÄN</t>
        </is>
      </c>
      <c r="E2172" t="inlineStr">
        <is>
          <t>SOLLEFTEÅ</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37699-2023</t>
        </is>
      </c>
      <c r="B2173" s="1" t="n">
        <v>45156</v>
      </c>
      <c r="C2173" s="1" t="n">
        <v>45353</v>
      </c>
      <c r="D2173" t="inlineStr">
        <is>
          <t>VÄSTERNORRLANDS LÄN</t>
        </is>
      </c>
      <c r="E2173" t="inlineStr">
        <is>
          <t>SOLLEFTEÅ</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37731-2023</t>
        </is>
      </c>
      <c r="B2174" s="1" t="n">
        <v>45156</v>
      </c>
      <c r="C2174" s="1" t="n">
        <v>45353</v>
      </c>
      <c r="D2174" t="inlineStr">
        <is>
          <t>VÄSTERNORRLANDS LÄN</t>
        </is>
      </c>
      <c r="E2174" t="inlineStr">
        <is>
          <t>SOLLEFTEÅ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37807-2023</t>
        </is>
      </c>
      <c r="B2175" s="1" t="n">
        <v>45160</v>
      </c>
      <c r="C2175" s="1" t="n">
        <v>45353</v>
      </c>
      <c r="D2175" t="inlineStr">
        <is>
          <t>VÄSTERNORRLANDS LÄN</t>
        </is>
      </c>
      <c r="E2175" t="inlineStr">
        <is>
          <t>SOLLEFTEÅ</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38093-2023</t>
        </is>
      </c>
      <c r="B2176" s="1" t="n">
        <v>45160</v>
      </c>
      <c r="C2176" s="1" t="n">
        <v>45353</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38097-2023</t>
        </is>
      </c>
      <c r="B2177" s="1" t="n">
        <v>45160</v>
      </c>
      <c r="C2177" s="1" t="n">
        <v>45353</v>
      </c>
      <c r="D2177" t="inlineStr">
        <is>
          <t>VÄSTERNORRLANDS LÄN</t>
        </is>
      </c>
      <c r="E2177" t="inlineStr">
        <is>
          <t>SOLLEFTEÅ</t>
        </is>
      </c>
      <c r="F2177" t="inlineStr">
        <is>
          <t>SCA</t>
        </is>
      </c>
      <c r="G2177" t="n">
        <v>47.1</v>
      </c>
      <c r="H2177" t="n">
        <v>0</v>
      </c>
      <c r="I2177" t="n">
        <v>0</v>
      </c>
      <c r="J2177" t="n">
        <v>0</v>
      </c>
      <c r="K2177" t="n">
        <v>0</v>
      </c>
      <c r="L2177" t="n">
        <v>0</v>
      </c>
      <c r="M2177" t="n">
        <v>0</v>
      </c>
      <c r="N2177" t="n">
        <v>0</v>
      </c>
      <c r="O2177" t="n">
        <v>0</v>
      </c>
      <c r="P2177" t="n">
        <v>0</v>
      </c>
      <c r="Q2177" t="n">
        <v>0</v>
      </c>
      <c r="R2177" s="2" t="inlineStr"/>
    </row>
    <row r="2178" ht="15" customHeight="1">
      <c r="A2178" t="inlineStr">
        <is>
          <t>A 38092-2023</t>
        </is>
      </c>
      <c r="B2178" s="1" t="n">
        <v>45161</v>
      </c>
      <c r="C2178" s="1" t="n">
        <v>45353</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38100-2023</t>
        </is>
      </c>
      <c r="B2179" s="1" t="n">
        <v>45161</v>
      </c>
      <c r="C2179" s="1" t="n">
        <v>45353</v>
      </c>
      <c r="D2179" t="inlineStr">
        <is>
          <t>VÄSTERNORRLANDS LÄN</t>
        </is>
      </c>
      <c r="E2179" t="inlineStr">
        <is>
          <t>SOLLEFTEÅ</t>
        </is>
      </c>
      <c r="F2179" t="inlineStr">
        <is>
          <t>SCA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38375-2023</t>
        </is>
      </c>
      <c r="B2180" s="1" t="n">
        <v>45161</v>
      </c>
      <c r="C2180" s="1" t="n">
        <v>45353</v>
      </c>
      <c r="D2180" t="inlineStr">
        <is>
          <t>VÄSTERNORRLANDS LÄN</t>
        </is>
      </c>
      <c r="E2180" t="inlineStr">
        <is>
          <t>SOLLEFTEÅ</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39077-2023</t>
        </is>
      </c>
      <c r="B2181" s="1" t="n">
        <v>45164</v>
      </c>
      <c r="C2181" s="1" t="n">
        <v>45353</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39399-2023</t>
        </is>
      </c>
      <c r="B2182" s="1" t="n">
        <v>45163</v>
      </c>
      <c r="C2182" s="1" t="n">
        <v>45353</v>
      </c>
      <c r="D2182" t="inlineStr">
        <is>
          <t>VÄSTERNORRLANDS LÄN</t>
        </is>
      </c>
      <c r="E2182" t="inlineStr">
        <is>
          <t>SOLLEFTEÅ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39058-2023</t>
        </is>
      </c>
      <c r="B2183" s="1" t="n">
        <v>45164</v>
      </c>
      <c r="C2183" s="1" t="n">
        <v>45353</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39379-2023</t>
        </is>
      </c>
      <c r="B2184" s="1" t="n">
        <v>45163</v>
      </c>
      <c r="C2184" s="1" t="n">
        <v>45353</v>
      </c>
      <c r="D2184" t="inlineStr">
        <is>
          <t>VÄSTERNORRLANDS LÄN</t>
        </is>
      </c>
      <c r="E2184" t="inlineStr">
        <is>
          <t>SOLLEFTEÅ</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39496-2023</t>
        </is>
      </c>
      <c r="B2185" s="1" t="n">
        <v>45167</v>
      </c>
      <c r="C2185" s="1" t="n">
        <v>45353</v>
      </c>
      <c r="D2185" t="inlineStr">
        <is>
          <t>VÄSTERNORRLANDS LÄN</t>
        </is>
      </c>
      <c r="E2185" t="inlineStr">
        <is>
          <t>SOLLEFTEÅ</t>
        </is>
      </c>
      <c r="F2185" t="inlineStr">
        <is>
          <t>SCA</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39497-2023</t>
        </is>
      </c>
      <c r="B2186" s="1" t="n">
        <v>45167</v>
      </c>
      <c r="C2186" s="1" t="n">
        <v>45353</v>
      </c>
      <c r="D2186" t="inlineStr">
        <is>
          <t>VÄSTERNORRLANDS LÄN</t>
        </is>
      </c>
      <c r="E2186" t="inlineStr">
        <is>
          <t>SOLLEFTEÅ</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39727-2023</t>
        </is>
      </c>
      <c r="B2187" s="1" t="n">
        <v>45166</v>
      </c>
      <c r="C2187" s="1" t="n">
        <v>45353</v>
      </c>
      <c r="D2187" t="inlineStr">
        <is>
          <t>VÄSTERNORRLANDS LÄN</t>
        </is>
      </c>
      <c r="E2187" t="inlineStr">
        <is>
          <t>SOLLEFTEÅ</t>
        </is>
      </c>
      <c r="F2187" t="inlineStr">
        <is>
          <t>SCA</t>
        </is>
      </c>
      <c r="G2187" t="n">
        <v>45.3</v>
      </c>
      <c r="H2187" t="n">
        <v>0</v>
      </c>
      <c r="I2187" t="n">
        <v>0</v>
      </c>
      <c r="J2187" t="n">
        <v>0</v>
      </c>
      <c r="K2187" t="n">
        <v>0</v>
      </c>
      <c r="L2187" t="n">
        <v>0</v>
      </c>
      <c r="M2187" t="n">
        <v>0</v>
      </c>
      <c r="N2187" t="n">
        <v>0</v>
      </c>
      <c r="O2187" t="n">
        <v>0</v>
      </c>
      <c r="P2187" t="n">
        <v>0</v>
      </c>
      <c r="Q2187" t="n">
        <v>0</v>
      </c>
      <c r="R2187" s="2" t="inlineStr"/>
    </row>
    <row r="2188" ht="15" customHeight="1">
      <c r="A2188" t="inlineStr">
        <is>
          <t>A 39495-2023</t>
        </is>
      </c>
      <c r="B2188" s="1" t="n">
        <v>45167</v>
      </c>
      <c r="C2188" s="1" t="n">
        <v>45353</v>
      </c>
      <c r="D2188" t="inlineStr">
        <is>
          <t>VÄSTERNORRLANDS LÄN</t>
        </is>
      </c>
      <c r="E2188" t="inlineStr">
        <is>
          <t>SOLLEFTEÅ</t>
        </is>
      </c>
      <c r="F2188" t="inlineStr">
        <is>
          <t>SCA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40098-2023</t>
        </is>
      </c>
      <c r="B2189" s="1" t="n">
        <v>45169</v>
      </c>
      <c r="C2189" s="1" t="n">
        <v>45353</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40099-2023</t>
        </is>
      </c>
      <c r="B2190" s="1" t="n">
        <v>45169</v>
      </c>
      <c r="C2190" s="1" t="n">
        <v>45353</v>
      </c>
      <c r="D2190" t="inlineStr">
        <is>
          <t>VÄSTERNORRLANDS LÄN</t>
        </is>
      </c>
      <c r="E2190" t="inlineStr">
        <is>
          <t>SOLLEFTEÅ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40115-2023</t>
        </is>
      </c>
      <c r="B2191" s="1" t="n">
        <v>45169</v>
      </c>
      <c r="C2191" s="1" t="n">
        <v>45353</v>
      </c>
      <c r="D2191" t="inlineStr">
        <is>
          <t>VÄSTERNORRLANDS LÄN</t>
        </is>
      </c>
      <c r="E2191" t="inlineStr">
        <is>
          <t>SOLLEFTEÅ</t>
        </is>
      </c>
      <c r="F2191" t="inlineStr">
        <is>
          <t>SCA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40202-2023</t>
        </is>
      </c>
      <c r="B2192" s="1" t="n">
        <v>45169</v>
      </c>
      <c r="C2192" s="1" t="n">
        <v>45353</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40403-2023</t>
        </is>
      </c>
      <c r="B2193" s="1" t="n">
        <v>45170</v>
      </c>
      <c r="C2193" s="1" t="n">
        <v>45353</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40404-2023</t>
        </is>
      </c>
      <c r="B2194" s="1" t="n">
        <v>45170</v>
      </c>
      <c r="C2194" s="1" t="n">
        <v>45353</v>
      </c>
      <c r="D2194" t="inlineStr">
        <is>
          <t>VÄSTERNORRLANDS LÄN</t>
        </is>
      </c>
      <c r="E2194" t="inlineStr">
        <is>
          <t>SOLLEFTEÅ</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40429-2023</t>
        </is>
      </c>
      <c r="B2195" s="1" t="n">
        <v>45169</v>
      </c>
      <c r="C2195" s="1" t="n">
        <v>45353</v>
      </c>
      <c r="D2195" t="inlineStr">
        <is>
          <t>VÄSTERNORRLANDS LÄN</t>
        </is>
      </c>
      <c r="E2195" t="inlineStr">
        <is>
          <t>SOLLEFTEÅ</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40421-2023</t>
        </is>
      </c>
      <c r="B2196" s="1" t="n">
        <v>45170</v>
      </c>
      <c r="C2196" s="1" t="n">
        <v>45353</v>
      </c>
      <c r="D2196" t="inlineStr">
        <is>
          <t>VÄSTERNORRLANDS LÄN</t>
        </is>
      </c>
      <c r="E2196" t="inlineStr">
        <is>
          <t>SOLLEFTEÅ</t>
        </is>
      </c>
      <c r="F2196" t="inlineStr">
        <is>
          <t>SCA</t>
        </is>
      </c>
      <c r="G2196" t="n">
        <v>10.2</v>
      </c>
      <c r="H2196" t="n">
        <v>0</v>
      </c>
      <c r="I2196" t="n">
        <v>0</v>
      </c>
      <c r="J2196" t="n">
        <v>0</v>
      </c>
      <c r="K2196" t="n">
        <v>0</v>
      </c>
      <c r="L2196" t="n">
        <v>0</v>
      </c>
      <c r="M2196" t="n">
        <v>0</v>
      </c>
      <c r="N2196" t="n">
        <v>0</v>
      </c>
      <c r="O2196" t="n">
        <v>0</v>
      </c>
      <c r="P2196" t="n">
        <v>0</v>
      </c>
      <c r="Q2196" t="n">
        <v>0</v>
      </c>
      <c r="R2196" s="2" t="inlineStr"/>
    </row>
    <row r="2197" ht="15" customHeight="1">
      <c r="A2197" t="inlineStr">
        <is>
          <t>A 40766-2023</t>
        </is>
      </c>
      <c r="B2197" s="1" t="n">
        <v>45170</v>
      </c>
      <c r="C2197" s="1" t="n">
        <v>45353</v>
      </c>
      <c r="D2197" t="inlineStr">
        <is>
          <t>VÄSTERNORRLANDS LÄN</t>
        </is>
      </c>
      <c r="E2197" t="inlineStr">
        <is>
          <t>SOLLEFTEÅ</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40764-2023</t>
        </is>
      </c>
      <c r="B2198" s="1" t="n">
        <v>45170</v>
      </c>
      <c r="C2198" s="1" t="n">
        <v>45353</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41145-2023</t>
        </is>
      </c>
      <c r="B2199" s="1" t="n">
        <v>45174</v>
      </c>
      <c r="C2199" s="1" t="n">
        <v>45353</v>
      </c>
      <c r="D2199" t="inlineStr">
        <is>
          <t>VÄSTERNORRLANDS LÄN</t>
        </is>
      </c>
      <c r="E2199" t="inlineStr">
        <is>
          <t>SOLLEFTEÅ</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41146-2023</t>
        </is>
      </c>
      <c r="B2200" s="1" t="n">
        <v>45174</v>
      </c>
      <c r="C2200" s="1" t="n">
        <v>45353</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41143-2023</t>
        </is>
      </c>
      <c r="B2201" s="1" t="n">
        <v>45174</v>
      </c>
      <c r="C2201" s="1" t="n">
        <v>45353</v>
      </c>
      <c r="D2201" t="inlineStr">
        <is>
          <t>VÄSTERNORRLANDS LÄN</t>
        </is>
      </c>
      <c r="E2201" t="inlineStr">
        <is>
          <t>SOLLEFTEÅ</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41257-2023</t>
        </is>
      </c>
      <c r="B2202" s="1" t="n">
        <v>45174</v>
      </c>
      <c r="C2202" s="1" t="n">
        <v>45353</v>
      </c>
      <c r="D2202" t="inlineStr">
        <is>
          <t>VÄSTERNORRLANDS LÄN</t>
        </is>
      </c>
      <c r="E2202" t="inlineStr">
        <is>
          <t>SOLLEFTEÅ</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41655-2023</t>
        </is>
      </c>
      <c r="B2203" s="1" t="n">
        <v>45176</v>
      </c>
      <c r="C2203" s="1" t="n">
        <v>45353</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41933-2023</t>
        </is>
      </c>
      <c r="B2204" s="1" t="n">
        <v>45177</v>
      </c>
      <c r="C2204" s="1" t="n">
        <v>45353</v>
      </c>
      <c r="D2204" t="inlineStr">
        <is>
          <t>VÄSTERNORRLANDS LÄN</t>
        </is>
      </c>
      <c r="E2204" t="inlineStr">
        <is>
          <t>SOLLEFTEÅ</t>
        </is>
      </c>
      <c r="F2204" t="inlineStr">
        <is>
          <t>SCA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41924-2023</t>
        </is>
      </c>
      <c r="B2205" s="1" t="n">
        <v>45176</v>
      </c>
      <c r="C2205" s="1" t="n">
        <v>45353</v>
      </c>
      <c r="D2205" t="inlineStr">
        <is>
          <t>VÄSTERNORRLANDS LÄN</t>
        </is>
      </c>
      <c r="E2205" t="inlineStr">
        <is>
          <t>SOLLEFTEÅ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42150-2023</t>
        </is>
      </c>
      <c r="B2206" s="1" t="n">
        <v>45178</v>
      </c>
      <c r="C2206" s="1" t="n">
        <v>45353</v>
      </c>
      <c r="D2206" t="inlineStr">
        <is>
          <t>VÄSTERNORRLANDS LÄN</t>
        </is>
      </c>
      <c r="E2206" t="inlineStr">
        <is>
          <t>SOLLEFTEÅ</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42162-2023</t>
        </is>
      </c>
      <c r="B2207" s="1" t="n">
        <v>45178</v>
      </c>
      <c r="C2207" s="1" t="n">
        <v>45353</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42140-2023</t>
        </is>
      </c>
      <c r="B2208" s="1" t="n">
        <v>45178</v>
      </c>
      <c r="C2208" s="1" t="n">
        <v>45353</v>
      </c>
      <c r="D2208" t="inlineStr">
        <is>
          <t>VÄSTERNORRLANDS LÄN</t>
        </is>
      </c>
      <c r="E2208" t="inlineStr">
        <is>
          <t>SOLLEFTEÅ</t>
        </is>
      </c>
      <c r="G2208" t="n">
        <v>13.3</v>
      </c>
      <c r="H2208" t="n">
        <v>0</v>
      </c>
      <c r="I2208" t="n">
        <v>0</v>
      </c>
      <c r="J2208" t="n">
        <v>0</v>
      </c>
      <c r="K2208" t="n">
        <v>0</v>
      </c>
      <c r="L2208" t="n">
        <v>0</v>
      </c>
      <c r="M2208" t="n">
        <v>0</v>
      </c>
      <c r="N2208" t="n">
        <v>0</v>
      </c>
      <c r="O2208" t="n">
        <v>0</v>
      </c>
      <c r="P2208" t="n">
        <v>0</v>
      </c>
      <c r="Q2208" t="n">
        <v>0</v>
      </c>
      <c r="R2208" s="2" t="inlineStr"/>
    </row>
    <row r="2209" ht="15" customHeight="1">
      <c r="A2209" t="inlineStr">
        <is>
          <t>A 42160-2023</t>
        </is>
      </c>
      <c r="B2209" s="1" t="n">
        <v>45177</v>
      </c>
      <c r="C2209" s="1" t="n">
        <v>45353</v>
      </c>
      <c r="D2209" t="inlineStr">
        <is>
          <t>VÄSTERNORRLANDS LÄN</t>
        </is>
      </c>
      <c r="E2209" t="inlineStr">
        <is>
          <t>SOLLEFTEÅ</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42164-2023</t>
        </is>
      </c>
      <c r="B2210" s="1" t="n">
        <v>45178</v>
      </c>
      <c r="C2210" s="1" t="n">
        <v>45353</v>
      </c>
      <c r="D2210" t="inlineStr">
        <is>
          <t>VÄSTERNORRLANDS LÄN</t>
        </is>
      </c>
      <c r="E2210" t="inlineStr">
        <is>
          <t>SOLLEFTEÅ</t>
        </is>
      </c>
      <c r="F2210" t="inlineStr">
        <is>
          <t>SCA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42147-2023</t>
        </is>
      </c>
      <c r="B2211" s="1" t="n">
        <v>45177</v>
      </c>
      <c r="C2211" s="1" t="n">
        <v>45353</v>
      </c>
      <c r="D2211" t="inlineStr">
        <is>
          <t>VÄSTERNORRLANDS LÄN</t>
        </is>
      </c>
      <c r="E2211" t="inlineStr">
        <is>
          <t>SOLLEFTEÅ</t>
        </is>
      </c>
      <c r="G2211" t="n">
        <v>24.4</v>
      </c>
      <c r="H2211" t="n">
        <v>0</v>
      </c>
      <c r="I2211" t="n">
        <v>0</v>
      </c>
      <c r="J2211" t="n">
        <v>0</v>
      </c>
      <c r="K2211" t="n">
        <v>0</v>
      </c>
      <c r="L2211" t="n">
        <v>0</v>
      </c>
      <c r="M2211" t="n">
        <v>0</v>
      </c>
      <c r="N2211" t="n">
        <v>0</v>
      </c>
      <c r="O2211" t="n">
        <v>0</v>
      </c>
      <c r="P2211" t="n">
        <v>0</v>
      </c>
      <c r="Q2211" t="n">
        <v>0</v>
      </c>
      <c r="R2211" s="2" t="inlineStr"/>
    </row>
    <row r="2212" ht="15" customHeight="1">
      <c r="A2212" t="inlineStr">
        <is>
          <t>A 42440-2023</t>
        </is>
      </c>
      <c r="B2212" s="1" t="n">
        <v>45180</v>
      </c>
      <c r="C2212" s="1" t="n">
        <v>45353</v>
      </c>
      <c r="D2212" t="inlineStr">
        <is>
          <t>VÄSTERNORRLANDS LÄN</t>
        </is>
      </c>
      <c r="E2212" t="inlineStr">
        <is>
          <t>SOLLEFTEÅ</t>
        </is>
      </c>
      <c r="F2212" t="inlineStr">
        <is>
          <t>Holmen skog AB</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42514-2023</t>
        </is>
      </c>
      <c r="B2213" s="1" t="n">
        <v>45181</v>
      </c>
      <c r="C2213" s="1" t="n">
        <v>45353</v>
      </c>
      <c r="D2213" t="inlineStr">
        <is>
          <t>VÄSTERNORRLANDS LÄN</t>
        </is>
      </c>
      <c r="E2213" t="inlineStr">
        <is>
          <t>SOLLEFTEÅ</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42512-2023</t>
        </is>
      </c>
      <c r="B2214" s="1" t="n">
        <v>45181</v>
      </c>
      <c r="C2214" s="1" t="n">
        <v>45353</v>
      </c>
      <c r="D2214" t="inlineStr">
        <is>
          <t>VÄSTERNORRLANDS LÄN</t>
        </is>
      </c>
      <c r="E2214" t="inlineStr">
        <is>
          <t>SOLLEFTEÅ</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43487-2023</t>
        </is>
      </c>
      <c r="B2215" s="1" t="n">
        <v>45181</v>
      </c>
      <c r="C2215" s="1" t="n">
        <v>45353</v>
      </c>
      <c r="D2215" t="inlineStr">
        <is>
          <t>VÄSTERNORRLANDS LÄN</t>
        </is>
      </c>
      <c r="E2215" t="inlineStr">
        <is>
          <t>SOLLEFTEÅ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43177-2023</t>
        </is>
      </c>
      <c r="B2216" s="1" t="n">
        <v>45181</v>
      </c>
      <c r="C2216" s="1" t="n">
        <v>45353</v>
      </c>
      <c r="D2216" t="inlineStr">
        <is>
          <t>VÄSTERNORRLANDS LÄN</t>
        </is>
      </c>
      <c r="E2216" t="inlineStr">
        <is>
          <t>SOLLEFTEÅ</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43512-2023</t>
        </is>
      </c>
      <c r="B2217" s="1" t="n">
        <v>45181</v>
      </c>
      <c r="C2217" s="1" t="n">
        <v>45353</v>
      </c>
      <c r="D2217" t="inlineStr">
        <is>
          <t>VÄSTERNORRLANDS LÄN</t>
        </is>
      </c>
      <c r="E2217" t="inlineStr">
        <is>
          <t>SOLLEFTEÅ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44533-2023</t>
        </is>
      </c>
      <c r="B2218" s="1" t="n">
        <v>45183</v>
      </c>
      <c r="C2218" s="1" t="n">
        <v>45353</v>
      </c>
      <c r="D2218" t="inlineStr">
        <is>
          <t>VÄSTERNORRLANDS LÄN</t>
        </is>
      </c>
      <c r="E2218" t="inlineStr">
        <is>
          <t>SOLLEFTEÅ</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43531-2023</t>
        </is>
      </c>
      <c r="B2219" s="1" t="n">
        <v>45184</v>
      </c>
      <c r="C2219" s="1" t="n">
        <v>45353</v>
      </c>
      <c r="D2219" t="inlineStr">
        <is>
          <t>VÄSTERNORRLANDS LÄN</t>
        </is>
      </c>
      <c r="E2219" t="inlineStr">
        <is>
          <t>SOLLEFTEÅ</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43504-2023</t>
        </is>
      </c>
      <c r="B2220" s="1" t="n">
        <v>45184</v>
      </c>
      <c r="C2220" s="1" t="n">
        <v>45353</v>
      </c>
      <c r="D2220" t="inlineStr">
        <is>
          <t>VÄSTERNORRLANDS LÄN</t>
        </is>
      </c>
      <c r="E2220" t="inlineStr">
        <is>
          <t>SOLLEFTEÅ</t>
        </is>
      </c>
      <c r="F2220" t="inlineStr">
        <is>
          <t>Holmen skog AB</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43954-2023</t>
        </is>
      </c>
      <c r="B2221" s="1" t="n">
        <v>45187</v>
      </c>
      <c r="C2221" s="1" t="n">
        <v>45353</v>
      </c>
      <c r="D2221" t="inlineStr">
        <is>
          <t>VÄSTERNORRLANDS LÄN</t>
        </is>
      </c>
      <c r="E2221" t="inlineStr">
        <is>
          <t>SOLLEFTEÅ</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45193-2023</t>
        </is>
      </c>
      <c r="B2222" s="1" t="n">
        <v>45187</v>
      </c>
      <c r="C2222" s="1" t="n">
        <v>45353</v>
      </c>
      <c r="D2222" t="inlineStr">
        <is>
          <t>VÄSTERNORRLANDS LÄN</t>
        </is>
      </c>
      <c r="E2222" t="inlineStr">
        <is>
          <t>SOLLEFTEÅ</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44389-2023</t>
        </is>
      </c>
      <c r="B2223" s="1" t="n">
        <v>45189</v>
      </c>
      <c r="C2223" s="1" t="n">
        <v>45353</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44393-2023</t>
        </is>
      </c>
      <c r="B2224" s="1" t="n">
        <v>45189</v>
      </c>
      <c r="C2224" s="1" t="n">
        <v>45353</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44388-2023</t>
        </is>
      </c>
      <c r="B2225" s="1" t="n">
        <v>45189</v>
      </c>
      <c r="C2225" s="1" t="n">
        <v>45353</v>
      </c>
      <c r="D2225" t="inlineStr">
        <is>
          <t>VÄSTERNORRLANDS LÄN</t>
        </is>
      </c>
      <c r="E2225" t="inlineStr">
        <is>
          <t>SOLLEFTEÅ</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44392-2023</t>
        </is>
      </c>
      <c r="B2226" s="1" t="n">
        <v>45189</v>
      </c>
      <c r="C2226" s="1" t="n">
        <v>45353</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44408-2023</t>
        </is>
      </c>
      <c r="B2227" s="1" t="n">
        <v>45189</v>
      </c>
      <c r="C2227" s="1" t="n">
        <v>45353</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44391-2023</t>
        </is>
      </c>
      <c r="B2228" s="1" t="n">
        <v>45189</v>
      </c>
      <c r="C2228" s="1" t="n">
        <v>45353</v>
      </c>
      <c r="D2228" t="inlineStr">
        <is>
          <t>VÄSTERNORRLANDS LÄN</t>
        </is>
      </c>
      <c r="E2228" t="inlineStr">
        <is>
          <t>SOLLEFTEÅ</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44407-2023</t>
        </is>
      </c>
      <c r="B2229" s="1" t="n">
        <v>45189</v>
      </c>
      <c r="C2229" s="1" t="n">
        <v>45353</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45644-2023</t>
        </is>
      </c>
      <c r="B2230" s="1" t="n">
        <v>45188</v>
      </c>
      <c r="C2230" s="1" t="n">
        <v>45353</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c r="U2230">
        <f>HYPERLINK("https://klasma.github.io/Logging_2283/knärot/A 45644-2023 karta knärot.png", "A 45644-2023")</f>
        <v/>
      </c>
      <c r="V2230">
        <f>HYPERLINK("https://klasma.github.io/Logging_2283/klagomål/A 45644-2023 FSC-klagomål.docx", "A 45644-2023")</f>
        <v/>
      </c>
      <c r="W2230">
        <f>HYPERLINK("https://klasma.github.io/Logging_2283/klagomålsmail/A 45644-2023 FSC-klagomål mail.docx", "A 45644-2023")</f>
        <v/>
      </c>
      <c r="X2230">
        <f>HYPERLINK("https://klasma.github.io/Logging_2283/tillsyn/A 45644-2023 tillsynsbegäran.docx", "A 45644-2023")</f>
        <v/>
      </c>
      <c r="Y2230">
        <f>HYPERLINK("https://klasma.github.io/Logging_2283/tillsynsmail/A 45644-2023 tillsynsbegäran mail.docx", "A 45644-2023")</f>
        <v/>
      </c>
    </row>
    <row r="2231" ht="15" customHeight="1">
      <c r="A2231" t="inlineStr">
        <is>
          <t>A 44410-2023</t>
        </is>
      </c>
      <c r="B2231" s="1" t="n">
        <v>45189</v>
      </c>
      <c r="C2231" s="1" t="n">
        <v>45353</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44905-2023</t>
        </is>
      </c>
      <c r="B2232" s="1" t="n">
        <v>45189</v>
      </c>
      <c r="C2232" s="1" t="n">
        <v>45353</v>
      </c>
      <c r="D2232" t="inlineStr">
        <is>
          <t>VÄSTERNORRLANDS LÄN</t>
        </is>
      </c>
      <c r="E2232" t="inlineStr">
        <is>
          <t>SOLLEFTEÅ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44781-2023</t>
        </is>
      </c>
      <c r="B2233" s="1" t="n">
        <v>45190</v>
      </c>
      <c r="C2233" s="1" t="n">
        <v>45353</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45007-2023</t>
        </is>
      </c>
      <c r="B2234" s="1" t="n">
        <v>45190</v>
      </c>
      <c r="C2234" s="1" t="n">
        <v>45353</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45015-2023</t>
        </is>
      </c>
      <c r="B2235" s="1" t="n">
        <v>45191</v>
      </c>
      <c r="C2235" s="1" t="n">
        <v>45353</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44984-2023</t>
        </is>
      </c>
      <c r="B2236" s="1" t="n">
        <v>45191</v>
      </c>
      <c r="C2236" s="1" t="n">
        <v>45353</v>
      </c>
      <c r="D2236" t="inlineStr">
        <is>
          <t>VÄSTERNORRLANDS LÄN</t>
        </is>
      </c>
      <c r="E2236" t="inlineStr">
        <is>
          <t>SOLLEFTEÅ</t>
        </is>
      </c>
      <c r="F2236" t="inlineStr">
        <is>
          <t>SCA</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45016-2023</t>
        </is>
      </c>
      <c r="B2237" s="1" t="n">
        <v>45191</v>
      </c>
      <c r="C2237" s="1" t="n">
        <v>45353</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44986-2023</t>
        </is>
      </c>
      <c r="B2238" s="1" t="n">
        <v>45190</v>
      </c>
      <c r="C2238" s="1" t="n">
        <v>45353</v>
      </c>
      <c r="D2238" t="inlineStr">
        <is>
          <t>VÄSTERNORRLANDS LÄN</t>
        </is>
      </c>
      <c r="E2238" t="inlineStr">
        <is>
          <t>SOLLEFTEÅ</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44994-2023</t>
        </is>
      </c>
      <c r="B2239" s="1" t="n">
        <v>45190</v>
      </c>
      <c r="C2239" s="1" t="n">
        <v>45353</v>
      </c>
      <c r="D2239" t="inlineStr">
        <is>
          <t>VÄSTERNORRLANDS LÄN</t>
        </is>
      </c>
      <c r="E2239" t="inlineStr">
        <is>
          <t>SOLLEFTEÅ</t>
        </is>
      </c>
      <c r="F2239" t="inlineStr">
        <is>
          <t>SCA</t>
        </is>
      </c>
      <c r="G2239" t="n">
        <v>26.8</v>
      </c>
      <c r="H2239" t="n">
        <v>0</v>
      </c>
      <c r="I2239" t="n">
        <v>0</v>
      </c>
      <c r="J2239" t="n">
        <v>0</v>
      </c>
      <c r="K2239" t="n">
        <v>0</v>
      </c>
      <c r="L2239" t="n">
        <v>0</v>
      </c>
      <c r="M2239" t="n">
        <v>0</v>
      </c>
      <c r="N2239" t="n">
        <v>0</v>
      </c>
      <c r="O2239" t="n">
        <v>0</v>
      </c>
      <c r="P2239" t="n">
        <v>0</v>
      </c>
      <c r="Q2239" t="n">
        <v>0</v>
      </c>
      <c r="R2239" s="2" t="inlineStr"/>
    </row>
    <row r="2240" ht="15" customHeight="1">
      <c r="A2240" t="inlineStr">
        <is>
          <t>A 44998-2023</t>
        </is>
      </c>
      <c r="B2240" s="1" t="n">
        <v>45191</v>
      </c>
      <c r="C2240" s="1" t="n">
        <v>45353</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45014-2023</t>
        </is>
      </c>
      <c r="B2241" s="1" t="n">
        <v>45191</v>
      </c>
      <c r="C2241" s="1" t="n">
        <v>45353</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45017-2023</t>
        </is>
      </c>
      <c r="B2242" s="1" t="n">
        <v>45190</v>
      </c>
      <c r="C2242" s="1" t="n">
        <v>45353</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46212-2023</t>
        </is>
      </c>
      <c r="B2243" s="1" t="n">
        <v>45190</v>
      </c>
      <c r="C2243" s="1" t="n">
        <v>45353</v>
      </c>
      <c r="D2243" t="inlineStr">
        <is>
          <t>VÄSTERNORRLANDS LÄN</t>
        </is>
      </c>
      <c r="E2243" t="inlineStr">
        <is>
          <t>SOLLEFTEÅ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46207-2023</t>
        </is>
      </c>
      <c r="B2244" s="1" t="n">
        <v>45190</v>
      </c>
      <c r="C2244" s="1" t="n">
        <v>45353</v>
      </c>
      <c r="D2244" t="inlineStr">
        <is>
          <t>VÄSTERNORRLANDS LÄN</t>
        </is>
      </c>
      <c r="E2244" t="inlineStr">
        <is>
          <t>SOLLEFTEÅ</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46357-2023</t>
        </is>
      </c>
      <c r="B2245" s="1" t="n">
        <v>45191</v>
      </c>
      <c r="C2245" s="1" t="n">
        <v>45353</v>
      </c>
      <c r="D2245" t="inlineStr">
        <is>
          <t>VÄSTERNORRLANDS LÄN</t>
        </is>
      </c>
      <c r="E2245" t="inlineStr">
        <is>
          <t>SOLLEFTEÅ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46344-2023</t>
        </is>
      </c>
      <c r="B2246" s="1" t="n">
        <v>45191</v>
      </c>
      <c r="C2246" s="1" t="n">
        <v>45353</v>
      </c>
      <c r="D2246" t="inlineStr">
        <is>
          <t>VÄSTERNORRLANDS LÄN</t>
        </is>
      </c>
      <c r="E2246" t="inlineStr">
        <is>
          <t>SOLLEFTEÅ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45570-2023</t>
        </is>
      </c>
      <c r="B2247" s="1" t="n">
        <v>45194</v>
      </c>
      <c r="C2247" s="1" t="n">
        <v>45353</v>
      </c>
      <c r="D2247" t="inlineStr">
        <is>
          <t>VÄSTERNORRLANDS LÄN</t>
        </is>
      </c>
      <c r="E2247" t="inlineStr">
        <is>
          <t>SOLLEFTEÅ</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45958-2023</t>
        </is>
      </c>
      <c r="B2248" s="1" t="n">
        <v>45195</v>
      </c>
      <c r="C2248" s="1" t="n">
        <v>45353</v>
      </c>
      <c r="D2248" t="inlineStr">
        <is>
          <t>VÄSTERNORRLANDS LÄN</t>
        </is>
      </c>
      <c r="E2248" t="inlineStr">
        <is>
          <t>SOLLEFTEÅ</t>
        </is>
      </c>
      <c r="F2248" t="inlineStr">
        <is>
          <t>SCA</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45973-2023</t>
        </is>
      </c>
      <c r="B2249" s="1" t="n">
        <v>45195</v>
      </c>
      <c r="C2249" s="1" t="n">
        <v>45353</v>
      </c>
      <c r="D2249" t="inlineStr">
        <is>
          <t>VÄSTERNORRLANDS LÄN</t>
        </is>
      </c>
      <c r="E2249" t="inlineStr">
        <is>
          <t>SOLLEFTEÅ</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46256-2023</t>
        </is>
      </c>
      <c r="B2250" s="1" t="n">
        <v>45197</v>
      </c>
      <c r="C2250" s="1" t="n">
        <v>45353</v>
      </c>
      <c r="D2250" t="inlineStr">
        <is>
          <t>VÄSTERNORRLANDS LÄN</t>
        </is>
      </c>
      <c r="E2250" t="inlineStr">
        <is>
          <t>SOLLEFTEÅ</t>
        </is>
      </c>
      <c r="F2250" t="inlineStr">
        <is>
          <t>SCA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47329-2023</t>
        </is>
      </c>
      <c r="B2251" s="1" t="n">
        <v>45196</v>
      </c>
      <c r="C2251" s="1" t="n">
        <v>45353</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47327-2023</t>
        </is>
      </c>
      <c r="B2252" s="1" t="n">
        <v>45196</v>
      </c>
      <c r="C2252" s="1" t="n">
        <v>45353</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46553-2023</t>
        </is>
      </c>
      <c r="B2253" s="1" t="n">
        <v>45198</v>
      </c>
      <c r="C2253" s="1" t="n">
        <v>45353</v>
      </c>
      <c r="D2253" t="inlineStr">
        <is>
          <t>VÄSTERNORRLANDS LÄN</t>
        </is>
      </c>
      <c r="E2253" t="inlineStr">
        <is>
          <t>SOLLEFTEÅ</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46550-2023</t>
        </is>
      </c>
      <c r="B2254" s="1" t="n">
        <v>45198</v>
      </c>
      <c r="C2254" s="1" t="n">
        <v>45353</v>
      </c>
      <c r="D2254" t="inlineStr">
        <is>
          <t>VÄSTERNORRLANDS LÄN</t>
        </is>
      </c>
      <c r="E2254" t="inlineStr">
        <is>
          <t>SOLLEFTEÅ</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46554-2023</t>
        </is>
      </c>
      <c r="B2255" s="1" t="n">
        <v>45198</v>
      </c>
      <c r="C2255" s="1" t="n">
        <v>45353</v>
      </c>
      <c r="D2255" t="inlineStr">
        <is>
          <t>VÄSTERNORRLANDS LÄN</t>
        </is>
      </c>
      <c r="E2255" t="inlineStr">
        <is>
          <t>SOLLEFTEÅ</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46555-2023</t>
        </is>
      </c>
      <c r="B2256" s="1" t="n">
        <v>45198</v>
      </c>
      <c r="C2256" s="1" t="n">
        <v>45353</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46804-2023</t>
        </is>
      </c>
      <c r="B2257" s="1" t="n">
        <v>45198</v>
      </c>
      <c r="C2257" s="1" t="n">
        <v>45353</v>
      </c>
      <c r="D2257" t="inlineStr">
        <is>
          <t>VÄSTERNORRLANDS LÄN</t>
        </is>
      </c>
      <c r="E2257" t="inlineStr">
        <is>
          <t>SOLLEFTEÅ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47741-2023</t>
        </is>
      </c>
      <c r="B2258" s="1" t="n">
        <v>45198</v>
      </c>
      <c r="C2258" s="1" t="n">
        <v>45353</v>
      </c>
      <c r="D2258" t="inlineStr">
        <is>
          <t>VÄSTERNORRLANDS LÄN</t>
        </is>
      </c>
      <c r="E2258" t="inlineStr">
        <is>
          <t>SOLLEFTEÅ</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47159-2023</t>
        </is>
      </c>
      <c r="B2259" s="1" t="n">
        <v>45201</v>
      </c>
      <c r="C2259" s="1" t="n">
        <v>45353</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47167-2023</t>
        </is>
      </c>
      <c r="B2260" s="1" t="n">
        <v>45202</v>
      </c>
      <c r="C2260" s="1" t="n">
        <v>45353</v>
      </c>
      <c r="D2260" t="inlineStr">
        <is>
          <t>VÄSTERNORRLANDS LÄN</t>
        </is>
      </c>
      <c r="E2260" t="inlineStr">
        <is>
          <t>SOLLEFTEÅ</t>
        </is>
      </c>
      <c r="F2260" t="inlineStr">
        <is>
          <t>SCA</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47175-2023</t>
        </is>
      </c>
      <c r="B2261" s="1" t="n">
        <v>45202</v>
      </c>
      <c r="C2261" s="1" t="n">
        <v>45353</v>
      </c>
      <c r="D2261" t="inlineStr">
        <is>
          <t>VÄSTERNORRLANDS LÄN</t>
        </is>
      </c>
      <c r="E2261" t="inlineStr">
        <is>
          <t>SOLLEFTEÅ</t>
        </is>
      </c>
      <c r="F2261" t="inlineStr">
        <is>
          <t>SCA</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47170-2023</t>
        </is>
      </c>
      <c r="B2262" s="1" t="n">
        <v>45202</v>
      </c>
      <c r="C2262" s="1" t="n">
        <v>45353</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47174-2023</t>
        </is>
      </c>
      <c r="B2263" s="1" t="n">
        <v>45202</v>
      </c>
      <c r="C2263" s="1" t="n">
        <v>45353</v>
      </c>
      <c r="D2263" t="inlineStr">
        <is>
          <t>VÄSTERNORRLANDS LÄN</t>
        </is>
      </c>
      <c r="E2263" t="inlineStr">
        <is>
          <t>SOLLEFTEÅ</t>
        </is>
      </c>
      <c r="F2263" t="inlineStr">
        <is>
          <t>SCA</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47177-2023</t>
        </is>
      </c>
      <c r="B2264" s="1" t="n">
        <v>45201</v>
      </c>
      <c r="C2264" s="1" t="n">
        <v>45353</v>
      </c>
      <c r="D2264" t="inlineStr">
        <is>
          <t>VÄSTERNORRLANDS LÄN</t>
        </is>
      </c>
      <c r="E2264" t="inlineStr">
        <is>
          <t>SOLLEFTEÅ</t>
        </is>
      </c>
      <c r="F2264" t="inlineStr">
        <is>
          <t>SCA</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47181-2023</t>
        </is>
      </c>
      <c r="B2265" s="1" t="n">
        <v>45202</v>
      </c>
      <c r="C2265" s="1" t="n">
        <v>45353</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47185-2023</t>
        </is>
      </c>
      <c r="B2266" s="1" t="n">
        <v>45201</v>
      </c>
      <c r="C2266" s="1" t="n">
        <v>45353</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47490-2023</t>
        </is>
      </c>
      <c r="B2267" s="1" t="n">
        <v>45203</v>
      </c>
      <c r="C2267" s="1" t="n">
        <v>45353</v>
      </c>
      <c r="D2267" t="inlineStr">
        <is>
          <t>VÄSTERNORRLANDS LÄN</t>
        </is>
      </c>
      <c r="E2267" t="inlineStr">
        <is>
          <t>SOLLEFTEÅ</t>
        </is>
      </c>
      <c r="F2267" t="inlineStr">
        <is>
          <t>SCA</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47457-2023</t>
        </is>
      </c>
      <c r="B2268" s="1" t="n">
        <v>45202</v>
      </c>
      <c r="C2268" s="1" t="n">
        <v>45353</v>
      </c>
      <c r="D2268" t="inlineStr">
        <is>
          <t>VÄSTERNORRLANDS LÄN</t>
        </is>
      </c>
      <c r="E2268" t="inlineStr">
        <is>
          <t>SOLLEFTEÅ</t>
        </is>
      </c>
      <c r="F2268" t="inlineStr">
        <is>
          <t>Holmen skog AB</t>
        </is>
      </c>
      <c r="G2268" t="n">
        <v>10.7</v>
      </c>
      <c r="H2268" t="n">
        <v>0</v>
      </c>
      <c r="I2268" t="n">
        <v>0</v>
      </c>
      <c r="J2268" t="n">
        <v>0</v>
      </c>
      <c r="K2268" t="n">
        <v>0</v>
      </c>
      <c r="L2268" t="n">
        <v>0</v>
      </c>
      <c r="M2268" t="n">
        <v>0</v>
      </c>
      <c r="N2268" t="n">
        <v>0</v>
      </c>
      <c r="O2268" t="n">
        <v>0</v>
      </c>
      <c r="P2268" t="n">
        <v>0</v>
      </c>
      <c r="Q2268" t="n">
        <v>0</v>
      </c>
      <c r="R2268" s="2" t="inlineStr"/>
    </row>
    <row r="2269" ht="15" customHeight="1">
      <c r="A2269" t="inlineStr">
        <is>
          <t>A 47477-2023</t>
        </is>
      </c>
      <c r="B2269" s="1" t="n">
        <v>45203</v>
      </c>
      <c r="C2269" s="1" t="n">
        <v>45353</v>
      </c>
      <c r="D2269" t="inlineStr">
        <is>
          <t>VÄSTERNORRLANDS LÄN</t>
        </is>
      </c>
      <c r="E2269" t="inlineStr">
        <is>
          <t>SOLLEFTEÅ</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47794-2023</t>
        </is>
      </c>
      <c r="B2270" s="1" t="n">
        <v>45204</v>
      </c>
      <c r="C2270" s="1" t="n">
        <v>45353</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48077-2023</t>
        </is>
      </c>
      <c r="B2271" s="1" t="n">
        <v>45205</v>
      </c>
      <c r="C2271" s="1" t="n">
        <v>45353</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48085-2023</t>
        </is>
      </c>
      <c r="B2272" s="1" t="n">
        <v>45205</v>
      </c>
      <c r="C2272" s="1" t="n">
        <v>45353</v>
      </c>
      <c r="D2272" t="inlineStr">
        <is>
          <t>VÄSTERNORRLANDS LÄN</t>
        </is>
      </c>
      <c r="E2272" t="inlineStr">
        <is>
          <t>SOLLEFTEÅ</t>
        </is>
      </c>
      <c r="F2272" t="inlineStr">
        <is>
          <t>SCA</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48089-2023</t>
        </is>
      </c>
      <c r="B2273" s="1" t="n">
        <v>45204</v>
      </c>
      <c r="C2273" s="1" t="n">
        <v>45353</v>
      </c>
      <c r="D2273" t="inlineStr">
        <is>
          <t>VÄSTERNORRLANDS LÄN</t>
        </is>
      </c>
      <c r="E2273" t="inlineStr">
        <is>
          <t>SOLLEFTEÅ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48083-2023</t>
        </is>
      </c>
      <c r="B2274" s="1" t="n">
        <v>45204</v>
      </c>
      <c r="C2274" s="1" t="n">
        <v>45353</v>
      </c>
      <c r="D2274" t="inlineStr">
        <is>
          <t>VÄSTERNORRLANDS LÄN</t>
        </is>
      </c>
      <c r="E2274" t="inlineStr">
        <is>
          <t>SOLLEFTEÅ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48086-2023</t>
        </is>
      </c>
      <c r="B2275" s="1" t="n">
        <v>45205</v>
      </c>
      <c r="C2275" s="1" t="n">
        <v>45353</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48090-2023</t>
        </is>
      </c>
      <c r="B2276" s="1" t="n">
        <v>45205</v>
      </c>
      <c r="C2276" s="1" t="n">
        <v>45353</v>
      </c>
      <c r="D2276" t="inlineStr">
        <is>
          <t>VÄSTERNORRLANDS LÄN</t>
        </is>
      </c>
      <c r="E2276" t="inlineStr">
        <is>
          <t>SOLLEFTEÅ</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48072-2023</t>
        </is>
      </c>
      <c r="B2277" s="1" t="n">
        <v>45205</v>
      </c>
      <c r="C2277" s="1" t="n">
        <v>45353</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48088-2023</t>
        </is>
      </c>
      <c r="B2278" s="1" t="n">
        <v>45205</v>
      </c>
      <c r="C2278" s="1" t="n">
        <v>45353</v>
      </c>
      <c r="D2278" t="inlineStr">
        <is>
          <t>VÄSTERNORRLANDS LÄN</t>
        </is>
      </c>
      <c r="E2278" t="inlineStr">
        <is>
          <t>SOLLEFTEÅ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48964-2023</t>
        </is>
      </c>
      <c r="B2279" s="1" t="n">
        <v>45204</v>
      </c>
      <c r="C2279" s="1" t="n">
        <v>45353</v>
      </c>
      <c r="D2279" t="inlineStr">
        <is>
          <t>VÄSTERNORRLANDS LÄN</t>
        </is>
      </c>
      <c r="E2279" t="inlineStr">
        <is>
          <t>SOLLEFTEÅ</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49417-2023</t>
        </is>
      </c>
      <c r="B2280" s="1" t="n">
        <v>45205</v>
      </c>
      <c r="C2280" s="1" t="n">
        <v>45353</v>
      </c>
      <c r="D2280" t="inlineStr">
        <is>
          <t>VÄSTERNORRLANDS LÄN</t>
        </is>
      </c>
      <c r="E2280" t="inlineStr">
        <is>
          <t>SOLLEFTEÅ</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48767-2023</t>
        </is>
      </c>
      <c r="B2281" s="1" t="n">
        <v>45208</v>
      </c>
      <c r="C2281" s="1" t="n">
        <v>45353</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48528-2023</t>
        </is>
      </c>
      <c r="B2282" s="1" t="n">
        <v>45208</v>
      </c>
      <c r="C2282" s="1" t="n">
        <v>45353</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48570-2023</t>
        </is>
      </c>
      <c r="B2283" s="1" t="n">
        <v>45208</v>
      </c>
      <c r="C2283" s="1" t="n">
        <v>45353</v>
      </c>
      <c r="D2283" t="inlineStr">
        <is>
          <t>VÄSTERNORRLANDS LÄN</t>
        </is>
      </c>
      <c r="E2283" t="inlineStr">
        <is>
          <t>SOLLEFTEÅ</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48999-2023</t>
        </is>
      </c>
      <c r="B2284" s="1" t="n">
        <v>45209</v>
      </c>
      <c r="C2284" s="1" t="n">
        <v>45353</v>
      </c>
      <c r="D2284" t="inlineStr">
        <is>
          <t>VÄSTERNORRLANDS LÄN</t>
        </is>
      </c>
      <c r="E2284" t="inlineStr">
        <is>
          <t>SOLLEFTEÅ</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49036-2023</t>
        </is>
      </c>
      <c r="B2285" s="1" t="n">
        <v>45210</v>
      </c>
      <c r="C2285" s="1" t="n">
        <v>45353</v>
      </c>
      <c r="D2285" t="inlineStr">
        <is>
          <t>VÄSTERNORRLANDS LÄN</t>
        </is>
      </c>
      <c r="E2285" t="inlineStr">
        <is>
          <t>SOLLEFTEÅ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50313-2023</t>
        </is>
      </c>
      <c r="B2286" s="1" t="n">
        <v>45209</v>
      </c>
      <c r="C2286" s="1" t="n">
        <v>45353</v>
      </c>
      <c r="D2286" t="inlineStr">
        <is>
          <t>VÄSTERNORRLANDS LÄN</t>
        </is>
      </c>
      <c r="E2286" t="inlineStr">
        <is>
          <t>SOLLEFTEÅ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49313-2023</t>
        </is>
      </c>
      <c r="B2287" s="1" t="n">
        <v>45211</v>
      </c>
      <c r="C2287" s="1" t="n">
        <v>45353</v>
      </c>
      <c r="D2287" t="inlineStr">
        <is>
          <t>VÄSTERNORRLANDS LÄN</t>
        </is>
      </c>
      <c r="E2287" t="inlineStr">
        <is>
          <t>SOLLEFTEÅ</t>
        </is>
      </c>
      <c r="F2287" t="inlineStr">
        <is>
          <t>SCA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49317-2023</t>
        </is>
      </c>
      <c r="B2288" s="1" t="n">
        <v>45210</v>
      </c>
      <c r="C2288" s="1" t="n">
        <v>45353</v>
      </c>
      <c r="D2288" t="inlineStr">
        <is>
          <t>VÄSTERNORRLANDS LÄN</t>
        </is>
      </c>
      <c r="E2288" t="inlineStr">
        <is>
          <t>SOLLEFTEÅ</t>
        </is>
      </c>
      <c r="F2288" t="inlineStr">
        <is>
          <t>SCA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49323-2023</t>
        </is>
      </c>
      <c r="B2289" s="1" t="n">
        <v>45211</v>
      </c>
      <c r="C2289" s="1" t="n">
        <v>45353</v>
      </c>
      <c r="D2289" t="inlineStr">
        <is>
          <t>VÄSTERNORRLANDS LÄN</t>
        </is>
      </c>
      <c r="E2289" t="inlineStr">
        <is>
          <t>SOLLEFTEÅ</t>
        </is>
      </c>
      <c r="F2289" t="inlineStr">
        <is>
          <t>SCA</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49324-2023</t>
        </is>
      </c>
      <c r="B2290" s="1" t="n">
        <v>45210</v>
      </c>
      <c r="C2290" s="1" t="n">
        <v>45353</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50698-2023</t>
        </is>
      </c>
      <c r="B2291" s="1" t="n">
        <v>45210</v>
      </c>
      <c r="C2291" s="1" t="n">
        <v>45353</v>
      </c>
      <c r="D2291" t="inlineStr">
        <is>
          <t>VÄSTERNORRLANDS LÄN</t>
        </is>
      </c>
      <c r="E2291" t="inlineStr">
        <is>
          <t>SOLLEFTEÅ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50745-2023</t>
        </is>
      </c>
      <c r="B2292" s="1" t="n">
        <v>45210</v>
      </c>
      <c r="C2292" s="1" t="n">
        <v>45353</v>
      </c>
      <c r="D2292" t="inlineStr">
        <is>
          <t>VÄSTERNORRLANDS LÄN</t>
        </is>
      </c>
      <c r="E2292" t="inlineStr">
        <is>
          <t>SOLLEFTEÅ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50716-2023</t>
        </is>
      </c>
      <c r="B2293" s="1" t="n">
        <v>45210</v>
      </c>
      <c r="C2293" s="1" t="n">
        <v>45353</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50674-2023</t>
        </is>
      </c>
      <c r="B2294" s="1" t="n">
        <v>45210</v>
      </c>
      <c r="C2294" s="1" t="n">
        <v>45353</v>
      </c>
      <c r="D2294" t="inlineStr">
        <is>
          <t>VÄSTERNORRLANDS LÄN</t>
        </is>
      </c>
      <c r="E2294" t="inlineStr">
        <is>
          <t>SOLLEFTEÅ</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50688-2023</t>
        </is>
      </c>
      <c r="B2295" s="1" t="n">
        <v>45210</v>
      </c>
      <c r="C2295" s="1" t="n">
        <v>45353</v>
      </c>
      <c r="D2295" t="inlineStr">
        <is>
          <t>VÄSTERNORRLANDS LÄN</t>
        </is>
      </c>
      <c r="E2295" t="inlineStr">
        <is>
          <t>SOLLEFTEÅ</t>
        </is>
      </c>
      <c r="G2295" t="n">
        <v>15.6</v>
      </c>
      <c r="H2295" t="n">
        <v>0</v>
      </c>
      <c r="I2295" t="n">
        <v>0</v>
      </c>
      <c r="J2295" t="n">
        <v>0</v>
      </c>
      <c r="K2295" t="n">
        <v>0</v>
      </c>
      <c r="L2295" t="n">
        <v>0</v>
      </c>
      <c r="M2295" t="n">
        <v>0</v>
      </c>
      <c r="N2295" t="n">
        <v>0</v>
      </c>
      <c r="O2295" t="n">
        <v>0</v>
      </c>
      <c r="P2295" t="n">
        <v>0</v>
      </c>
      <c r="Q2295" t="n">
        <v>0</v>
      </c>
      <c r="R2295" s="2" t="inlineStr"/>
    </row>
    <row r="2296" ht="15" customHeight="1">
      <c r="A2296" t="inlineStr">
        <is>
          <t>A 50708-2023</t>
        </is>
      </c>
      <c r="B2296" s="1" t="n">
        <v>45210</v>
      </c>
      <c r="C2296" s="1" t="n">
        <v>45353</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49649-2023</t>
        </is>
      </c>
      <c r="B2297" s="1" t="n">
        <v>45212</v>
      </c>
      <c r="C2297" s="1" t="n">
        <v>45353</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49810-2023</t>
        </is>
      </c>
      <c r="B2298" s="1" t="n">
        <v>45212</v>
      </c>
      <c r="C2298" s="1" t="n">
        <v>45353</v>
      </c>
      <c r="D2298" t="inlineStr">
        <is>
          <t>VÄSTERNORRLANDS LÄN</t>
        </is>
      </c>
      <c r="E2298" t="inlineStr">
        <is>
          <t>SOLLEFTEÅ</t>
        </is>
      </c>
      <c r="F2298" t="inlineStr">
        <is>
          <t>Holmen skog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50226-2023</t>
        </is>
      </c>
      <c r="B2299" s="1" t="n">
        <v>45216</v>
      </c>
      <c r="C2299" s="1" t="n">
        <v>45353</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51522-2023</t>
        </is>
      </c>
      <c r="B2300" s="1" t="n">
        <v>45215</v>
      </c>
      <c r="C2300" s="1" t="n">
        <v>45353</v>
      </c>
      <c r="D2300" t="inlineStr">
        <is>
          <t>VÄSTERNORRLANDS LÄN</t>
        </is>
      </c>
      <c r="E2300" t="inlineStr">
        <is>
          <t>SOLLEFTEÅ</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51515-2023</t>
        </is>
      </c>
      <c r="B2301" s="1" t="n">
        <v>45215</v>
      </c>
      <c r="C2301" s="1" t="n">
        <v>45353</v>
      </c>
      <c r="D2301" t="inlineStr">
        <is>
          <t>VÄSTERNORRLANDS LÄN</t>
        </is>
      </c>
      <c r="E2301" t="inlineStr">
        <is>
          <t>SOLLEFTEÅ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51681-2023</t>
        </is>
      </c>
      <c r="B2302" s="1" t="n">
        <v>45215</v>
      </c>
      <c r="C2302" s="1" t="n">
        <v>45353</v>
      </c>
      <c r="D2302" t="inlineStr">
        <is>
          <t>VÄSTERNORRLANDS LÄN</t>
        </is>
      </c>
      <c r="E2302" t="inlineStr">
        <is>
          <t>SOLLEFTEÅ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51677-2023</t>
        </is>
      </c>
      <c r="B2303" s="1" t="n">
        <v>45215</v>
      </c>
      <c r="C2303" s="1" t="n">
        <v>45353</v>
      </c>
      <c r="D2303" t="inlineStr">
        <is>
          <t>VÄSTERNORRLANDS LÄN</t>
        </is>
      </c>
      <c r="E2303" t="inlineStr">
        <is>
          <t>SOLLEFTEÅ</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51690-2023</t>
        </is>
      </c>
      <c r="B2304" s="1" t="n">
        <v>45215</v>
      </c>
      <c r="C2304" s="1" t="n">
        <v>45353</v>
      </c>
      <c r="D2304" t="inlineStr">
        <is>
          <t>VÄSTERNORRLANDS LÄN</t>
        </is>
      </c>
      <c r="E2304" t="inlineStr">
        <is>
          <t>SOLLEFTEÅ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50507-2023</t>
        </is>
      </c>
      <c r="B2305" s="1" t="n">
        <v>45217</v>
      </c>
      <c r="C2305" s="1" t="n">
        <v>45353</v>
      </c>
      <c r="D2305" t="inlineStr">
        <is>
          <t>VÄSTERNORRLANDS LÄN</t>
        </is>
      </c>
      <c r="E2305" t="inlineStr">
        <is>
          <t>SOLLEFTEÅ</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50767-2023</t>
        </is>
      </c>
      <c r="B2306" s="1" t="n">
        <v>45217</v>
      </c>
      <c r="C2306" s="1" t="n">
        <v>45353</v>
      </c>
      <c r="D2306" t="inlineStr">
        <is>
          <t>VÄSTERNORRLANDS LÄN</t>
        </is>
      </c>
      <c r="E2306" t="inlineStr">
        <is>
          <t>SOLLEFTEÅ</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50841-2023</t>
        </is>
      </c>
      <c r="B2307" s="1" t="n">
        <v>45217</v>
      </c>
      <c r="C2307" s="1" t="n">
        <v>45353</v>
      </c>
      <c r="D2307" t="inlineStr">
        <is>
          <t>VÄSTERNORRLANDS LÄN</t>
        </is>
      </c>
      <c r="E2307" t="inlineStr">
        <is>
          <t>SOLLEFTEÅ</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50615-2023</t>
        </is>
      </c>
      <c r="B2308" s="1" t="n">
        <v>45217</v>
      </c>
      <c r="C2308" s="1" t="n">
        <v>45353</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50757-2023</t>
        </is>
      </c>
      <c r="B2309" s="1" t="n">
        <v>45217</v>
      </c>
      <c r="C2309" s="1" t="n">
        <v>45353</v>
      </c>
      <c r="D2309" t="inlineStr">
        <is>
          <t>VÄSTERNORRLANDS LÄN</t>
        </is>
      </c>
      <c r="E2309" t="inlineStr">
        <is>
          <t>SOLLEFTEÅ</t>
        </is>
      </c>
      <c r="F2309" t="inlineStr">
        <is>
          <t>Holmen skog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50844-2023</t>
        </is>
      </c>
      <c r="B2310" s="1" t="n">
        <v>45217</v>
      </c>
      <c r="C2310" s="1" t="n">
        <v>45353</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52266-2023</t>
        </is>
      </c>
      <c r="B2311" s="1" t="n">
        <v>45217</v>
      </c>
      <c r="C2311" s="1" t="n">
        <v>45353</v>
      </c>
      <c r="D2311" t="inlineStr">
        <is>
          <t>VÄSTERNORRLANDS LÄN</t>
        </is>
      </c>
      <c r="E2311" t="inlineStr">
        <is>
          <t>SOLLEFTEÅ</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52267-2023</t>
        </is>
      </c>
      <c r="B2312" s="1" t="n">
        <v>45217</v>
      </c>
      <c r="C2312" s="1" t="n">
        <v>45353</v>
      </c>
      <c r="D2312" t="inlineStr">
        <is>
          <t>VÄSTERNORRLANDS LÄN</t>
        </is>
      </c>
      <c r="E2312" t="inlineStr">
        <is>
          <t>SOLLEFTEÅ</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51107-2023</t>
        </is>
      </c>
      <c r="B2313" s="1" t="n">
        <v>45219</v>
      </c>
      <c r="C2313" s="1" t="n">
        <v>45353</v>
      </c>
      <c r="D2313" t="inlineStr">
        <is>
          <t>VÄSTERNORRLANDS LÄN</t>
        </is>
      </c>
      <c r="E2313" t="inlineStr">
        <is>
          <t>SOLLEFTEÅ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51106-2023</t>
        </is>
      </c>
      <c r="B2314" s="1" t="n">
        <v>45219</v>
      </c>
      <c r="C2314" s="1" t="n">
        <v>45353</v>
      </c>
      <c r="D2314" t="inlineStr">
        <is>
          <t>VÄSTERNORRLANDS LÄN</t>
        </is>
      </c>
      <c r="E2314" t="inlineStr">
        <is>
          <t>SOLLEFTEÅ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51800-2023</t>
        </is>
      </c>
      <c r="B2315" s="1" t="n">
        <v>45222</v>
      </c>
      <c r="C2315" s="1" t="n">
        <v>45353</v>
      </c>
      <c r="D2315" t="inlineStr">
        <is>
          <t>VÄSTERNORRLANDS LÄN</t>
        </is>
      </c>
      <c r="E2315" t="inlineStr">
        <is>
          <t>SOLLEFTEÅ</t>
        </is>
      </c>
      <c r="F2315" t="inlineStr">
        <is>
          <t>SCA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51801-2023</t>
        </is>
      </c>
      <c r="B2316" s="1" t="n">
        <v>45222</v>
      </c>
      <c r="C2316" s="1" t="n">
        <v>45353</v>
      </c>
      <c r="D2316" t="inlineStr">
        <is>
          <t>VÄSTERNORRLANDS LÄN</t>
        </is>
      </c>
      <c r="E2316" t="inlineStr">
        <is>
          <t>SOLLEFTEÅ</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53375-2023</t>
        </is>
      </c>
      <c r="B2317" s="1" t="n">
        <v>45222</v>
      </c>
      <c r="C2317" s="1" t="n">
        <v>45353</v>
      </c>
      <c r="D2317" t="inlineStr">
        <is>
          <t>VÄSTERNORRLANDS LÄN</t>
        </is>
      </c>
      <c r="E2317" t="inlineStr">
        <is>
          <t>SOLLEFTEÅ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53224-2023</t>
        </is>
      </c>
      <c r="B2318" s="1" t="n">
        <v>45222</v>
      </c>
      <c r="C2318" s="1" t="n">
        <v>45353</v>
      </c>
      <c r="D2318" t="inlineStr">
        <is>
          <t>VÄSTERNORRLANDS LÄN</t>
        </is>
      </c>
      <c r="E2318" t="inlineStr">
        <is>
          <t>SOLLEFTEÅ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53231-2023</t>
        </is>
      </c>
      <c r="B2319" s="1" t="n">
        <v>45222</v>
      </c>
      <c r="C2319" s="1" t="n">
        <v>45353</v>
      </c>
      <c r="D2319" t="inlineStr">
        <is>
          <t>VÄSTERNORRLANDS LÄN</t>
        </is>
      </c>
      <c r="E2319" t="inlineStr">
        <is>
          <t>SOLLEFTEÅ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53379-2023</t>
        </is>
      </c>
      <c r="B2320" s="1" t="n">
        <v>45222</v>
      </c>
      <c r="C2320" s="1" t="n">
        <v>45353</v>
      </c>
      <c r="D2320" t="inlineStr">
        <is>
          <t>VÄSTERNORRLANDS LÄN</t>
        </is>
      </c>
      <c r="E2320" t="inlineStr">
        <is>
          <t>SOLLEFTEÅ</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51802-2023</t>
        </is>
      </c>
      <c r="B2321" s="1" t="n">
        <v>45223</v>
      </c>
      <c r="C2321" s="1" t="n">
        <v>45353</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53394-2023</t>
        </is>
      </c>
      <c r="B2322" s="1" t="n">
        <v>45222</v>
      </c>
      <c r="C2322" s="1" t="n">
        <v>45353</v>
      </c>
      <c r="D2322" t="inlineStr">
        <is>
          <t>VÄSTERNORRLANDS LÄN</t>
        </is>
      </c>
      <c r="E2322" t="inlineStr">
        <is>
          <t>SOLLEFTEÅ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52136-2023</t>
        </is>
      </c>
      <c r="B2323" s="1" t="n">
        <v>45224</v>
      </c>
      <c r="C2323" s="1" t="n">
        <v>45353</v>
      </c>
      <c r="D2323" t="inlineStr">
        <is>
          <t>VÄSTERNORRLANDS LÄN</t>
        </is>
      </c>
      <c r="E2323" t="inlineStr">
        <is>
          <t>SOLLEFTEÅ</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52087-2023</t>
        </is>
      </c>
      <c r="B2324" s="1" t="n">
        <v>45223</v>
      </c>
      <c r="C2324" s="1" t="n">
        <v>45353</v>
      </c>
      <c r="D2324" t="inlineStr">
        <is>
          <t>VÄSTERNORRLANDS LÄN</t>
        </is>
      </c>
      <c r="E2324" t="inlineStr">
        <is>
          <t>SOLLEFTEÅ</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53550-2023</t>
        </is>
      </c>
      <c r="B2325" s="1" t="n">
        <v>45223</v>
      </c>
      <c r="C2325" s="1" t="n">
        <v>45353</v>
      </c>
      <c r="D2325" t="inlineStr">
        <is>
          <t>VÄSTERNORRLANDS LÄN</t>
        </is>
      </c>
      <c r="E2325" t="inlineStr">
        <is>
          <t>SOLLEFTEÅ</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53855-2023</t>
        </is>
      </c>
      <c r="B2326" s="1" t="n">
        <v>45224</v>
      </c>
      <c r="C2326" s="1" t="n">
        <v>45353</v>
      </c>
      <c r="D2326" t="inlineStr">
        <is>
          <t>VÄSTERNORRLANDS LÄN</t>
        </is>
      </c>
      <c r="E2326" t="inlineStr">
        <is>
          <t>SOLLEFTEÅ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53850-2023</t>
        </is>
      </c>
      <c r="B2327" s="1" t="n">
        <v>45224</v>
      </c>
      <c r="C2327" s="1" t="n">
        <v>45353</v>
      </c>
      <c r="D2327" t="inlineStr">
        <is>
          <t>VÄSTERNORRLANDS LÄN</t>
        </is>
      </c>
      <c r="E2327" t="inlineStr">
        <is>
          <t>SOLLEFTEÅ</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53939-2023</t>
        </is>
      </c>
      <c r="B2328" s="1" t="n">
        <v>45224</v>
      </c>
      <c r="C2328" s="1" t="n">
        <v>45353</v>
      </c>
      <c r="D2328" t="inlineStr">
        <is>
          <t>VÄSTERNORRLANDS LÄN</t>
        </is>
      </c>
      <c r="E2328" t="inlineStr">
        <is>
          <t>SOLLEFTEÅ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52445-2023</t>
        </is>
      </c>
      <c r="B2329" s="1" t="n">
        <v>45225</v>
      </c>
      <c r="C2329" s="1" t="n">
        <v>45353</v>
      </c>
      <c r="D2329" t="inlineStr">
        <is>
          <t>VÄSTERNORRLANDS LÄN</t>
        </is>
      </c>
      <c r="E2329" t="inlineStr">
        <is>
          <t>SOLLEFTEÅ</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54307-2023</t>
        </is>
      </c>
      <c r="B2330" s="1" t="n">
        <v>45225</v>
      </c>
      <c r="C2330" s="1" t="n">
        <v>45353</v>
      </c>
      <c r="D2330" t="inlineStr">
        <is>
          <t>VÄSTERNORRLANDS LÄN</t>
        </is>
      </c>
      <c r="E2330" t="inlineStr">
        <is>
          <t>SOLLEFTEÅ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53040-2023</t>
        </is>
      </c>
      <c r="B2331" s="1" t="n">
        <v>45226</v>
      </c>
      <c r="C2331" s="1" t="n">
        <v>45353</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54526-2023</t>
        </is>
      </c>
      <c r="B2332" s="1" t="n">
        <v>45226</v>
      </c>
      <c r="C2332" s="1" t="n">
        <v>45353</v>
      </c>
      <c r="D2332" t="inlineStr">
        <is>
          <t>VÄSTERNORRLANDS LÄN</t>
        </is>
      </c>
      <c r="E2332" t="inlineStr">
        <is>
          <t>SOLLEFTEÅ</t>
        </is>
      </c>
      <c r="G2332" t="n">
        <v>23.8</v>
      </c>
      <c r="H2332" t="n">
        <v>0</v>
      </c>
      <c r="I2332" t="n">
        <v>0</v>
      </c>
      <c r="J2332" t="n">
        <v>0</v>
      </c>
      <c r="K2332" t="n">
        <v>0</v>
      </c>
      <c r="L2332" t="n">
        <v>0</v>
      </c>
      <c r="M2332" t="n">
        <v>0</v>
      </c>
      <c r="N2332" t="n">
        <v>0</v>
      </c>
      <c r="O2332" t="n">
        <v>0</v>
      </c>
      <c r="P2332" t="n">
        <v>0</v>
      </c>
      <c r="Q2332" t="n">
        <v>0</v>
      </c>
      <c r="R2332" s="2" t="inlineStr"/>
    </row>
    <row r="2333" ht="15" customHeight="1">
      <c r="A2333" t="inlineStr">
        <is>
          <t>A 53057-2023</t>
        </is>
      </c>
      <c r="B2333" s="1" t="n">
        <v>45226</v>
      </c>
      <c r="C2333" s="1" t="n">
        <v>45353</v>
      </c>
      <c r="D2333" t="inlineStr">
        <is>
          <t>VÄSTERNORRLANDS LÄN</t>
        </is>
      </c>
      <c r="E2333" t="inlineStr">
        <is>
          <t>SOLLEFTEÅ</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53049-2023</t>
        </is>
      </c>
      <c r="B2334" s="1" t="n">
        <v>45226</v>
      </c>
      <c r="C2334" s="1" t="n">
        <v>45353</v>
      </c>
      <c r="D2334" t="inlineStr">
        <is>
          <t>VÄSTERNORRLANDS LÄN</t>
        </is>
      </c>
      <c r="E2334" t="inlineStr">
        <is>
          <t>SOLLEFTEÅ</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53041-2023</t>
        </is>
      </c>
      <c r="B2335" s="1" t="n">
        <v>45226</v>
      </c>
      <c r="C2335" s="1" t="n">
        <v>45353</v>
      </c>
      <c r="D2335" t="inlineStr">
        <is>
          <t>VÄSTERNORRLANDS LÄN</t>
        </is>
      </c>
      <c r="E2335" t="inlineStr">
        <is>
          <t>SOLLEFTEÅ</t>
        </is>
      </c>
      <c r="F2335" t="inlineStr">
        <is>
          <t>SCA</t>
        </is>
      </c>
      <c r="G2335" t="n">
        <v>50.2</v>
      </c>
      <c r="H2335" t="n">
        <v>0</v>
      </c>
      <c r="I2335" t="n">
        <v>0</v>
      </c>
      <c r="J2335" t="n">
        <v>0</v>
      </c>
      <c r="K2335" t="n">
        <v>0</v>
      </c>
      <c r="L2335" t="n">
        <v>0</v>
      </c>
      <c r="M2335" t="n">
        <v>0</v>
      </c>
      <c r="N2335" t="n">
        <v>0</v>
      </c>
      <c r="O2335" t="n">
        <v>0</v>
      </c>
      <c r="P2335" t="n">
        <v>0</v>
      </c>
      <c r="Q2335" t="n">
        <v>0</v>
      </c>
      <c r="R2335" s="2" t="inlineStr"/>
    </row>
    <row r="2336" ht="15" customHeight="1">
      <c r="A2336" t="inlineStr">
        <is>
          <t>A 53048-2023</t>
        </is>
      </c>
      <c r="B2336" s="1" t="n">
        <v>45226</v>
      </c>
      <c r="C2336" s="1" t="n">
        <v>45353</v>
      </c>
      <c r="D2336" t="inlineStr">
        <is>
          <t>VÄSTERNORRLANDS LÄN</t>
        </is>
      </c>
      <c r="E2336" t="inlineStr">
        <is>
          <t>SOLLEFTEÅ</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53452-2023</t>
        </is>
      </c>
      <c r="B2337" s="1" t="n">
        <v>45229</v>
      </c>
      <c r="C2337" s="1" t="n">
        <v>45353</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53453-2023</t>
        </is>
      </c>
      <c r="B2338" s="1" t="n">
        <v>45230</v>
      </c>
      <c r="C2338" s="1" t="n">
        <v>45353</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53669-2023</t>
        </is>
      </c>
      <c r="B2339" s="1" t="n">
        <v>45230</v>
      </c>
      <c r="C2339" s="1" t="n">
        <v>45353</v>
      </c>
      <c r="D2339" t="inlineStr">
        <is>
          <t>VÄSTERNORRLANDS LÄN</t>
        </is>
      </c>
      <c r="E2339" t="inlineStr">
        <is>
          <t>SOLLEFTEÅ</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54016-2023</t>
        </is>
      </c>
      <c r="B2340" s="1" t="n">
        <v>45231</v>
      </c>
      <c r="C2340" s="1" t="n">
        <v>45353</v>
      </c>
      <c r="D2340" t="inlineStr">
        <is>
          <t>VÄSTERNORRLANDS LÄN</t>
        </is>
      </c>
      <c r="E2340" t="inlineStr">
        <is>
          <t>SOLLEFTEÅ</t>
        </is>
      </c>
      <c r="F2340" t="inlineStr">
        <is>
          <t>Holmen skog AB</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54020-2023</t>
        </is>
      </c>
      <c r="B2341" s="1" t="n">
        <v>45231</v>
      </c>
      <c r="C2341" s="1" t="n">
        <v>45353</v>
      </c>
      <c r="D2341" t="inlineStr">
        <is>
          <t>VÄSTERNORRLANDS LÄN</t>
        </is>
      </c>
      <c r="E2341" t="inlineStr">
        <is>
          <t>SOLLEFTEÅ</t>
        </is>
      </c>
      <c r="F2341" t="inlineStr">
        <is>
          <t>Holmen skog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54034-2023</t>
        </is>
      </c>
      <c r="B2342" s="1" t="n">
        <v>45231</v>
      </c>
      <c r="C2342" s="1" t="n">
        <v>45353</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54033-2023</t>
        </is>
      </c>
      <c r="B2343" s="1" t="n">
        <v>45231</v>
      </c>
      <c r="C2343" s="1" t="n">
        <v>45353</v>
      </c>
      <c r="D2343" t="inlineStr">
        <is>
          <t>VÄSTERNORRLANDS LÄN</t>
        </is>
      </c>
      <c r="E2343" t="inlineStr">
        <is>
          <t>SOLLEFTEÅ</t>
        </is>
      </c>
      <c r="G2343" t="n">
        <v>13.2</v>
      </c>
      <c r="H2343" t="n">
        <v>0</v>
      </c>
      <c r="I2343" t="n">
        <v>0</v>
      </c>
      <c r="J2343" t="n">
        <v>0</v>
      </c>
      <c r="K2343" t="n">
        <v>0</v>
      </c>
      <c r="L2343" t="n">
        <v>0</v>
      </c>
      <c r="M2343" t="n">
        <v>0</v>
      </c>
      <c r="N2343" t="n">
        <v>0</v>
      </c>
      <c r="O2343" t="n">
        <v>0</v>
      </c>
      <c r="P2343" t="n">
        <v>0</v>
      </c>
      <c r="Q2343" t="n">
        <v>0</v>
      </c>
      <c r="R2343" s="2" t="inlineStr"/>
    </row>
    <row r="2344" ht="15" customHeight="1">
      <c r="A2344" t="inlineStr">
        <is>
          <t>A 54035-2023</t>
        </is>
      </c>
      <c r="B2344" s="1" t="n">
        <v>45231</v>
      </c>
      <c r="C2344" s="1" t="n">
        <v>45353</v>
      </c>
      <c r="D2344" t="inlineStr">
        <is>
          <t>VÄSTERNORRLANDS LÄN</t>
        </is>
      </c>
      <c r="E2344" t="inlineStr">
        <is>
          <t>SOLLEFTEÅ</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54048-2023</t>
        </is>
      </c>
      <c r="B2345" s="1" t="n">
        <v>45232</v>
      </c>
      <c r="C2345" s="1" t="n">
        <v>45353</v>
      </c>
      <c r="D2345" t="inlineStr">
        <is>
          <t>VÄSTERNORRLANDS LÄN</t>
        </is>
      </c>
      <c r="E2345" t="inlineStr">
        <is>
          <t>SOLLEFTEÅ</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54036-2023</t>
        </is>
      </c>
      <c r="B2346" s="1" t="n">
        <v>45231</v>
      </c>
      <c r="C2346" s="1" t="n">
        <v>45353</v>
      </c>
      <c r="D2346" t="inlineStr">
        <is>
          <t>VÄSTERNORRLANDS LÄN</t>
        </is>
      </c>
      <c r="E2346" t="inlineStr">
        <is>
          <t>SOLLEFTEÅ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54045-2023</t>
        </is>
      </c>
      <c r="B2347" s="1" t="n">
        <v>45232</v>
      </c>
      <c r="C2347" s="1" t="n">
        <v>45353</v>
      </c>
      <c r="D2347" t="inlineStr">
        <is>
          <t>VÄSTERNORRLANDS LÄN</t>
        </is>
      </c>
      <c r="E2347" t="inlineStr">
        <is>
          <t>SOLLEFTEÅ</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54049-2023</t>
        </is>
      </c>
      <c r="B2348" s="1" t="n">
        <v>45231</v>
      </c>
      <c r="C2348" s="1" t="n">
        <v>45353</v>
      </c>
      <c r="D2348" t="inlineStr">
        <is>
          <t>VÄSTERNORRLANDS LÄN</t>
        </is>
      </c>
      <c r="E2348" t="inlineStr">
        <is>
          <t>SOLLEFTEÅ</t>
        </is>
      </c>
      <c r="F2348" t="inlineStr">
        <is>
          <t>SCA</t>
        </is>
      </c>
      <c r="G2348" t="n">
        <v>9.800000000000001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54092-2023</t>
        </is>
      </c>
      <c r="B2349" s="1" t="n">
        <v>45232</v>
      </c>
      <c r="C2349" s="1" t="n">
        <v>45353</v>
      </c>
      <c r="D2349" t="inlineStr">
        <is>
          <t>VÄSTERNORRLANDS LÄN</t>
        </is>
      </c>
      <c r="E2349" t="inlineStr">
        <is>
          <t>SOLLEFTEÅ</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54088-2023</t>
        </is>
      </c>
      <c r="B2350" s="1" t="n">
        <v>45232</v>
      </c>
      <c r="C2350" s="1" t="n">
        <v>45353</v>
      </c>
      <c r="D2350" t="inlineStr">
        <is>
          <t>VÄSTERNORRLANDS LÄN</t>
        </is>
      </c>
      <c r="E2350" t="inlineStr">
        <is>
          <t>SOLLEFTEÅ</t>
        </is>
      </c>
      <c r="F2350" t="inlineStr">
        <is>
          <t>Holmen skog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54198-2023</t>
        </is>
      </c>
      <c r="B2351" s="1" t="n">
        <v>45232</v>
      </c>
      <c r="C2351" s="1" t="n">
        <v>45353</v>
      </c>
      <c r="D2351" t="inlineStr">
        <is>
          <t>VÄSTERNORRLANDS LÄN</t>
        </is>
      </c>
      <c r="E2351" t="inlineStr">
        <is>
          <t>SOLLEFTEÅ</t>
        </is>
      </c>
      <c r="G2351" t="n">
        <v>7.9</v>
      </c>
      <c r="H2351" t="n">
        <v>0</v>
      </c>
      <c r="I2351" t="n">
        <v>0</v>
      </c>
      <c r="J2351" t="n">
        <v>0</v>
      </c>
      <c r="K2351" t="n">
        <v>0</v>
      </c>
      <c r="L2351" t="n">
        <v>0</v>
      </c>
      <c r="M2351" t="n">
        <v>0</v>
      </c>
      <c r="N2351" t="n">
        <v>0</v>
      </c>
      <c r="O2351" t="n">
        <v>0</v>
      </c>
      <c r="P2351" t="n">
        <v>0</v>
      </c>
      <c r="Q2351" t="n">
        <v>0</v>
      </c>
      <c r="R2351" s="2" t="inlineStr"/>
    </row>
    <row r="2352" ht="15" customHeight="1">
      <c r="A2352" t="inlineStr">
        <is>
          <t>A 54330-2023</t>
        </is>
      </c>
      <c r="B2352" s="1" t="n">
        <v>45232</v>
      </c>
      <c r="C2352" s="1" t="n">
        <v>45353</v>
      </c>
      <c r="D2352" t="inlineStr">
        <is>
          <t>VÄSTERNORRLANDS LÄN</t>
        </is>
      </c>
      <c r="E2352" t="inlineStr">
        <is>
          <t>SOLLEFTEÅ</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54351-2023</t>
        </is>
      </c>
      <c r="B2353" s="1" t="n">
        <v>45232</v>
      </c>
      <c r="C2353" s="1" t="n">
        <v>45353</v>
      </c>
      <c r="D2353" t="inlineStr">
        <is>
          <t>VÄSTERNORRLANDS LÄN</t>
        </is>
      </c>
      <c r="E2353" t="inlineStr">
        <is>
          <t>SOLLEFTEÅ</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54195-2023</t>
        </is>
      </c>
      <c r="B2354" s="1" t="n">
        <v>45232</v>
      </c>
      <c r="C2354" s="1" t="n">
        <v>45353</v>
      </c>
      <c r="D2354" t="inlineStr">
        <is>
          <t>VÄSTERNORRLANDS LÄN</t>
        </is>
      </c>
      <c r="E2354" t="inlineStr">
        <is>
          <t>SOLLEFTEÅ</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54620-2023</t>
        </is>
      </c>
      <c r="B2355" s="1" t="n">
        <v>45233</v>
      </c>
      <c r="C2355" s="1" t="n">
        <v>45353</v>
      </c>
      <c r="D2355" t="inlineStr">
        <is>
          <t>VÄSTERNORRLANDS LÄN</t>
        </is>
      </c>
      <c r="E2355" t="inlineStr">
        <is>
          <t>SOLLEFTEÅ</t>
        </is>
      </c>
      <c r="F2355" t="inlineStr">
        <is>
          <t>SCA</t>
        </is>
      </c>
      <c r="G2355" t="n">
        <v>11.8</v>
      </c>
      <c r="H2355" t="n">
        <v>0</v>
      </c>
      <c r="I2355" t="n">
        <v>0</v>
      </c>
      <c r="J2355" t="n">
        <v>0</v>
      </c>
      <c r="K2355" t="n">
        <v>0</v>
      </c>
      <c r="L2355" t="n">
        <v>0</v>
      </c>
      <c r="M2355" t="n">
        <v>0</v>
      </c>
      <c r="N2355" t="n">
        <v>0</v>
      </c>
      <c r="O2355" t="n">
        <v>0</v>
      </c>
      <c r="P2355" t="n">
        <v>0</v>
      </c>
      <c r="Q2355" t="n">
        <v>0</v>
      </c>
      <c r="R2355" s="2" t="inlineStr"/>
    </row>
    <row r="2356" ht="15" customHeight="1">
      <c r="A2356" t="inlineStr">
        <is>
          <t>A 54617-2023</t>
        </is>
      </c>
      <c r="B2356" s="1" t="n">
        <v>45234</v>
      </c>
      <c r="C2356" s="1" t="n">
        <v>45353</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54607-2023</t>
        </is>
      </c>
      <c r="B2357" s="1" t="n">
        <v>45233</v>
      </c>
      <c r="C2357" s="1" t="n">
        <v>45353</v>
      </c>
      <c r="D2357" t="inlineStr">
        <is>
          <t>VÄSTERNORRLANDS LÄN</t>
        </is>
      </c>
      <c r="E2357" t="inlineStr">
        <is>
          <t>SOLLEFTEÅ</t>
        </is>
      </c>
      <c r="F2357" t="inlineStr">
        <is>
          <t>SCA</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54622-2023</t>
        </is>
      </c>
      <c r="B2358" s="1" t="n">
        <v>45233</v>
      </c>
      <c r="C2358" s="1" t="n">
        <v>45353</v>
      </c>
      <c r="D2358" t="inlineStr">
        <is>
          <t>VÄSTERNORRLANDS LÄN</t>
        </is>
      </c>
      <c r="E2358" t="inlineStr">
        <is>
          <t>SOLLEFTEÅ</t>
        </is>
      </c>
      <c r="F2358" t="inlineStr">
        <is>
          <t>SCA</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54618-2023</t>
        </is>
      </c>
      <c r="B2359" s="1" t="n">
        <v>45233</v>
      </c>
      <c r="C2359" s="1" t="n">
        <v>45353</v>
      </c>
      <c r="D2359" t="inlineStr">
        <is>
          <t>VÄSTERNORRLANDS LÄN</t>
        </is>
      </c>
      <c r="E2359" t="inlineStr">
        <is>
          <t>SOLLEFTEÅ</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54642-2023</t>
        </is>
      </c>
      <c r="B2360" s="1" t="n">
        <v>45234</v>
      </c>
      <c r="C2360" s="1" t="n">
        <v>45353</v>
      </c>
      <c r="D2360" t="inlineStr">
        <is>
          <t>VÄSTERNORRLANDS LÄN</t>
        </is>
      </c>
      <c r="E2360" t="inlineStr">
        <is>
          <t>SOLLEFTEÅ</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54641-2023</t>
        </is>
      </c>
      <c r="B2361" s="1" t="n">
        <v>45234</v>
      </c>
      <c r="C2361" s="1" t="n">
        <v>45353</v>
      </c>
      <c r="D2361" t="inlineStr">
        <is>
          <t>VÄSTERNORRLANDS LÄN</t>
        </is>
      </c>
      <c r="E2361" t="inlineStr">
        <is>
          <t>SOLLEFTEÅ</t>
        </is>
      </c>
      <c r="F2361" t="inlineStr">
        <is>
          <t>SCA</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54979-2023</t>
        </is>
      </c>
      <c r="B2362" s="1" t="n">
        <v>45236</v>
      </c>
      <c r="C2362" s="1" t="n">
        <v>45353</v>
      </c>
      <c r="D2362" t="inlineStr">
        <is>
          <t>VÄSTERNORRLANDS LÄN</t>
        </is>
      </c>
      <c r="E2362" t="inlineStr">
        <is>
          <t>SOLLEFTEÅ</t>
        </is>
      </c>
      <c r="F2362" t="inlineStr">
        <is>
          <t>SCA</t>
        </is>
      </c>
      <c r="G2362" t="n">
        <v>11.8</v>
      </c>
      <c r="H2362" t="n">
        <v>0</v>
      </c>
      <c r="I2362" t="n">
        <v>0</v>
      </c>
      <c r="J2362" t="n">
        <v>0</v>
      </c>
      <c r="K2362" t="n">
        <v>0</v>
      </c>
      <c r="L2362" t="n">
        <v>0</v>
      </c>
      <c r="M2362" t="n">
        <v>0</v>
      </c>
      <c r="N2362" t="n">
        <v>0</v>
      </c>
      <c r="O2362" t="n">
        <v>0</v>
      </c>
      <c r="P2362" t="n">
        <v>0</v>
      </c>
      <c r="Q2362" t="n">
        <v>0</v>
      </c>
      <c r="R2362" s="2" t="inlineStr"/>
    </row>
    <row r="2363" ht="15" customHeight="1">
      <c r="A2363" t="inlineStr">
        <is>
          <t>A 56148-2023</t>
        </is>
      </c>
      <c r="B2363" s="1" t="n">
        <v>45236</v>
      </c>
      <c r="C2363" s="1" t="n">
        <v>45353</v>
      </c>
      <c r="D2363" t="inlineStr">
        <is>
          <t>VÄSTERNORRLANDS LÄN</t>
        </is>
      </c>
      <c r="E2363" t="inlineStr">
        <is>
          <t>SOLLEFTEÅ</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54978-2023</t>
        </is>
      </c>
      <c r="B2364" s="1" t="n">
        <v>45237</v>
      </c>
      <c r="C2364" s="1" t="n">
        <v>45353</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55005-2023</t>
        </is>
      </c>
      <c r="B2365" s="1" t="n">
        <v>45236</v>
      </c>
      <c r="C2365" s="1" t="n">
        <v>45353</v>
      </c>
      <c r="D2365" t="inlineStr">
        <is>
          <t>VÄSTERNORRLANDS LÄN</t>
        </is>
      </c>
      <c r="E2365" t="inlineStr">
        <is>
          <t>SOLLEFTEÅ</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56356-2023</t>
        </is>
      </c>
      <c r="B2366" s="1" t="n">
        <v>45236</v>
      </c>
      <c r="C2366" s="1" t="n">
        <v>45353</v>
      </c>
      <c r="D2366" t="inlineStr">
        <is>
          <t>VÄSTERNORRLANDS LÄN</t>
        </is>
      </c>
      <c r="E2366" t="inlineStr">
        <is>
          <t>SOLLEFTEÅ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56416-2023</t>
        </is>
      </c>
      <c r="B2367" s="1" t="n">
        <v>45237</v>
      </c>
      <c r="C2367" s="1" t="n">
        <v>45353</v>
      </c>
      <c r="D2367" t="inlineStr">
        <is>
          <t>VÄSTERNORRLANDS LÄN</t>
        </is>
      </c>
      <c r="E2367" t="inlineStr">
        <is>
          <t>SOLLEFTEÅ</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56431-2023</t>
        </is>
      </c>
      <c r="B2368" s="1" t="n">
        <v>45237</v>
      </c>
      <c r="C2368" s="1" t="n">
        <v>45353</v>
      </c>
      <c r="D2368" t="inlineStr">
        <is>
          <t>VÄSTERNORRLANDS LÄN</t>
        </is>
      </c>
      <c r="E2368" t="inlineStr">
        <is>
          <t>SOLLEFTEÅ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55338-2023</t>
        </is>
      </c>
      <c r="B2369" s="1" t="n">
        <v>45238</v>
      </c>
      <c r="C2369" s="1" t="n">
        <v>45353</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56424-2023</t>
        </is>
      </c>
      <c r="B2370" s="1" t="n">
        <v>45237</v>
      </c>
      <c r="C2370" s="1" t="n">
        <v>45353</v>
      </c>
      <c r="D2370" t="inlineStr">
        <is>
          <t>VÄSTERNORRLANDS LÄN</t>
        </is>
      </c>
      <c r="E2370" t="inlineStr">
        <is>
          <t>SOLLEFTEÅ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55637-2023</t>
        </is>
      </c>
      <c r="B2371" s="1" t="n">
        <v>45238</v>
      </c>
      <c r="C2371" s="1" t="n">
        <v>45353</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55653-2023</t>
        </is>
      </c>
      <c r="B2372" s="1" t="n">
        <v>45239</v>
      </c>
      <c r="C2372" s="1" t="n">
        <v>45353</v>
      </c>
      <c r="D2372" t="inlineStr">
        <is>
          <t>VÄSTERNORRLANDS LÄN</t>
        </is>
      </c>
      <c r="E2372" t="inlineStr">
        <is>
          <t>SOLLEFTEÅ</t>
        </is>
      </c>
      <c r="F2372" t="inlineStr">
        <is>
          <t>SCA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55622-2023</t>
        </is>
      </c>
      <c r="B2373" s="1" t="n">
        <v>45238</v>
      </c>
      <c r="C2373" s="1" t="n">
        <v>45353</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55638-2023</t>
        </is>
      </c>
      <c r="B2374" s="1" t="n">
        <v>45238</v>
      </c>
      <c r="C2374" s="1" t="n">
        <v>45353</v>
      </c>
      <c r="D2374" t="inlineStr">
        <is>
          <t>VÄSTERNORRLANDS LÄN</t>
        </is>
      </c>
      <c r="E2374" t="inlineStr">
        <is>
          <t>SOLLEFTEÅ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55650-2023</t>
        </is>
      </c>
      <c r="B2375" s="1" t="n">
        <v>45239</v>
      </c>
      <c r="C2375" s="1" t="n">
        <v>45353</v>
      </c>
      <c r="D2375" t="inlineStr">
        <is>
          <t>VÄSTERNORRLANDS LÄN</t>
        </is>
      </c>
      <c r="E2375" t="inlineStr">
        <is>
          <t>SOLLEFTEÅ</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55654-2023</t>
        </is>
      </c>
      <c r="B2376" s="1" t="n">
        <v>45239</v>
      </c>
      <c r="C2376" s="1" t="n">
        <v>45353</v>
      </c>
      <c r="D2376" t="inlineStr">
        <is>
          <t>VÄSTERNORRLANDS LÄN</t>
        </is>
      </c>
      <c r="E2376" t="inlineStr">
        <is>
          <t>SOLLEFTEÅ</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55652-2023</t>
        </is>
      </c>
      <c r="B2377" s="1" t="n">
        <v>45238</v>
      </c>
      <c r="C2377" s="1" t="n">
        <v>45353</v>
      </c>
      <c r="D2377" t="inlineStr">
        <is>
          <t>VÄSTERNORRLANDS LÄN</t>
        </is>
      </c>
      <c r="E2377" t="inlineStr">
        <is>
          <t>SOLLEFTEÅ</t>
        </is>
      </c>
      <c r="F2377" t="inlineStr">
        <is>
          <t>SCA</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55651-2023</t>
        </is>
      </c>
      <c r="B2378" s="1" t="n">
        <v>45238</v>
      </c>
      <c r="C2378" s="1" t="n">
        <v>45353</v>
      </c>
      <c r="D2378" t="inlineStr">
        <is>
          <t>VÄSTERNORRLANDS LÄN</t>
        </is>
      </c>
      <c r="E2378" t="inlineStr">
        <is>
          <t>SOLLEFTEÅ</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55687-2023</t>
        </is>
      </c>
      <c r="B2379" s="1" t="n">
        <v>45239</v>
      </c>
      <c r="C2379" s="1" t="n">
        <v>45353</v>
      </c>
      <c r="D2379" t="inlineStr">
        <is>
          <t>VÄSTERNORRLANDS LÄN</t>
        </is>
      </c>
      <c r="E2379" t="inlineStr">
        <is>
          <t>SOLLEFTEÅ</t>
        </is>
      </c>
      <c r="F2379" t="inlineStr">
        <is>
          <t>Holmen skog AB</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55859-2023</t>
        </is>
      </c>
      <c r="B2380" s="1" t="n">
        <v>45239</v>
      </c>
      <c r="C2380" s="1" t="n">
        <v>45353</v>
      </c>
      <c r="D2380" t="inlineStr">
        <is>
          <t>VÄSTERNORRLANDS LÄN</t>
        </is>
      </c>
      <c r="E2380" t="inlineStr">
        <is>
          <t>SOLLEFTEÅ</t>
        </is>
      </c>
      <c r="F2380" t="inlineStr">
        <is>
          <t>Kommuner</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55910-2023</t>
        </is>
      </c>
      <c r="B2381" s="1" t="n">
        <v>45239</v>
      </c>
      <c r="C2381" s="1" t="n">
        <v>45353</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55912-2023</t>
        </is>
      </c>
      <c r="B2382" s="1" t="n">
        <v>45239</v>
      </c>
      <c r="C2382" s="1" t="n">
        <v>45353</v>
      </c>
      <c r="D2382" t="inlineStr">
        <is>
          <t>VÄSTERNORRLANDS LÄN</t>
        </is>
      </c>
      <c r="E2382" t="inlineStr">
        <is>
          <t>SOLLEFTEÅ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55929-2023</t>
        </is>
      </c>
      <c r="B2383" s="1" t="n">
        <v>45239</v>
      </c>
      <c r="C2383" s="1" t="n">
        <v>45353</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57010-2023</t>
        </is>
      </c>
      <c r="B2384" s="1" t="n">
        <v>45239</v>
      </c>
      <c r="C2384" s="1" t="n">
        <v>45353</v>
      </c>
      <c r="D2384" t="inlineStr">
        <is>
          <t>VÄSTERNORRLANDS LÄN</t>
        </is>
      </c>
      <c r="E2384" t="inlineStr">
        <is>
          <t>SOLLEFTEÅ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56261-2023</t>
        </is>
      </c>
      <c r="B2385" s="1" t="n">
        <v>45240</v>
      </c>
      <c r="C2385" s="1" t="n">
        <v>45353</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56249-2023</t>
        </is>
      </c>
      <c r="B2386" s="1" t="n">
        <v>45240</v>
      </c>
      <c r="C2386" s="1" t="n">
        <v>45353</v>
      </c>
      <c r="D2386" t="inlineStr">
        <is>
          <t>VÄSTERNORRLANDS LÄN</t>
        </is>
      </c>
      <c r="E2386" t="inlineStr">
        <is>
          <t>SOLLEFTEÅ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56201-2023</t>
        </is>
      </c>
      <c r="B2387" s="1" t="n">
        <v>45240</v>
      </c>
      <c r="C2387" s="1" t="n">
        <v>45353</v>
      </c>
      <c r="D2387" t="inlineStr">
        <is>
          <t>VÄSTERNORRLANDS LÄN</t>
        </is>
      </c>
      <c r="E2387" t="inlineStr">
        <is>
          <t>SOLLEFTEÅ</t>
        </is>
      </c>
      <c r="G2387" t="n">
        <v>43.3</v>
      </c>
      <c r="H2387" t="n">
        <v>0</v>
      </c>
      <c r="I2387" t="n">
        <v>0</v>
      </c>
      <c r="J2387" t="n">
        <v>0</v>
      </c>
      <c r="K2387" t="n">
        <v>0</v>
      </c>
      <c r="L2387" t="n">
        <v>0</v>
      </c>
      <c r="M2387" t="n">
        <v>0</v>
      </c>
      <c r="N2387" t="n">
        <v>0</v>
      </c>
      <c r="O2387" t="n">
        <v>0</v>
      </c>
      <c r="P2387" t="n">
        <v>0</v>
      </c>
      <c r="Q2387" t="n">
        <v>0</v>
      </c>
      <c r="R2387" s="2" t="inlineStr"/>
    </row>
    <row r="2388" ht="15" customHeight="1">
      <c r="A2388" t="inlineStr">
        <is>
          <t>A 56262-2023</t>
        </is>
      </c>
      <c r="B2388" s="1" t="n">
        <v>45240</v>
      </c>
      <c r="C2388" s="1" t="n">
        <v>45353</v>
      </c>
      <c r="D2388" t="inlineStr">
        <is>
          <t>VÄSTERNORRLANDS LÄN</t>
        </is>
      </c>
      <c r="E2388" t="inlineStr">
        <is>
          <t>SOLLEFTEÅ</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56234-2023</t>
        </is>
      </c>
      <c r="B2389" s="1" t="n">
        <v>45240</v>
      </c>
      <c r="C2389" s="1" t="n">
        <v>45353</v>
      </c>
      <c r="D2389" t="inlineStr">
        <is>
          <t>VÄSTERNORRLANDS LÄN</t>
        </is>
      </c>
      <c r="E2389" t="inlineStr">
        <is>
          <t>SOLLEFTEÅ</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56260-2023</t>
        </is>
      </c>
      <c r="B2390" s="1" t="n">
        <v>45240</v>
      </c>
      <c r="C2390" s="1" t="n">
        <v>45353</v>
      </c>
      <c r="D2390" t="inlineStr">
        <is>
          <t>VÄSTERNORRLANDS LÄN</t>
        </is>
      </c>
      <c r="E2390" t="inlineStr">
        <is>
          <t>SOLLEFTEÅ</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56256-2023</t>
        </is>
      </c>
      <c r="B2391" s="1" t="n">
        <v>45240</v>
      </c>
      <c r="C2391" s="1" t="n">
        <v>45353</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56244-2023</t>
        </is>
      </c>
      <c r="B2392" s="1" t="n">
        <v>45240</v>
      </c>
      <c r="C2392" s="1" t="n">
        <v>45353</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56134-2023</t>
        </is>
      </c>
      <c r="B2393" s="1" t="n">
        <v>45240</v>
      </c>
      <c r="C2393" s="1" t="n">
        <v>45353</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56137-2023</t>
        </is>
      </c>
      <c r="B2394" s="1" t="n">
        <v>45240</v>
      </c>
      <c r="C2394" s="1" t="n">
        <v>45353</v>
      </c>
      <c r="D2394" t="inlineStr">
        <is>
          <t>VÄSTERNORRLANDS LÄN</t>
        </is>
      </c>
      <c r="E2394" t="inlineStr">
        <is>
          <t>SOLLEFTEÅ</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56139-2023</t>
        </is>
      </c>
      <c r="B2395" s="1" t="n">
        <v>45240</v>
      </c>
      <c r="C2395" s="1" t="n">
        <v>45353</v>
      </c>
      <c r="D2395" t="inlineStr">
        <is>
          <t>VÄSTERNORRLANDS LÄN</t>
        </is>
      </c>
      <c r="E2395" t="inlineStr">
        <is>
          <t>SOLLEFTEÅ</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56310-2023</t>
        </is>
      </c>
      <c r="B2396" s="1" t="n">
        <v>45242</v>
      </c>
      <c r="C2396" s="1" t="n">
        <v>45353</v>
      </c>
      <c r="D2396" t="inlineStr">
        <is>
          <t>VÄSTERNORRLANDS LÄN</t>
        </is>
      </c>
      <c r="E2396" t="inlineStr">
        <is>
          <t>SOLLEFTEÅ</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57518-2023</t>
        </is>
      </c>
      <c r="B2397" s="1" t="n">
        <v>45242</v>
      </c>
      <c r="C2397" s="1" t="n">
        <v>45353</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56311-2023</t>
        </is>
      </c>
      <c r="B2398" s="1" t="n">
        <v>45242</v>
      </c>
      <c r="C2398" s="1" t="n">
        <v>45353</v>
      </c>
      <c r="D2398" t="inlineStr">
        <is>
          <t>VÄSTERNORRLANDS LÄN</t>
        </is>
      </c>
      <c r="E2398" t="inlineStr">
        <is>
          <t>SOLLEFTEÅ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56684-2023</t>
        </is>
      </c>
      <c r="B2399" s="1" t="n">
        <v>45244</v>
      </c>
      <c r="C2399" s="1" t="n">
        <v>45353</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56685-2023</t>
        </is>
      </c>
      <c r="B2400" s="1" t="n">
        <v>45244</v>
      </c>
      <c r="C2400" s="1" t="n">
        <v>45353</v>
      </c>
      <c r="D2400" t="inlineStr">
        <is>
          <t>VÄSTERNORRLANDS LÄN</t>
        </is>
      </c>
      <c r="E2400" t="inlineStr">
        <is>
          <t>SOLLEFTEÅ</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56697-2023</t>
        </is>
      </c>
      <c r="B2401" s="1" t="n">
        <v>45243</v>
      </c>
      <c r="C2401" s="1" t="n">
        <v>45353</v>
      </c>
      <c r="D2401" t="inlineStr">
        <is>
          <t>VÄSTERNORRLANDS LÄN</t>
        </is>
      </c>
      <c r="E2401" t="inlineStr">
        <is>
          <t>SOLLEFTEÅ</t>
        </is>
      </c>
      <c r="F2401" t="inlineStr">
        <is>
          <t>SCA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57080-2023</t>
        </is>
      </c>
      <c r="B2402" s="1" t="n">
        <v>45244</v>
      </c>
      <c r="C2402" s="1" t="n">
        <v>45353</v>
      </c>
      <c r="D2402" t="inlineStr">
        <is>
          <t>VÄSTERNORRLANDS LÄN</t>
        </is>
      </c>
      <c r="E2402" t="inlineStr">
        <is>
          <t>SOLLEFTEÅ</t>
        </is>
      </c>
      <c r="F2402" t="inlineStr">
        <is>
          <t>SCA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57066-2023</t>
        </is>
      </c>
      <c r="B2403" s="1" t="n">
        <v>45245</v>
      </c>
      <c r="C2403" s="1" t="n">
        <v>45353</v>
      </c>
      <c r="D2403" t="inlineStr">
        <is>
          <t>VÄSTERNORRLANDS LÄN</t>
        </is>
      </c>
      <c r="E2403" t="inlineStr">
        <is>
          <t>SOLLEFTEÅ</t>
        </is>
      </c>
      <c r="F2403" t="inlineStr">
        <is>
          <t>SCA</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57837-2023</t>
        </is>
      </c>
      <c r="B2404" s="1" t="n">
        <v>45244</v>
      </c>
      <c r="C2404" s="1" t="n">
        <v>45353</v>
      </c>
      <c r="D2404" t="inlineStr">
        <is>
          <t>VÄSTERNORRLANDS LÄN</t>
        </is>
      </c>
      <c r="E2404" t="inlineStr">
        <is>
          <t>SOLLEFTEÅ</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57384-2023</t>
        </is>
      </c>
      <c r="B2405" s="1" t="n">
        <v>45245</v>
      </c>
      <c r="C2405" s="1" t="n">
        <v>45353</v>
      </c>
      <c r="D2405" t="inlineStr">
        <is>
          <t>VÄSTERNORRLANDS LÄN</t>
        </is>
      </c>
      <c r="E2405" t="inlineStr">
        <is>
          <t>SOLLEFTEÅ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57394-2023</t>
        </is>
      </c>
      <c r="B2406" s="1" t="n">
        <v>45246</v>
      </c>
      <c r="C2406" s="1" t="n">
        <v>45353</v>
      </c>
      <c r="D2406" t="inlineStr">
        <is>
          <t>VÄSTERNORRLANDS LÄN</t>
        </is>
      </c>
      <c r="E2406" t="inlineStr">
        <is>
          <t>SOLLEFTEÅ</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57395-2023</t>
        </is>
      </c>
      <c r="B2407" s="1" t="n">
        <v>45246</v>
      </c>
      <c r="C2407" s="1" t="n">
        <v>45353</v>
      </c>
      <c r="D2407" t="inlineStr">
        <is>
          <t>VÄSTERNORRLANDS LÄN</t>
        </is>
      </c>
      <c r="E2407" t="inlineStr">
        <is>
          <t>SOLLEFTEÅ</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57411-2023</t>
        </is>
      </c>
      <c r="B2408" s="1" t="n">
        <v>45245</v>
      </c>
      <c r="C2408" s="1" t="n">
        <v>45353</v>
      </c>
      <c r="D2408" t="inlineStr">
        <is>
          <t>VÄSTERNORRLANDS LÄN</t>
        </is>
      </c>
      <c r="E2408" t="inlineStr">
        <is>
          <t>SOLLEFTEÅ</t>
        </is>
      </c>
      <c r="F2408" t="inlineStr">
        <is>
          <t>SCA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58298-2023</t>
        </is>
      </c>
      <c r="B2409" s="1" t="n">
        <v>45245</v>
      </c>
      <c r="C2409" s="1" t="n">
        <v>45353</v>
      </c>
      <c r="D2409" t="inlineStr">
        <is>
          <t>VÄSTERNORRLANDS LÄN</t>
        </is>
      </c>
      <c r="E2409" t="inlineStr">
        <is>
          <t>SOLLEFTEÅ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57655-2023</t>
        </is>
      </c>
      <c r="B2410" s="1" t="n">
        <v>45246</v>
      </c>
      <c r="C2410" s="1" t="n">
        <v>45353</v>
      </c>
      <c r="D2410" t="inlineStr">
        <is>
          <t>VÄSTERNORRLANDS LÄN</t>
        </is>
      </c>
      <c r="E2410" t="inlineStr">
        <is>
          <t>SOLLEFTEÅ</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58085-2023</t>
        </is>
      </c>
      <c r="B2411" s="1" t="n">
        <v>45247</v>
      </c>
      <c r="C2411" s="1" t="n">
        <v>45353</v>
      </c>
      <c r="D2411" t="inlineStr">
        <is>
          <t>VÄSTERNORRLANDS LÄN</t>
        </is>
      </c>
      <c r="E2411" t="inlineStr">
        <is>
          <t>SOLLEFTEÅ</t>
        </is>
      </c>
      <c r="F2411" t="inlineStr">
        <is>
          <t>SCA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58155-2023</t>
        </is>
      </c>
      <c r="B2412" s="1" t="n">
        <v>45250</v>
      </c>
      <c r="C2412" s="1" t="n">
        <v>45353</v>
      </c>
      <c r="D2412" t="inlineStr">
        <is>
          <t>VÄSTERNORRLANDS LÄN</t>
        </is>
      </c>
      <c r="E2412" t="inlineStr">
        <is>
          <t>SOLLEFTEÅ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58923-2023</t>
        </is>
      </c>
      <c r="B2413" s="1" t="n">
        <v>45250</v>
      </c>
      <c r="C2413" s="1" t="n">
        <v>45353</v>
      </c>
      <c r="D2413" t="inlineStr">
        <is>
          <t>VÄSTERNORRLANDS LÄN</t>
        </is>
      </c>
      <c r="E2413" t="inlineStr">
        <is>
          <t>SOLLEFTEÅ</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58938-2023</t>
        </is>
      </c>
      <c r="B2414" s="1" t="n">
        <v>45250</v>
      </c>
      <c r="C2414" s="1" t="n">
        <v>45353</v>
      </c>
      <c r="D2414" t="inlineStr">
        <is>
          <t>VÄSTERNORRLANDS LÄN</t>
        </is>
      </c>
      <c r="E2414" t="inlineStr">
        <is>
          <t>SOLLEFTEÅ</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58427-2023</t>
        </is>
      </c>
      <c r="B2415" s="1" t="n">
        <v>45250</v>
      </c>
      <c r="C2415" s="1" t="n">
        <v>45353</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58891-2023</t>
        </is>
      </c>
      <c r="B2416" s="1" t="n">
        <v>45250</v>
      </c>
      <c r="C2416" s="1" t="n">
        <v>45353</v>
      </c>
      <c r="D2416" t="inlineStr">
        <is>
          <t>VÄSTERNORRLANDS LÄN</t>
        </is>
      </c>
      <c r="E2416" t="inlineStr">
        <is>
          <t>SOLLEFTEÅ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58933-2023</t>
        </is>
      </c>
      <c r="B2417" s="1" t="n">
        <v>45250</v>
      </c>
      <c r="C2417" s="1" t="n">
        <v>45353</v>
      </c>
      <c r="D2417" t="inlineStr">
        <is>
          <t>VÄSTERNORRLANDS LÄN</t>
        </is>
      </c>
      <c r="E2417" t="inlineStr">
        <is>
          <t>SOLLEFTEÅ</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59098-2023</t>
        </is>
      </c>
      <c r="B2418" s="1" t="n">
        <v>45253</v>
      </c>
      <c r="C2418" s="1" t="n">
        <v>45353</v>
      </c>
      <c r="D2418" t="inlineStr">
        <is>
          <t>VÄSTERNORRLANDS LÄN</t>
        </is>
      </c>
      <c r="E2418" t="inlineStr">
        <is>
          <t>SOLLEFTEÅ</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59339-2023</t>
        </is>
      </c>
      <c r="B2419" s="1" t="n">
        <v>45253</v>
      </c>
      <c r="C2419" s="1" t="n">
        <v>45353</v>
      </c>
      <c r="D2419" t="inlineStr">
        <is>
          <t>VÄSTERNORRLANDS LÄN</t>
        </is>
      </c>
      <c r="E2419" t="inlineStr">
        <is>
          <t>SOLLEFTEÅ</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59346-2023</t>
        </is>
      </c>
      <c r="B2420" s="1" t="n">
        <v>45253</v>
      </c>
      <c r="C2420" s="1" t="n">
        <v>45353</v>
      </c>
      <c r="D2420" t="inlineStr">
        <is>
          <t>VÄSTERNORRLANDS LÄN</t>
        </is>
      </c>
      <c r="E2420" t="inlineStr">
        <is>
          <t>SOLLEFTEÅ</t>
        </is>
      </c>
      <c r="F2420" t="inlineStr">
        <is>
          <t>Holmen skog AB</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59461-2023</t>
        </is>
      </c>
      <c r="B2421" s="1" t="n">
        <v>45253</v>
      </c>
      <c r="C2421" s="1" t="n">
        <v>45353</v>
      </c>
      <c r="D2421" t="inlineStr">
        <is>
          <t>VÄSTERNORRLANDS LÄN</t>
        </is>
      </c>
      <c r="E2421" t="inlineStr">
        <is>
          <t>SOLLEFTEÅ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59579-2023</t>
        </is>
      </c>
      <c r="B2422" s="1" t="n">
        <v>45253</v>
      </c>
      <c r="C2422" s="1" t="n">
        <v>45353</v>
      </c>
      <c r="D2422" t="inlineStr">
        <is>
          <t>VÄSTERNORRLANDS LÄN</t>
        </is>
      </c>
      <c r="E2422" t="inlineStr">
        <is>
          <t>SOLLEFTEÅ</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59501-2023</t>
        </is>
      </c>
      <c r="B2423" s="1" t="n">
        <v>45254</v>
      </c>
      <c r="C2423" s="1" t="n">
        <v>45353</v>
      </c>
      <c r="D2423" t="inlineStr">
        <is>
          <t>VÄSTERNORRLANDS LÄN</t>
        </is>
      </c>
      <c r="E2423" t="inlineStr">
        <is>
          <t>SOLLEFTEÅ</t>
        </is>
      </c>
      <c r="F2423" t="inlineStr">
        <is>
          <t>Holmen skog AB</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59583-2023</t>
        </is>
      </c>
      <c r="B2424" s="1" t="n">
        <v>45254</v>
      </c>
      <c r="C2424" s="1" t="n">
        <v>45353</v>
      </c>
      <c r="D2424" t="inlineStr">
        <is>
          <t>VÄSTERNORRLANDS LÄN</t>
        </is>
      </c>
      <c r="E2424" t="inlineStr">
        <is>
          <t>SOLLEFTEÅ</t>
        </is>
      </c>
      <c r="F2424" t="inlineStr">
        <is>
          <t>Holmen skog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59657-2023</t>
        </is>
      </c>
      <c r="B2425" s="1" t="n">
        <v>45255</v>
      </c>
      <c r="C2425" s="1" t="n">
        <v>45353</v>
      </c>
      <c r="D2425" t="inlineStr">
        <is>
          <t>VÄSTERNORRLANDS LÄN</t>
        </is>
      </c>
      <c r="E2425" t="inlineStr">
        <is>
          <t>SOLLEFTEÅ</t>
        </is>
      </c>
      <c r="F2425" t="inlineStr">
        <is>
          <t>SCA</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59593-2023</t>
        </is>
      </c>
      <c r="B2426" s="1" t="n">
        <v>45254</v>
      </c>
      <c r="C2426" s="1" t="n">
        <v>45353</v>
      </c>
      <c r="D2426" t="inlineStr">
        <is>
          <t>VÄSTERNORRLANDS LÄN</t>
        </is>
      </c>
      <c r="E2426" t="inlineStr">
        <is>
          <t>SOLLEFTEÅ</t>
        </is>
      </c>
      <c r="F2426" t="inlineStr">
        <is>
          <t>Holmen skog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59662-2023</t>
        </is>
      </c>
      <c r="B2427" s="1" t="n">
        <v>45255</v>
      </c>
      <c r="C2427" s="1" t="n">
        <v>45353</v>
      </c>
      <c r="D2427" t="inlineStr">
        <is>
          <t>VÄSTERNORRLANDS LÄN</t>
        </is>
      </c>
      <c r="E2427" t="inlineStr">
        <is>
          <t>SOLLEFTEÅ</t>
        </is>
      </c>
      <c r="F2427" t="inlineStr">
        <is>
          <t>SCA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59879-2023</t>
        </is>
      </c>
      <c r="B2428" s="1" t="n">
        <v>45254</v>
      </c>
      <c r="C2428" s="1" t="n">
        <v>45353</v>
      </c>
      <c r="D2428" t="inlineStr">
        <is>
          <t>VÄSTERNORRLANDS LÄN</t>
        </is>
      </c>
      <c r="E2428" t="inlineStr">
        <is>
          <t>SOLLEFTEÅ</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60039-2023</t>
        </is>
      </c>
      <c r="B2429" s="1" t="n">
        <v>45254</v>
      </c>
      <c r="C2429" s="1" t="n">
        <v>45353</v>
      </c>
      <c r="D2429" t="inlineStr">
        <is>
          <t>VÄSTERNORRLANDS LÄN</t>
        </is>
      </c>
      <c r="E2429" t="inlineStr">
        <is>
          <t>SOLLEFTEÅ</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59794-2023</t>
        </is>
      </c>
      <c r="B2430" s="1" t="n">
        <v>45257</v>
      </c>
      <c r="C2430" s="1" t="n">
        <v>45353</v>
      </c>
      <c r="D2430" t="inlineStr">
        <is>
          <t>VÄSTERNORRLANDS LÄN</t>
        </is>
      </c>
      <c r="E2430" t="inlineStr">
        <is>
          <t>SOLLEFTEÅ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60099-2023</t>
        </is>
      </c>
      <c r="B2431" s="1" t="n">
        <v>45257</v>
      </c>
      <c r="C2431" s="1" t="n">
        <v>45353</v>
      </c>
      <c r="D2431" t="inlineStr">
        <is>
          <t>VÄSTERNORRLANDS LÄN</t>
        </is>
      </c>
      <c r="E2431" t="inlineStr">
        <is>
          <t>SOLLEFTEÅ</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60329-2023</t>
        </is>
      </c>
      <c r="B2432" s="1" t="n">
        <v>45258</v>
      </c>
      <c r="C2432" s="1" t="n">
        <v>45353</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60462-2023</t>
        </is>
      </c>
      <c r="B2433" s="1" t="n">
        <v>45258</v>
      </c>
      <c r="C2433" s="1" t="n">
        <v>45353</v>
      </c>
      <c r="D2433" t="inlineStr">
        <is>
          <t>VÄSTERNORRLANDS LÄN</t>
        </is>
      </c>
      <c r="E2433" t="inlineStr">
        <is>
          <t>SOLLEFTEÅ</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60328-2023</t>
        </is>
      </c>
      <c r="B2434" s="1" t="n">
        <v>45258</v>
      </c>
      <c r="C2434" s="1" t="n">
        <v>45353</v>
      </c>
      <c r="D2434" t="inlineStr">
        <is>
          <t>VÄSTERNORRLANDS LÄN</t>
        </is>
      </c>
      <c r="E2434" t="inlineStr">
        <is>
          <t>SOLLEFTEÅ</t>
        </is>
      </c>
      <c r="F2434" t="inlineStr">
        <is>
          <t>SCA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60480-2023</t>
        </is>
      </c>
      <c r="B2435" s="1" t="n">
        <v>45258</v>
      </c>
      <c r="C2435" s="1" t="n">
        <v>45353</v>
      </c>
      <c r="D2435" t="inlineStr">
        <is>
          <t>VÄSTERNORRLANDS LÄN</t>
        </is>
      </c>
      <c r="E2435" t="inlineStr">
        <is>
          <t>SOLLEFTEÅ</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61034-2023</t>
        </is>
      </c>
      <c r="B2436" s="1" t="n">
        <v>45259</v>
      </c>
      <c r="C2436" s="1" t="n">
        <v>45353</v>
      </c>
      <c r="D2436" t="inlineStr">
        <is>
          <t>VÄSTERNORRLANDS LÄN</t>
        </is>
      </c>
      <c r="E2436" t="inlineStr">
        <is>
          <t>SOLLEFTEÅ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61028-2023</t>
        </is>
      </c>
      <c r="B2437" s="1" t="n">
        <v>45259</v>
      </c>
      <c r="C2437" s="1" t="n">
        <v>45353</v>
      </c>
      <c r="D2437" t="inlineStr">
        <is>
          <t>VÄSTERNORRLANDS LÄN</t>
        </is>
      </c>
      <c r="E2437" t="inlineStr">
        <is>
          <t>SOLLEFTEÅ</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60883-2023</t>
        </is>
      </c>
      <c r="B2438" s="1" t="n">
        <v>45259</v>
      </c>
      <c r="C2438" s="1" t="n">
        <v>45353</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60861-2023</t>
        </is>
      </c>
      <c r="B2439" s="1" t="n">
        <v>45260</v>
      </c>
      <c r="C2439" s="1" t="n">
        <v>45353</v>
      </c>
      <c r="D2439" t="inlineStr">
        <is>
          <t>VÄSTERNORRLANDS LÄN</t>
        </is>
      </c>
      <c r="E2439" t="inlineStr">
        <is>
          <t>SOLLEFTEÅ</t>
        </is>
      </c>
      <c r="F2439" t="inlineStr">
        <is>
          <t>SCA</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61213-2023</t>
        </is>
      </c>
      <c r="B2440" s="1" t="n">
        <v>45260</v>
      </c>
      <c r="C2440" s="1" t="n">
        <v>45353</v>
      </c>
      <c r="D2440" t="inlineStr">
        <is>
          <t>VÄSTERNORRLANDS LÄN</t>
        </is>
      </c>
      <c r="E2440" t="inlineStr">
        <is>
          <t>SOLLEFTEÅ</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61137-2023</t>
        </is>
      </c>
      <c r="B2441" s="1" t="n">
        <v>45261</v>
      </c>
      <c r="C2441" s="1" t="n">
        <v>45353</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61138-2023</t>
        </is>
      </c>
      <c r="B2442" s="1" t="n">
        <v>45261</v>
      </c>
      <c r="C2442" s="1" t="n">
        <v>45353</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61081-2023</t>
        </is>
      </c>
      <c r="B2443" s="1" t="n">
        <v>45261</v>
      </c>
      <c r="C2443" s="1" t="n">
        <v>45353</v>
      </c>
      <c r="D2443" t="inlineStr">
        <is>
          <t>VÄSTERNORRLANDS LÄN</t>
        </is>
      </c>
      <c r="E2443" t="inlineStr">
        <is>
          <t>SOLLEFTEÅ</t>
        </is>
      </c>
      <c r="F2443" t="inlineStr">
        <is>
          <t>Holmen skog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61469-2023</t>
        </is>
      </c>
      <c r="B2444" s="1" t="n">
        <v>45264</v>
      </c>
      <c r="C2444" s="1" t="n">
        <v>45353</v>
      </c>
      <c r="D2444" t="inlineStr">
        <is>
          <t>VÄSTERNORRLANDS LÄN</t>
        </is>
      </c>
      <c r="E2444" t="inlineStr">
        <is>
          <t>SOLLEFTEÅ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61473-2023</t>
        </is>
      </c>
      <c r="B2445" s="1" t="n">
        <v>45264</v>
      </c>
      <c r="C2445" s="1" t="n">
        <v>45353</v>
      </c>
      <c r="D2445" t="inlineStr">
        <is>
          <t>VÄSTERNORRLANDS LÄN</t>
        </is>
      </c>
      <c r="E2445" t="inlineStr">
        <is>
          <t>SOLLEFTEÅ</t>
        </is>
      </c>
      <c r="G2445" t="n">
        <v>18.8</v>
      </c>
      <c r="H2445" t="n">
        <v>0</v>
      </c>
      <c r="I2445" t="n">
        <v>0</v>
      </c>
      <c r="J2445" t="n">
        <v>0</v>
      </c>
      <c r="K2445" t="n">
        <v>0</v>
      </c>
      <c r="L2445" t="n">
        <v>0</v>
      </c>
      <c r="M2445" t="n">
        <v>0</v>
      </c>
      <c r="N2445" t="n">
        <v>0</v>
      </c>
      <c r="O2445" t="n">
        <v>0</v>
      </c>
      <c r="P2445" t="n">
        <v>0</v>
      </c>
      <c r="Q2445" t="n">
        <v>0</v>
      </c>
      <c r="R2445" s="2" t="inlineStr"/>
    </row>
    <row r="2446" ht="15" customHeight="1">
      <c r="A2446" t="inlineStr">
        <is>
          <t>A 61485-2023</t>
        </is>
      </c>
      <c r="B2446" s="1" t="n">
        <v>45264</v>
      </c>
      <c r="C2446" s="1" t="n">
        <v>45353</v>
      </c>
      <c r="D2446" t="inlineStr">
        <is>
          <t>VÄSTERNORRLANDS LÄN</t>
        </is>
      </c>
      <c r="E2446" t="inlineStr">
        <is>
          <t>SOLLEFTEÅ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61462-2023</t>
        </is>
      </c>
      <c r="B2447" s="1" t="n">
        <v>45264</v>
      </c>
      <c r="C2447" s="1" t="n">
        <v>45353</v>
      </c>
      <c r="D2447" t="inlineStr">
        <is>
          <t>VÄSTERNORRLANDS LÄN</t>
        </is>
      </c>
      <c r="E2447" t="inlineStr">
        <is>
          <t>SOLLEFTEÅ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61470-2023</t>
        </is>
      </c>
      <c r="B2448" s="1" t="n">
        <v>45264</v>
      </c>
      <c r="C2448" s="1" t="n">
        <v>45353</v>
      </c>
      <c r="D2448" t="inlineStr">
        <is>
          <t>VÄSTERNORRLANDS LÄN</t>
        </is>
      </c>
      <c r="E2448" t="inlineStr">
        <is>
          <t>SOLLEFTEÅ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61809-2023</t>
        </is>
      </c>
      <c r="B2449" s="1" t="n">
        <v>45264</v>
      </c>
      <c r="C2449" s="1" t="n">
        <v>45353</v>
      </c>
      <c r="D2449" t="inlineStr">
        <is>
          <t>VÄSTERNORRLANDS LÄN</t>
        </is>
      </c>
      <c r="E2449" t="inlineStr">
        <is>
          <t>SOLLEFTEÅ</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61805-2023</t>
        </is>
      </c>
      <c r="B2450" s="1" t="n">
        <v>45264</v>
      </c>
      <c r="C2450" s="1" t="n">
        <v>45353</v>
      </c>
      <c r="D2450" t="inlineStr">
        <is>
          <t>VÄSTERNORRLANDS LÄN</t>
        </is>
      </c>
      <c r="E2450" t="inlineStr">
        <is>
          <t>SOLLEFTEÅ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61784-2023</t>
        </is>
      </c>
      <c r="B2451" s="1" t="n">
        <v>45265</v>
      </c>
      <c r="C2451" s="1" t="n">
        <v>45353</v>
      </c>
      <c r="D2451" t="inlineStr">
        <is>
          <t>VÄSTERNORRLANDS LÄN</t>
        </is>
      </c>
      <c r="E2451" t="inlineStr">
        <is>
          <t>SOLLEFTEÅ</t>
        </is>
      </c>
      <c r="F2451" t="inlineStr">
        <is>
          <t>SCA</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62098-2023</t>
        </is>
      </c>
      <c r="B2452" s="1" t="n">
        <v>45266</v>
      </c>
      <c r="C2452" s="1" t="n">
        <v>45353</v>
      </c>
      <c r="D2452" t="inlineStr">
        <is>
          <t>VÄSTERNORRLANDS LÄN</t>
        </is>
      </c>
      <c r="E2452" t="inlineStr">
        <is>
          <t>SOLLEFTEÅ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62099-2023</t>
        </is>
      </c>
      <c r="B2453" s="1" t="n">
        <v>45266</v>
      </c>
      <c r="C2453" s="1" t="n">
        <v>45353</v>
      </c>
      <c r="D2453" t="inlineStr">
        <is>
          <t>VÄSTERNORRLANDS LÄN</t>
        </is>
      </c>
      <c r="E2453" t="inlineStr">
        <is>
          <t>SOLLEFTEÅ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62115-2023</t>
        </is>
      </c>
      <c r="B2454" s="1" t="n">
        <v>45266</v>
      </c>
      <c r="C2454" s="1" t="n">
        <v>45353</v>
      </c>
      <c r="D2454" t="inlineStr">
        <is>
          <t>VÄSTERNORRLANDS LÄN</t>
        </is>
      </c>
      <c r="E2454" t="inlineStr">
        <is>
          <t>SOLLEFTEÅ</t>
        </is>
      </c>
      <c r="F2454" t="inlineStr">
        <is>
          <t>SCA</t>
        </is>
      </c>
      <c r="G2454" t="n">
        <v>43.1</v>
      </c>
      <c r="H2454" t="n">
        <v>0</v>
      </c>
      <c r="I2454" t="n">
        <v>0</v>
      </c>
      <c r="J2454" t="n">
        <v>0</v>
      </c>
      <c r="K2454" t="n">
        <v>0</v>
      </c>
      <c r="L2454" t="n">
        <v>0</v>
      </c>
      <c r="M2454" t="n">
        <v>0</v>
      </c>
      <c r="N2454" t="n">
        <v>0</v>
      </c>
      <c r="O2454" t="n">
        <v>0</v>
      </c>
      <c r="P2454" t="n">
        <v>0</v>
      </c>
      <c r="Q2454" t="n">
        <v>0</v>
      </c>
      <c r="R2454" s="2" t="inlineStr"/>
    </row>
    <row r="2455" ht="15" customHeight="1">
      <c r="A2455" t="inlineStr">
        <is>
          <t>A 62096-2023</t>
        </is>
      </c>
      <c r="B2455" s="1" t="n">
        <v>45266</v>
      </c>
      <c r="C2455" s="1" t="n">
        <v>45353</v>
      </c>
      <c r="D2455" t="inlineStr">
        <is>
          <t>VÄSTERNORRLANDS LÄN</t>
        </is>
      </c>
      <c r="E2455" t="inlineStr">
        <is>
          <t>SOLLEFTEÅ</t>
        </is>
      </c>
      <c r="F2455" t="inlineStr">
        <is>
          <t>Kyrkan</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62100-2023</t>
        </is>
      </c>
      <c r="B2456" s="1" t="n">
        <v>45266</v>
      </c>
      <c r="C2456" s="1" t="n">
        <v>45353</v>
      </c>
      <c r="D2456" t="inlineStr">
        <is>
          <t>VÄSTERNORRLANDS LÄN</t>
        </is>
      </c>
      <c r="E2456" t="inlineStr">
        <is>
          <t>SOLLEFTEÅ</t>
        </is>
      </c>
      <c r="G2456" t="n">
        <v>16.6</v>
      </c>
      <c r="H2456" t="n">
        <v>0</v>
      </c>
      <c r="I2456" t="n">
        <v>0</v>
      </c>
      <c r="J2456" t="n">
        <v>0</v>
      </c>
      <c r="K2456" t="n">
        <v>0</v>
      </c>
      <c r="L2456" t="n">
        <v>0</v>
      </c>
      <c r="M2456" t="n">
        <v>0</v>
      </c>
      <c r="N2456" t="n">
        <v>0</v>
      </c>
      <c r="O2456" t="n">
        <v>0</v>
      </c>
      <c r="P2456" t="n">
        <v>0</v>
      </c>
      <c r="Q2456" t="n">
        <v>0</v>
      </c>
      <c r="R2456" s="2" t="inlineStr"/>
    </row>
    <row r="2457" ht="15" customHeight="1">
      <c r="A2457" t="inlineStr">
        <is>
          <t>A 62093-2023</t>
        </is>
      </c>
      <c r="B2457" s="1" t="n">
        <v>45266</v>
      </c>
      <c r="C2457" s="1" t="n">
        <v>45353</v>
      </c>
      <c r="D2457" t="inlineStr">
        <is>
          <t>VÄSTERNORRLANDS LÄN</t>
        </is>
      </c>
      <c r="E2457" t="inlineStr">
        <is>
          <t>SOLLEFTEÅ</t>
        </is>
      </c>
      <c r="G2457" t="n">
        <v>18.1</v>
      </c>
      <c r="H2457" t="n">
        <v>0</v>
      </c>
      <c r="I2457" t="n">
        <v>0</v>
      </c>
      <c r="J2457" t="n">
        <v>0</v>
      </c>
      <c r="K2457" t="n">
        <v>0</v>
      </c>
      <c r="L2457" t="n">
        <v>0</v>
      </c>
      <c r="M2457" t="n">
        <v>0</v>
      </c>
      <c r="N2457" t="n">
        <v>0</v>
      </c>
      <c r="O2457" t="n">
        <v>0</v>
      </c>
      <c r="P2457" t="n">
        <v>0</v>
      </c>
      <c r="Q2457" t="n">
        <v>0</v>
      </c>
      <c r="R2457" s="2" t="inlineStr"/>
    </row>
    <row r="2458" ht="15" customHeight="1">
      <c r="A2458" t="inlineStr">
        <is>
          <t>A 62097-2023</t>
        </is>
      </c>
      <c r="B2458" s="1" t="n">
        <v>45266</v>
      </c>
      <c r="C2458" s="1" t="n">
        <v>45353</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62363-2023</t>
        </is>
      </c>
      <c r="B2459" s="1" t="n">
        <v>45267</v>
      </c>
      <c r="C2459" s="1" t="n">
        <v>45353</v>
      </c>
      <c r="D2459" t="inlineStr">
        <is>
          <t>VÄSTERNORRLANDS LÄN</t>
        </is>
      </c>
      <c r="E2459" t="inlineStr">
        <is>
          <t>SOLLEFTEÅ</t>
        </is>
      </c>
      <c r="F2459" t="inlineStr">
        <is>
          <t>SCA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62357-2023</t>
        </is>
      </c>
      <c r="B2460" s="1" t="n">
        <v>45267</v>
      </c>
      <c r="C2460" s="1" t="n">
        <v>45353</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62343-2023</t>
        </is>
      </c>
      <c r="B2461" s="1" t="n">
        <v>45267</v>
      </c>
      <c r="C2461" s="1" t="n">
        <v>45353</v>
      </c>
      <c r="D2461" t="inlineStr">
        <is>
          <t>VÄSTERNORRLANDS LÄN</t>
        </is>
      </c>
      <c r="E2461" t="inlineStr">
        <is>
          <t>SOLLEFTEÅ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62364-2023</t>
        </is>
      </c>
      <c r="B2462" s="1" t="n">
        <v>45267</v>
      </c>
      <c r="C2462" s="1" t="n">
        <v>45353</v>
      </c>
      <c r="D2462" t="inlineStr">
        <is>
          <t>VÄSTERNORRLANDS LÄN</t>
        </is>
      </c>
      <c r="E2462" t="inlineStr">
        <is>
          <t>SOLLEFTEÅ</t>
        </is>
      </c>
      <c r="F2462" t="inlineStr">
        <is>
          <t>SCA</t>
        </is>
      </c>
      <c r="G2462" t="n">
        <v>22.1</v>
      </c>
      <c r="H2462" t="n">
        <v>0</v>
      </c>
      <c r="I2462" t="n">
        <v>0</v>
      </c>
      <c r="J2462" t="n">
        <v>0</v>
      </c>
      <c r="K2462" t="n">
        <v>0</v>
      </c>
      <c r="L2462" t="n">
        <v>0</v>
      </c>
      <c r="M2462" t="n">
        <v>0</v>
      </c>
      <c r="N2462" t="n">
        <v>0</v>
      </c>
      <c r="O2462" t="n">
        <v>0</v>
      </c>
      <c r="P2462" t="n">
        <v>0</v>
      </c>
      <c r="Q2462" t="n">
        <v>0</v>
      </c>
      <c r="R2462" s="2" t="inlineStr"/>
    </row>
    <row r="2463" ht="15" customHeight="1">
      <c r="A2463" t="inlineStr">
        <is>
          <t>A 62523-2023</t>
        </is>
      </c>
      <c r="B2463" s="1" t="n">
        <v>45267</v>
      </c>
      <c r="C2463" s="1" t="n">
        <v>45353</v>
      </c>
      <c r="D2463" t="inlineStr">
        <is>
          <t>VÄSTERNORRLANDS LÄN</t>
        </is>
      </c>
      <c r="E2463" t="inlineStr">
        <is>
          <t>SOLLEFTEÅ</t>
        </is>
      </c>
      <c r="G2463" t="n">
        <v>33.6</v>
      </c>
      <c r="H2463" t="n">
        <v>0</v>
      </c>
      <c r="I2463" t="n">
        <v>0</v>
      </c>
      <c r="J2463" t="n">
        <v>0</v>
      </c>
      <c r="K2463" t="n">
        <v>0</v>
      </c>
      <c r="L2463" t="n">
        <v>0</v>
      </c>
      <c r="M2463" t="n">
        <v>0</v>
      </c>
      <c r="N2463" t="n">
        <v>0</v>
      </c>
      <c r="O2463" t="n">
        <v>0</v>
      </c>
      <c r="P2463" t="n">
        <v>0</v>
      </c>
      <c r="Q2463" t="n">
        <v>0</v>
      </c>
      <c r="R2463" s="2" t="inlineStr"/>
    </row>
    <row r="2464" ht="15" customHeight="1">
      <c r="A2464" t="inlineStr">
        <is>
          <t>A 62527-2023</t>
        </is>
      </c>
      <c r="B2464" s="1" t="n">
        <v>45267</v>
      </c>
      <c r="C2464" s="1" t="n">
        <v>45353</v>
      </c>
      <c r="D2464" t="inlineStr">
        <is>
          <t>VÄSTERNORRLANDS LÄN</t>
        </is>
      </c>
      <c r="E2464" t="inlineStr">
        <is>
          <t>SOLLEFTEÅ</t>
        </is>
      </c>
      <c r="G2464" t="n">
        <v>10.7</v>
      </c>
      <c r="H2464" t="n">
        <v>0</v>
      </c>
      <c r="I2464" t="n">
        <v>0</v>
      </c>
      <c r="J2464" t="n">
        <v>0</v>
      </c>
      <c r="K2464" t="n">
        <v>0</v>
      </c>
      <c r="L2464" t="n">
        <v>0</v>
      </c>
      <c r="M2464" t="n">
        <v>0</v>
      </c>
      <c r="N2464" t="n">
        <v>0</v>
      </c>
      <c r="O2464" t="n">
        <v>0</v>
      </c>
      <c r="P2464" t="n">
        <v>0</v>
      </c>
      <c r="Q2464" t="n">
        <v>0</v>
      </c>
      <c r="R2464" s="2" t="inlineStr"/>
    </row>
    <row r="2465" ht="15" customHeight="1">
      <c r="A2465" t="inlineStr">
        <is>
          <t>A 62827-2023</t>
        </is>
      </c>
      <c r="B2465" s="1" t="n">
        <v>45271</v>
      </c>
      <c r="C2465" s="1" t="n">
        <v>45353</v>
      </c>
      <c r="D2465" t="inlineStr">
        <is>
          <t>VÄSTERNORRLANDS LÄN</t>
        </is>
      </c>
      <c r="E2465" t="inlineStr">
        <is>
          <t>SOLLEFTEÅ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63144-2023</t>
        </is>
      </c>
      <c r="B2466" s="1" t="n">
        <v>45272</v>
      </c>
      <c r="C2466" s="1" t="n">
        <v>45353</v>
      </c>
      <c r="D2466" t="inlineStr">
        <is>
          <t>VÄSTERNORRLANDS LÄN</t>
        </is>
      </c>
      <c r="E2466" t="inlineStr">
        <is>
          <t>SOLLEFTEÅ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63138-2023</t>
        </is>
      </c>
      <c r="B2467" s="1" t="n">
        <v>45272</v>
      </c>
      <c r="C2467" s="1" t="n">
        <v>45353</v>
      </c>
      <c r="D2467" t="inlineStr">
        <is>
          <t>VÄSTERNORRLANDS LÄN</t>
        </is>
      </c>
      <c r="E2467" t="inlineStr">
        <is>
          <t>SOLLEFTEÅ</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63261-2023</t>
        </is>
      </c>
      <c r="B2468" s="1" t="n">
        <v>45273</v>
      </c>
      <c r="C2468" s="1" t="n">
        <v>45353</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63259-2023</t>
        </is>
      </c>
      <c r="B2469" s="1" t="n">
        <v>45273</v>
      </c>
      <c r="C2469" s="1" t="n">
        <v>45353</v>
      </c>
      <c r="D2469" t="inlineStr">
        <is>
          <t>VÄSTERNORRLANDS LÄN</t>
        </is>
      </c>
      <c r="E2469" t="inlineStr">
        <is>
          <t>SOLLEFTEÅ</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63413-2023</t>
        </is>
      </c>
      <c r="B2470" s="1" t="n">
        <v>45274</v>
      </c>
      <c r="C2470" s="1" t="n">
        <v>45353</v>
      </c>
      <c r="D2470" t="inlineStr">
        <is>
          <t>VÄSTERNORRLANDS LÄN</t>
        </is>
      </c>
      <c r="E2470" t="inlineStr">
        <is>
          <t>SOLLEFTEÅ</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63462-2023</t>
        </is>
      </c>
      <c r="B2471" s="1" t="n">
        <v>45274</v>
      </c>
      <c r="C2471" s="1" t="n">
        <v>45353</v>
      </c>
      <c r="D2471" t="inlineStr">
        <is>
          <t>VÄSTERNORRLANDS LÄN</t>
        </is>
      </c>
      <c r="E2471" t="inlineStr">
        <is>
          <t>SOLLEFTEÅ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63422-2023</t>
        </is>
      </c>
      <c r="B2472" s="1" t="n">
        <v>45274</v>
      </c>
      <c r="C2472" s="1" t="n">
        <v>45353</v>
      </c>
      <c r="D2472" t="inlineStr">
        <is>
          <t>VÄSTERNORRLANDS LÄN</t>
        </is>
      </c>
      <c r="E2472" t="inlineStr">
        <is>
          <t>SOLLEFTEÅ</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63529-2023</t>
        </is>
      </c>
      <c r="B2473" s="1" t="n">
        <v>45274</v>
      </c>
      <c r="C2473" s="1" t="n">
        <v>45353</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63547-2023</t>
        </is>
      </c>
      <c r="B2474" s="1" t="n">
        <v>45274</v>
      </c>
      <c r="C2474" s="1" t="n">
        <v>45353</v>
      </c>
      <c r="D2474" t="inlineStr">
        <is>
          <t>VÄSTERNORRLANDS LÄN</t>
        </is>
      </c>
      <c r="E2474" t="inlineStr">
        <is>
          <t>SOLLEFTEÅ</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63707-2023</t>
        </is>
      </c>
      <c r="B2475" s="1" t="n">
        <v>45275</v>
      </c>
      <c r="C2475" s="1" t="n">
        <v>45353</v>
      </c>
      <c r="D2475" t="inlineStr">
        <is>
          <t>VÄSTERNORRLANDS LÄN</t>
        </is>
      </c>
      <c r="E2475" t="inlineStr">
        <is>
          <t>SOLLEFTEÅ</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63712-2023</t>
        </is>
      </c>
      <c r="B2476" s="1" t="n">
        <v>45275</v>
      </c>
      <c r="C2476" s="1" t="n">
        <v>45353</v>
      </c>
      <c r="D2476" t="inlineStr">
        <is>
          <t>VÄSTERNORRLANDS LÄN</t>
        </is>
      </c>
      <c r="E2476" t="inlineStr">
        <is>
          <t>SOLLEFTEÅ</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63652-2023</t>
        </is>
      </c>
      <c r="B2477" s="1" t="n">
        <v>45275</v>
      </c>
      <c r="C2477" s="1" t="n">
        <v>45353</v>
      </c>
      <c r="D2477" t="inlineStr">
        <is>
          <t>VÄSTERNORRLANDS LÄN</t>
        </is>
      </c>
      <c r="E2477" t="inlineStr">
        <is>
          <t>SOLLEFTEÅ</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63979-2023</t>
        </is>
      </c>
      <c r="B2478" s="1" t="n">
        <v>45278</v>
      </c>
      <c r="C2478" s="1" t="n">
        <v>45353</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64014-2023</t>
        </is>
      </c>
      <c r="B2479" s="1" t="n">
        <v>45278</v>
      </c>
      <c r="C2479" s="1" t="n">
        <v>45353</v>
      </c>
      <c r="D2479" t="inlineStr">
        <is>
          <t>VÄSTERNORRLANDS LÄN</t>
        </is>
      </c>
      <c r="E2479" t="inlineStr">
        <is>
          <t>SOLLEFTEÅ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64013-2023</t>
        </is>
      </c>
      <c r="B2480" s="1" t="n">
        <v>45278</v>
      </c>
      <c r="C2480" s="1" t="n">
        <v>45353</v>
      </c>
      <c r="D2480" t="inlineStr">
        <is>
          <t>VÄSTERNORRLANDS LÄN</t>
        </is>
      </c>
      <c r="E2480" t="inlineStr">
        <is>
          <t>SOLLEFTEÅ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64111-2023</t>
        </is>
      </c>
      <c r="B2481" s="1" t="n">
        <v>45279</v>
      </c>
      <c r="C2481" s="1" t="n">
        <v>45353</v>
      </c>
      <c r="D2481" t="inlineStr">
        <is>
          <t>VÄSTERNORRLANDS LÄN</t>
        </is>
      </c>
      <c r="E2481" t="inlineStr">
        <is>
          <t>SOLLEFTEÅ</t>
        </is>
      </c>
      <c r="G2481" t="n">
        <v>19.9</v>
      </c>
      <c r="H2481" t="n">
        <v>0</v>
      </c>
      <c r="I2481" t="n">
        <v>0</v>
      </c>
      <c r="J2481" t="n">
        <v>0</v>
      </c>
      <c r="K2481" t="n">
        <v>0</v>
      </c>
      <c r="L2481" t="n">
        <v>0</v>
      </c>
      <c r="M2481" t="n">
        <v>0</v>
      </c>
      <c r="N2481" t="n">
        <v>0</v>
      </c>
      <c r="O2481" t="n">
        <v>0</v>
      </c>
      <c r="P2481" t="n">
        <v>0</v>
      </c>
      <c r="Q2481" t="n">
        <v>0</v>
      </c>
      <c r="R2481" s="2" t="inlineStr"/>
    </row>
    <row r="2482" ht="15" customHeight="1">
      <c r="A2482" t="inlineStr">
        <is>
          <t>A 64115-2023</t>
        </is>
      </c>
      <c r="B2482" s="1" t="n">
        <v>45279</v>
      </c>
      <c r="C2482" s="1" t="n">
        <v>45353</v>
      </c>
      <c r="D2482" t="inlineStr">
        <is>
          <t>VÄSTERNORRLANDS LÄN</t>
        </is>
      </c>
      <c r="E2482" t="inlineStr">
        <is>
          <t>SOLLEFTEÅ</t>
        </is>
      </c>
      <c r="G2482" t="n">
        <v>16.1</v>
      </c>
      <c r="H2482" t="n">
        <v>0</v>
      </c>
      <c r="I2482" t="n">
        <v>0</v>
      </c>
      <c r="J2482" t="n">
        <v>0</v>
      </c>
      <c r="K2482" t="n">
        <v>0</v>
      </c>
      <c r="L2482" t="n">
        <v>0</v>
      </c>
      <c r="M2482" t="n">
        <v>0</v>
      </c>
      <c r="N2482" t="n">
        <v>0</v>
      </c>
      <c r="O2482" t="n">
        <v>0</v>
      </c>
      <c r="P2482" t="n">
        <v>0</v>
      </c>
      <c r="Q2482" t="n">
        <v>0</v>
      </c>
      <c r="R2482" s="2" t="inlineStr"/>
    </row>
    <row r="2483" ht="15" customHeight="1">
      <c r="A2483" t="inlineStr">
        <is>
          <t>A 64120-2023</t>
        </is>
      </c>
      <c r="B2483" s="1" t="n">
        <v>45279</v>
      </c>
      <c r="C2483" s="1" t="n">
        <v>45353</v>
      </c>
      <c r="D2483" t="inlineStr">
        <is>
          <t>VÄSTERNORRLANDS LÄN</t>
        </is>
      </c>
      <c r="E2483" t="inlineStr">
        <is>
          <t>SOLLEFTEÅ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64131-2023</t>
        </is>
      </c>
      <c r="B2484" s="1" t="n">
        <v>45279</v>
      </c>
      <c r="C2484" s="1" t="n">
        <v>45353</v>
      </c>
      <c r="D2484" t="inlineStr">
        <is>
          <t>VÄSTERNORRLANDS LÄN</t>
        </is>
      </c>
      <c r="E2484" t="inlineStr">
        <is>
          <t>SOLLEFTEÅ</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64133-2023</t>
        </is>
      </c>
      <c r="B2485" s="1" t="n">
        <v>45279</v>
      </c>
      <c r="C2485" s="1" t="n">
        <v>45353</v>
      </c>
      <c r="D2485" t="inlineStr">
        <is>
          <t>VÄSTERNORRLANDS LÄN</t>
        </is>
      </c>
      <c r="E2485" t="inlineStr">
        <is>
          <t>SOLLEFTEÅ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64502-2023</t>
        </is>
      </c>
      <c r="B2486" s="1" t="n">
        <v>45280</v>
      </c>
      <c r="C2486" s="1" t="n">
        <v>45353</v>
      </c>
      <c r="D2486" t="inlineStr">
        <is>
          <t>VÄSTERNORRLANDS LÄN</t>
        </is>
      </c>
      <c r="E2486" t="inlineStr">
        <is>
          <t>SOLLEFTEÅ</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64617-2023</t>
        </is>
      </c>
      <c r="B2487" s="1" t="n">
        <v>45281</v>
      </c>
      <c r="C2487" s="1" t="n">
        <v>45353</v>
      </c>
      <c r="D2487" t="inlineStr">
        <is>
          <t>VÄSTERNORRLANDS LÄN</t>
        </is>
      </c>
      <c r="E2487" t="inlineStr">
        <is>
          <t>SOLLEFTEÅ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64961-2023</t>
        </is>
      </c>
      <c r="B2488" s="1" t="n">
        <v>45282</v>
      </c>
      <c r="C2488" s="1" t="n">
        <v>45353</v>
      </c>
      <c r="D2488" t="inlineStr">
        <is>
          <t>VÄSTERNORRLANDS LÄN</t>
        </is>
      </c>
      <c r="E2488" t="inlineStr">
        <is>
          <t>SOLLEFTEÅ</t>
        </is>
      </c>
      <c r="F2488" t="inlineStr">
        <is>
          <t>SCA</t>
        </is>
      </c>
      <c r="G2488" t="n">
        <v>10.9</v>
      </c>
      <c r="H2488" t="n">
        <v>0</v>
      </c>
      <c r="I2488" t="n">
        <v>0</v>
      </c>
      <c r="J2488" t="n">
        <v>0</v>
      </c>
      <c r="K2488" t="n">
        <v>0</v>
      </c>
      <c r="L2488" t="n">
        <v>0</v>
      </c>
      <c r="M2488" t="n">
        <v>0</v>
      </c>
      <c r="N2488" t="n">
        <v>0</v>
      </c>
      <c r="O2488" t="n">
        <v>0</v>
      </c>
      <c r="P2488" t="n">
        <v>0</v>
      </c>
      <c r="Q2488" t="n">
        <v>0</v>
      </c>
      <c r="R2488" s="2" t="inlineStr"/>
    </row>
    <row r="2489" ht="15" customHeight="1">
      <c r="A2489" t="inlineStr">
        <is>
          <t>A 64959-2023</t>
        </is>
      </c>
      <c r="B2489" s="1" t="n">
        <v>45282</v>
      </c>
      <c r="C2489" s="1" t="n">
        <v>45353</v>
      </c>
      <c r="D2489" t="inlineStr">
        <is>
          <t>VÄSTERNORRLANDS LÄN</t>
        </is>
      </c>
      <c r="E2489" t="inlineStr">
        <is>
          <t>SOLLEFTEÅ</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64891-2023</t>
        </is>
      </c>
      <c r="B2490" s="1" t="n">
        <v>45282</v>
      </c>
      <c r="C2490" s="1" t="n">
        <v>45353</v>
      </c>
      <c r="D2490" t="inlineStr">
        <is>
          <t>VÄSTERNORRLANDS LÄN</t>
        </is>
      </c>
      <c r="E2490" t="inlineStr">
        <is>
          <t>SOLLEFTEÅ</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65148-2023</t>
        </is>
      </c>
      <c r="B2491" s="1" t="n">
        <v>45288</v>
      </c>
      <c r="C2491" s="1" t="n">
        <v>45353</v>
      </c>
      <c r="D2491" t="inlineStr">
        <is>
          <t>VÄSTERNORRLANDS LÄN</t>
        </is>
      </c>
      <c r="E2491" t="inlineStr">
        <is>
          <t>SOLLEFTEÅ</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394-2024</t>
        </is>
      </c>
      <c r="B2492" s="1" t="n">
        <v>45296</v>
      </c>
      <c r="C2492" s="1" t="n">
        <v>45353</v>
      </c>
      <c r="D2492" t="inlineStr">
        <is>
          <t>VÄSTERNORRLANDS LÄN</t>
        </is>
      </c>
      <c r="E2492" t="inlineStr">
        <is>
          <t>SOLLEFTEÅ</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388-2024</t>
        </is>
      </c>
      <c r="B2493" s="1" t="n">
        <v>45296</v>
      </c>
      <c r="C2493" s="1" t="n">
        <v>45353</v>
      </c>
      <c r="D2493" t="inlineStr">
        <is>
          <t>VÄSTERNORRLANDS LÄN</t>
        </is>
      </c>
      <c r="E2493" t="inlineStr">
        <is>
          <t>SOLLEFTEÅ</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457-2024</t>
        </is>
      </c>
      <c r="B2494" s="1" t="n">
        <v>45297</v>
      </c>
      <c r="C2494" s="1" t="n">
        <v>45353</v>
      </c>
      <c r="D2494" t="inlineStr">
        <is>
          <t>VÄSTERNORRLANDS LÄN</t>
        </is>
      </c>
      <c r="E2494" t="inlineStr">
        <is>
          <t>SOLLEFTEÅ</t>
        </is>
      </c>
      <c r="F2494" t="inlineStr">
        <is>
          <t>SCA</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656-2024</t>
        </is>
      </c>
      <c r="B2495" s="1" t="n">
        <v>45299</v>
      </c>
      <c r="C2495" s="1" t="n">
        <v>45353</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858-2024</t>
        </is>
      </c>
      <c r="B2496" s="1" t="n">
        <v>45301</v>
      </c>
      <c r="C2496" s="1" t="n">
        <v>45353</v>
      </c>
      <c r="D2496" t="inlineStr">
        <is>
          <t>VÄSTERNORRLANDS LÄN</t>
        </is>
      </c>
      <c r="E2496" t="inlineStr">
        <is>
          <t>SOLLEFTEÅ</t>
        </is>
      </c>
      <c r="F2496" t="inlineStr">
        <is>
          <t>SCA</t>
        </is>
      </c>
      <c r="G2496" t="n">
        <v>56.2</v>
      </c>
      <c r="H2496" t="n">
        <v>0</v>
      </c>
      <c r="I2496" t="n">
        <v>0</v>
      </c>
      <c r="J2496" t="n">
        <v>0</v>
      </c>
      <c r="K2496" t="n">
        <v>0</v>
      </c>
      <c r="L2496" t="n">
        <v>0</v>
      </c>
      <c r="M2496" t="n">
        <v>0</v>
      </c>
      <c r="N2496" t="n">
        <v>0</v>
      </c>
      <c r="O2496" t="n">
        <v>0</v>
      </c>
      <c r="P2496" t="n">
        <v>0</v>
      </c>
      <c r="Q2496" t="n">
        <v>0</v>
      </c>
      <c r="R2496" s="2" t="inlineStr"/>
    </row>
    <row r="2497" ht="15" customHeight="1">
      <c r="A2497" t="inlineStr">
        <is>
          <t>A 1006-2024</t>
        </is>
      </c>
      <c r="B2497" s="1" t="n">
        <v>45301</v>
      </c>
      <c r="C2497" s="1" t="n">
        <v>45353</v>
      </c>
      <c r="D2497" t="inlineStr">
        <is>
          <t>VÄSTERNORRLANDS LÄN</t>
        </is>
      </c>
      <c r="E2497" t="inlineStr">
        <is>
          <t>SOLLEFTEÅ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1047-2024</t>
        </is>
      </c>
      <c r="B2498" s="1" t="n">
        <v>45301</v>
      </c>
      <c r="C2498" s="1" t="n">
        <v>45353</v>
      </c>
      <c r="D2498" t="inlineStr">
        <is>
          <t>VÄSTERNORRLANDS LÄN</t>
        </is>
      </c>
      <c r="E2498" t="inlineStr">
        <is>
          <t>SOLLEFTEÅ</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1054-2024</t>
        </is>
      </c>
      <c r="B2499" s="1" t="n">
        <v>45302</v>
      </c>
      <c r="C2499" s="1" t="n">
        <v>45353</v>
      </c>
      <c r="D2499" t="inlineStr">
        <is>
          <t>VÄSTERNORRLANDS LÄN</t>
        </is>
      </c>
      <c r="E2499" t="inlineStr">
        <is>
          <t>SOLLEFTEÅ</t>
        </is>
      </c>
      <c r="F2499" t="inlineStr">
        <is>
          <t>SCA</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1269-2024</t>
        </is>
      </c>
      <c r="B2500" s="1" t="n">
        <v>45302</v>
      </c>
      <c r="C2500" s="1" t="n">
        <v>45353</v>
      </c>
      <c r="D2500" t="inlineStr">
        <is>
          <t>VÄSTERNORRLANDS LÄN</t>
        </is>
      </c>
      <c r="E2500" t="inlineStr">
        <is>
          <t>SOLLEFTEÅ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1268-2024</t>
        </is>
      </c>
      <c r="B2501" s="1" t="n">
        <v>45302</v>
      </c>
      <c r="C2501" s="1" t="n">
        <v>45353</v>
      </c>
      <c r="D2501" t="inlineStr">
        <is>
          <t>VÄSTERNORRLANDS LÄN</t>
        </is>
      </c>
      <c r="E2501" t="inlineStr">
        <is>
          <t>SOLLEFTEÅ</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1173-2024</t>
        </is>
      </c>
      <c r="B2502" s="1" t="n">
        <v>45302</v>
      </c>
      <c r="C2502" s="1" t="n">
        <v>45353</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1459-2024</t>
        </is>
      </c>
      <c r="B2503" s="1" t="n">
        <v>45303</v>
      </c>
      <c r="C2503" s="1" t="n">
        <v>45353</v>
      </c>
      <c r="D2503" t="inlineStr">
        <is>
          <t>VÄSTERNORRLANDS LÄN</t>
        </is>
      </c>
      <c r="E2503" t="inlineStr">
        <is>
          <t>SOLLEFTEÅ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1678-2024</t>
        </is>
      </c>
      <c r="B2504" s="1" t="n">
        <v>45307</v>
      </c>
      <c r="C2504" s="1" t="n">
        <v>45353</v>
      </c>
      <c r="D2504" t="inlineStr">
        <is>
          <t>VÄSTERNORRLANDS LÄN</t>
        </is>
      </c>
      <c r="E2504" t="inlineStr">
        <is>
          <t>SOLLEFTEÅ</t>
        </is>
      </c>
      <c r="F2504" t="inlineStr">
        <is>
          <t>SCA</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1679-2024</t>
        </is>
      </c>
      <c r="B2505" s="1" t="n">
        <v>45306</v>
      </c>
      <c r="C2505" s="1" t="n">
        <v>45353</v>
      </c>
      <c r="D2505" t="inlineStr">
        <is>
          <t>VÄSTERNORRLANDS LÄN</t>
        </is>
      </c>
      <c r="E2505" t="inlineStr">
        <is>
          <t>SOLLEFTEÅ</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1844-2024</t>
        </is>
      </c>
      <c r="B2506" s="1" t="n">
        <v>45307</v>
      </c>
      <c r="C2506" s="1" t="n">
        <v>45353</v>
      </c>
      <c r="D2506" t="inlineStr">
        <is>
          <t>VÄSTERNORRLANDS LÄN</t>
        </is>
      </c>
      <c r="E2506" t="inlineStr">
        <is>
          <t>SOLLEFTEÅ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1840-2024</t>
        </is>
      </c>
      <c r="B2507" s="1" t="n">
        <v>45307</v>
      </c>
      <c r="C2507" s="1" t="n">
        <v>45353</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1848-2024</t>
        </is>
      </c>
      <c r="B2508" s="1" t="n">
        <v>45307</v>
      </c>
      <c r="C2508" s="1" t="n">
        <v>45353</v>
      </c>
      <c r="D2508" t="inlineStr">
        <is>
          <t>VÄSTERNORRLANDS LÄN</t>
        </is>
      </c>
      <c r="E2508" t="inlineStr">
        <is>
          <t>SOLLEFTEÅ</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1880-2024</t>
        </is>
      </c>
      <c r="B2509" s="1" t="n">
        <v>45307</v>
      </c>
      <c r="C2509" s="1" t="n">
        <v>45353</v>
      </c>
      <c r="D2509" t="inlineStr">
        <is>
          <t>VÄSTERNORRLANDS LÄN</t>
        </is>
      </c>
      <c r="E2509" t="inlineStr">
        <is>
          <t>SOLLEFTEÅ</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1878-2024</t>
        </is>
      </c>
      <c r="B2510" s="1" t="n">
        <v>45307</v>
      </c>
      <c r="C2510" s="1" t="n">
        <v>45353</v>
      </c>
      <c r="D2510" t="inlineStr">
        <is>
          <t>VÄSTERNORRLANDS LÄN</t>
        </is>
      </c>
      <c r="E2510" t="inlineStr">
        <is>
          <t>SOLLEFTEÅ</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2232-2024</t>
        </is>
      </c>
      <c r="B2511" s="1" t="n">
        <v>45309</v>
      </c>
      <c r="C2511" s="1" t="n">
        <v>45353</v>
      </c>
      <c r="D2511" t="inlineStr">
        <is>
          <t>VÄSTERNORRLANDS LÄN</t>
        </is>
      </c>
      <c r="E2511" t="inlineStr">
        <is>
          <t>SOLLEFTEÅ</t>
        </is>
      </c>
      <c r="F2511" t="inlineStr">
        <is>
          <t>SCA</t>
        </is>
      </c>
      <c r="G2511" t="n">
        <v>58.3</v>
      </c>
      <c r="H2511" t="n">
        <v>0</v>
      </c>
      <c r="I2511" t="n">
        <v>0</v>
      </c>
      <c r="J2511" t="n">
        <v>0</v>
      </c>
      <c r="K2511" t="n">
        <v>0</v>
      </c>
      <c r="L2511" t="n">
        <v>0</v>
      </c>
      <c r="M2511" t="n">
        <v>0</v>
      </c>
      <c r="N2511" t="n">
        <v>0</v>
      </c>
      <c r="O2511" t="n">
        <v>0</v>
      </c>
      <c r="P2511" t="n">
        <v>0</v>
      </c>
      <c r="Q2511" t="n">
        <v>0</v>
      </c>
      <c r="R2511" s="2" t="inlineStr"/>
    </row>
    <row r="2512" ht="15" customHeight="1">
      <c r="A2512" t="inlineStr">
        <is>
          <t>A 2223-2024</t>
        </is>
      </c>
      <c r="B2512" s="1" t="n">
        <v>45309</v>
      </c>
      <c r="C2512" s="1" t="n">
        <v>45353</v>
      </c>
      <c r="D2512" t="inlineStr">
        <is>
          <t>VÄSTERNORRLANDS LÄN</t>
        </is>
      </c>
      <c r="E2512" t="inlineStr">
        <is>
          <t>SOLLEFTEÅ</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2229-2024</t>
        </is>
      </c>
      <c r="B2513" s="1" t="n">
        <v>45309</v>
      </c>
      <c r="C2513" s="1" t="n">
        <v>45353</v>
      </c>
      <c r="D2513" t="inlineStr">
        <is>
          <t>VÄSTERNORRLANDS LÄN</t>
        </is>
      </c>
      <c r="E2513" t="inlineStr">
        <is>
          <t>SOLLEFTEÅ</t>
        </is>
      </c>
      <c r="F2513" t="inlineStr">
        <is>
          <t>SCA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2233-2024</t>
        </is>
      </c>
      <c r="B2514" s="1" t="n">
        <v>45309</v>
      </c>
      <c r="C2514" s="1" t="n">
        <v>45353</v>
      </c>
      <c r="D2514" t="inlineStr">
        <is>
          <t>VÄSTERNORRLANDS LÄN</t>
        </is>
      </c>
      <c r="E2514" t="inlineStr">
        <is>
          <t>SOLLEFTEÅ</t>
        </is>
      </c>
      <c r="F2514" t="inlineStr">
        <is>
          <t>SCA</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2423-2024</t>
        </is>
      </c>
      <c r="B2515" s="1" t="n">
        <v>45310</v>
      </c>
      <c r="C2515" s="1" t="n">
        <v>45353</v>
      </c>
      <c r="D2515" t="inlineStr">
        <is>
          <t>VÄSTERNORRLANDS LÄN</t>
        </is>
      </c>
      <c r="E2515" t="inlineStr">
        <is>
          <t>SOLLEFTEÅ</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2425-2024</t>
        </is>
      </c>
      <c r="B2516" s="1" t="n">
        <v>45310</v>
      </c>
      <c r="C2516" s="1" t="n">
        <v>45353</v>
      </c>
      <c r="D2516" t="inlineStr">
        <is>
          <t>VÄSTERNORRLANDS LÄN</t>
        </is>
      </c>
      <c r="E2516" t="inlineStr">
        <is>
          <t>SOLLEFTEÅ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2816-2024</t>
        </is>
      </c>
      <c r="B2517" s="1" t="n">
        <v>45314</v>
      </c>
      <c r="C2517" s="1" t="n">
        <v>45353</v>
      </c>
      <c r="D2517" t="inlineStr">
        <is>
          <t>VÄSTERNORRLANDS LÄN</t>
        </is>
      </c>
      <c r="E2517" t="inlineStr">
        <is>
          <t>SOLLEFTEÅ</t>
        </is>
      </c>
      <c r="F2517" t="inlineStr">
        <is>
          <t>Holmen skog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2703-2024</t>
        </is>
      </c>
      <c r="B2518" s="1" t="n">
        <v>45314</v>
      </c>
      <c r="C2518" s="1" t="n">
        <v>45353</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2850-2024</t>
        </is>
      </c>
      <c r="B2519" s="1" t="n">
        <v>45315</v>
      </c>
      <c r="C2519" s="1" t="n">
        <v>45353</v>
      </c>
      <c r="D2519" t="inlineStr">
        <is>
          <t>VÄSTERNORRLANDS LÄN</t>
        </is>
      </c>
      <c r="E2519" t="inlineStr">
        <is>
          <t>SOLLEFTEÅ</t>
        </is>
      </c>
      <c r="G2519" t="n">
        <v>15.1</v>
      </c>
      <c r="H2519" t="n">
        <v>0</v>
      </c>
      <c r="I2519" t="n">
        <v>0</v>
      </c>
      <c r="J2519" t="n">
        <v>0</v>
      </c>
      <c r="K2519" t="n">
        <v>0</v>
      </c>
      <c r="L2519" t="n">
        <v>0</v>
      </c>
      <c r="M2519" t="n">
        <v>0</v>
      </c>
      <c r="N2519" t="n">
        <v>0</v>
      </c>
      <c r="O2519" t="n">
        <v>0</v>
      </c>
      <c r="P2519" t="n">
        <v>0</v>
      </c>
      <c r="Q2519" t="n">
        <v>0</v>
      </c>
      <c r="R2519" s="2" t="inlineStr"/>
    </row>
    <row r="2520" ht="15" customHeight="1">
      <c r="A2520" t="inlineStr">
        <is>
          <t>A 3234-2024</t>
        </is>
      </c>
      <c r="B2520" s="1" t="n">
        <v>45316</v>
      </c>
      <c r="C2520" s="1" t="n">
        <v>45353</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3211-2024</t>
        </is>
      </c>
      <c r="B2521" s="1" t="n">
        <v>45316</v>
      </c>
      <c r="C2521" s="1" t="n">
        <v>45353</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45353</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3241-2024</t>
        </is>
      </c>
      <c r="B2523" s="1" t="n">
        <v>45316</v>
      </c>
      <c r="C2523" s="1" t="n">
        <v>45353</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3252-2024</t>
        </is>
      </c>
      <c r="B2524" s="1" t="n">
        <v>45316</v>
      </c>
      <c r="C2524" s="1" t="n">
        <v>45353</v>
      </c>
      <c r="D2524" t="inlineStr">
        <is>
          <t>VÄSTERNORRLANDS LÄN</t>
        </is>
      </c>
      <c r="E2524" t="inlineStr">
        <is>
          <t>SOLLEFTEÅ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3388-2024</t>
        </is>
      </c>
      <c r="B2525" s="1" t="n">
        <v>45317</v>
      </c>
      <c r="C2525" s="1" t="n">
        <v>45353</v>
      </c>
      <c r="D2525" t="inlineStr">
        <is>
          <t>VÄSTERNORRLANDS LÄN</t>
        </is>
      </c>
      <c r="E2525" t="inlineStr">
        <is>
          <t>SOLLEFTEÅ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3621-2024</t>
        </is>
      </c>
      <c r="B2526" s="1" t="n">
        <v>45320</v>
      </c>
      <c r="C2526" s="1" t="n">
        <v>45353</v>
      </c>
      <c r="D2526" t="inlineStr">
        <is>
          <t>VÄSTERNORRLANDS LÄN</t>
        </is>
      </c>
      <c r="E2526" t="inlineStr">
        <is>
          <t>SOLLEFTEÅ</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3633-2024</t>
        </is>
      </c>
      <c r="B2527" s="1" t="n">
        <v>45320</v>
      </c>
      <c r="C2527" s="1" t="n">
        <v>45353</v>
      </c>
      <c r="D2527" t="inlineStr">
        <is>
          <t>VÄSTERNORRLANDS LÄN</t>
        </is>
      </c>
      <c r="E2527" t="inlineStr">
        <is>
          <t>SOLLEFTEÅ</t>
        </is>
      </c>
      <c r="F2527" t="inlineStr">
        <is>
          <t>SCA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3832-2024</t>
        </is>
      </c>
      <c r="B2528" s="1" t="n">
        <v>45321</v>
      </c>
      <c r="C2528" s="1" t="n">
        <v>45353</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3847-2024</t>
        </is>
      </c>
      <c r="B2529" s="1" t="n">
        <v>45322</v>
      </c>
      <c r="C2529" s="1" t="n">
        <v>45353</v>
      </c>
      <c r="D2529" t="inlineStr">
        <is>
          <t>VÄSTERNORRLANDS LÄN</t>
        </is>
      </c>
      <c r="E2529" t="inlineStr">
        <is>
          <t>SOLLEFTEÅ</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3990-2024</t>
        </is>
      </c>
      <c r="B2530" s="1" t="n">
        <v>45322</v>
      </c>
      <c r="C2530" s="1" t="n">
        <v>45353</v>
      </c>
      <c r="D2530" t="inlineStr">
        <is>
          <t>VÄSTERNORRLANDS LÄN</t>
        </is>
      </c>
      <c r="E2530" t="inlineStr">
        <is>
          <t>SOLLEFTEÅ</t>
        </is>
      </c>
      <c r="F2530" t="inlineStr">
        <is>
          <t>SCA</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3998-2024</t>
        </is>
      </c>
      <c r="B2531" s="1" t="n">
        <v>45322</v>
      </c>
      <c r="C2531" s="1" t="n">
        <v>45353</v>
      </c>
      <c r="D2531" t="inlineStr">
        <is>
          <t>VÄSTERNORRLANDS LÄN</t>
        </is>
      </c>
      <c r="E2531" t="inlineStr">
        <is>
          <t>SOLLEFTEÅ</t>
        </is>
      </c>
      <c r="F2531" t="inlineStr">
        <is>
          <t>SCA</t>
        </is>
      </c>
      <c r="G2531" t="n">
        <v>23.9</v>
      </c>
      <c r="H2531" t="n">
        <v>0</v>
      </c>
      <c r="I2531" t="n">
        <v>0</v>
      </c>
      <c r="J2531" t="n">
        <v>0</v>
      </c>
      <c r="K2531" t="n">
        <v>0</v>
      </c>
      <c r="L2531" t="n">
        <v>0</v>
      </c>
      <c r="M2531" t="n">
        <v>0</v>
      </c>
      <c r="N2531" t="n">
        <v>0</v>
      </c>
      <c r="O2531" t="n">
        <v>0</v>
      </c>
      <c r="P2531" t="n">
        <v>0</v>
      </c>
      <c r="Q2531" t="n">
        <v>0</v>
      </c>
      <c r="R2531" s="2" t="inlineStr"/>
    </row>
    <row r="2532" ht="15" customHeight="1">
      <c r="A2532" t="inlineStr">
        <is>
          <t>A 3991-2024</t>
        </is>
      </c>
      <c r="B2532" s="1" t="n">
        <v>45322</v>
      </c>
      <c r="C2532" s="1" t="n">
        <v>45353</v>
      </c>
      <c r="D2532" t="inlineStr">
        <is>
          <t>VÄSTERNORRLANDS LÄN</t>
        </is>
      </c>
      <c r="E2532" t="inlineStr">
        <is>
          <t>SOLLEFTEÅ</t>
        </is>
      </c>
      <c r="F2532" t="inlineStr">
        <is>
          <t>SCA</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4061-2024</t>
        </is>
      </c>
      <c r="B2533" s="1" t="n">
        <v>45323</v>
      </c>
      <c r="C2533" s="1" t="n">
        <v>45353</v>
      </c>
      <c r="D2533" t="inlineStr">
        <is>
          <t>VÄSTERNORRLANDS LÄN</t>
        </is>
      </c>
      <c r="E2533" t="inlineStr">
        <is>
          <t>SOLLEFTEÅ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4064-2024</t>
        </is>
      </c>
      <c r="B2534" s="1" t="n">
        <v>45323</v>
      </c>
      <c r="C2534" s="1" t="n">
        <v>45353</v>
      </c>
      <c r="D2534" t="inlineStr">
        <is>
          <t>VÄSTERNORRLANDS LÄN</t>
        </is>
      </c>
      <c r="E2534" t="inlineStr">
        <is>
          <t>SOLLEFTEÅ</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4168-2024</t>
        </is>
      </c>
      <c r="B2535" s="1" t="n">
        <v>45323</v>
      </c>
      <c r="C2535" s="1" t="n">
        <v>45353</v>
      </c>
      <c r="D2535" t="inlineStr">
        <is>
          <t>VÄSTERNORRLANDS LÄN</t>
        </is>
      </c>
      <c r="E2535" t="inlineStr">
        <is>
          <t>SOLLEFTEÅ</t>
        </is>
      </c>
      <c r="F2535" t="inlineStr">
        <is>
          <t>SCA</t>
        </is>
      </c>
      <c r="G2535" t="n">
        <v>22.1</v>
      </c>
      <c r="H2535" t="n">
        <v>0</v>
      </c>
      <c r="I2535" t="n">
        <v>0</v>
      </c>
      <c r="J2535" t="n">
        <v>0</v>
      </c>
      <c r="K2535" t="n">
        <v>0</v>
      </c>
      <c r="L2535" t="n">
        <v>0</v>
      </c>
      <c r="M2535" t="n">
        <v>0</v>
      </c>
      <c r="N2535" t="n">
        <v>0</v>
      </c>
      <c r="O2535" t="n">
        <v>0</v>
      </c>
      <c r="P2535" t="n">
        <v>0</v>
      </c>
      <c r="Q2535" t="n">
        <v>0</v>
      </c>
      <c r="R2535" s="2" t="inlineStr"/>
    </row>
    <row r="2536" ht="15" customHeight="1">
      <c r="A2536" t="inlineStr">
        <is>
          <t>A 4167-2024</t>
        </is>
      </c>
      <c r="B2536" s="1" t="n">
        <v>45323</v>
      </c>
      <c r="C2536" s="1" t="n">
        <v>45353</v>
      </c>
      <c r="D2536" t="inlineStr">
        <is>
          <t>VÄSTERNORRLANDS LÄN</t>
        </is>
      </c>
      <c r="E2536" t="inlineStr">
        <is>
          <t>SOLLEFTEÅ</t>
        </is>
      </c>
      <c r="F2536" t="inlineStr">
        <is>
          <t>SCA</t>
        </is>
      </c>
      <c r="G2536" t="n">
        <v>13.7</v>
      </c>
      <c r="H2536" t="n">
        <v>0</v>
      </c>
      <c r="I2536" t="n">
        <v>0</v>
      </c>
      <c r="J2536" t="n">
        <v>0</v>
      </c>
      <c r="K2536" t="n">
        <v>0</v>
      </c>
      <c r="L2536" t="n">
        <v>0</v>
      </c>
      <c r="M2536" t="n">
        <v>0</v>
      </c>
      <c r="N2536" t="n">
        <v>0</v>
      </c>
      <c r="O2536" t="n">
        <v>0</v>
      </c>
      <c r="P2536" t="n">
        <v>0</v>
      </c>
      <c r="Q2536" t="n">
        <v>0</v>
      </c>
      <c r="R2536" s="2" t="inlineStr"/>
    </row>
    <row r="2537" ht="15" customHeight="1">
      <c r="A2537" t="inlineStr">
        <is>
          <t>A 4348-2024</t>
        </is>
      </c>
      <c r="B2537" s="1" t="n">
        <v>45324</v>
      </c>
      <c r="C2537" s="1" t="n">
        <v>45353</v>
      </c>
      <c r="D2537" t="inlineStr">
        <is>
          <t>VÄSTERNORRLANDS LÄN</t>
        </is>
      </c>
      <c r="E2537" t="inlineStr">
        <is>
          <t>SOLLEFTEÅ</t>
        </is>
      </c>
      <c r="F2537" t="inlineStr">
        <is>
          <t>SCA</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4352-2024</t>
        </is>
      </c>
      <c r="B2538" s="1" t="n">
        <v>45324</v>
      </c>
      <c r="C2538" s="1" t="n">
        <v>45353</v>
      </c>
      <c r="D2538" t="inlineStr">
        <is>
          <t>VÄSTERNORRLANDS LÄN</t>
        </is>
      </c>
      <c r="E2538" t="inlineStr">
        <is>
          <t>SOLLEFTEÅ</t>
        </is>
      </c>
      <c r="F2538" t="inlineStr">
        <is>
          <t>SCA</t>
        </is>
      </c>
      <c r="G2538" t="n">
        <v>24.7</v>
      </c>
      <c r="H2538" t="n">
        <v>0</v>
      </c>
      <c r="I2538" t="n">
        <v>0</v>
      </c>
      <c r="J2538" t="n">
        <v>0</v>
      </c>
      <c r="K2538" t="n">
        <v>0</v>
      </c>
      <c r="L2538" t="n">
        <v>0</v>
      </c>
      <c r="M2538" t="n">
        <v>0</v>
      </c>
      <c r="N2538" t="n">
        <v>0</v>
      </c>
      <c r="O2538" t="n">
        <v>0</v>
      </c>
      <c r="P2538" t="n">
        <v>0</v>
      </c>
      <c r="Q2538" t="n">
        <v>0</v>
      </c>
      <c r="R2538" s="2" t="inlineStr"/>
    </row>
    <row r="2539" ht="15" customHeight="1">
      <c r="A2539" t="inlineStr">
        <is>
          <t>A 4349-2024</t>
        </is>
      </c>
      <c r="B2539" s="1" t="n">
        <v>45324</v>
      </c>
      <c r="C2539" s="1" t="n">
        <v>45353</v>
      </c>
      <c r="D2539" t="inlineStr">
        <is>
          <t>VÄSTERNORRLANDS LÄN</t>
        </is>
      </c>
      <c r="E2539" t="inlineStr">
        <is>
          <t>SOLLEFTEÅ</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4347-2024</t>
        </is>
      </c>
      <c r="B2540" s="1" t="n">
        <v>45324</v>
      </c>
      <c r="C2540" s="1" t="n">
        <v>45353</v>
      </c>
      <c r="D2540" t="inlineStr">
        <is>
          <t>VÄSTERNORRLANDS LÄN</t>
        </is>
      </c>
      <c r="E2540" t="inlineStr">
        <is>
          <t>SOLLEFTEÅ</t>
        </is>
      </c>
      <c r="F2540" t="inlineStr">
        <is>
          <t>SCA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4546-2024</t>
        </is>
      </c>
      <c r="B2541" s="1" t="n">
        <v>45327</v>
      </c>
      <c r="C2541" s="1" t="n">
        <v>45353</v>
      </c>
      <c r="D2541" t="inlineStr">
        <is>
          <t>VÄSTERNORRLANDS LÄN</t>
        </is>
      </c>
      <c r="E2541" t="inlineStr">
        <is>
          <t>SOLLEFTEÅ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4595-2024</t>
        </is>
      </c>
      <c r="B2542" s="1" t="n">
        <v>45327</v>
      </c>
      <c r="C2542" s="1" t="n">
        <v>45353</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4808-2024</t>
        </is>
      </c>
      <c r="B2543" s="1" t="n">
        <v>45328</v>
      </c>
      <c r="C2543" s="1" t="n">
        <v>45353</v>
      </c>
      <c r="D2543" t="inlineStr">
        <is>
          <t>VÄSTERNORRLANDS LÄN</t>
        </is>
      </c>
      <c r="E2543" t="inlineStr">
        <is>
          <t>SOLLEFTEÅ</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4812-2024</t>
        </is>
      </c>
      <c r="B2544" s="1" t="n">
        <v>45328</v>
      </c>
      <c r="C2544" s="1" t="n">
        <v>45353</v>
      </c>
      <c r="D2544" t="inlineStr">
        <is>
          <t>VÄSTERNORRLANDS LÄN</t>
        </is>
      </c>
      <c r="E2544" t="inlineStr">
        <is>
          <t>SOLLEFTEÅ</t>
        </is>
      </c>
      <c r="F2544" t="inlineStr">
        <is>
          <t>SCA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4809-2024</t>
        </is>
      </c>
      <c r="B2545" s="1" t="n">
        <v>45328</v>
      </c>
      <c r="C2545" s="1" t="n">
        <v>45353</v>
      </c>
      <c r="D2545" t="inlineStr">
        <is>
          <t>VÄSTERNORRLANDS LÄN</t>
        </is>
      </c>
      <c r="E2545" t="inlineStr">
        <is>
          <t>SOLLEFTEÅ</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4813-2024</t>
        </is>
      </c>
      <c r="B2546" s="1" t="n">
        <v>45328</v>
      </c>
      <c r="C2546" s="1" t="n">
        <v>45353</v>
      </c>
      <c r="D2546" t="inlineStr">
        <is>
          <t>VÄSTERNORRLANDS LÄN</t>
        </is>
      </c>
      <c r="E2546" t="inlineStr">
        <is>
          <t>SOLLEFTEÅ</t>
        </is>
      </c>
      <c r="F2546" t="inlineStr">
        <is>
          <t>SCA</t>
        </is>
      </c>
      <c r="G2546" t="n">
        <v>26.6</v>
      </c>
      <c r="H2546" t="n">
        <v>0</v>
      </c>
      <c r="I2546" t="n">
        <v>0</v>
      </c>
      <c r="J2546" t="n">
        <v>0</v>
      </c>
      <c r="K2546" t="n">
        <v>0</v>
      </c>
      <c r="L2546" t="n">
        <v>0</v>
      </c>
      <c r="M2546" t="n">
        <v>0</v>
      </c>
      <c r="N2546" t="n">
        <v>0</v>
      </c>
      <c r="O2546" t="n">
        <v>0</v>
      </c>
      <c r="P2546" t="n">
        <v>0</v>
      </c>
      <c r="Q2546" t="n">
        <v>0</v>
      </c>
      <c r="R2546" s="2" t="inlineStr"/>
    </row>
    <row r="2547" ht="15" customHeight="1">
      <c r="A2547" t="inlineStr">
        <is>
          <t>A 4857-2024</t>
        </is>
      </c>
      <c r="B2547" s="1" t="n">
        <v>45329</v>
      </c>
      <c r="C2547" s="1" t="n">
        <v>45353</v>
      </c>
      <c r="D2547" t="inlineStr">
        <is>
          <t>VÄSTERNORRLANDS LÄN</t>
        </is>
      </c>
      <c r="E2547" t="inlineStr">
        <is>
          <t>SOLLEFTEÅ</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5057-2024</t>
        </is>
      </c>
      <c r="B2548" s="1" t="n">
        <v>45329</v>
      </c>
      <c r="C2548" s="1" t="n">
        <v>45353</v>
      </c>
      <c r="D2548" t="inlineStr">
        <is>
          <t>VÄSTERNORRLANDS LÄN</t>
        </is>
      </c>
      <c r="E2548" t="inlineStr">
        <is>
          <t>SOLLEFTEÅ</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5036-2024</t>
        </is>
      </c>
      <c r="B2549" s="1" t="n">
        <v>45329</v>
      </c>
      <c r="C2549" s="1" t="n">
        <v>45353</v>
      </c>
      <c r="D2549" t="inlineStr">
        <is>
          <t>VÄSTERNORRLANDS LÄN</t>
        </is>
      </c>
      <c r="E2549" t="inlineStr">
        <is>
          <t>SOLLEFTEÅ</t>
        </is>
      </c>
      <c r="F2549" t="inlineStr">
        <is>
          <t>Övriga Aktiebolag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5040-2024</t>
        </is>
      </c>
      <c r="B2550" s="1" t="n">
        <v>45329</v>
      </c>
      <c r="C2550" s="1" t="n">
        <v>45353</v>
      </c>
      <c r="D2550" t="inlineStr">
        <is>
          <t>VÄSTERNORRLANDS LÄN</t>
        </is>
      </c>
      <c r="E2550" t="inlineStr">
        <is>
          <t>SOLLEFTEÅ</t>
        </is>
      </c>
      <c r="F2550" t="inlineStr">
        <is>
          <t>Övriga Aktiebolag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5061-2024</t>
        </is>
      </c>
      <c r="B2551" s="1" t="n">
        <v>45329</v>
      </c>
      <c r="C2551" s="1" t="n">
        <v>45353</v>
      </c>
      <c r="D2551" t="inlineStr">
        <is>
          <t>VÄSTERNORRLANDS LÄN</t>
        </is>
      </c>
      <c r="E2551" t="inlineStr">
        <is>
          <t>SOLLEFTEÅ</t>
        </is>
      </c>
      <c r="F2551" t="inlineStr">
        <is>
          <t>SCA</t>
        </is>
      </c>
      <c r="G2551" t="n">
        <v>34.1</v>
      </c>
      <c r="H2551" t="n">
        <v>0</v>
      </c>
      <c r="I2551" t="n">
        <v>0</v>
      </c>
      <c r="J2551" t="n">
        <v>0</v>
      </c>
      <c r="K2551" t="n">
        <v>0</v>
      </c>
      <c r="L2551" t="n">
        <v>0</v>
      </c>
      <c r="M2551" t="n">
        <v>0</v>
      </c>
      <c r="N2551" t="n">
        <v>0</v>
      </c>
      <c r="O2551" t="n">
        <v>0</v>
      </c>
      <c r="P2551" t="n">
        <v>0</v>
      </c>
      <c r="Q2551" t="n">
        <v>0</v>
      </c>
      <c r="R2551" s="2" t="inlineStr"/>
    </row>
    <row r="2552" ht="15" customHeight="1">
      <c r="A2552" t="inlineStr">
        <is>
          <t>A 5073-2024</t>
        </is>
      </c>
      <c r="B2552" s="1" t="n">
        <v>45330</v>
      </c>
      <c r="C2552" s="1" t="n">
        <v>45353</v>
      </c>
      <c r="D2552" t="inlineStr">
        <is>
          <t>VÄSTERNORRLANDS LÄN</t>
        </is>
      </c>
      <c r="E2552" t="inlineStr">
        <is>
          <t>SOLLEFTEÅ</t>
        </is>
      </c>
      <c r="F2552" t="inlineStr">
        <is>
          <t>Övriga Aktiebolag</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5072-2024</t>
        </is>
      </c>
      <c r="B2553" s="1" t="n">
        <v>45330</v>
      </c>
      <c r="C2553" s="1" t="n">
        <v>45353</v>
      </c>
      <c r="D2553" t="inlineStr">
        <is>
          <t>VÄSTERNORRLANDS LÄN</t>
        </is>
      </c>
      <c r="E2553" t="inlineStr">
        <is>
          <t>SOLLEFTEÅ</t>
        </is>
      </c>
      <c r="F2553" t="inlineStr">
        <is>
          <t>Övriga Aktiebolag</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5064-2024</t>
        </is>
      </c>
      <c r="B2554" s="1" t="n">
        <v>45329</v>
      </c>
      <c r="C2554" s="1" t="n">
        <v>45353</v>
      </c>
      <c r="D2554" t="inlineStr">
        <is>
          <t>VÄSTERNORRLANDS LÄN</t>
        </is>
      </c>
      <c r="E2554" t="inlineStr">
        <is>
          <t>SOLLEFTEÅ</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5035-2024</t>
        </is>
      </c>
      <c r="B2555" s="1" t="n">
        <v>45329</v>
      </c>
      <c r="C2555" s="1" t="n">
        <v>45353</v>
      </c>
      <c r="D2555" t="inlineStr">
        <is>
          <t>VÄSTERNORRLANDS LÄN</t>
        </is>
      </c>
      <c r="E2555" t="inlineStr">
        <is>
          <t>SOLLEFTEÅ</t>
        </is>
      </c>
      <c r="F2555" t="inlineStr">
        <is>
          <t>Övriga Aktiebolag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5059-2024</t>
        </is>
      </c>
      <c r="B2556" s="1" t="n">
        <v>45329</v>
      </c>
      <c r="C2556" s="1" t="n">
        <v>45353</v>
      </c>
      <c r="D2556" t="inlineStr">
        <is>
          <t>VÄSTERNORRLANDS LÄN</t>
        </is>
      </c>
      <c r="E2556" t="inlineStr">
        <is>
          <t>SOLLEFTEÅ</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5075-2024</t>
        </is>
      </c>
      <c r="B2557" s="1" t="n">
        <v>45329</v>
      </c>
      <c r="C2557" s="1" t="n">
        <v>45353</v>
      </c>
      <c r="D2557" t="inlineStr">
        <is>
          <t>VÄSTERNORRLANDS LÄN</t>
        </is>
      </c>
      <c r="E2557" t="inlineStr">
        <is>
          <t>SOLLEFTEÅ</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5063-2024</t>
        </is>
      </c>
      <c r="B2558" s="1" t="n">
        <v>45329</v>
      </c>
      <c r="C2558" s="1" t="n">
        <v>45353</v>
      </c>
      <c r="D2558" t="inlineStr">
        <is>
          <t>VÄSTERNORRLANDS LÄN</t>
        </is>
      </c>
      <c r="E2558" t="inlineStr">
        <is>
          <t>SOLLEFTEÅ</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5034-2024</t>
        </is>
      </c>
      <c r="B2559" s="1" t="n">
        <v>45329</v>
      </c>
      <c r="C2559" s="1" t="n">
        <v>45353</v>
      </c>
      <c r="D2559" t="inlineStr">
        <is>
          <t>VÄSTERNORRLANDS LÄN</t>
        </is>
      </c>
      <c r="E2559" t="inlineStr">
        <is>
          <t>SOLLEFTEÅ</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5038-2024</t>
        </is>
      </c>
      <c r="B2560" s="1" t="n">
        <v>45329</v>
      </c>
      <c r="C2560" s="1" t="n">
        <v>45353</v>
      </c>
      <c r="D2560" t="inlineStr">
        <is>
          <t>VÄSTERNORRLANDS LÄN</t>
        </is>
      </c>
      <c r="E2560" t="inlineStr">
        <is>
          <t>SOLLEFTEÅ</t>
        </is>
      </c>
      <c r="F2560" t="inlineStr">
        <is>
          <t>Övriga Aktiebolag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5062-2024</t>
        </is>
      </c>
      <c r="B2561" s="1" t="n">
        <v>45329</v>
      </c>
      <c r="C2561" s="1" t="n">
        <v>45353</v>
      </c>
      <c r="D2561" t="inlineStr">
        <is>
          <t>VÄSTERNORRLANDS LÄN</t>
        </is>
      </c>
      <c r="E2561" t="inlineStr">
        <is>
          <t>SOLLEFTEÅ</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5058-2024</t>
        </is>
      </c>
      <c r="B2562" s="1" t="n">
        <v>45329</v>
      </c>
      <c r="C2562" s="1" t="n">
        <v>45353</v>
      </c>
      <c r="D2562" t="inlineStr">
        <is>
          <t>VÄSTERNORRLANDS LÄN</t>
        </is>
      </c>
      <c r="E2562" t="inlineStr">
        <is>
          <t>SOLLEFTEÅ</t>
        </is>
      </c>
      <c r="F2562" t="inlineStr">
        <is>
          <t>SCA</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5074-2024</t>
        </is>
      </c>
      <c r="B2563" s="1" t="n">
        <v>45330</v>
      </c>
      <c r="C2563" s="1" t="n">
        <v>45353</v>
      </c>
      <c r="D2563" t="inlineStr">
        <is>
          <t>VÄSTERNORRLANDS LÄN</t>
        </is>
      </c>
      <c r="E2563" t="inlineStr">
        <is>
          <t>SOLLEFTEÅ</t>
        </is>
      </c>
      <c r="F2563" t="inlineStr">
        <is>
          <t>Övriga Aktiebolag</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5256-2024</t>
        </is>
      </c>
      <c r="B2564" s="1" t="n">
        <v>45330</v>
      </c>
      <c r="C2564" s="1" t="n">
        <v>45353</v>
      </c>
      <c r="D2564" t="inlineStr">
        <is>
          <t>VÄSTERNORRLANDS LÄN</t>
        </is>
      </c>
      <c r="E2564" t="inlineStr">
        <is>
          <t>SOLLEFTEÅ</t>
        </is>
      </c>
      <c r="F2564" t="inlineStr">
        <is>
          <t>SCA</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5253-2024</t>
        </is>
      </c>
      <c r="B2565" s="1" t="n">
        <v>45330</v>
      </c>
      <c r="C2565" s="1" t="n">
        <v>45353</v>
      </c>
      <c r="D2565" t="inlineStr">
        <is>
          <t>VÄSTERNORRLANDS LÄN</t>
        </is>
      </c>
      <c r="E2565" t="inlineStr">
        <is>
          <t>SOLLEFTEÅ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5254-2024</t>
        </is>
      </c>
      <c r="B2566" s="1" t="n">
        <v>45330</v>
      </c>
      <c r="C2566" s="1" t="n">
        <v>45353</v>
      </c>
      <c r="D2566" t="inlineStr">
        <is>
          <t>VÄSTERNORRLANDS LÄN</t>
        </is>
      </c>
      <c r="E2566" t="inlineStr">
        <is>
          <t>SOLLEFTEÅ</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5255-2024</t>
        </is>
      </c>
      <c r="B2567" s="1" t="n">
        <v>45330</v>
      </c>
      <c r="C2567" s="1" t="n">
        <v>45353</v>
      </c>
      <c r="D2567" t="inlineStr">
        <is>
          <t>VÄSTERNORRLANDS LÄN</t>
        </is>
      </c>
      <c r="E2567" t="inlineStr">
        <is>
          <t>SOLLEFTEÅ</t>
        </is>
      </c>
      <c r="F2567" t="inlineStr">
        <is>
          <t>SCA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5446-2024</t>
        </is>
      </c>
      <c r="B2568" s="1" t="n">
        <v>45331</v>
      </c>
      <c r="C2568" s="1" t="n">
        <v>45353</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5452-2024</t>
        </is>
      </c>
      <c r="B2569" s="1" t="n">
        <v>45331</v>
      </c>
      <c r="C2569" s="1" t="n">
        <v>45353</v>
      </c>
      <c r="D2569" t="inlineStr">
        <is>
          <t>VÄSTERNORRLANDS LÄN</t>
        </is>
      </c>
      <c r="E2569" t="inlineStr">
        <is>
          <t>SOLLEFTEÅ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5734-2024</t>
        </is>
      </c>
      <c r="B2570" s="1" t="n">
        <v>45334</v>
      </c>
      <c r="C2570" s="1" t="n">
        <v>45353</v>
      </c>
      <c r="D2570" t="inlineStr">
        <is>
          <t>VÄSTERNORRLANDS LÄN</t>
        </is>
      </c>
      <c r="E2570" t="inlineStr">
        <is>
          <t>SOLLEFTEÅ</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5854-2024</t>
        </is>
      </c>
      <c r="B2571" s="1" t="n">
        <v>45335</v>
      </c>
      <c r="C2571" s="1" t="n">
        <v>45353</v>
      </c>
      <c r="D2571" t="inlineStr">
        <is>
          <t>VÄSTERNORRLANDS LÄN</t>
        </is>
      </c>
      <c r="E2571" t="inlineStr">
        <is>
          <t>SOLLEFTEÅ</t>
        </is>
      </c>
      <c r="F2571" t="inlineStr">
        <is>
          <t>Övriga Aktiebolag</t>
        </is>
      </c>
      <c r="G2571" t="n">
        <v>24.9</v>
      </c>
      <c r="H2571" t="n">
        <v>0</v>
      </c>
      <c r="I2571" t="n">
        <v>0</v>
      </c>
      <c r="J2571" t="n">
        <v>0</v>
      </c>
      <c r="K2571" t="n">
        <v>0</v>
      </c>
      <c r="L2571" t="n">
        <v>0</v>
      </c>
      <c r="M2571" t="n">
        <v>0</v>
      </c>
      <c r="N2571" t="n">
        <v>0</v>
      </c>
      <c r="O2571" t="n">
        <v>0</v>
      </c>
      <c r="P2571" t="n">
        <v>0</v>
      </c>
      <c r="Q2571" t="n">
        <v>0</v>
      </c>
      <c r="R2571" s="2" t="inlineStr"/>
    </row>
    <row r="2572" ht="15" customHeight="1">
      <c r="A2572" t="inlineStr">
        <is>
          <t>A 5874-2024</t>
        </is>
      </c>
      <c r="B2572" s="1" t="n">
        <v>45335</v>
      </c>
      <c r="C2572" s="1" t="n">
        <v>45353</v>
      </c>
      <c r="D2572" t="inlineStr">
        <is>
          <t>VÄSTERNORRLANDS LÄN</t>
        </is>
      </c>
      <c r="E2572" t="inlineStr">
        <is>
          <t>SOLLEFTEÅ</t>
        </is>
      </c>
      <c r="F2572" t="inlineStr">
        <is>
          <t>Övriga Aktiebolag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5882-2024</t>
        </is>
      </c>
      <c r="B2573" s="1" t="n">
        <v>45335</v>
      </c>
      <c r="C2573" s="1" t="n">
        <v>45353</v>
      </c>
      <c r="D2573" t="inlineStr">
        <is>
          <t>VÄSTERNORRLANDS LÄN</t>
        </is>
      </c>
      <c r="E2573" t="inlineStr">
        <is>
          <t>SOLLEFTEÅ</t>
        </is>
      </c>
      <c r="F2573" t="inlineStr">
        <is>
          <t>Övriga Aktiebolag</t>
        </is>
      </c>
      <c r="G2573" t="n">
        <v>13.2</v>
      </c>
      <c r="H2573" t="n">
        <v>0</v>
      </c>
      <c r="I2573" t="n">
        <v>0</v>
      </c>
      <c r="J2573" t="n">
        <v>0</v>
      </c>
      <c r="K2573" t="n">
        <v>0</v>
      </c>
      <c r="L2573" t="n">
        <v>0</v>
      </c>
      <c r="M2573" t="n">
        <v>0</v>
      </c>
      <c r="N2573" t="n">
        <v>0</v>
      </c>
      <c r="O2573" t="n">
        <v>0</v>
      </c>
      <c r="P2573" t="n">
        <v>0</v>
      </c>
      <c r="Q2573" t="n">
        <v>0</v>
      </c>
      <c r="R2573" s="2" t="inlineStr"/>
    </row>
    <row r="2574" ht="15" customHeight="1">
      <c r="A2574" t="inlineStr">
        <is>
          <t>A 5867-2024</t>
        </is>
      </c>
      <c r="B2574" s="1" t="n">
        <v>45335</v>
      </c>
      <c r="C2574" s="1" t="n">
        <v>45353</v>
      </c>
      <c r="D2574" t="inlineStr">
        <is>
          <t>VÄSTERNORRLANDS LÄN</t>
        </is>
      </c>
      <c r="E2574" t="inlineStr">
        <is>
          <t>SOLLEFTEÅ</t>
        </is>
      </c>
      <c r="F2574" t="inlineStr">
        <is>
          <t>Övriga Aktiebolag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5871-2024</t>
        </is>
      </c>
      <c r="B2575" s="1" t="n">
        <v>45335</v>
      </c>
      <c r="C2575" s="1" t="n">
        <v>45353</v>
      </c>
      <c r="D2575" t="inlineStr">
        <is>
          <t>VÄSTERNORRLANDS LÄN</t>
        </is>
      </c>
      <c r="E2575" t="inlineStr">
        <is>
          <t>SOLLEFTEÅ</t>
        </is>
      </c>
      <c r="F2575" t="inlineStr">
        <is>
          <t>Övriga Aktiebolag</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5877-2024</t>
        </is>
      </c>
      <c r="B2576" s="1" t="n">
        <v>45335</v>
      </c>
      <c r="C2576" s="1" t="n">
        <v>45353</v>
      </c>
      <c r="D2576" t="inlineStr">
        <is>
          <t>VÄSTERNORRLANDS LÄN</t>
        </is>
      </c>
      <c r="E2576" t="inlineStr">
        <is>
          <t>SOLLEFTEÅ</t>
        </is>
      </c>
      <c r="F2576" t="inlineStr">
        <is>
          <t>Övriga Aktiebolag</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5909-2024</t>
        </is>
      </c>
      <c r="B2577" s="1" t="n">
        <v>45335</v>
      </c>
      <c r="C2577" s="1" t="n">
        <v>45353</v>
      </c>
      <c r="D2577" t="inlineStr">
        <is>
          <t>VÄSTERNORRLANDS LÄN</t>
        </is>
      </c>
      <c r="E2577" t="inlineStr">
        <is>
          <t>SOLLEFTEÅ</t>
        </is>
      </c>
      <c r="F2577" t="inlineStr">
        <is>
          <t>SCA</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5917-2024</t>
        </is>
      </c>
      <c r="B2578" s="1" t="n">
        <v>45335</v>
      </c>
      <c r="C2578" s="1" t="n">
        <v>45353</v>
      </c>
      <c r="D2578" t="inlineStr">
        <is>
          <t>VÄSTERNORRLANDS LÄN</t>
        </is>
      </c>
      <c r="E2578" t="inlineStr">
        <is>
          <t>SOLLEFTEÅ</t>
        </is>
      </c>
      <c r="F2578" t="inlineStr">
        <is>
          <t>SCA</t>
        </is>
      </c>
      <c r="G2578" t="n">
        <v>21.2</v>
      </c>
      <c r="H2578" t="n">
        <v>0</v>
      </c>
      <c r="I2578" t="n">
        <v>0</v>
      </c>
      <c r="J2578" t="n">
        <v>0</v>
      </c>
      <c r="K2578" t="n">
        <v>0</v>
      </c>
      <c r="L2578" t="n">
        <v>0</v>
      </c>
      <c r="M2578" t="n">
        <v>0</v>
      </c>
      <c r="N2578" t="n">
        <v>0</v>
      </c>
      <c r="O2578" t="n">
        <v>0</v>
      </c>
      <c r="P2578" t="n">
        <v>0</v>
      </c>
      <c r="Q2578" t="n">
        <v>0</v>
      </c>
      <c r="R2578" s="2" t="inlineStr"/>
    </row>
    <row r="2579" ht="15" customHeight="1">
      <c r="A2579" t="inlineStr">
        <is>
          <t>A 5919-2024</t>
        </is>
      </c>
      <c r="B2579" s="1" t="n">
        <v>45335</v>
      </c>
      <c r="C2579" s="1" t="n">
        <v>45353</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5934-2024</t>
        </is>
      </c>
      <c r="B2580" s="1" t="n">
        <v>45336</v>
      </c>
      <c r="C2580" s="1" t="n">
        <v>45353</v>
      </c>
      <c r="D2580" t="inlineStr">
        <is>
          <t>VÄSTERNORRLANDS LÄN</t>
        </is>
      </c>
      <c r="E2580" t="inlineStr">
        <is>
          <t>SOLLEFTEÅ</t>
        </is>
      </c>
      <c r="F2580" t="inlineStr">
        <is>
          <t>Holmen skog AB</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6059-2024</t>
        </is>
      </c>
      <c r="B2581" s="1" t="n">
        <v>45336</v>
      </c>
      <c r="C2581" s="1" t="n">
        <v>45353</v>
      </c>
      <c r="D2581" t="inlineStr">
        <is>
          <t>VÄSTERNORRLANDS LÄN</t>
        </is>
      </c>
      <c r="E2581" t="inlineStr">
        <is>
          <t>SOLLEFTEÅ</t>
        </is>
      </c>
      <c r="F2581" t="inlineStr">
        <is>
          <t>Övriga Aktiebolag</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6063-2024</t>
        </is>
      </c>
      <c r="B2582" s="1" t="n">
        <v>45336</v>
      </c>
      <c r="C2582" s="1" t="n">
        <v>45353</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6067-2024</t>
        </is>
      </c>
      <c r="B2583" s="1" t="n">
        <v>45336</v>
      </c>
      <c r="C2583" s="1" t="n">
        <v>45353</v>
      </c>
      <c r="D2583" t="inlineStr">
        <is>
          <t>VÄSTERNORRLANDS LÄN</t>
        </is>
      </c>
      <c r="E2583" t="inlineStr">
        <is>
          <t>SOLLEFTEÅ</t>
        </is>
      </c>
      <c r="F2583" t="inlineStr">
        <is>
          <t>Övriga Aktiebolag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6057-2024</t>
        </is>
      </c>
      <c r="B2584" s="1" t="n">
        <v>45336</v>
      </c>
      <c r="C2584" s="1" t="n">
        <v>45353</v>
      </c>
      <c r="D2584" t="inlineStr">
        <is>
          <t>VÄSTERNORRLANDS LÄN</t>
        </is>
      </c>
      <c r="E2584" t="inlineStr">
        <is>
          <t>SOLLEFTEÅ</t>
        </is>
      </c>
      <c r="F2584" t="inlineStr">
        <is>
          <t>Övriga Aktiebolag</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6058-2024</t>
        </is>
      </c>
      <c r="B2585" s="1" t="n">
        <v>45336</v>
      </c>
      <c r="C2585" s="1" t="n">
        <v>45353</v>
      </c>
      <c r="D2585" t="inlineStr">
        <is>
          <t>VÄSTERNORRLANDS LÄN</t>
        </is>
      </c>
      <c r="E2585" t="inlineStr">
        <is>
          <t>SOLLEFTEÅ</t>
        </is>
      </c>
      <c r="F2585" t="inlineStr">
        <is>
          <t>Övriga Aktiebolag</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6064-2024</t>
        </is>
      </c>
      <c r="B2586" s="1" t="n">
        <v>45336</v>
      </c>
      <c r="C2586" s="1" t="n">
        <v>45353</v>
      </c>
      <c r="D2586" t="inlineStr">
        <is>
          <t>VÄSTERNORRLANDS LÄN</t>
        </is>
      </c>
      <c r="E2586" t="inlineStr">
        <is>
          <t>SOLLEFTEÅ</t>
        </is>
      </c>
      <c r="F2586" t="inlineStr">
        <is>
          <t>Övriga Aktiebolag</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6068-2024</t>
        </is>
      </c>
      <c r="B2587" s="1" t="n">
        <v>45336</v>
      </c>
      <c r="C2587" s="1" t="n">
        <v>45353</v>
      </c>
      <c r="D2587" t="inlineStr">
        <is>
          <t>VÄSTERNORRLANDS LÄN</t>
        </is>
      </c>
      <c r="E2587" t="inlineStr">
        <is>
          <t>SOLLEFTEÅ</t>
        </is>
      </c>
      <c r="F2587" t="inlineStr">
        <is>
          <t>Övriga Aktiebolag</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6066-2024</t>
        </is>
      </c>
      <c r="B2588" s="1" t="n">
        <v>45336</v>
      </c>
      <c r="C2588" s="1" t="n">
        <v>45353</v>
      </c>
      <c r="D2588" t="inlineStr">
        <is>
          <t>VÄSTERNORRLANDS LÄN</t>
        </is>
      </c>
      <c r="E2588" t="inlineStr">
        <is>
          <t>SOLLEFTEÅ</t>
        </is>
      </c>
      <c r="F2588" t="inlineStr">
        <is>
          <t>Övriga Aktiebolag</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6065-2024</t>
        </is>
      </c>
      <c r="B2589" s="1" t="n">
        <v>45336</v>
      </c>
      <c r="C2589" s="1" t="n">
        <v>45353</v>
      </c>
      <c r="D2589" t="inlineStr">
        <is>
          <t>VÄSTERNORRLANDS LÄN</t>
        </is>
      </c>
      <c r="E2589" t="inlineStr">
        <is>
          <t>SOLLEFTEÅ</t>
        </is>
      </c>
      <c r="F2589" t="inlineStr">
        <is>
          <t>Övriga Aktiebolag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6125-2024</t>
        </is>
      </c>
      <c r="B2590" s="1" t="n">
        <v>45337</v>
      </c>
      <c r="C2590" s="1" t="n">
        <v>45353</v>
      </c>
      <c r="D2590" t="inlineStr">
        <is>
          <t>VÄSTERNORRLANDS LÄN</t>
        </is>
      </c>
      <c r="E2590" t="inlineStr">
        <is>
          <t>SOLLEFTEÅ</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6139-2024</t>
        </is>
      </c>
      <c r="B2591" s="1" t="n">
        <v>45337</v>
      </c>
      <c r="C2591" s="1" t="n">
        <v>45353</v>
      </c>
      <c r="D2591" t="inlineStr">
        <is>
          <t>VÄSTERNORRLANDS LÄN</t>
        </is>
      </c>
      <c r="E2591" t="inlineStr">
        <is>
          <t>SOLLEFTEÅ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6279-2024</t>
        </is>
      </c>
      <c r="B2592" s="1" t="n">
        <v>45337</v>
      </c>
      <c r="C2592" s="1" t="n">
        <v>45353</v>
      </c>
      <c r="D2592" t="inlineStr">
        <is>
          <t>VÄSTERNORRLANDS LÄN</t>
        </is>
      </c>
      <c r="E2592" t="inlineStr">
        <is>
          <t>SOLLEFTEÅ</t>
        </is>
      </c>
      <c r="F2592" t="inlineStr">
        <is>
          <t>SCA</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6282-2024</t>
        </is>
      </c>
      <c r="B2593" s="1" t="n">
        <v>45337</v>
      </c>
      <c r="C2593" s="1" t="n">
        <v>45353</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6352-2024</t>
        </is>
      </c>
      <c r="B2594" s="1" t="n">
        <v>45338</v>
      </c>
      <c r="C2594" s="1" t="n">
        <v>45353</v>
      </c>
      <c r="D2594" t="inlineStr">
        <is>
          <t>VÄSTERNORRLANDS LÄN</t>
        </is>
      </c>
      <c r="E2594" t="inlineStr">
        <is>
          <t>SOLLEFTEÅ</t>
        </is>
      </c>
      <c r="F2594" t="inlineStr">
        <is>
          <t>Holmen skog AB</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6480-2024</t>
        </is>
      </c>
      <c r="B2595" s="1" t="n">
        <v>45338</v>
      </c>
      <c r="C2595" s="1" t="n">
        <v>45353</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6633-2024</t>
        </is>
      </c>
      <c r="B2596" s="1" t="n">
        <v>45341</v>
      </c>
      <c r="C2596" s="1" t="n">
        <v>45353</v>
      </c>
      <c r="D2596" t="inlineStr">
        <is>
          <t>VÄSTERNORRLANDS LÄN</t>
        </is>
      </c>
      <c r="E2596" t="inlineStr">
        <is>
          <t>SOLLEFTEÅ</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6692-2024</t>
        </is>
      </c>
      <c r="B2597" s="1" t="n">
        <v>45341</v>
      </c>
      <c r="C2597" s="1" t="n">
        <v>45353</v>
      </c>
      <c r="D2597" t="inlineStr">
        <is>
          <t>VÄSTERNORRLANDS LÄN</t>
        </is>
      </c>
      <c r="E2597" t="inlineStr">
        <is>
          <t>SOLLEFTEÅ</t>
        </is>
      </c>
      <c r="F2597" t="inlineStr">
        <is>
          <t>SCA</t>
        </is>
      </c>
      <c r="G2597" t="n">
        <v>15.4</v>
      </c>
      <c r="H2597" t="n">
        <v>0</v>
      </c>
      <c r="I2597" t="n">
        <v>0</v>
      </c>
      <c r="J2597" t="n">
        <v>0</v>
      </c>
      <c r="K2597" t="n">
        <v>0</v>
      </c>
      <c r="L2597" t="n">
        <v>0</v>
      </c>
      <c r="M2597" t="n">
        <v>0</v>
      </c>
      <c r="N2597" t="n">
        <v>0</v>
      </c>
      <c r="O2597" t="n">
        <v>0</v>
      </c>
      <c r="P2597" t="n">
        <v>0</v>
      </c>
      <c r="Q2597" t="n">
        <v>0</v>
      </c>
      <c r="R2597" s="2" t="inlineStr"/>
    </row>
    <row r="2598" ht="15" customHeight="1">
      <c r="A2598" t="inlineStr">
        <is>
          <t>A 6697-2024</t>
        </is>
      </c>
      <c r="B2598" s="1" t="n">
        <v>45341</v>
      </c>
      <c r="C2598" s="1" t="n">
        <v>45353</v>
      </c>
      <c r="D2598" t="inlineStr">
        <is>
          <t>VÄSTERNORRLANDS LÄN</t>
        </is>
      </c>
      <c r="E2598" t="inlineStr">
        <is>
          <t>SOLLEFTEÅ</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6700-2024</t>
        </is>
      </c>
      <c r="B2599" s="1" t="n">
        <v>45341</v>
      </c>
      <c r="C2599" s="1" t="n">
        <v>45353</v>
      </c>
      <c r="D2599" t="inlineStr">
        <is>
          <t>VÄSTERNORRLANDS LÄN</t>
        </is>
      </c>
      <c r="E2599" t="inlineStr">
        <is>
          <t>SOLLEFTEÅ</t>
        </is>
      </c>
      <c r="F2599" t="inlineStr">
        <is>
          <t>SCA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6816-2024</t>
        </is>
      </c>
      <c r="B2600" s="1" t="n">
        <v>45342</v>
      </c>
      <c r="C2600" s="1" t="n">
        <v>45353</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6799-2024</t>
        </is>
      </c>
      <c r="B2601" s="1" t="n">
        <v>45342</v>
      </c>
      <c r="C2601" s="1" t="n">
        <v>45353</v>
      </c>
      <c r="D2601" t="inlineStr">
        <is>
          <t>VÄSTERNORRLANDS LÄN</t>
        </is>
      </c>
      <c r="E2601" t="inlineStr">
        <is>
          <t>SOLLEFTEÅ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6857-2024</t>
        </is>
      </c>
      <c r="B2602" s="1" t="n">
        <v>45342</v>
      </c>
      <c r="C2602" s="1" t="n">
        <v>45353</v>
      </c>
      <c r="D2602" t="inlineStr">
        <is>
          <t>VÄSTERNORRLANDS LÄN</t>
        </is>
      </c>
      <c r="E2602" t="inlineStr">
        <is>
          <t>SOLLEFTEÅ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6891-2024</t>
        </is>
      </c>
      <c r="B2603" s="1" t="n">
        <v>45342</v>
      </c>
      <c r="C2603" s="1" t="n">
        <v>45353</v>
      </c>
      <c r="D2603" t="inlineStr">
        <is>
          <t>VÄSTERNORRLANDS LÄN</t>
        </is>
      </c>
      <c r="E2603" t="inlineStr">
        <is>
          <t>SOLLEFTEÅ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6909-2024</t>
        </is>
      </c>
      <c r="B2604" s="1" t="n">
        <v>45342</v>
      </c>
      <c r="C2604" s="1" t="n">
        <v>45353</v>
      </c>
      <c r="D2604" t="inlineStr">
        <is>
          <t>VÄSTERNORRLANDS LÄN</t>
        </is>
      </c>
      <c r="E2604" t="inlineStr">
        <is>
          <t>SOLLEFTEÅ</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6934-2024</t>
        </is>
      </c>
      <c r="B2605" s="1" t="n">
        <v>45343</v>
      </c>
      <c r="C2605" s="1" t="n">
        <v>45353</v>
      </c>
      <c r="D2605" t="inlineStr">
        <is>
          <t>VÄSTERNORRLANDS LÄN</t>
        </is>
      </c>
      <c r="E2605" t="inlineStr">
        <is>
          <t>SOLLEFTEÅ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6932-2024</t>
        </is>
      </c>
      <c r="B2606" s="1" t="n">
        <v>45343</v>
      </c>
      <c r="C2606" s="1" t="n">
        <v>45353</v>
      </c>
      <c r="D2606" t="inlineStr">
        <is>
          <t>VÄSTERNORRLANDS LÄN</t>
        </is>
      </c>
      <c r="E2606" t="inlineStr">
        <is>
          <t>SOLLEFTEÅ</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7109-2024</t>
        </is>
      </c>
      <c r="B2607" s="1" t="n">
        <v>45343</v>
      </c>
      <c r="C2607" s="1" t="n">
        <v>45353</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7113-2024</t>
        </is>
      </c>
      <c r="B2608" s="1" t="n">
        <v>45343</v>
      </c>
      <c r="C2608" s="1" t="n">
        <v>45353</v>
      </c>
      <c r="D2608" t="inlineStr">
        <is>
          <t>VÄSTERNORRLANDS LÄN</t>
        </is>
      </c>
      <c r="E2608" t="inlineStr">
        <is>
          <t>SOLLEFTEÅ</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7001-2024</t>
        </is>
      </c>
      <c r="B2609" s="1" t="n">
        <v>45343</v>
      </c>
      <c r="C2609" s="1" t="n">
        <v>45353</v>
      </c>
      <c r="D2609" t="inlineStr">
        <is>
          <t>VÄSTERNORRLANDS LÄN</t>
        </is>
      </c>
      <c r="E2609" t="inlineStr">
        <is>
          <t>SOLLEFTEÅ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7106-2024</t>
        </is>
      </c>
      <c r="B2610" s="1" t="n">
        <v>45343</v>
      </c>
      <c r="C2610" s="1" t="n">
        <v>45353</v>
      </c>
      <c r="D2610" t="inlineStr">
        <is>
          <t>VÄSTERNORRLANDS LÄN</t>
        </is>
      </c>
      <c r="E2610" t="inlineStr">
        <is>
          <t>SOLLEFTEÅ</t>
        </is>
      </c>
      <c r="G2610" t="n">
        <v>16.6</v>
      </c>
      <c r="H2610" t="n">
        <v>0</v>
      </c>
      <c r="I2610" t="n">
        <v>0</v>
      </c>
      <c r="J2610" t="n">
        <v>0</v>
      </c>
      <c r="K2610" t="n">
        <v>0</v>
      </c>
      <c r="L2610" t="n">
        <v>0</v>
      </c>
      <c r="M2610" t="n">
        <v>0</v>
      </c>
      <c r="N2610" t="n">
        <v>0</v>
      </c>
      <c r="O2610" t="n">
        <v>0</v>
      </c>
      <c r="P2610" t="n">
        <v>0</v>
      </c>
      <c r="Q2610" t="n">
        <v>0</v>
      </c>
      <c r="R2610" s="2" t="inlineStr"/>
    </row>
    <row r="2611" ht="15" customHeight="1">
      <c r="A2611" t="inlineStr">
        <is>
          <t>A 7107-2024</t>
        </is>
      </c>
      <c r="B2611" s="1" t="n">
        <v>45343</v>
      </c>
      <c r="C2611" s="1" t="n">
        <v>45353</v>
      </c>
      <c r="D2611" t="inlineStr">
        <is>
          <t>VÄSTERNORRLANDS LÄN</t>
        </is>
      </c>
      <c r="E2611" t="inlineStr">
        <is>
          <t>SOLLEFTEÅ</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7257-2024</t>
        </is>
      </c>
      <c r="B2612" s="1" t="n">
        <v>45344</v>
      </c>
      <c r="C2612" s="1" t="n">
        <v>45353</v>
      </c>
      <c r="D2612" t="inlineStr">
        <is>
          <t>VÄSTERNORRLANDS LÄN</t>
        </is>
      </c>
      <c r="E2612" t="inlineStr">
        <is>
          <t>SOLLEFTEÅ</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7261-2024</t>
        </is>
      </c>
      <c r="B2613" s="1" t="n">
        <v>45344</v>
      </c>
      <c r="C2613" s="1" t="n">
        <v>45353</v>
      </c>
      <c r="D2613" t="inlineStr">
        <is>
          <t>VÄSTERNORRLANDS LÄN</t>
        </is>
      </c>
      <c r="E2613" t="inlineStr">
        <is>
          <t>SOLLEFTEÅ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7294-2024</t>
        </is>
      </c>
      <c r="B2614" s="1" t="n">
        <v>45344</v>
      </c>
      <c r="C2614" s="1" t="n">
        <v>45353</v>
      </c>
      <c r="D2614" t="inlineStr">
        <is>
          <t>VÄSTERNORRLANDS LÄN</t>
        </is>
      </c>
      <c r="E2614" t="inlineStr">
        <is>
          <t>SOLLEFTEÅ</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7234-2024</t>
        </is>
      </c>
      <c r="B2615" s="1" t="n">
        <v>45344</v>
      </c>
      <c r="C2615" s="1" t="n">
        <v>45353</v>
      </c>
      <c r="D2615" t="inlineStr">
        <is>
          <t>VÄSTERNORRLANDS LÄN</t>
        </is>
      </c>
      <c r="E2615" t="inlineStr">
        <is>
          <t>SOLLEFTEÅ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7258-2024</t>
        </is>
      </c>
      <c r="B2616" s="1" t="n">
        <v>45344</v>
      </c>
      <c r="C2616" s="1" t="n">
        <v>45353</v>
      </c>
      <c r="D2616" t="inlineStr">
        <is>
          <t>VÄSTERNORRLANDS LÄN</t>
        </is>
      </c>
      <c r="E2616" t="inlineStr">
        <is>
          <t>SOLLEFTEÅ</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7295-2024</t>
        </is>
      </c>
      <c r="B2617" s="1" t="n">
        <v>45344</v>
      </c>
      <c r="C2617" s="1" t="n">
        <v>45353</v>
      </c>
      <c r="D2617" t="inlineStr">
        <is>
          <t>VÄSTERNORRLANDS LÄN</t>
        </is>
      </c>
      <c r="E2617" t="inlineStr">
        <is>
          <t>SOLLEFTEÅ</t>
        </is>
      </c>
      <c r="F2617" t="inlineStr">
        <is>
          <t>SCA</t>
        </is>
      </c>
      <c r="G2617" t="n">
        <v>16.7</v>
      </c>
      <c r="H2617" t="n">
        <v>0</v>
      </c>
      <c r="I2617" t="n">
        <v>0</v>
      </c>
      <c r="J2617" t="n">
        <v>0</v>
      </c>
      <c r="K2617" t="n">
        <v>0</v>
      </c>
      <c r="L2617" t="n">
        <v>0</v>
      </c>
      <c r="M2617" t="n">
        <v>0</v>
      </c>
      <c r="N2617" t="n">
        <v>0</v>
      </c>
      <c r="O2617" t="n">
        <v>0</v>
      </c>
      <c r="P2617" t="n">
        <v>0</v>
      </c>
      <c r="Q2617" t="n">
        <v>0</v>
      </c>
      <c r="R2617" s="2" t="inlineStr"/>
    </row>
    <row r="2618" ht="15" customHeight="1">
      <c r="A2618" t="inlineStr">
        <is>
          <t>A 7463-2024</t>
        </is>
      </c>
      <c r="B2618" s="1" t="n">
        <v>45345</v>
      </c>
      <c r="C2618" s="1" t="n">
        <v>45353</v>
      </c>
      <c r="D2618" t="inlineStr">
        <is>
          <t>VÄSTERNORRLANDS LÄN</t>
        </is>
      </c>
      <c r="E2618" t="inlineStr">
        <is>
          <t>SOLLEFTEÅ</t>
        </is>
      </c>
      <c r="F2618" t="inlineStr">
        <is>
          <t>SCA</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7467-2024</t>
        </is>
      </c>
      <c r="B2619" s="1" t="n">
        <v>45345</v>
      </c>
      <c r="C2619" s="1" t="n">
        <v>45353</v>
      </c>
      <c r="D2619" t="inlineStr">
        <is>
          <t>VÄSTERNORRLANDS LÄN</t>
        </is>
      </c>
      <c r="E2619" t="inlineStr">
        <is>
          <t>SOLLEFTEÅ</t>
        </is>
      </c>
      <c r="F2619" t="inlineStr">
        <is>
          <t>SCA</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7464-2024</t>
        </is>
      </c>
      <c r="B2620" s="1" t="n">
        <v>45345</v>
      </c>
      <c r="C2620" s="1" t="n">
        <v>45353</v>
      </c>
      <c r="D2620" t="inlineStr">
        <is>
          <t>VÄSTERNORRLANDS LÄN</t>
        </is>
      </c>
      <c r="E2620" t="inlineStr">
        <is>
          <t>SOLLEFTEÅ</t>
        </is>
      </c>
      <c r="F2620" t="inlineStr">
        <is>
          <t>SCA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7462-2024</t>
        </is>
      </c>
      <c r="B2621" s="1" t="n">
        <v>45345</v>
      </c>
      <c r="C2621" s="1" t="n">
        <v>45353</v>
      </c>
      <c r="D2621" t="inlineStr">
        <is>
          <t>VÄSTERNORRLANDS LÄN</t>
        </is>
      </c>
      <c r="E2621" t="inlineStr">
        <is>
          <t>SOLLEFTEÅ</t>
        </is>
      </c>
      <c r="F2621" t="inlineStr">
        <is>
          <t>SCA</t>
        </is>
      </c>
      <c r="G2621" t="n">
        <v>42.1</v>
      </c>
      <c r="H2621" t="n">
        <v>0</v>
      </c>
      <c r="I2621" t="n">
        <v>0</v>
      </c>
      <c r="J2621" t="n">
        <v>0</v>
      </c>
      <c r="K2621" t="n">
        <v>0</v>
      </c>
      <c r="L2621" t="n">
        <v>0</v>
      </c>
      <c r="M2621" t="n">
        <v>0</v>
      </c>
      <c r="N2621" t="n">
        <v>0</v>
      </c>
      <c r="O2621" t="n">
        <v>0</v>
      </c>
      <c r="P2621" t="n">
        <v>0</v>
      </c>
      <c r="Q2621" t="n">
        <v>0</v>
      </c>
      <c r="R2621" s="2" t="inlineStr"/>
    </row>
    <row r="2622" ht="15" customHeight="1">
      <c r="A2622" t="inlineStr">
        <is>
          <t>A 7475-2024</t>
        </is>
      </c>
      <c r="B2622" s="1" t="n">
        <v>45345</v>
      </c>
      <c r="C2622" s="1" t="n">
        <v>45353</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7585-2024</t>
        </is>
      </c>
      <c r="B2623" s="1" t="n">
        <v>45348</v>
      </c>
      <c r="C2623" s="1" t="n">
        <v>45353</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7704-2024</t>
        </is>
      </c>
      <c r="B2624" s="1" t="n">
        <v>45349</v>
      </c>
      <c r="C2624" s="1" t="n">
        <v>45353</v>
      </c>
      <c r="D2624" t="inlineStr">
        <is>
          <t>VÄSTERNORRLANDS LÄN</t>
        </is>
      </c>
      <c r="E2624" t="inlineStr">
        <is>
          <t>SOLLEFTEÅ</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7809-2024</t>
        </is>
      </c>
      <c r="B2625" s="1" t="n">
        <v>45349</v>
      </c>
      <c r="C2625" s="1" t="n">
        <v>45353</v>
      </c>
      <c r="D2625" t="inlineStr">
        <is>
          <t>VÄSTERNORRLANDS LÄN</t>
        </is>
      </c>
      <c r="E2625" t="inlineStr">
        <is>
          <t>SOLLEFTEÅ</t>
        </is>
      </c>
      <c r="G2625" t="n">
        <v>23.2</v>
      </c>
      <c r="H2625" t="n">
        <v>0</v>
      </c>
      <c r="I2625" t="n">
        <v>0</v>
      </c>
      <c r="J2625" t="n">
        <v>0</v>
      </c>
      <c r="K2625" t="n">
        <v>0</v>
      </c>
      <c r="L2625" t="n">
        <v>0</v>
      </c>
      <c r="M2625" t="n">
        <v>0</v>
      </c>
      <c r="N2625" t="n">
        <v>0</v>
      </c>
      <c r="O2625" t="n">
        <v>0</v>
      </c>
      <c r="P2625" t="n">
        <v>0</v>
      </c>
      <c r="Q2625" t="n">
        <v>0</v>
      </c>
      <c r="R2625" s="2" t="inlineStr"/>
    </row>
    <row r="2626" ht="15" customHeight="1">
      <c r="A2626" t="inlineStr">
        <is>
          <t>A 7825-2024</t>
        </is>
      </c>
      <c r="B2626" s="1" t="n">
        <v>45349</v>
      </c>
      <c r="C2626" s="1" t="n">
        <v>45353</v>
      </c>
      <c r="D2626" t="inlineStr">
        <is>
          <t>VÄSTERNORRLANDS LÄN</t>
        </is>
      </c>
      <c r="E2626" t="inlineStr">
        <is>
          <t>SOLLEFTEÅ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7810-2024</t>
        </is>
      </c>
      <c r="B2627" s="1" t="n">
        <v>45349</v>
      </c>
      <c r="C2627" s="1" t="n">
        <v>45353</v>
      </c>
      <c r="D2627" t="inlineStr">
        <is>
          <t>VÄSTERNORRLANDS LÄN</t>
        </is>
      </c>
      <c r="E2627" t="inlineStr">
        <is>
          <t>SOLLEFTEÅ</t>
        </is>
      </c>
      <c r="F2627" t="inlineStr">
        <is>
          <t>Övriga Aktiebolag</t>
        </is>
      </c>
      <c r="G2627" t="n">
        <v>23.6</v>
      </c>
      <c r="H2627" t="n">
        <v>0</v>
      </c>
      <c r="I2627" t="n">
        <v>0</v>
      </c>
      <c r="J2627" t="n">
        <v>0</v>
      </c>
      <c r="K2627" t="n">
        <v>0</v>
      </c>
      <c r="L2627" t="n">
        <v>0</v>
      </c>
      <c r="M2627" t="n">
        <v>0</v>
      </c>
      <c r="N2627" t="n">
        <v>0</v>
      </c>
      <c r="O2627" t="n">
        <v>0</v>
      </c>
      <c r="P2627" t="n">
        <v>0</v>
      </c>
      <c r="Q2627" t="n">
        <v>0</v>
      </c>
      <c r="R2627" s="2" t="inlineStr"/>
    </row>
    <row r="2628" ht="15" customHeight="1">
      <c r="A2628" t="inlineStr">
        <is>
          <t>A 7858-2024</t>
        </is>
      </c>
      <c r="B2628" s="1" t="n">
        <v>45350</v>
      </c>
      <c r="C2628" s="1" t="n">
        <v>45353</v>
      </c>
      <c r="D2628" t="inlineStr">
        <is>
          <t>VÄSTERNORRLANDS LÄN</t>
        </is>
      </c>
      <c r="E2628" t="inlineStr">
        <is>
          <t>SOLLEFTEÅ</t>
        </is>
      </c>
      <c r="F2628" t="inlineStr">
        <is>
          <t>SCA</t>
        </is>
      </c>
      <c r="G2628" t="n">
        <v>38.8</v>
      </c>
      <c r="H2628" t="n">
        <v>0</v>
      </c>
      <c r="I2628" t="n">
        <v>0</v>
      </c>
      <c r="J2628" t="n">
        <v>0</v>
      </c>
      <c r="K2628" t="n">
        <v>0</v>
      </c>
      <c r="L2628" t="n">
        <v>0</v>
      </c>
      <c r="M2628" t="n">
        <v>0</v>
      </c>
      <c r="N2628" t="n">
        <v>0</v>
      </c>
      <c r="O2628" t="n">
        <v>0</v>
      </c>
      <c r="P2628" t="n">
        <v>0</v>
      </c>
      <c r="Q2628" t="n">
        <v>0</v>
      </c>
      <c r="R2628" s="2" t="inlineStr"/>
    </row>
    <row r="2629" ht="15" customHeight="1">
      <c r="A2629" t="inlineStr">
        <is>
          <t>A 8039-2024</t>
        </is>
      </c>
      <c r="B2629" s="1" t="n">
        <v>45350</v>
      </c>
      <c r="C2629" s="1" t="n">
        <v>45353</v>
      </c>
      <c r="D2629" t="inlineStr">
        <is>
          <t>VÄSTERNORRLANDS LÄN</t>
        </is>
      </c>
      <c r="E2629" t="inlineStr">
        <is>
          <t>SOLLEFTEÅ</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8033-2024</t>
        </is>
      </c>
      <c r="B2630" s="1" t="n">
        <v>45350</v>
      </c>
      <c r="C2630" s="1" t="n">
        <v>45353</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8038-2024</t>
        </is>
      </c>
      <c r="B2631" s="1" t="n">
        <v>45350</v>
      </c>
      <c r="C2631" s="1" t="n">
        <v>45353</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8236-2024</t>
        </is>
      </c>
      <c r="B2632" s="1" t="n">
        <v>45352</v>
      </c>
      <c r="C2632" s="1" t="n">
        <v>45353</v>
      </c>
      <c r="D2632" t="inlineStr">
        <is>
          <t>VÄSTERNORRLANDS LÄN</t>
        </is>
      </c>
      <c r="E2632" t="inlineStr">
        <is>
          <t>SOLLEFTEÅ</t>
        </is>
      </c>
      <c r="F2632" t="inlineStr">
        <is>
          <t>SCA</t>
        </is>
      </c>
      <c r="G2632" t="n">
        <v>13.6</v>
      </c>
      <c r="H2632" t="n">
        <v>0</v>
      </c>
      <c r="I2632" t="n">
        <v>0</v>
      </c>
      <c r="J2632" t="n">
        <v>0</v>
      </c>
      <c r="K2632" t="n">
        <v>0</v>
      </c>
      <c r="L2632" t="n">
        <v>0</v>
      </c>
      <c r="M2632" t="n">
        <v>0</v>
      </c>
      <c r="N2632" t="n">
        <v>0</v>
      </c>
      <c r="O2632" t="n">
        <v>0</v>
      </c>
      <c r="P2632" t="n">
        <v>0</v>
      </c>
      <c r="Q2632" t="n">
        <v>0</v>
      </c>
      <c r="R2632" s="2" t="inlineStr"/>
    </row>
    <row r="2633" ht="15" customHeight="1">
      <c r="A2633" t="inlineStr">
        <is>
          <t>A 8244-2024</t>
        </is>
      </c>
      <c r="B2633" s="1" t="n">
        <v>45352</v>
      </c>
      <c r="C2633" s="1" t="n">
        <v>45353</v>
      </c>
      <c r="D2633" t="inlineStr">
        <is>
          <t>VÄSTERNORRLANDS LÄN</t>
        </is>
      </c>
      <c r="E2633" t="inlineStr">
        <is>
          <t>SOLLEFTEÅ</t>
        </is>
      </c>
      <c r="F2633" t="inlineStr">
        <is>
          <t>SCA</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8235-2024</t>
        </is>
      </c>
      <c r="B2634" s="1" t="n">
        <v>45352</v>
      </c>
      <c r="C2634" s="1" t="n">
        <v>45353</v>
      </c>
      <c r="D2634" t="inlineStr">
        <is>
          <t>VÄSTERNORRLANDS LÄN</t>
        </is>
      </c>
      <c r="E2634" t="inlineStr">
        <is>
          <t>SOLLEFTEÅ</t>
        </is>
      </c>
      <c r="F2634" t="inlineStr">
        <is>
          <t>SCA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8234-2024</t>
        </is>
      </c>
      <c r="B2635" s="1" t="n">
        <v>45352</v>
      </c>
      <c r="C2635" s="1" t="n">
        <v>45353</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c r="A2636" t="inlineStr">
        <is>
          <t>A 8414-2024</t>
        </is>
      </c>
      <c r="B2636" s="1" t="n">
        <v>45353</v>
      </c>
      <c r="C2636" s="1" t="n">
        <v>45353</v>
      </c>
      <c r="D2636" t="inlineStr">
        <is>
          <t>VÄSTERNORRLANDS LÄN</t>
        </is>
      </c>
      <c r="E2636" t="inlineStr">
        <is>
          <t>SOLLEFTEÅ</t>
        </is>
      </c>
      <c r="F2636" t="inlineStr">
        <is>
          <t>SCA</t>
        </is>
      </c>
      <c r="G2636" t="n">
        <v>5.2</v>
      </c>
      <c r="H2636" t="n">
        <v>0</v>
      </c>
      <c r="I2636" t="n">
        <v>0</v>
      </c>
      <c r="J2636" t="n">
        <v>0</v>
      </c>
      <c r="K2636" t="n">
        <v>0</v>
      </c>
      <c r="L2636" t="n">
        <v>0</v>
      </c>
      <c r="M2636" t="n">
        <v>0</v>
      </c>
      <c r="N2636" t="n">
        <v>0</v>
      </c>
      <c r="O2636" t="n">
        <v>0</v>
      </c>
      <c r="P2636" t="n">
        <v>0</v>
      </c>
      <c r="Q2636" t="n">
        <v>0</v>
      </c>
      <c r="R26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2024-03-02T13:08:43Z</dcterms:created>
  <dcterms:modified xmlns:dcterms="http://purl.org/dc/terms/" xmlns:xsi="http://www.w3.org/2001/XMLSchema-instance" xsi:type="dcterms:W3CDTF">2024-03-02T13:08:45Z</dcterms:modified>
</cp:coreProperties>
</file>